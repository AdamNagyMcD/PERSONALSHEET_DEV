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mc:AlternateContent xmlns:mc="http://schemas.openxmlformats.org/markup-compatibility/2006">
    <mc:Choice Requires="x15">
      <x15ac:absPath xmlns:x15ac="http://schemas.microsoft.com/office/spreadsheetml/2010/11/ac" url="C:\Users\Adam\iCloudDrive\Desktop\PERSONALSHEET_DEV\"/>
    </mc:Choice>
  </mc:AlternateContent>
  <xr:revisionPtr revIDLastSave="0" documentId="13_ncr:1_{204CA509-0513-4489-BA26-1FECB7562AD2}" xr6:coauthVersionLast="47" xr6:coauthVersionMax="47" xr10:uidLastSave="{00000000-0000-0000-0000-000000000000}"/>
  <bookViews>
    <workbookView xWindow="-110" yWindow="-110" windowWidth="38620" windowHeight="21100" tabRatio="677" activeTab="22"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 name="PID_HOUR_OVERRIDES" sheetId="50" state="veryHidden" r:id="rId22"/>
    <sheet name="SYSTEM_CHECK" sheetId="51" r:id="rId23"/>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55">KV_DROPDOWN_HELPER!$KG$1:$KG$13</definedName>
    <definedName name="KV_DD_APRIL_56">KV_DROPDOWN_HELPER!$KH$1:$KH$13</definedName>
    <definedName name="KV_DD_APRIL_57">KV_DROPDOWN_HELPER!$KI$1:$KI$13</definedName>
    <definedName name="KV_DD_APRIL_58">KV_DROPDOWN_HELPER!$KJ$1:$KJ$13</definedName>
    <definedName name="KV_DD_APRIL_59">KV_DROPDOWN_HELPER!$KK$1:$KK$13</definedName>
    <definedName name="KV_DD_APRIL_6">KV_DROPDOWN_HELPER!$IJ$1:$IJ$13</definedName>
    <definedName name="KV_DD_APRIL_60">KV_DROPDOWN_HELPER!$KL$1:$KL$13</definedName>
    <definedName name="KV_DD_APRIL_61">KV_DROPDOWN_HELPER!$KM$1:$KM$13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KV_DROPDOWN_HELPER!$VC$1:$VC$14</definedName>
    <definedName name="KV_DD_AUGUST_18">KV_DROPDOWN_HELPER!$VD$1:$VD$14</definedName>
    <definedName name="KV_DD_AUGUST_19">KV_DROPDOWN_HELPER!$VE$1:$VE$14</definedName>
    <definedName name="KV_DD_AUGUST_20">KV_DROPDOWN_HELPER!$VF$1:$VF$13</definedName>
    <definedName name="KV_DD_AUGUST_21">KV_DROPDOWN_HELPER!$VG$1:$VG$14</definedName>
    <definedName name="KV_DD_AUGUST_22">KV_DROPDOWN_HELPER!$VH$1:$VH$14</definedName>
    <definedName name="KV_DD_AUGUST_23">KV_DROPDOWN_HELPER!$VI$1:$VI$14</definedName>
    <definedName name="KV_DD_AUGUST_24">KV_DROPDOWN_HELPER!$VJ$1:$VJ$13</definedName>
    <definedName name="KV_DD_AUGUST_25">KV_DROPDOWN_HELPER!$VK$1:$VK$13</definedName>
    <definedName name="KV_DD_AUGUST_26">KV_DROPDOWN_HELPER!$VL$1:$VL$14</definedName>
    <definedName name="KV_DD_AUGUST_27">KV_DROPDOWN_HELPER!$VM$1:$VM$14</definedName>
    <definedName name="KV_DD_AUGUST_28">KV_DROPDOWN_HELPER!$VN$1:$VN$14</definedName>
    <definedName name="KV_DD_AUGUST_29">KV_DROPDOWN_HELPER!$VO$1:$VO$13</definedName>
    <definedName name="KV_DD_AUGUST_3">KV_DROPDOWN_HELPER!$UO$1:$UO$14</definedName>
    <definedName name="KV_DD_AUGUST_30">KV_DROPDOWN_HELPER!$VP$1:$VP$14</definedName>
    <definedName name="KV_DD_AUGUST_31">KV_DROPDOWN_HELPER!$VQ$1:$VQ$14</definedName>
    <definedName name="KV_DD_AUGUST_32">KV_DROPDOWN_HELPER!$VR$1:$VR$14</definedName>
    <definedName name="KV_DD_AUGUST_33">KV_DROPDOWN_HELPER!$VS$1:$VS$14</definedName>
    <definedName name="KV_DD_AUGUST_34">KV_DROPDOWN_HELPER!$VT$1:$VT$14</definedName>
    <definedName name="KV_DD_AUGUST_35">KV_DROPDOWN_HELPER!$VU$1:$VU$14</definedName>
    <definedName name="KV_DD_AUGUST_36">KV_DROPDOWN_HELPER!$VV$1:$VV$14</definedName>
    <definedName name="KV_DD_AUGUST_37">KV_DROPDOWN_HELPER!$VW$1:$VW$14</definedName>
    <definedName name="KV_DD_AUGUST_38">KV_DROPDOWN_HELPER!$VX$1:$VX$14</definedName>
    <definedName name="KV_DD_AUGUST_39">KV_DROPDOWN_HELPER!$VY$1:$VY$14</definedName>
    <definedName name="KV_DD_AUGUST_4">KV_DROPDOWN_HELPER!$UP$1:$UP$13</definedName>
    <definedName name="KV_DD_AUGUST_40">KV_DROPDOWN_HELPER!$VZ$1:$VZ$14</definedName>
    <definedName name="KV_DD_AUGUST_41">KV_DROPDOWN_HELPER!$WA$1:$WA$14</definedName>
    <definedName name="KV_DD_AUGUST_42">KV_DROPDOWN_HELPER!$WB$1:$WB$14</definedName>
    <definedName name="KV_DD_AUGUST_43">KV_DROPDOWN_HELPER!$WC$1:$WC$14</definedName>
    <definedName name="KV_DD_AUGUST_44">KV_DROPDOWN_HELPER!$WD$1:$WD$14</definedName>
    <definedName name="KV_DD_AUGUST_45">KV_DROPDOWN_HELPER!$WE$1:$WE$14</definedName>
    <definedName name="KV_DD_AUGUST_46">KV_DROPDOWN_HELPER!$WF$1:$WF$14</definedName>
    <definedName name="KV_DD_AUGUST_47">KV_DROPDOWN_HELPER!$WG$1:$WG$14</definedName>
    <definedName name="KV_DD_AUGUST_48">KV_DROPDOWN_HELPER!$WH$1:$WH$14</definedName>
    <definedName name="KV_DD_AUGUST_49">KV_DROPDOWN_HELPER!$WI$1:$WI$14</definedName>
    <definedName name="KV_DD_AUGUST_5">KV_DROPDOWN_HELPER!$UQ$1:$UQ$13</definedName>
    <definedName name="KV_DD_AUGUST_50">KV_DROPDOWN_HELPER!$WJ$1:$WJ$14</definedName>
    <definedName name="KV_DD_AUGUST_51">KV_DROPDOWN_HELPER!$WK$1:$WK$14</definedName>
    <definedName name="KV_DD_AUGUST_52">KV_DROPDOWN_HELPER!$WL$1:$WL$14</definedName>
    <definedName name="KV_DD_AUGUST_53">KV_DROPDOWN_HELPER!$WM$1:$WM$14</definedName>
    <definedName name="KV_DD_AUGUST_54">KV_DROPDOWN_HELPER!$WN$1:$WN$14</definedName>
    <definedName name="KV_DD_AUGUST_55">KV_DROPDOWN_HELPER!$WO$1:$WO$14</definedName>
    <definedName name="KV_DD_AUGUST_56">KV_DROPDOWN_HELPER!$WP$1:$WP$14</definedName>
    <definedName name="KV_DD_AUGUST_57">KV_DROPDOWN_HELPER!$WQ$1:$WQ$14</definedName>
    <definedName name="KV_DD_AUGUST_58">KV_DROPDOWN_HELPER!$WR$1:$WR$14</definedName>
    <definedName name="KV_DD_AUGUST_59">KV_DROPDOWN_HELPER!$WS$1:$WS$14</definedName>
    <definedName name="KV_DD_AUGUST_6">KV_DROPDOWN_HELPER!$UR$1:$UR$13</definedName>
    <definedName name="KV_DD_AUGUST_60">KV_DROPDOWN_HELPER!$WT$1:$WT$14</definedName>
    <definedName name="KV_DD_AUGUST_61">KV_DROPDOWN_HELPER!$WU$1:$WU$13</definedName>
    <definedName name="KV_DD_AUGUST_62">KV_DROPDOWN_HELPER!$WV$1:$WV$14</definedName>
    <definedName name="KV_DD_AUGUST_63">KV_DROPDOWN_HELPER!$WW$1:$WW$14</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KV_DROPDOWN_HELPER!$AHK$1:$AHK$14</definedName>
    <definedName name="KV_DD_DEZEMBER_18">KV_DROPDOWN_HELPER!$AHL$1:$AHL$14</definedName>
    <definedName name="KV_DD_DEZEMBER_19">KV_DROPDOWN_HELPER!$AHM$1:$AHM$14</definedName>
    <definedName name="KV_DD_DEZEMBER_20">KV_DROPDOWN_HELPER!$AHN$1:$AHN$13</definedName>
    <definedName name="KV_DD_DEZEMBER_21">KV_DROPDOWN_HELPER!$AHO$1:$AHO$14</definedName>
    <definedName name="KV_DD_DEZEMBER_22">KV_DROPDOWN_HELPER!$AHP$1:$AHP$14</definedName>
    <definedName name="KV_DD_DEZEMBER_23">KV_DROPDOWN_HELPER!$AHQ$1:$AHQ$14</definedName>
    <definedName name="KV_DD_DEZEMBER_24">KV_DROPDOWN_HELPER!$AHR$1:$AHR$13</definedName>
    <definedName name="KV_DD_DEZEMBER_25">KV_DROPDOWN_HELPER!$AHS$1:$AHS$13</definedName>
    <definedName name="KV_DD_DEZEMBER_26">KV_DROPDOWN_HELPER!$AHT$1:$AHT$14</definedName>
    <definedName name="KV_DD_DEZEMBER_27">KV_DROPDOWN_HELPER!$AHU$1:$AHU$14</definedName>
    <definedName name="KV_DD_DEZEMBER_28">KV_DROPDOWN_HELPER!$AHV$1:$AHV$14</definedName>
    <definedName name="KV_DD_DEZEMBER_29">KV_DROPDOWN_HELPER!$AHW$1:$AHW$13</definedName>
    <definedName name="KV_DD_DEZEMBER_3">KV_DROPDOWN_HELPER!$AGW$1:$AGW$14</definedName>
    <definedName name="KV_DD_DEZEMBER_30">KV_DROPDOWN_HELPER!$AHX$1:$AHX$14</definedName>
    <definedName name="KV_DD_DEZEMBER_31">KV_DROPDOWN_HELPER!$AHY$1:$AHY$14</definedName>
    <definedName name="KV_DD_DEZEMBER_32">KV_DROPDOWN_HELPER!$AHZ$1:$AHZ$14</definedName>
    <definedName name="KV_DD_DEZEMBER_33">KV_DROPDOWN_HELPER!$AIA$1:$AIA$14</definedName>
    <definedName name="KV_DD_DEZEMBER_34">KV_DROPDOWN_HELPER!$AIB$1:$AIB$14</definedName>
    <definedName name="KV_DD_DEZEMBER_35">KV_DROPDOWN_HELPER!$AIC$1:$AIC$14</definedName>
    <definedName name="KV_DD_DEZEMBER_36">KV_DROPDOWN_HELPER!$AID$1:$AID$14</definedName>
    <definedName name="KV_DD_DEZEMBER_37">KV_DROPDOWN_HELPER!$AIE$1:$AIE$14</definedName>
    <definedName name="KV_DD_DEZEMBER_38">KV_DROPDOWN_HELPER!$AIF$1:$AIF$14</definedName>
    <definedName name="KV_DD_DEZEMBER_39">KV_DROPDOWN_HELPER!$AIG$1:$AIG$14</definedName>
    <definedName name="KV_DD_DEZEMBER_4">KV_DROPDOWN_HELPER!$AGX$1:$AGX$13</definedName>
    <definedName name="KV_DD_DEZEMBER_40">KV_DROPDOWN_HELPER!$AIH$1:$AIH$14</definedName>
    <definedName name="KV_DD_DEZEMBER_41">KV_DROPDOWN_HELPER!$AII$1:$AII$14</definedName>
    <definedName name="KV_DD_DEZEMBER_42">KV_DROPDOWN_HELPER!$AIJ$1:$AIJ$14</definedName>
    <definedName name="KV_DD_DEZEMBER_43">KV_DROPDOWN_HELPER!$AIK$1:$AIK$14</definedName>
    <definedName name="KV_DD_DEZEMBER_44">KV_DROPDOWN_HELPER!$AIL$1:$AIL$14</definedName>
    <definedName name="KV_DD_DEZEMBER_45">KV_DROPDOWN_HELPER!$AIM$1:$AIM$14</definedName>
    <definedName name="KV_DD_DEZEMBER_46">KV_DROPDOWN_HELPER!$AIN$1:$AIN$14</definedName>
    <definedName name="KV_DD_DEZEMBER_47">KV_DROPDOWN_HELPER!$AIO$1:$AIO$14</definedName>
    <definedName name="KV_DD_DEZEMBER_48">KV_DROPDOWN_HELPER!$AIP$1:$AIP$14</definedName>
    <definedName name="KV_DD_DEZEMBER_49">KV_DROPDOWN_HELPER!$AIQ$1:$AIQ$14</definedName>
    <definedName name="KV_DD_DEZEMBER_5">KV_DROPDOWN_HELPER!$AGY$1:$AGY$13</definedName>
    <definedName name="KV_DD_DEZEMBER_50">KV_DROPDOWN_HELPER!$AIR$1:$AIR$14</definedName>
    <definedName name="KV_DD_DEZEMBER_51">KV_DROPDOWN_HELPER!$AIS$1:$AIS$14</definedName>
    <definedName name="KV_DD_DEZEMBER_52">KV_DROPDOWN_HELPER!$AIT$1:$AIT$14</definedName>
    <definedName name="KV_DD_DEZEMBER_53">KV_DROPDOWN_HELPER!$AIU$1:$AIU$14</definedName>
    <definedName name="KV_DD_DEZEMBER_54">KV_DROPDOWN_HELPER!$AIV$1:$AIV$14</definedName>
    <definedName name="KV_DD_DEZEMBER_55">KV_DROPDOWN_HELPER!$AIW$1:$AIW$14</definedName>
    <definedName name="KV_DD_DEZEMBER_56">KV_DROPDOWN_HELPER!$AIX$1:$AIX$14</definedName>
    <definedName name="KV_DD_DEZEMBER_57">KV_DROPDOWN_HELPER!$AIY$1:$AIY$14</definedName>
    <definedName name="KV_DD_DEZEMBER_58">KV_DROPDOWN_HELPER!$AIZ$1:$AIZ$14</definedName>
    <definedName name="KV_DD_DEZEMBER_59">KV_DROPDOWN_HELPER!$AJA$1:$AJA$14</definedName>
    <definedName name="KV_DD_DEZEMBER_6">KV_DROPDOWN_HELPER!$AGZ$1:$AGZ$13</definedName>
    <definedName name="KV_DD_DEZEMBER_60">KV_DROPDOWN_HELPER!$AJB$1:$AJB$13</definedName>
    <definedName name="KV_DD_DEZEMBER_61">KV_DROPDOWN_HELPER!$AJC$1:$AJC$14</definedName>
    <definedName name="KV_DD_DEZEMBER_62">KV_DROPDOWN_HELPER!$AJD$1:$AJD$14</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56">KV_DROPDOWN_HELPER!$ED$1:$ED$13</definedName>
    <definedName name="KV_DD_FEBRUAR_57">KV_DROPDOWN_HELPER!$EE$1:$EE$13</definedName>
    <definedName name="KV_DD_FEBRUAR_58">KV_DROPDOWN_HELPER!$EF$1:$EF$13</definedName>
    <definedName name="KV_DD_FEBRUAR_59">KV_DROPDOWN_HELPER!$EG$1:$EG$13</definedName>
    <definedName name="KV_DD_FEBRUAR_6">KV_DROPDOWN_HELPER!$CF$1:$CF$13</definedName>
    <definedName name="KV_DD_FEBRUAR_60">KV_DROPDOWN_HELPER!$EH$1:$EH$13</definedName>
    <definedName name="KV_DD_FEBRUAR_61">KV_DROPDOWN_HELPER!$EI$1:$EI$13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KV_DROPDOWN_HELPER!$SA$1:$SA$14</definedName>
    <definedName name="KV_DD_JULI_18">KV_DROPDOWN_HELPER!$SB$1:$SB$14</definedName>
    <definedName name="KV_DD_JULI_19">KV_DROPDOWN_HELPER!$SC$1:$SC$14</definedName>
    <definedName name="KV_DD_JULI_20">KV_DROPDOWN_HELPER!$SD$1:$SD$13</definedName>
    <definedName name="KV_DD_JULI_21">KV_DROPDOWN_HELPER!$SE$1:$SE$14</definedName>
    <definedName name="KV_DD_JULI_22">KV_DROPDOWN_HELPER!$SF$1:$SF$14</definedName>
    <definedName name="KV_DD_JULI_23">KV_DROPDOWN_HELPER!$SG$1:$SG$14</definedName>
    <definedName name="KV_DD_JULI_24">KV_DROPDOWN_HELPER!$SH$1:$SH$13</definedName>
    <definedName name="KV_DD_JULI_25">KV_DROPDOWN_HELPER!$SI$1:$SI$13</definedName>
    <definedName name="KV_DD_JULI_26">KV_DROPDOWN_HELPER!$SJ$1:$SJ$14</definedName>
    <definedName name="KV_DD_JULI_27">KV_DROPDOWN_HELPER!$SK$1:$SK$14</definedName>
    <definedName name="KV_DD_JULI_28">KV_DROPDOWN_HELPER!$SL$1:$SL$14</definedName>
    <definedName name="KV_DD_JULI_29">KV_DROPDOWN_HELPER!$SM$1:$SM$13</definedName>
    <definedName name="KV_DD_JULI_3">KV_DROPDOWN_HELPER!$RM$1:$RM$14</definedName>
    <definedName name="KV_DD_JULI_30">KV_DROPDOWN_HELPER!$SN$1:$SN$14</definedName>
    <definedName name="KV_DD_JULI_31">KV_DROPDOWN_HELPER!$SO$1:$SO$14</definedName>
    <definedName name="KV_DD_JULI_32">KV_DROPDOWN_HELPER!$SP$1:$SP$14</definedName>
    <definedName name="KV_DD_JULI_33">KV_DROPDOWN_HELPER!$SQ$1:$SQ$14</definedName>
    <definedName name="KV_DD_JULI_34">KV_DROPDOWN_HELPER!$SR$1:$SR$14</definedName>
    <definedName name="KV_DD_JULI_35">KV_DROPDOWN_HELPER!$SS$1:$SS$14</definedName>
    <definedName name="KV_DD_JULI_36">KV_DROPDOWN_HELPER!$ST$1:$ST$14</definedName>
    <definedName name="KV_DD_JULI_37">KV_DROPDOWN_HELPER!$SU$1:$SU$14</definedName>
    <definedName name="KV_DD_JULI_38">KV_DROPDOWN_HELPER!$SV$1:$SV$14</definedName>
    <definedName name="KV_DD_JULI_39">KV_DROPDOWN_HELPER!$SW$1:$SW$14</definedName>
    <definedName name="KV_DD_JULI_4">KV_DROPDOWN_HELPER!$RN$1:$RN$13</definedName>
    <definedName name="KV_DD_JULI_40">KV_DROPDOWN_HELPER!$SX$1:$SX$14</definedName>
    <definedName name="KV_DD_JULI_41">KV_DROPDOWN_HELPER!$SY$1:$SY$14</definedName>
    <definedName name="KV_DD_JULI_42">KV_DROPDOWN_HELPER!$SZ$1:$SZ$14</definedName>
    <definedName name="KV_DD_JULI_43">KV_DROPDOWN_HELPER!$TA$1:$TA$14</definedName>
    <definedName name="KV_DD_JULI_44">KV_DROPDOWN_HELPER!$TB$1:$TB$14</definedName>
    <definedName name="KV_DD_JULI_45">KV_DROPDOWN_HELPER!$TC$1:$TC$14</definedName>
    <definedName name="KV_DD_JULI_46">KV_DROPDOWN_HELPER!$TD$1:$TD$14</definedName>
    <definedName name="KV_DD_JULI_47">KV_DROPDOWN_HELPER!$TE$1:$TE$14</definedName>
    <definedName name="KV_DD_JULI_48">KV_DROPDOWN_HELPER!$TF$1:$TF$14</definedName>
    <definedName name="KV_DD_JULI_49">KV_DROPDOWN_HELPER!$TG$1:$TG$14</definedName>
    <definedName name="KV_DD_JULI_5">KV_DROPDOWN_HELPER!$RO$1:$RO$13</definedName>
    <definedName name="KV_DD_JULI_50">KV_DROPDOWN_HELPER!$TH$1:$TH$14</definedName>
    <definedName name="KV_DD_JULI_51">KV_DROPDOWN_HELPER!$TI$1:$TI$14</definedName>
    <definedName name="KV_DD_JULI_52">KV_DROPDOWN_HELPER!$TJ$1:$TJ$14</definedName>
    <definedName name="KV_DD_JULI_53">KV_DROPDOWN_HELPER!$TK$1:$TK$14</definedName>
    <definedName name="KV_DD_JULI_54">KV_DROPDOWN_HELPER!$TL$1:$TL$14</definedName>
    <definedName name="KV_DD_JULI_55">KV_DROPDOWN_HELPER!$TM$1:$TM$14</definedName>
    <definedName name="KV_DD_JULI_56">KV_DROPDOWN_HELPER!$TN$1:$TN$14</definedName>
    <definedName name="KV_DD_JULI_57">KV_DROPDOWN_HELPER!$TO$1:$TO$14</definedName>
    <definedName name="KV_DD_JULI_58">KV_DROPDOWN_HELPER!$TP$1:$TP$14</definedName>
    <definedName name="KV_DD_JULI_59">KV_DROPDOWN_HELPER!$TQ$1:$TQ$14</definedName>
    <definedName name="KV_DD_JULI_6">KV_DROPDOWN_HELPER!$RP$1:$RP$13</definedName>
    <definedName name="KV_DD_JULI_60">KV_DROPDOWN_HELPER!$TR$1:$TR$14</definedName>
    <definedName name="KV_DD_JULI_61">KV_DROPDOWN_HELPER!$TS$1:$TS$13</definedName>
    <definedName name="KV_DD_JULI_62">KV_DROPDOWN_HELPER!$TT$1:$TT$14</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KV_DROPDOWN_HELPER!$OY$1:$OY$14</definedName>
    <definedName name="KV_DD_JUNI_18">KV_DROPDOWN_HELPER!$OZ$1:$OZ$14</definedName>
    <definedName name="KV_DD_JUNI_19">KV_DROPDOWN_HELPER!$PA$1:$PA$14</definedName>
    <definedName name="KV_DD_JUNI_20">KV_DROPDOWN_HELPER!$PB$1:$PB$13</definedName>
    <definedName name="KV_DD_JUNI_21">KV_DROPDOWN_HELPER!$PC$1:$PC$14</definedName>
    <definedName name="KV_DD_JUNI_22">KV_DROPDOWN_HELPER!$PD$1:$PD$14</definedName>
    <definedName name="KV_DD_JUNI_23">KV_DROPDOWN_HELPER!$PE$1:$PE$14</definedName>
    <definedName name="KV_DD_JUNI_24">KV_DROPDOWN_HELPER!$PF$1:$PF$13</definedName>
    <definedName name="KV_DD_JUNI_25">KV_DROPDOWN_HELPER!$PG$1:$PG$13</definedName>
    <definedName name="KV_DD_JUNI_26">KV_DROPDOWN_HELPER!$PH$1:$PH$14</definedName>
    <definedName name="KV_DD_JUNI_27">KV_DROPDOWN_HELPER!$PI$1:$PI$14</definedName>
    <definedName name="KV_DD_JUNI_28">KV_DROPDOWN_HELPER!$PJ$1:$PJ$14</definedName>
    <definedName name="KV_DD_JUNI_29">KV_DROPDOWN_HELPER!$PK$1:$PK$13</definedName>
    <definedName name="KV_DD_JUNI_3">KV_DROPDOWN_HELPER!$OK$1:$OK$14</definedName>
    <definedName name="KV_DD_JUNI_30">KV_DROPDOWN_HELPER!$PL$1:$PL$14</definedName>
    <definedName name="KV_DD_JUNI_31">KV_DROPDOWN_HELPER!$PM$1:$PM$14</definedName>
    <definedName name="KV_DD_JUNI_32">KV_DROPDOWN_HELPER!$PN$1:$PN$14</definedName>
    <definedName name="KV_DD_JUNI_33">KV_DROPDOWN_HELPER!$PO$1:$PO$14</definedName>
    <definedName name="KV_DD_JUNI_34">KV_DROPDOWN_HELPER!$PP$1:$PP$14</definedName>
    <definedName name="KV_DD_JUNI_35">KV_DROPDOWN_HELPER!$PQ$1:$PQ$14</definedName>
    <definedName name="KV_DD_JUNI_36">KV_DROPDOWN_HELPER!$PR$1:$PR$14</definedName>
    <definedName name="KV_DD_JUNI_37">KV_DROPDOWN_HELPER!$PS$1:$PS$14</definedName>
    <definedName name="KV_DD_JUNI_38">KV_DROPDOWN_HELPER!$PT$1:$PT$14</definedName>
    <definedName name="KV_DD_JUNI_39">KV_DROPDOWN_HELPER!$PU$1:$PU$14</definedName>
    <definedName name="KV_DD_JUNI_4">KV_DROPDOWN_HELPER!$OL$1:$OL$13</definedName>
    <definedName name="KV_DD_JUNI_40">KV_DROPDOWN_HELPER!$PV$1:$PV$14</definedName>
    <definedName name="KV_DD_JUNI_41">KV_DROPDOWN_HELPER!$PW$1:$PW$14</definedName>
    <definedName name="KV_DD_JUNI_42">KV_DROPDOWN_HELPER!$PX$1:$PX$14</definedName>
    <definedName name="KV_DD_JUNI_43">KV_DROPDOWN_HELPER!$PY$1:$PY$14</definedName>
    <definedName name="KV_DD_JUNI_44">KV_DROPDOWN_HELPER!$PZ$1:$PZ$14</definedName>
    <definedName name="KV_DD_JUNI_45">KV_DROPDOWN_HELPER!$QA$1:$QA$14</definedName>
    <definedName name="KV_DD_JUNI_46">KV_DROPDOWN_HELPER!$QB$1:$QB$14</definedName>
    <definedName name="KV_DD_JUNI_47">KV_DROPDOWN_HELPER!$QC$1:$QC$14</definedName>
    <definedName name="KV_DD_JUNI_48">KV_DROPDOWN_HELPER!$QD$1:$QD$14</definedName>
    <definedName name="KV_DD_JUNI_49">KV_DROPDOWN_HELPER!$QE$1:$QE$14</definedName>
    <definedName name="KV_DD_JUNI_5">KV_DROPDOWN_HELPER!$OM$1:$OM$13</definedName>
    <definedName name="KV_DD_JUNI_50">KV_DROPDOWN_HELPER!$QF$1:$QF$14</definedName>
    <definedName name="KV_DD_JUNI_51">KV_DROPDOWN_HELPER!$QG$1:$QG$14</definedName>
    <definedName name="KV_DD_JUNI_52">KV_DROPDOWN_HELPER!$QH$1:$QH$14</definedName>
    <definedName name="KV_DD_JUNI_53">KV_DROPDOWN_HELPER!$QI$1:$QI$14</definedName>
    <definedName name="KV_DD_JUNI_54">KV_DROPDOWN_HELPER!$QJ$1:$QJ$14</definedName>
    <definedName name="KV_DD_JUNI_55">KV_DROPDOWN_HELPER!$QK$1:$QK$14</definedName>
    <definedName name="KV_DD_JUNI_56">KV_DROPDOWN_HELPER!$QL$1:$QL$14</definedName>
    <definedName name="KV_DD_JUNI_57">KV_DROPDOWN_HELPER!$QM$1:$QM$14</definedName>
    <definedName name="KV_DD_JUNI_58">KV_DROPDOWN_HELPER!$QN$1:$QN$14</definedName>
    <definedName name="KV_DD_JUNI_59">KV_DROPDOWN_HELPER!$QO$1:$QO$14</definedName>
    <definedName name="KV_DD_JUNI_6">KV_DROPDOWN_HELPER!$ON$1:$ON$13</definedName>
    <definedName name="KV_DD_JUNI_60">KV_DROPDOWN_HELPER!$QP$1:$QP$14</definedName>
    <definedName name="KV_DD_JUNI_61">KV_DROPDOWN_HELPER!$QQ$1:$QQ$13</definedName>
    <definedName name="KV_DD_JUNI_62">KV_DROPDOWN_HELPER!$QR$1:$QR$14</definedName>
    <definedName name="KV_DD_JUNI_63">KV_DROPDOWN_HELPER!$QS$1:$QS$14</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KV_DROPDOWN_HELPER!$LW$1:$LW$14</definedName>
    <definedName name="KV_DD_MAI_18">KV_DROPDOWN_HELPER!$LX$1:$LX$14</definedName>
    <definedName name="KV_DD_MAI_19">KV_DROPDOWN_HELPER!$LY$1:$LY$14</definedName>
    <definedName name="KV_DD_MAI_20">KV_DROPDOWN_HELPER!$LZ$1:$LZ$13</definedName>
    <definedName name="KV_DD_MAI_21">KV_DROPDOWN_HELPER!$MA$1:$MA$14</definedName>
    <definedName name="KV_DD_MAI_22">KV_DROPDOWN_HELPER!$MB$1:$MB$14</definedName>
    <definedName name="KV_DD_MAI_23">KV_DROPDOWN_HELPER!$MC$1:$MC$14</definedName>
    <definedName name="KV_DD_MAI_24">KV_DROPDOWN_HELPER!$MD$1:$MD$13</definedName>
    <definedName name="KV_DD_MAI_25">KV_DROPDOWN_HELPER!$ME$1:$ME$13</definedName>
    <definedName name="KV_DD_MAI_26">KV_DROPDOWN_HELPER!$MF$1:$MF$14</definedName>
    <definedName name="KV_DD_MAI_27">KV_DROPDOWN_HELPER!$MG$1:$MG$14</definedName>
    <definedName name="KV_DD_MAI_28">KV_DROPDOWN_HELPER!$MH$1:$MH$14</definedName>
    <definedName name="KV_DD_MAI_29">KV_DROPDOWN_HELPER!$MI$1:$MI$13</definedName>
    <definedName name="KV_DD_MAI_3">KV_DROPDOWN_HELPER!$LI$1:$LI$14</definedName>
    <definedName name="KV_DD_MAI_30">KV_DROPDOWN_HELPER!$MJ$1:$MJ$14</definedName>
    <definedName name="KV_DD_MAI_31">KV_DROPDOWN_HELPER!$MK$1:$MK$14</definedName>
    <definedName name="KV_DD_MAI_32">KV_DROPDOWN_HELPER!$ML$1:$ML$14</definedName>
    <definedName name="KV_DD_MAI_33">KV_DROPDOWN_HELPER!$MM$1:$MM$14</definedName>
    <definedName name="KV_DD_MAI_34">KV_DROPDOWN_HELPER!$MN$1:$MN$14</definedName>
    <definedName name="KV_DD_MAI_35">KV_DROPDOWN_HELPER!$MO$1:$MO$14</definedName>
    <definedName name="KV_DD_MAI_36">KV_DROPDOWN_HELPER!$MP$1:$MP$14</definedName>
    <definedName name="KV_DD_MAI_37">KV_DROPDOWN_HELPER!$MQ$1:$MQ$14</definedName>
    <definedName name="KV_DD_MAI_38">KV_DROPDOWN_HELPER!$MR$1:$MR$14</definedName>
    <definedName name="KV_DD_MAI_39">KV_DROPDOWN_HELPER!$MS$1:$MS$14</definedName>
    <definedName name="KV_DD_MAI_4">KV_DROPDOWN_HELPER!$LJ$1:$LJ$13</definedName>
    <definedName name="KV_DD_MAI_40">KV_DROPDOWN_HELPER!$MT$1:$MT$14</definedName>
    <definedName name="KV_DD_MAI_41">KV_DROPDOWN_HELPER!$MU$1:$MU$14</definedName>
    <definedName name="KV_DD_MAI_42">KV_DROPDOWN_HELPER!$MV$1:$MV$14</definedName>
    <definedName name="KV_DD_MAI_43">KV_DROPDOWN_HELPER!$MW$1:$MW$14</definedName>
    <definedName name="KV_DD_MAI_44">KV_DROPDOWN_HELPER!$MX$1:$MX$14</definedName>
    <definedName name="KV_DD_MAI_45">KV_DROPDOWN_HELPER!$MY$1:$MY$14</definedName>
    <definedName name="KV_DD_MAI_46">KV_DROPDOWN_HELPER!$MZ$1:$MZ$14</definedName>
    <definedName name="KV_DD_MAI_47">KV_DROPDOWN_HELPER!$NA$1:$NA$14</definedName>
    <definedName name="KV_DD_MAI_48">KV_DROPDOWN_HELPER!$NB$1:$NB$14</definedName>
    <definedName name="KV_DD_MAI_49">KV_DROPDOWN_HELPER!$NC$1:$NC$14</definedName>
    <definedName name="KV_DD_MAI_5">KV_DROPDOWN_HELPER!$LK$1:$LK$13</definedName>
    <definedName name="KV_DD_MAI_50">KV_DROPDOWN_HELPER!$ND$1:$ND$14</definedName>
    <definedName name="KV_DD_MAI_51">KV_DROPDOWN_HELPER!$NE$1:$NE$14</definedName>
    <definedName name="KV_DD_MAI_52">KV_DROPDOWN_HELPER!$NF$1:$NF$14</definedName>
    <definedName name="KV_DD_MAI_53">KV_DROPDOWN_HELPER!$NG$1:$NG$14</definedName>
    <definedName name="KV_DD_MAI_54">KV_DROPDOWN_HELPER!$NH$1:$NH$14</definedName>
    <definedName name="KV_DD_MAI_55">KV_DROPDOWN_HELPER!$NI$1:$NI$14</definedName>
    <definedName name="KV_DD_MAI_56">KV_DROPDOWN_HELPER!$NJ$1:$NJ$14</definedName>
    <definedName name="KV_DD_MAI_57">KV_DROPDOWN_HELPER!$NK$1:$NK$14</definedName>
    <definedName name="KV_DD_MAI_58">KV_DROPDOWN_HELPER!$NL$1:$NL$14</definedName>
    <definedName name="KV_DD_MAI_59">KV_DROPDOWN_HELPER!$NM$1:$NM$14</definedName>
    <definedName name="KV_DD_MAI_6">KV_DROPDOWN_HELPER!$LL$1:$LL$13</definedName>
    <definedName name="KV_DD_MAI_60">KV_DROPDOWN_HELPER!$NN$1:$NN$14</definedName>
    <definedName name="KV_DD_MAI_61">KV_DROPDOWN_HELPER!$NO$1:$NO$13</definedName>
    <definedName name="KV_DD_MAI_62">KV_DROPDOWN_HELPER!$NP$1:$NP$14</definedName>
    <definedName name="KV_DD_MAI_63">KV_DROPDOWN_HELPER!$NQ$1:$NQ$14</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55">KV_DROPDOWN_HELPER!$HE$1:$HE$13</definedName>
    <definedName name="KV_DD_MARZ_56">KV_DROPDOWN_HELPER!$HF$1:$HF$13</definedName>
    <definedName name="KV_DD_MARZ_57">KV_DROPDOWN_HELPER!$HG$1:$HG$13</definedName>
    <definedName name="KV_DD_MARZ_58">KV_DROPDOWN_HELPER!$HH$1:$HH$13</definedName>
    <definedName name="KV_DD_MARZ_59">KV_DROPDOWN_HELPER!$HI$1:$HI$13</definedName>
    <definedName name="KV_DD_MARZ_6">KV_DROPDOWN_HELPER!$FH$1:$FH$13</definedName>
    <definedName name="KV_DD_MARZ_60">KV_DROPDOWN_HELPER!$HJ$1:$HJ$13</definedName>
    <definedName name="KV_DD_MARZ_61">KV_DROPDOWN_HELPER!$HK$1:$HK$13</definedName>
    <definedName name="KV_DD_MARZ_62">KV_DROPDOWN_HELPER!$HL$1:$HL$13</definedName>
    <definedName name="KV_DD_MARZ_63">KV_DROPDOWN_HELPER!$HM$1:$HM$13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KV_DROPDOWN_HELPER!$AEI$1:$AEI$14</definedName>
    <definedName name="KV_DD_NOVEMBER_18">KV_DROPDOWN_HELPER!$AEJ$1:$AEJ$14</definedName>
    <definedName name="KV_DD_NOVEMBER_19">KV_DROPDOWN_HELPER!$AEK$1:$AEK$14</definedName>
    <definedName name="KV_DD_NOVEMBER_20">KV_DROPDOWN_HELPER!$AEL$1:$AEL$13</definedName>
    <definedName name="KV_DD_NOVEMBER_21">KV_DROPDOWN_HELPER!$AEM$1:$AEM$14</definedName>
    <definedName name="KV_DD_NOVEMBER_22">KV_DROPDOWN_HELPER!$AEN$1:$AEN$14</definedName>
    <definedName name="KV_DD_NOVEMBER_23">KV_DROPDOWN_HELPER!$AEO$1:$AEO$14</definedName>
    <definedName name="KV_DD_NOVEMBER_24">KV_DROPDOWN_HELPER!$AEP$1:$AEP$13</definedName>
    <definedName name="KV_DD_NOVEMBER_25">KV_DROPDOWN_HELPER!$AEQ$1:$AEQ$13</definedName>
    <definedName name="KV_DD_NOVEMBER_26">KV_DROPDOWN_HELPER!$AER$1:$AER$14</definedName>
    <definedName name="KV_DD_NOVEMBER_27">KV_DROPDOWN_HELPER!$AES$1:$AES$14</definedName>
    <definedName name="KV_DD_NOVEMBER_28">KV_DROPDOWN_HELPER!$AET$1:$AET$14</definedName>
    <definedName name="KV_DD_NOVEMBER_29">KV_DROPDOWN_HELPER!$AEU$1:$AEU$13</definedName>
    <definedName name="KV_DD_NOVEMBER_3">KV_DROPDOWN_HELPER!$ADU$1:$ADU$14</definedName>
    <definedName name="KV_DD_NOVEMBER_30">KV_DROPDOWN_HELPER!$AEV$1:$AEV$14</definedName>
    <definedName name="KV_DD_NOVEMBER_31">KV_DROPDOWN_HELPER!$AEW$1:$AEW$14</definedName>
    <definedName name="KV_DD_NOVEMBER_32">KV_DROPDOWN_HELPER!$AEX$1:$AEX$14</definedName>
    <definedName name="KV_DD_NOVEMBER_33">KV_DROPDOWN_HELPER!$AEY$1:$AEY$14</definedName>
    <definedName name="KV_DD_NOVEMBER_34">KV_DROPDOWN_HELPER!$AEZ$1:$AEZ$14</definedName>
    <definedName name="KV_DD_NOVEMBER_35">KV_DROPDOWN_HELPER!$AFA$1:$AFA$14</definedName>
    <definedName name="KV_DD_NOVEMBER_36">KV_DROPDOWN_HELPER!$AFB$1:$AFB$14</definedName>
    <definedName name="KV_DD_NOVEMBER_37">KV_DROPDOWN_HELPER!$AFC$1:$AFC$14</definedName>
    <definedName name="KV_DD_NOVEMBER_38">KV_DROPDOWN_HELPER!$AFD$1:$AFD$14</definedName>
    <definedName name="KV_DD_NOVEMBER_39">KV_DROPDOWN_HELPER!$AFE$1:$AFE$14</definedName>
    <definedName name="KV_DD_NOVEMBER_4">KV_DROPDOWN_HELPER!$ADV$1:$ADV$13</definedName>
    <definedName name="KV_DD_NOVEMBER_40">KV_DROPDOWN_HELPER!$AFF$1:$AFF$14</definedName>
    <definedName name="KV_DD_NOVEMBER_41">KV_DROPDOWN_HELPER!$AFG$1:$AFG$14</definedName>
    <definedName name="KV_DD_NOVEMBER_42">KV_DROPDOWN_HELPER!$AFH$1:$AFH$14</definedName>
    <definedName name="KV_DD_NOVEMBER_43">KV_DROPDOWN_HELPER!$AFI$1:$AFI$14</definedName>
    <definedName name="KV_DD_NOVEMBER_44">KV_DROPDOWN_HELPER!$AFJ$1:$AFJ$14</definedName>
    <definedName name="KV_DD_NOVEMBER_45">KV_DROPDOWN_HELPER!$AFK$1:$AFK$14</definedName>
    <definedName name="KV_DD_NOVEMBER_46">KV_DROPDOWN_HELPER!$AFL$1:$AFL$14</definedName>
    <definedName name="KV_DD_NOVEMBER_47">KV_DROPDOWN_HELPER!$AFM$1:$AFM$14</definedName>
    <definedName name="KV_DD_NOVEMBER_48">KV_DROPDOWN_HELPER!$AFN$1:$AFN$14</definedName>
    <definedName name="KV_DD_NOVEMBER_49">KV_DROPDOWN_HELPER!$AFO$1:$AFO$14</definedName>
    <definedName name="KV_DD_NOVEMBER_5">KV_DROPDOWN_HELPER!$ADW$1:$ADW$13</definedName>
    <definedName name="KV_DD_NOVEMBER_50">KV_DROPDOWN_HELPER!$AFP$1:$AFP$14</definedName>
    <definedName name="KV_DD_NOVEMBER_51">KV_DROPDOWN_HELPER!$AFQ$1:$AFQ$14</definedName>
    <definedName name="KV_DD_NOVEMBER_52">KV_DROPDOWN_HELPER!$AFR$1:$AFR$14</definedName>
    <definedName name="KV_DD_NOVEMBER_53">KV_DROPDOWN_HELPER!$AFS$1:$AFS$14</definedName>
    <definedName name="KV_DD_NOVEMBER_54">KV_DROPDOWN_HELPER!$AFT$1:$AFT$14</definedName>
    <definedName name="KV_DD_NOVEMBER_55">KV_DROPDOWN_HELPER!$AFU$1:$AFU$14</definedName>
    <definedName name="KV_DD_NOVEMBER_56">KV_DROPDOWN_HELPER!$AFV$1:$AFV$14</definedName>
    <definedName name="KV_DD_NOVEMBER_57">KV_DROPDOWN_HELPER!$AFW$1:$AFW$14</definedName>
    <definedName name="KV_DD_NOVEMBER_58">KV_DROPDOWN_HELPER!$AFX$1:$AFX$14</definedName>
    <definedName name="KV_DD_NOVEMBER_59">KV_DROPDOWN_HELPER!$AFY$1:$AFY$14</definedName>
    <definedName name="KV_DD_NOVEMBER_6">KV_DROPDOWN_HELPER!$ADX$1:$ADX$13</definedName>
    <definedName name="KV_DD_NOVEMBER_60">KV_DROPDOWN_HELPER!$AFZ$1:$AFZ$13</definedName>
    <definedName name="KV_DD_NOVEMBER_61">KV_DROPDOWN_HELPER!$AGA$1:$AGA$14</definedName>
    <definedName name="KV_DD_NOVEMBER_62">KV_DROPDOWN_HELPER!$AGB$1:$AGB$14</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KV_DROPDOWN_HELPER!$ABG$1:$ABG$14</definedName>
    <definedName name="KV_DD_OKTOBER_18">KV_DROPDOWN_HELPER!$ABH$1:$ABH$14</definedName>
    <definedName name="KV_DD_OKTOBER_19">KV_DROPDOWN_HELPER!$ABI$1:$ABI$14</definedName>
    <definedName name="KV_DD_OKTOBER_20">KV_DROPDOWN_HELPER!$ABJ$1:$ABJ$13</definedName>
    <definedName name="KV_DD_OKTOBER_21">KV_DROPDOWN_HELPER!$ABK$1:$ABK$14</definedName>
    <definedName name="KV_DD_OKTOBER_22">KV_DROPDOWN_HELPER!$ABL$1:$ABL$14</definedName>
    <definedName name="KV_DD_OKTOBER_23">KV_DROPDOWN_HELPER!$ABM$1:$ABM$14</definedName>
    <definedName name="KV_DD_OKTOBER_24">KV_DROPDOWN_HELPER!$ABN$1:$ABN$13</definedName>
    <definedName name="KV_DD_OKTOBER_25">KV_DROPDOWN_HELPER!$ABO$1:$ABO$13</definedName>
    <definedName name="KV_DD_OKTOBER_26">KV_DROPDOWN_HELPER!$ABP$1:$ABP$14</definedName>
    <definedName name="KV_DD_OKTOBER_27">KV_DROPDOWN_HELPER!$ABQ$1:$ABQ$14</definedName>
    <definedName name="KV_DD_OKTOBER_28">KV_DROPDOWN_HELPER!$ABR$1:$ABR$14</definedName>
    <definedName name="KV_DD_OKTOBER_29">KV_DROPDOWN_HELPER!$ABS$1:$ABS$13</definedName>
    <definedName name="KV_DD_OKTOBER_3">KV_DROPDOWN_HELPER!$AAS$1:$AAS$14</definedName>
    <definedName name="KV_DD_OKTOBER_30">KV_DROPDOWN_HELPER!$ABT$1:$ABT$14</definedName>
    <definedName name="KV_DD_OKTOBER_31">KV_DROPDOWN_HELPER!$ABU$1:$ABU$14</definedName>
    <definedName name="KV_DD_OKTOBER_32">KV_DROPDOWN_HELPER!$ABV$1:$ABV$14</definedName>
    <definedName name="KV_DD_OKTOBER_33">KV_DROPDOWN_HELPER!$ABW$1:$ABW$14</definedName>
    <definedName name="KV_DD_OKTOBER_34">KV_DROPDOWN_HELPER!$ABX$1:$ABX$14</definedName>
    <definedName name="KV_DD_OKTOBER_35">KV_DROPDOWN_HELPER!$ABY$1:$ABY$14</definedName>
    <definedName name="KV_DD_OKTOBER_36">KV_DROPDOWN_HELPER!$ABZ$1:$ABZ$14</definedName>
    <definedName name="KV_DD_OKTOBER_37">KV_DROPDOWN_HELPER!$ACA$1:$ACA$14</definedName>
    <definedName name="KV_DD_OKTOBER_38">KV_DROPDOWN_HELPER!$ACB$1:$ACB$14</definedName>
    <definedName name="KV_DD_OKTOBER_39">KV_DROPDOWN_HELPER!$ACC$1:$ACC$14</definedName>
    <definedName name="KV_DD_OKTOBER_4">KV_DROPDOWN_HELPER!$AAT$1:$AAT$13</definedName>
    <definedName name="KV_DD_OKTOBER_40">KV_DROPDOWN_HELPER!$ACD$1:$ACD$14</definedName>
    <definedName name="KV_DD_OKTOBER_41">KV_DROPDOWN_HELPER!$ACE$1:$ACE$14</definedName>
    <definedName name="KV_DD_OKTOBER_42">KV_DROPDOWN_HELPER!$ACF$1:$ACF$14</definedName>
    <definedName name="KV_DD_OKTOBER_43">KV_DROPDOWN_HELPER!$ACG$1:$ACG$14</definedName>
    <definedName name="KV_DD_OKTOBER_44">KV_DROPDOWN_HELPER!$ACH$1:$ACH$14</definedName>
    <definedName name="KV_DD_OKTOBER_45">KV_DROPDOWN_HELPER!$ACI$1:$ACI$14</definedName>
    <definedName name="KV_DD_OKTOBER_46">KV_DROPDOWN_HELPER!$ACJ$1:$ACJ$14</definedName>
    <definedName name="KV_DD_OKTOBER_47">KV_DROPDOWN_HELPER!$ACK$1:$ACK$14</definedName>
    <definedName name="KV_DD_OKTOBER_48">KV_DROPDOWN_HELPER!$ACL$1:$ACL$14</definedName>
    <definedName name="KV_DD_OKTOBER_49">KV_DROPDOWN_HELPER!$ACM$1:$ACM$14</definedName>
    <definedName name="KV_DD_OKTOBER_5">KV_DROPDOWN_HELPER!$AAU$1:$AAU$13</definedName>
    <definedName name="KV_DD_OKTOBER_50">KV_DROPDOWN_HELPER!$ACN$1:$ACN$14</definedName>
    <definedName name="KV_DD_OKTOBER_51">KV_DROPDOWN_HELPER!$ACO$1:$ACO$14</definedName>
    <definedName name="KV_DD_OKTOBER_52">KV_DROPDOWN_HELPER!$ACP$1:$ACP$14</definedName>
    <definedName name="KV_DD_OKTOBER_53">KV_DROPDOWN_HELPER!$ACQ$1:$ACQ$14</definedName>
    <definedName name="KV_DD_OKTOBER_54">KV_DROPDOWN_HELPER!$ACR$1:$ACR$14</definedName>
    <definedName name="KV_DD_OKTOBER_55">KV_DROPDOWN_HELPER!$ACS$1:$ACS$14</definedName>
    <definedName name="KV_DD_OKTOBER_56">KV_DROPDOWN_HELPER!$ACT$1:$ACT$14</definedName>
    <definedName name="KV_DD_OKTOBER_57">KV_DROPDOWN_HELPER!$ACU$1:$ACU$14</definedName>
    <definedName name="KV_DD_OKTOBER_58">KV_DROPDOWN_HELPER!$ACV$1:$ACV$14</definedName>
    <definedName name="KV_DD_OKTOBER_59">KV_DROPDOWN_HELPER!$ACW$1:$ACW$14</definedName>
    <definedName name="KV_DD_OKTOBER_6">KV_DROPDOWN_HELPER!$AAV$1:$AAV$13</definedName>
    <definedName name="KV_DD_OKTOBER_60">KV_DROPDOWN_HELPER!$ACX$1:$ACX$13</definedName>
    <definedName name="KV_DD_OKTOBER_61">KV_DROPDOWN_HELPER!$ACY$1:$ACY$14</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KV_DROPDOWN_HELPER!$YE$1:$YE$14</definedName>
    <definedName name="KV_DD_SEPTEMBER_18">KV_DROPDOWN_HELPER!$YF$1:$YF$14</definedName>
    <definedName name="KV_DD_SEPTEMBER_19">KV_DROPDOWN_HELPER!$YG$1:$YG$14</definedName>
    <definedName name="KV_DD_SEPTEMBER_20">KV_DROPDOWN_HELPER!$YH$1:$YH$13</definedName>
    <definedName name="KV_DD_SEPTEMBER_21">KV_DROPDOWN_HELPER!$YI$1:$YI$14</definedName>
    <definedName name="KV_DD_SEPTEMBER_22">KV_DROPDOWN_HELPER!$YJ$1:$YJ$14</definedName>
    <definedName name="KV_DD_SEPTEMBER_23">KV_DROPDOWN_HELPER!$YK$1:$YK$14</definedName>
    <definedName name="KV_DD_SEPTEMBER_24">KV_DROPDOWN_HELPER!$YL$1:$YL$13</definedName>
    <definedName name="KV_DD_SEPTEMBER_25">KV_DROPDOWN_HELPER!$YM$1:$YM$13</definedName>
    <definedName name="KV_DD_SEPTEMBER_26">KV_DROPDOWN_HELPER!$YN$1:$YN$14</definedName>
    <definedName name="KV_DD_SEPTEMBER_27">KV_DROPDOWN_HELPER!$YO$1:$YO$14</definedName>
    <definedName name="KV_DD_SEPTEMBER_28">KV_DROPDOWN_HELPER!$YP$1:$YP$14</definedName>
    <definedName name="KV_DD_SEPTEMBER_29">KV_DROPDOWN_HELPER!$YQ$1:$YQ$13</definedName>
    <definedName name="KV_DD_SEPTEMBER_3">KV_DROPDOWN_HELPER!$XQ$1:$XQ$14</definedName>
    <definedName name="KV_DD_SEPTEMBER_30">KV_DROPDOWN_HELPER!$YR$1:$YR$14</definedName>
    <definedName name="KV_DD_SEPTEMBER_31">KV_DROPDOWN_HELPER!$YS$1:$YS$14</definedName>
    <definedName name="KV_DD_SEPTEMBER_32">KV_DROPDOWN_HELPER!$YT$1:$YT$14</definedName>
    <definedName name="KV_DD_SEPTEMBER_33">KV_DROPDOWN_HELPER!$YU$1:$YU$14</definedName>
    <definedName name="KV_DD_SEPTEMBER_34">KV_DROPDOWN_HELPER!$YV$1:$YV$14</definedName>
    <definedName name="KV_DD_SEPTEMBER_35">KV_DROPDOWN_HELPER!$YW$1:$YW$14</definedName>
    <definedName name="KV_DD_SEPTEMBER_36">KV_DROPDOWN_HELPER!$YX$1:$YX$14</definedName>
    <definedName name="KV_DD_SEPTEMBER_37">KV_DROPDOWN_HELPER!$YY$1:$YY$14</definedName>
    <definedName name="KV_DD_SEPTEMBER_38">KV_DROPDOWN_HELPER!$YZ$1:$YZ$14</definedName>
    <definedName name="KV_DD_SEPTEMBER_39">KV_DROPDOWN_HELPER!$ZA$1:$ZA$14</definedName>
    <definedName name="KV_DD_SEPTEMBER_4">KV_DROPDOWN_HELPER!$XR$1:$XR$13</definedName>
    <definedName name="KV_DD_SEPTEMBER_40">KV_DROPDOWN_HELPER!$ZB$1:$ZB$14</definedName>
    <definedName name="KV_DD_SEPTEMBER_41">KV_DROPDOWN_HELPER!$ZC$1:$ZC$14</definedName>
    <definedName name="KV_DD_SEPTEMBER_42">KV_DROPDOWN_HELPER!$ZD$1:$ZD$14</definedName>
    <definedName name="KV_DD_SEPTEMBER_43">KV_DROPDOWN_HELPER!$ZE$1:$ZE$14</definedName>
    <definedName name="KV_DD_SEPTEMBER_44">KV_DROPDOWN_HELPER!$ZF$1:$ZF$14</definedName>
    <definedName name="KV_DD_SEPTEMBER_45">KV_DROPDOWN_HELPER!$ZG$1:$ZG$14</definedName>
    <definedName name="KV_DD_SEPTEMBER_46">KV_DROPDOWN_HELPER!$ZH$1:$ZH$14</definedName>
    <definedName name="KV_DD_SEPTEMBER_47">KV_DROPDOWN_HELPER!$ZI$1:$ZI$14</definedName>
    <definedName name="KV_DD_SEPTEMBER_48">KV_DROPDOWN_HELPER!$ZJ$1:$ZJ$14</definedName>
    <definedName name="KV_DD_SEPTEMBER_49">KV_DROPDOWN_HELPER!$ZK$1:$ZK$14</definedName>
    <definedName name="KV_DD_SEPTEMBER_5">KV_DROPDOWN_HELPER!$XS$1:$XS$13</definedName>
    <definedName name="KV_DD_SEPTEMBER_50">KV_DROPDOWN_HELPER!$ZL$1:$ZL$14</definedName>
    <definedName name="KV_DD_SEPTEMBER_51">KV_DROPDOWN_HELPER!$ZM$1:$ZM$14</definedName>
    <definedName name="KV_DD_SEPTEMBER_52">KV_DROPDOWN_HELPER!$ZN$1:$ZN$14</definedName>
    <definedName name="KV_DD_SEPTEMBER_53">KV_DROPDOWN_HELPER!$ZO$1:$ZO$14</definedName>
    <definedName name="KV_DD_SEPTEMBER_54">KV_DROPDOWN_HELPER!$ZP$1:$ZP$14</definedName>
    <definedName name="KV_DD_SEPTEMBER_55">KV_DROPDOWN_HELPER!$ZQ$1:$ZQ$14</definedName>
    <definedName name="KV_DD_SEPTEMBER_56">KV_DROPDOWN_HELPER!$ZR$1:$ZR$14</definedName>
    <definedName name="KV_DD_SEPTEMBER_57">KV_DROPDOWN_HELPER!$ZS$1:$ZS$14</definedName>
    <definedName name="KV_DD_SEPTEMBER_58">KV_DROPDOWN_HELPER!$ZT$1:$ZT$14</definedName>
    <definedName name="KV_DD_SEPTEMBER_59">KV_DROPDOWN_HELPER!$ZU$1:$ZU$14</definedName>
    <definedName name="KV_DD_SEPTEMBER_6">KV_DROPDOWN_HELPER!$XT$1:$XT$13</definedName>
    <definedName name="KV_DD_SEPTEMBER_60">KV_DROPDOWN_HELPER!$ZV$1:$ZV$13</definedName>
    <definedName name="KV_DD_SEPTEMBER_61">KV_DROPDOWN_HELPER!$ZW$1:$ZW$14</definedName>
    <definedName name="KV_DD_SEPTEMBER_62">KV_DROPDOWN_HELPER!$ZX$1:$ZX$13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9" i="35" l="1"/>
  <c r="L20" i="35"/>
  <c r="L21" i="35"/>
  <c r="L22" i="35"/>
  <c r="L23" i="35"/>
  <c r="L24" i="35"/>
  <c r="L25" i="35"/>
  <c r="L26" i="35"/>
  <c r="L27" i="35"/>
  <c r="L28" i="35"/>
  <c r="L29" i="35"/>
  <c r="L30" i="35"/>
  <c r="L31" i="35"/>
  <c r="L32" i="35"/>
  <c r="L33" i="35"/>
  <c r="L34" i="35"/>
  <c r="L51" i="35"/>
  <c r="L52" i="35"/>
  <c r="L53" i="35"/>
  <c r="L54" i="35"/>
  <c r="L55" i="35"/>
  <c r="L56" i="35"/>
  <c r="L57" i="35"/>
  <c r="L58" i="35"/>
  <c r="L59" i="35"/>
  <c r="L60" i="35"/>
  <c r="L61" i="35"/>
  <c r="L62" i="35"/>
  <c r="L63" i="35"/>
  <c r="L64" i="35"/>
  <c r="L65" i="35"/>
  <c r="L66" i="35"/>
  <c r="K3" i="35"/>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K20" i="35"/>
  <c r="K21" i="35"/>
  <c r="K22" i="35"/>
  <c r="K23" i="35"/>
  <c r="K24" i="35"/>
  <c r="K25" i="35"/>
  <c r="K26" i="35"/>
  <c r="K27" i="35"/>
  <c r="K28" i="35"/>
  <c r="K29" i="35"/>
  <c r="K30" i="35"/>
  <c r="K31" i="35"/>
  <c r="K32" i="35"/>
  <c r="K33" i="35"/>
  <c r="K34" i="35"/>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K52" i="35"/>
  <c r="K53" i="35"/>
  <c r="K54" i="35"/>
  <c r="K55" i="35"/>
  <c r="K56" i="35"/>
  <c r="K57" i="35"/>
  <c r="K58" i="35"/>
  <c r="K59" i="35"/>
  <c r="K60" i="35"/>
  <c r="K61" i="35"/>
  <c r="K62" i="35"/>
  <c r="K63" i="35"/>
  <c r="K64" i="35"/>
  <c r="K65" i="35"/>
  <c r="K66" i="35"/>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L3" i="36"/>
  <c r="L4" i="36"/>
  <c r="L5" i="36"/>
  <c r="L6" i="36"/>
  <c r="L7" i="36"/>
  <c r="L8" i="36"/>
  <c r="L9" i="36"/>
  <c r="L12" i="36"/>
  <c r="L13" i="36"/>
  <c r="L14" i="36"/>
  <c r="L15" i="36"/>
  <c r="L16" i="36"/>
  <c r="L17" i="36"/>
  <c r="L18" i="36"/>
  <c r="L35" i="36"/>
  <c r="L36" i="36"/>
  <c r="L37" i="36"/>
  <c r="L38" i="36"/>
  <c r="L39" i="36"/>
  <c r="L40" i="36"/>
  <c r="L41" i="36"/>
  <c r="L46" i="36"/>
  <c r="L47" i="36"/>
  <c r="L48" i="36"/>
  <c r="L49" i="36"/>
  <c r="L50" i="36"/>
  <c r="L67" i="36"/>
  <c r="L68" i="36"/>
  <c r="L69" i="36"/>
  <c r="L70" i="36"/>
  <c r="L71" i="36"/>
  <c r="L72" i="36"/>
  <c r="L73" i="36"/>
  <c r="L78" i="36"/>
  <c r="L79" i="36"/>
  <c r="L81" i="36"/>
  <c r="L82" i="36"/>
  <c r="K3" i="36"/>
  <c r="K4" i="36"/>
  <c r="K5" i="36"/>
  <c r="K6" i="36"/>
  <c r="K7" i="36"/>
  <c r="K8" i="36"/>
  <c r="K9" i="36"/>
  <c r="K10" i="36"/>
  <c r="L10" i="36" s="1"/>
  <c r="K11" i="36"/>
  <c r="L11" i="36" s="1"/>
  <c r="K12" i="36"/>
  <c r="K13" i="36"/>
  <c r="K14" i="36"/>
  <c r="K15" i="36"/>
  <c r="K16" i="36"/>
  <c r="K17" i="36"/>
  <c r="K18" i="36"/>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K36" i="36"/>
  <c r="K37" i="36"/>
  <c r="K38" i="36"/>
  <c r="K39" i="36"/>
  <c r="K40" i="36"/>
  <c r="K41" i="36"/>
  <c r="K42" i="36"/>
  <c r="L42" i="36" s="1"/>
  <c r="K43" i="36"/>
  <c r="L43" i="36" s="1"/>
  <c r="K44" i="36"/>
  <c r="L44" i="36" s="1"/>
  <c r="K45" i="36"/>
  <c r="L45" i="36" s="1"/>
  <c r="K46" i="36"/>
  <c r="K47" i="36"/>
  <c r="K48" i="36"/>
  <c r="K49" i="36"/>
  <c r="K50" i="36"/>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K68" i="36"/>
  <c r="K69" i="36"/>
  <c r="K70" i="36"/>
  <c r="K71" i="36"/>
  <c r="K72" i="36"/>
  <c r="K73" i="36"/>
  <c r="K74" i="36"/>
  <c r="L74" i="36" s="1"/>
  <c r="K75" i="36"/>
  <c r="L75" i="36" s="1"/>
  <c r="K76" i="36"/>
  <c r="L76" i="36" s="1"/>
  <c r="K77" i="36"/>
  <c r="L77" i="36" s="1"/>
  <c r="K78" i="36"/>
  <c r="K79" i="36"/>
  <c r="K80" i="36"/>
  <c r="L80" i="36" s="1"/>
  <c r="K81" i="36"/>
  <c r="K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L19" i="33"/>
  <c r="L20" i="33"/>
  <c r="L21" i="33"/>
  <c r="L22" i="33"/>
  <c r="L23" i="33"/>
  <c r="L24" i="33"/>
  <c r="L25" i="33"/>
  <c r="L28" i="33"/>
  <c r="L30" i="33"/>
  <c r="L31" i="33"/>
  <c r="L32" i="33"/>
  <c r="L33" i="33"/>
  <c r="L34" i="33"/>
  <c r="L51" i="33"/>
  <c r="L52" i="33"/>
  <c r="L53" i="33"/>
  <c r="L54" i="33"/>
  <c r="L55" i="33"/>
  <c r="L56" i="33"/>
  <c r="L57" i="33"/>
  <c r="L62" i="33"/>
  <c r="L63" i="33"/>
  <c r="L65" i="33"/>
  <c r="L66" i="33"/>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K20" i="33"/>
  <c r="K21" i="33"/>
  <c r="K22" i="33"/>
  <c r="K23" i="33"/>
  <c r="K24" i="33"/>
  <c r="K25" i="33"/>
  <c r="K26" i="33"/>
  <c r="L26" i="33" s="1"/>
  <c r="K27" i="33"/>
  <c r="L27" i="33" s="1"/>
  <c r="K28" i="33"/>
  <c r="K29" i="33"/>
  <c r="L29" i="33" s="1"/>
  <c r="K30" i="33"/>
  <c r="K31" i="33"/>
  <c r="K32" i="33"/>
  <c r="K33" i="33"/>
  <c r="K34" i="33"/>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K52" i="33"/>
  <c r="K53" i="33"/>
  <c r="K54" i="33"/>
  <c r="K55" i="33"/>
  <c r="K56" i="33"/>
  <c r="K57" i="33"/>
  <c r="K58" i="33"/>
  <c r="L58" i="33" s="1"/>
  <c r="K59" i="33"/>
  <c r="L59" i="33" s="1"/>
  <c r="K60" i="33"/>
  <c r="L60" i="33" s="1"/>
  <c r="K61" i="33"/>
  <c r="L61" i="33" s="1"/>
  <c r="K62" i="33"/>
  <c r="K63" i="33"/>
  <c r="K64" i="33"/>
  <c r="L64" i="33" s="1"/>
  <c r="K65" i="33"/>
  <c r="K66" i="33"/>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L3" i="32"/>
  <c r="L4" i="32"/>
  <c r="L5" i="32"/>
  <c r="L6" i="32"/>
  <c r="L7" i="32"/>
  <c r="L8" i="32"/>
  <c r="L9" i="32"/>
  <c r="L12" i="32"/>
  <c r="L14" i="32"/>
  <c r="L15" i="32"/>
  <c r="L17" i="32"/>
  <c r="L18" i="32"/>
  <c r="L35" i="32"/>
  <c r="L36" i="32"/>
  <c r="L37" i="32"/>
  <c r="L38" i="32"/>
  <c r="L39" i="32"/>
  <c r="L40" i="32"/>
  <c r="L41" i="32"/>
  <c r="L46" i="32"/>
  <c r="L47" i="32"/>
  <c r="L49" i="32"/>
  <c r="L50" i="32"/>
  <c r="L67" i="32"/>
  <c r="L68" i="32"/>
  <c r="L69" i="32"/>
  <c r="L70" i="32"/>
  <c r="L71" i="32"/>
  <c r="L72" i="32"/>
  <c r="L73" i="32"/>
  <c r="L78" i="32"/>
  <c r="L79" i="32"/>
  <c r="L82" i="32"/>
  <c r="K3" i="32"/>
  <c r="K4" i="32"/>
  <c r="K5" i="32"/>
  <c r="K6" i="32"/>
  <c r="K7" i="32"/>
  <c r="K8" i="32"/>
  <c r="K9" i="32"/>
  <c r="K10" i="32"/>
  <c r="L10" i="32" s="1"/>
  <c r="K11" i="32"/>
  <c r="L11" i="32" s="1"/>
  <c r="K12" i="32"/>
  <c r="K13" i="32"/>
  <c r="L13" i="32" s="1"/>
  <c r="K14" i="32"/>
  <c r="K15" i="32"/>
  <c r="K16" i="32"/>
  <c r="L16" i="32" s="1"/>
  <c r="K17" i="32"/>
  <c r="K18" i="32"/>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K36" i="32"/>
  <c r="K37" i="32"/>
  <c r="K38" i="32"/>
  <c r="K39" i="32"/>
  <c r="K40" i="32"/>
  <c r="K41" i="32"/>
  <c r="K42" i="32"/>
  <c r="L42" i="32" s="1"/>
  <c r="K43" i="32"/>
  <c r="L43" i="32" s="1"/>
  <c r="K44" i="32"/>
  <c r="L44" i="32" s="1"/>
  <c r="K45" i="32"/>
  <c r="L45" i="32" s="1"/>
  <c r="K46" i="32"/>
  <c r="K47" i="32"/>
  <c r="K48" i="32"/>
  <c r="L48" i="32" s="1"/>
  <c r="K49" i="32"/>
  <c r="K50" i="32"/>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K68" i="32"/>
  <c r="K69" i="32"/>
  <c r="K70" i="32"/>
  <c r="K71" i="32"/>
  <c r="K72" i="32"/>
  <c r="K73" i="32"/>
  <c r="K74" i="32"/>
  <c r="L74" i="32" s="1"/>
  <c r="K75" i="32"/>
  <c r="L75" i="32" s="1"/>
  <c r="K76" i="32"/>
  <c r="L76" i="32" s="1"/>
  <c r="K77" i="32"/>
  <c r="L77" i="32" s="1"/>
  <c r="K78" i="32"/>
  <c r="K79" i="32"/>
  <c r="K80" i="32"/>
  <c r="L80" i="32" s="1"/>
  <c r="K81" i="32"/>
  <c r="L81" i="32" s="1"/>
  <c r="K82" i="32"/>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L10" i="31"/>
  <c r="L19" i="31"/>
  <c r="L20" i="31"/>
  <c r="L21" i="31"/>
  <c r="L22" i="31"/>
  <c r="L23" i="31"/>
  <c r="L24" i="31"/>
  <c r="L25" i="31"/>
  <c r="L27" i="31"/>
  <c r="L30" i="31"/>
  <c r="L31" i="31"/>
  <c r="L33" i="31"/>
  <c r="L34" i="31"/>
  <c r="L42" i="31"/>
  <c r="L51" i="31"/>
  <c r="L52" i="31"/>
  <c r="L53" i="31"/>
  <c r="L54" i="31"/>
  <c r="L55" i="31"/>
  <c r="L56" i="31"/>
  <c r="L57" i="31"/>
  <c r="L62" i="31"/>
  <c r="L63" i="31"/>
  <c r="L65" i="31"/>
  <c r="L66" i="31"/>
  <c r="L74" i="31"/>
  <c r="K3" i="31"/>
  <c r="L3" i="31" s="1"/>
  <c r="K4" i="31"/>
  <c r="L4" i="31" s="1"/>
  <c r="K5" i="31"/>
  <c r="L5" i="31" s="1"/>
  <c r="K6" i="31"/>
  <c r="L6" i="31" s="1"/>
  <c r="K7" i="31"/>
  <c r="L7" i="31" s="1"/>
  <c r="K8" i="31"/>
  <c r="L8" i="31" s="1"/>
  <c r="K9" i="31"/>
  <c r="L9" i="31" s="1"/>
  <c r="K10" i="31"/>
  <c r="K11" i="31"/>
  <c r="L11" i="31" s="1"/>
  <c r="K12" i="31"/>
  <c r="L12" i="31" s="1"/>
  <c r="K13" i="31"/>
  <c r="L13" i="31" s="1"/>
  <c r="K14" i="31"/>
  <c r="L14" i="31" s="1"/>
  <c r="K15" i="31"/>
  <c r="L15" i="31" s="1"/>
  <c r="K16" i="31"/>
  <c r="L16" i="31" s="1"/>
  <c r="K17" i="31"/>
  <c r="L17" i="31" s="1"/>
  <c r="K18" i="31"/>
  <c r="L18" i="31" s="1"/>
  <c r="K19" i="31"/>
  <c r="K20" i="31"/>
  <c r="K21" i="31"/>
  <c r="K22" i="31"/>
  <c r="K23" i="31"/>
  <c r="K24" i="31"/>
  <c r="K25" i="31"/>
  <c r="K26" i="31"/>
  <c r="L26" i="31" s="1"/>
  <c r="K27" i="31"/>
  <c r="K28" i="31"/>
  <c r="L28" i="31" s="1"/>
  <c r="K29" i="31"/>
  <c r="L29" i="31" s="1"/>
  <c r="K30" i="31"/>
  <c r="K31" i="31"/>
  <c r="K32" i="31"/>
  <c r="L32" i="31" s="1"/>
  <c r="K33" i="31"/>
  <c r="K34" i="31"/>
  <c r="K35" i="31"/>
  <c r="L35" i="31" s="1"/>
  <c r="K36" i="31"/>
  <c r="L36" i="31" s="1"/>
  <c r="K37" i="31"/>
  <c r="L37" i="31" s="1"/>
  <c r="K38" i="31"/>
  <c r="L38" i="31" s="1"/>
  <c r="K39" i="31"/>
  <c r="L39" i="31" s="1"/>
  <c r="K40" i="31"/>
  <c r="L40" i="31" s="1"/>
  <c r="K41" i="31"/>
  <c r="L41" i="31" s="1"/>
  <c r="K42" i="31"/>
  <c r="K43" i="31"/>
  <c r="L43" i="31" s="1"/>
  <c r="K44" i="31"/>
  <c r="L44" i="31" s="1"/>
  <c r="K45" i="31"/>
  <c r="L45" i="31" s="1"/>
  <c r="K46" i="31"/>
  <c r="L46" i="31" s="1"/>
  <c r="K47" i="31"/>
  <c r="L47" i="31" s="1"/>
  <c r="K48" i="31"/>
  <c r="L48" i="31" s="1"/>
  <c r="K49" i="31"/>
  <c r="L49" i="31" s="1"/>
  <c r="K50" i="31"/>
  <c r="L50" i="31" s="1"/>
  <c r="K51" i="31"/>
  <c r="K52" i="31"/>
  <c r="K53" i="31"/>
  <c r="K54" i="31"/>
  <c r="K55" i="31"/>
  <c r="K56" i="31"/>
  <c r="K57" i="31"/>
  <c r="K58" i="31"/>
  <c r="L58" i="31" s="1"/>
  <c r="K59" i="31"/>
  <c r="L59" i="31" s="1"/>
  <c r="K60" i="31"/>
  <c r="L60" i="31" s="1"/>
  <c r="K61" i="31"/>
  <c r="L61" i="31" s="1"/>
  <c r="K62" i="31"/>
  <c r="K63" i="31"/>
  <c r="K64" i="31"/>
  <c r="L64" i="31" s="1"/>
  <c r="K65" i="31"/>
  <c r="K66" i="31"/>
  <c r="K67" i="31"/>
  <c r="L67" i="31" s="1"/>
  <c r="K68" i="31"/>
  <c r="L68" i="31" s="1"/>
  <c r="K69" i="31"/>
  <c r="L69" i="31" s="1"/>
  <c r="K70" i="31"/>
  <c r="L70" i="31" s="1"/>
  <c r="K71" i="31"/>
  <c r="L71" i="31" s="1"/>
  <c r="K72" i="31"/>
  <c r="L72" i="31" s="1"/>
  <c r="K73" i="31"/>
  <c r="L73" i="31" s="1"/>
  <c r="K74" i="3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L3" i="30"/>
  <c r="L4" i="30"/>
  <c r="L5" i="30"/>
  <c r="L6" i="30"/>
  <c r="L7" i="30"/>
  <c r="L8" i="30"/>
  <c r="L9" i="30"/>
  <c r="L11" i="30"/>
  <c r="L12" i="30"/>
  <c r="L14" i="30"/>
  <c r="L15" i="30"/>
  <c r="L17" i="30"/>
  <c r="L18" i="30"/>
  <c r="L26" i="30"/>
  <c r="L35" i="30"/>
  <c r="L36" i="30"/>
  <c r="L37" i="30"/>
  <c r="L38" i="30"/>
  <c r="L39" i="30"/>
  <c r="L40" i="30"/>
  <c r="L41" i="30"/>
  <c r="L43" i="30"/>
  <c r="L46" i="30"/>
  <c r="L47" i="30"/>
  <c r="L49" i="30"/>
  <c r="L50" i="30"/>
  <c r="L58" i="30"/>
  <c r="L67" i="30"/>
  <c r="L68" i="30"/>
  <c r="L69" i="30"/>
  <c r="L70" i="30"/>
  <c r="L71" i="30"/>
  <c r="L72" i="30"/>
  <c r="L73" i="30"/>
  <c r="L78" i="30"/>
  <c r="L79" i="30"/>
  <c r="L81" i="30"/>
  <c r="L82" i="30"/>
  <c r="K3" i="30"/>
  <c r="K4" i="30"/>
  <c r="K5" i="30"/>
  <c r="K6" i="30"/>
  <c r="K7" i="30"/>
  <c r="K8" i="30"/>
  <c r="K9" i="30"/>
  <c r="K10" i="30"/>
  <c r="L10" i="30" s="1"/>
  <c r="K11" i="30"/>
  <c r="K12" i="30"/>
  <c r="K13" i="30"/>
  <c r="L13" i="30" s="1"/>
  <c r="K14" i="30"/>
  <c r="K15" i="30"/>
  <c r="K16" i="30"/>
  <c r="L16" i="30" s="1"/>
  <c r="K17" i="30"/>
  <c r="K18" i="30"/>
  <c r="K19" i="30"/>
  <c r="L19" i="30" s="1"/>
  <c r="K20" i="30"/>
  <c r="L20" i="30" s="1"/>
  <c r="K21" i="30"/>
  <c r="L21" i="30" s="1"/>
  <c r="K22" i="30"/>
  <c r="L22" i="30" s="1"/>
  <c r="K23" i="30"/>
  <c r="L23" i="30" s="1"/>
  <c r="K24" i="30"/>
  <c r="L24" i="30" s="1"/>
  <c r="K25" i="30"/>
  <c r="L25" i="30" s="1"/>
  <c r="K26" i="30"/>
  <c r="K27" i="30"/>
  <c r="L27" i="30" s="1"/>
  <c r="K28" i="30"/>
  <c r="L28" i="30" s="1"/>
  <c r="K29" i="30"/>
  <c r="L29" i="30" s="1"/>
  <c r="K30" i="30"/>
  <c r="L30" i="30" s="1"/>
  <c r="K31" i="30"/>
  <c r="L31" i="30" s="1"/>
  <c r="K32" i="30"/>
  <c r="L32" i="30" s="1"/>
  <c r="K33" i="30"/>
  <c r="L33" i="30" s="1"/>
  <c r="K34" i="30"/>
  <c r="L34" i="30" s="1"/>
  <c r="K35" i="30"/>
  <c r="K36" i="30"/>
  <c r="K37" i="30"/>
  <c r="K38" i="30"/>
  <c r="K39" i="30"/>
  <c r="K40" i="30"/>
  <c r="K41" i="30"/>
  <c r="K42" i="30"/>
  <c r="L42" i="30" s="1"/>
  <c r="K43" i="30"/>
  <c r="K44" i="30"/>
  <c r="L44" i="30" s="1"/>
  <c r="K45" i="30"/>
  <c r="L45" i="30" s="1"/>
  <c r="K46" i="30"/>
  <c r="K47" i="30"/>
  <c r="K48" i="30"/>
  <c r="L48" i="30" s="1"/>
  <c r="K49" i="30"/>
  <c r="K50" i="30"/>
  <c r="K51" i="30"/>
  <c r="L51" i="30" s="1"/>
  <c r="K52" i="30"/>
  <c r="L52" i="30" s="1"/>
  <c r="K53" i="30"/>
  <c r="L53" i="30" s="1"/>
  <c r="K54" i="30"/>
  <c r="L54" i="30" s="1"/>
  <c r="K55" i="30"/>
  <c r="L55" i="30" s="1"/>
  <c r="K56" i="30"/>
  <c r="L56" i="30" s="1"/>
  <c r="K57" i="30"/>
  <c r="L57" i="30" s="1"/>
  <c r="K58" i="30"/>
  <c r="K59" i="30"/>
  <c r="L59" i="30" s="1"/>
  <c r="K60" i="30"/>
  <c r="L60" i="30" s="1"/>
  <c r="K61" i="30"/>
  <c r="L61" i="30" s="1"/>
  <c r="K62" i="30"/>
  <c r="L62" i="30" s="1"/>
  <c r="K63" i="30"/>
  <c r="L63" i="30" s="1"/>
  <c r="K64" i="30"/>
  <c r="L64" i="30" s="1"/>
  <c r="K65" i="30"/>
  <c r="L65" i="30" s="1"/>
  <c r="K66" i="30"/>
  <c r="L66" i="30" s="1"/>
  <c r="K67" i="30"/>
  <c r="K68" i="30"/>
  <c r="K69" i="30"/>
  <c r="K70" i="30"/>
  <c r="K71" i="30"/>
  <c r="K72" i="30"/>
  <c r="K73" i="30"/>
  <c r="K74" i="30"/>
  <c r="L74" i="30" s="1"/>
  <c r="K75" i="30"/>
  <c r="L75" i="30" s="1"/>
  <c r="K76" i="30"/>
  <c r="L76" i="30" s="1"/>
  <c r="K77" i="30"/>
  <c r="L77" i="30" s="1"/>
  <c r="K78" i="30"/>
  <c r="K79" i="30"/>
  <c r="K80" i="30"/>
  <c r="L80" i="30" s="1"/>
  <c r="K81" i="30"/>
  <c r="K8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10" i="37"/>
  <c r="L13" i="37"/>
  <c r="L19" i="37"/>
  <c r="L20" i="37"/>
  <c r="L21" i="37"/>
  <c r="L22" i="37"/>
  <c r="L23" i="37"/>
  <c r="L24" i="37"/>
  <c r="L25" i="37"/>
  <c r="L27" i="37"/>
  <c r="L28" i="37"/>
  <c r="L30" i="37"/>
  <c r="L31" i="37"/>
  <c r="L33" i="37"/>
  <c r="L34" i="37"/>
  <c r="L42" i="37"/>
  <c r="L45" i="37"/>
  <c r="L51" i="37"/>
  <c r="L52" i="37"/>
  <c r="L53" i="37"/>
  <c r="L54" i="37"/>
  <c r="L55" i="37"/>
  <c r="L56" i="37"/>
  <c r="L57" i="37"/>
  <c r="L60" i="37"/>
  <c r="L62" i="37"/>
  <c r="L63" i="37"/>
  <c r="L65" i="37"/>
  <c r="L66" i="37"/>
  <c r="L77" i="37"/>
  <c r="K3" i="37"/>
  <c r="L3" i="37" s="1"/>
  <c r="K4" i="37"/>
  <c r="L4" i="37" s="1"/>
  <c r="K5" i="37"/>
  <c r="L5" i="37" s="1"/>
  <c r="K6" i="37"/>
  <c r="L6" i="37" s="1"/>
  <c r="K7" i="37"/>
  <c r="L7" i="37" s="1"/>
  <c r="K8" i="37"/>
  <c r="L8" i="37" s="1"/>
  <c r="K9" i="37"/>
  <c r="L9" i="37" s="1"/>
  <c r="K10" i="37"/>
  <c r="K11" i="37"/>
  <c r="L11" i="37" s="1"/>
  <c r="K12" i="37"/>
  <c r="L12" i="37" s="1"/>
  <c r="K13" i="37"/>
  <c r="K14" i="37"/>
  <c r="L14" i="37" s="1"/>
  <c r="K15" i="37"/>
  <c r="L15" i="37" s="1"/>
  <c r="K16" i="37"/>
  <c r="L16" i="37" s="1"/>
  <c r="K17" i="37"/>
  <c r="L17" i="37" s="1"/>
  <c r="K18" i="37"/>
  <c r="L18" i="37" s="1"/>
  <c r="K19" i="37"/>
  <c r="K20" i="37"/>
  <c r="K21" i="37"/>
  <c r="K22" i="37"/>
  <c r="K23" i="37"/>
  <c r="K24" i="37"/>
  <c r="K25" i="37"/>
  <c r="K26" i="37"/>
  <c r="L26" i="37" s="1"/>
  <c r="K27" i="37"/>
  <c r="K28" i="37"/>
  <c r="K29" i="37"/>
  <c r="L29" i="37" s="1"/>
  <c r="K30" i="37"/>
  <c r="K31" i="37"/>
  <c r="K32" i="37"/>
  <c r="L32" i="37" s="1"/>
  <c r="K33" i="37"/>
  <c r="K34" i="37"/>
  <c r="K35" i="37"/>
  <c r="L35" i="37" s="1"/>
  <c r="K36" i="37"/>
  <c r="L36" i="37" s="1"/>
  <c r="K37" i="37"/>
  <c r="L37" i="37" s="1"/>
  <c r="K38" i="37"/>
  <c r="L38" i="37" s="1"/>
  <c r="K39" i="37"/>
  <c r="L39" i="37" s="1"/>
  <c r="K40" i="37"/>
  <c r="L40" i="37" s="1"/>
  <c r="K41" i="37"/>
  <c r="L41" i="37" s="1"/>
  <c r="K42" i="37"/>
  <c r="K43" i="37"/>
  <c r="L43" i="37" s="1"/>
  <c r="K44" i="37"/>
  <c r="L44" i="37" s="1"/>
  <c r="K45" i="37"/>
  <c r="K46" i="37"/>
  <c r="L46" i="37" s="1"/>
  <c r="K47" i="37"/>
  <c r="L47" i="37" s="1"/>
  <c r="K48" i="37"/>
  <c r="L48" i="37" s="1"/>
  <c r="K49" i="37"/>
  <c r="L49" i="37" s="1"/>
  <c r="K50" i="37"/>
  <c r="L50" i="37" s="1"/>
  <c r="K51" i="37"/>
  <c r="K52" i="37"/>
  <c r="K53" i="37"/>
  <c r="K54" i="37"/>
  <c r="K55" i="37"/>
  <c r="K56" i="37"/>
  <c r="K57" i="37"/>
  <c r="K58" i="37"/>
  <c r="L58" i="37" s="1"/>
  <c r="K59" i="37"/>
  <c r="L59" i="37" s="1"/>
  <c r="K60" i="37"/>
  <c r="K61" i="37"/>
  <c r="L61" i="37" s="1"/>
  <c r="K62" i="37"/>
  <c r="K63" i="37"/>
  <c r="K64" i="37"/>
  <c r="L64" i="37" s="1"/>
  <c r="K65" i="37"/>
  <c r="K66" i="37"/>
  <c r="K67" i="37"/>
  <c r="L67" i="37" s="1"/>
  <c r="K68" i="37"/>
  <c r="L68" i="37" s="1"/>
  <c r="K69" i="37"/>
  <c r="L69" i="37" s="1"/>
  <c r="K70" i="37"/>
  <c r="L70" i="37" s="1"/>
  <c r="K71" i="37"/>
  <c r="L71" i="37" s="1"/>
  <c r="K72" i="37"/>
  <c r="L72" i="37" s="1"/>
  <c r="K73" i="37"/>
  <c r="L73" i="37" s="1"/>
  <c r="K74" i="37"/>
  <c r="L74" i="37" s="1"/>
  <c r="K75" i="37"/>
  <c r="L75" i="37" s="1"/>
  <c r="K76" i="37"/>
  <c r="L76" i="37" s="1"/>
  <c r="K77" i="37"/>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3" i="28"/>
  <c r="L5" i="28"/>
  <c r="L6" i="28"/>
  <c r="L7" i="28"/>
  <c r="L9" i="28"/>
  <c r="L10" i="28"/>
  <c r="L11" i="28"/>
  <c r="L12" i="28"/>
  <c r="L13" i="28"/>
  <c r="L14" i="28"/>
  <c r="L15" i="28"/>
  <c r="L17" i="28"/>
  <c r="L18" i="28"/>
  <c r="L24" i="28"/>
  <c r="L35" i="28"/>
  <c r="L37" i="28"/>
  <c r="L38" i="28"/>
  <c r="L39" i="28"/>
  <c r="L41" i="28"/>
  <c r="L43" i="28"/>
  <c r="L44" i="28"/>
  <c r="L45" i="28"/>
  <c r="L47" i="28"/>
  <c r="L49" i="28"/>
  <c r="L50" i="28"/>
  <c r="L56" i="28"/>
  <c r="L67" i="28"/>
  <c r="L70" i="28"/>
  <c r="L71" i="28"/>
  <c r="L73" i="28"/>
  <c r="L74" i="28"/>
  <c r="L75" i="28"/>
  <c r="L76" i="28"/>
  <c r="L77" i="28"/>
  <c r="L79" i="28"/>
  <c r="L81" i="28"/>
  <c r="L82" i="28"/>
  <c r="K3" i="28"/>
  <c r="K4" i="28"/>
  <c r="L4" i="28" s="1"/>
  <c r="K5" i="28"/>
  <c r="K6" i="28"/>
  <c r="K7" i="28"/>
  <c r="K8" i="28"/>
  <c r="L8" i="28" s="1"/>
  <c r="K9" i="28"/>
  <c r="K10" i="28"/>
  <c r="K11" i="28"/>
  <c r="K12" i="28"/>
  <c r="K13" i="28"/>
  <c r="K14" i="28"/>
  <c r="K15" i="28"/>
  <c r="K16" i="28"/>
  <c r="L16" i="28" s="1"/>
  <c r="K17" i="28"/>
  <c r="K18" i="28"/>
  <c r="K19" i="28"/>
  <c r="L19" i="28" s="1"/>
  <c r="K20" i="28"/>
  <c r="L20" i="28" s="1"/>
  <c r="K21" i="28"/>
  <c r="L21" i="28" s="1"/>
  <c r="K22" i="28"/>
  <c r="L22" i="28" s="1"/>
  <c r="K23" i="28"/>
  <c r="L23" i="28" s="1"/>
  <c r="K24" i="28"/>
  <c r="K25" i="28"/>
  <c r="L25" i="28" s="1"/>
  <c r="K26" i="28"/>
  <c r="L26" i="28" s="1"/>
  <c r="K27" i="28"/>
  <c r="L27" i="28" s="1"/>
  <c r="K28" i="28"/>
  <c r="L28" i="28" s="1"/>
  <c r="K29" i="28"/>
  <c r="L29" i="28" s="1"/>
  <c r="K30" i="28"/>
  <c r="L30" i="28" s="1"/>
  <c r="K31" i="28"/>
  <c r="L31" i="28" s="1"/>
  <c r="K32" i="28"/>
  <c r="L32" i="28" s="1"/>
  <c r="K33" i="28"/>
  <c r="L33" i="28" s="1"/>
  <c r="K34" i="28"/>
  <c r="L34" i="28" s="1"/>
  <c r="K35" i="28"/>
  <c r="K36" i="28"/>
  <c r="L36" i="28" s="1"/>
  <c r="K37" i="28"/>
  <c r="K38" i="28"/>
  <c r="K39" i="28"/>
  <c r="K40" i="28"/>
  <c r="L40" i="28" s="1"/>
  <c r="K41" i="28"/>
  <c r="K42" i="28"/>
  <c r="L42" i="28" s="1"/>
  <c r="K43" i="28"/>
  <c r="K44" i="28"/>
  <c r="K45" i="28"/>
  <c r="K46" i="28"/>
  <c r="L46" i="28" s="1"/>
  <c r="K47" i="28"/>
  <c r="K48" i="28"/>
  <c r="L48" i="28" s="1"/>
  <c r="K49" i="28"/>
  <c r="K50" i="28"/>
  <c r="K51" i="28"/>
  <c r="L51" i="28" s="1"/>
  <c r="K52" i="28"/>
  <c r="L52" i="28" s="1"/>
  <c r="K53" i="28"/>
  <c r="L53" i="28" s="1"/>
  <c r="K54" i="28"/>
  <c r="L54" i="28" s="1"/>
  <c r="K55" i="28"/>
  <c r="L55" i="28" s="1"/>
  <c r="K56" i="28"/>
  <c r="K57" i="28"/>
  <c r="L57" i="28" s="1"/>
  <c r="K58" i="28"/>
  <c r="L58" i="28" s="1"/>
  <c r="K59" i="28"/>
  <c r="L59" i="28" s="1"/>
  <c r="K60" i="28"/>
  <c r="L60" i="28" s="1"/>
  <c r="K61" i="28"/>
  <c r="L61" i="28" s="1"/>
  <c r="K62" i="28"/>
  <c r="L62" i="28" s="1"/>
  <c r="K63" i="28"/>
  <c r="L63" i="28" s="1"/>
  <c r="K64" i="28"/>
  <c r="L64" i="28" s="1"/>
  <c r="K65" i="28"/>
  <c r="L65" i="28" s="1"/>
  <c r="K66" i="28"/>
  <c r="L66" i="28" s="1"/>
  <c r="K67" i="28"/>
  <c r="K68" i="28"/>
  <c r="L68" i="28" s="1"/>
  <c r="K69" i="28"/>
  <c r="L69" i="28" s="1"/>
  <c r="K70" i="28"/>
  <c r="K71" i="28"/>
  <c r="K72" i="28"/>
  <c r="L72" i="28" s="1"/>
  <c r="K73" i="28"/>
  <c r="K74" i="28"/>
  <c r="K75" i="28"/>
  <c r="K76" i="28"/>
  <c r="K77" i="28"/>
  <c r="K78" i="28"/>
  <c r="L78" i="28" s="1"/>
  <c r="K79" i="28"/>
  <c r="K80" i="28"/>
  <c r="L80" i="28" s="1"/>
  <c r="K81" i="28"/>
  <c r="K82" i="28"/>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8" i="27"/>
  <c r="L10" i="27"/>
  <c r="L12" i="27"/>
  <c r="L15" i="27"/>
  <c r="L19" i="27"/>
  <c r="L21" i="27"/>
  <c r="L22" i="27"/>
  <c r="L23" i="27"/>
  <c r="L25" i="27"/>
  <c r="L27" i="27"/>
  <c r="L29" i="27"/>
  <c r="L30" i="27"/>
  <c r="L32" i="27"/>
  <c r="L33" i="27"/>
  <c r="L34" i="27"/>
  <c r="L40" i="27"/>
  <c r="L43" i="27"/>
  <c r="L51" i="27"/>
  <c r="L54" i="27"/>
  <c r="L55" i="27"/>
  <c r="L57" i="27"/>
  <c r="L58" i="27"/>
  <c r="L59" i="27"/>
  <c r="L62" i="27"/>
  <c r="L64" i="27"/>
  <c r="L65" i="27"/>
  <c r="L66" i="27"/>
  <c r="L72" i="27"/>
  <c r="K3" i="27"/>
  <c r="L3" i="27" s="1"/>
  <c r="K4" i="27"/>
  <c r="L4" i="27" s="1"/>
  <c r="K5" i="27"/>
  <c r="L5" i="27" s="1"/>
  <c r="K6" i="27"/>
  <c r="L6" i="27" s="1"/>
  <c r="K7" i="27"/>
  <c r="L7" i="27" s="1"/>
  <c r="K8" i="27"/>
  <c r="K9" i="27"/>
  <c r="L9" i="27" s="1"/>
  <c r="K10" i="27"/>
  <c r="K11" i="27"/>
  <c r="L11" i="27" s="1"/>
  <c r="K12" i="27"/>
  <c r="K13" i="27"/>
  <c r="L13" i="27" s="1"/>
  <c r="K14" i="27"/>
  <c r="L14" i="27" s="1"/>
  <c r="K15" i="27"/>
  <c r="K16" i="27"/>
  <c r="L16" i="27" s="1"/>
  <c r="K17" i="27"/>
  <c r="L17" i="27" s="1"/>
  <c r="K18" i="27"/>
  <c r="L18" i="27" s="1"/>
  <c r="K19" i="27"/>
  <c r="K20" i="27"/>
  <c r="L20" i="27" s="1"/>
  <c r="K21" i="27"/>
  <c r="K22" i="27"/>
  <c r="K23" i="27"/>
  <c r="K24" i="27"/>
  <c r="L24" i="27" s="1"/>
  <c r="K25" i="27"/>
  <c r="K26" i="27"/>
  <c r="L26" i="27" s="1"/>
  <c r="K27" i="27"/>
  <c r="K28" i="27"/>
  <c r="L28" i="27" s="1"/>
  <c r="K29" i="27"/>
  <c r="K30" i="27"/>
  <c r="K31" i="27"/>
  <c r="L31" i="27" s="1"/>
  <c r="K32" i="27"/>
  <c r="K33" i="27"/>
  <c r="K34" i="27"/>
  <c r="K35" i="27"/>
  <c r="L35" i="27" s="1"/>
  <c r="K36" i="27"/>
  <c r="L36" i="27" s="1"/>
  <c r="K37" i="27"/>
  <c r="L37" i="27" s="1"/>
  <c r="K38" i="27"/>
  <c r="L38" i="27" s="1"/>
  <c r="K39" i="27"/>
  <c r="L39" i="27" s="1"/>
  <c r="K40" i="27"/>
  <c r="K41" i="27"/>
  <c r="L41" i="27" s="1"/>
  <c r="K42" i="27"/>
  <c r="L42" i="27" s="1"/>
  <c r="K43" i="27"/>
  <c r="K44" i="27"/>
  <c r="L44" i="27" s="1"/>
  <c r="K45" i="27"/>
  <c r="L45" i="27" s="1"/>
  <c r="K46" i="27"/>
  <c r="L46" i="27" s="1"/>
  <c r="K47" i="27"/>
  <c r="L47" i="27" s="1"/>
  <c r="K48" i="27"/>
  <c r="L48" i="27" s="1"/>
  <c r="K49" i="27"/>
  <c r="L49" i="27" s="1"/>
  <c r="K50" i="27"/>
  <c r="L50" i="27" s="1"/>
  <c r="K51" i="27"/>
  <c r="K52" i="27"/>
  <c r="L52" i="27" s="1"/>
  <c r="K53" i="27"/>
  <c r="L53" i="27" s="1"/>
  <c r="K54" i="27"/>
  <c r="K55" i="27"/>
  <c r="K56" i="27"/>
  <c r="L56" i="27" s="1"/>
  <c r="K57" i="27"/>
  <c r="K58" i="27"/>
  <c r="K59" i="27"/>
  <c r="K60" i="27"/>
  <c r="L60" i="27" s="1"/>
  <c r="K61" i="27"/>
  <c r="L61" i="27" s="1"/>
  <c r="K62" i="27"/>
  <c r="K63" i="27"/>
  <c r="L63" i="27" s="1"/>
  <c r="K64" i="27"/>
  <c r="K65" i="27"/>
  <c r="K66" i="27"/>
  <c r="K67" i="27"/>
  <c r="L67" i="27" s="1"/>
  <c r="K68" i="27"/>
  <c r="L68" i="27" s="1"/>
  <c r="K69" i="27"/>
  <c r="L69" i="27" s="1"/>
  <c r="K70" i="27"/>
  <c r="L70" i="27" s="1"/>
  <c r="K71" i="27"/>
  <c r="L71" i="27" s="1"/>
  <c r="K72" i="27"/>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3" i="26"/>
  <c r="L5" i="26"/>
  <c r="L6" i="26"/>
  <c r="L7" i="26"/>
  <c r="L9" i="26"/>
  <c r="L10" i="26"/>
  <c r="L11" i="26"/>
  <c r="L13" i="26"/>
  <c r="L14" i="26"/>
  <c r="L16" i="26"/>
  <c r="L17" i="26"/>
  <c r="L18" i="26"/>
  <c r="L24" i="26"/>
  <c r="L27" i="26"/>
  <c r="L28" i="26"/>
  <c r="L31" i="26"/>
  <c r="L35" i="26"/>
  <c r="L37" i="26"/>
  <c r="L38" i="26"/>
  <c r="L39" i="26"/>
  <c r="L41" i="26"/>
  <c r="L42" i="26"/>
  <c r="L44" i="26"/>
  <c r="L46" i="26"/>
  <c r="L48" i="26"/>
  <c r="L49" i="26"/>
  <c r="L50" i="26"/>
  <c r="L59" i="26"/>
  <c r="L60" i="26"/>
  <c r="L63" i="26"/>
  <c r="L67" i="26"/>
  <c r="L70" i="26"/>
  <c r="L71" i="26"/>
  <c r="L73" i="26"/>
  <c r="L74" i="26"/>
  <c r="L77" i="26"/>
  <c r="L78" i="26"/>
  <c r="L80" i="26"/>
  <c r="L81" i="26"/>
  <c r="L82" i="26"/>
  <c r="K3" i="26"/>
  <c r="K4" i="26"/>
  <c r="L4" i="26" s="1"/>
  <c r="K5" i="26"/>
  <c r="K6" i="26"/>
  <c r="K7" i="26"/>
  <c r="K8" i="26"/>
  <c r="L8" i="26" s="1"/>
  <c r="K9" i="26"/>
  <c r="K10" i="26"/>
  <c r="K11" i="26"/>
  <c r="K12" i="26"/>
  <c r="L12" i="26" s="1"/>
  <c r="K13" i="26"/>
  <c r="K14" i="26"/>
  <c r="K15" i="26"/>
  <c r="L15" i="26" s="1"/>
  <c r="K16" i="26"/>
  <c r="K17" i="26"/>
  <c r="K18" i="26"/>
  <c r="K19" i="26"/>
  <c r="L19" i="26" s="1"/>
  <c r="K20" i="26"/>
  <c r="L20" i="26" s="1"/>
  <c r="K21" i="26"/>
  <c r="L21" i="26" s="1"/>
  <c r="K22" i="26"/>
  <c r="L22" i="26" s="1"/>
  <c r="K23" i="26"/>
  <c r="L23" i="26" s="1"/>
  <c r="K24" i="26"/>
  <c r="K25" i="26"/>
  <c r="L25" i="26" s="1"/>
  <c r="K26" i="26"/>
  <c r="L26" i="26" s="1"/>
  <c r="K27" i="26"/>
  <c r="K28" i="26"/>
  <c r="K29" i="26"/>
  <c r="L29" i="26" s="1"/>
  <c r="K30" i="26"/>
  <c r="L30" i="26" s="1"/>
  <c r="K31" i="26"/>
  <c r="K32" i="26"/>
  <c r="L32" i="26" s="1"/>
  <c r="K33" i="26"/>
  <c r="L33" i="26" s="1"/>
  <c r="K34" i="26"/>
  <c r="L34" i="26" s="1"/>
  <c r="K35" i="26"/>
  <c r="K36" i="26"/>
  <c r="L36" i="26" s="1"/>
  <c r="K37" i="26"/>
  <c r="K38" i="26"/>
  <c r="K39" i="26"/>
  <c r="K40" i="26"/>
  <c r="L40" i="26" s="1"/>
  <c r="K41" i="26"/>
  <c r="K42" i="26"/>
  <c r="K43" i="26"/>
  <c r="L43" i="26" s="1"/>
  <c r="K44" i="26"/>
  <c r="K45" i="26"/>
  <c r="L45" i="26" s="1"/>
  <c r="K46" i="26"/>
  <c r="K47" i="26"/>
  <c r="L47" i="26" s="1"/>
  <c r="K48" i="26"/>
  <c r="K49" i="26"/>
  <c r="K50" i="26"/>
  <c r="K51" i="26"/>
  <c r="L51" i="26" s="1"/>
  <c r="K52" i="26"/>
  <c r="L52" i="26" s="1"/>
  <c r="K53" i="26"/>
  <c r="L53" i="26" s="1"/>
  <c r="K54" i="26"/>
  <c r="L54" i="26" s="1"/>
  <c r="K55" i="26"/>
  <c r="L55" i="26" s="1"/>
  <c r="K56" i="26"/>
  <c r="L56" i="26" s="1"/>
  <c r="K57" i="26"/>
  <c r="L57" i="26" s="1"/>
  <c r="K58" i="26"/>
  <c r="L58" i="26" s="1"/>
  <c r="K59" i="26"/>
  <c r="K60" i="26"/>
  <c r="K61" i="26"/>
  <c r="L61" i="26" s="1"/>
  <c r="K62" i="26"/>
  <c r="L62" i="26" s="1"/>
  <c r="K63" i="26"/>
  <c r="K64" i="26"/>
  <c r="L64" i="26" s="1"/>
  <c r="K65" i="26"/>
  <c r="L65" i="26" s="1"/>
  <c r="K66" i="26"/>
  <c r="L66" i="26" s="1"/>
  <c r="K67" i="26"/>
  <c r="K68" i="26"/>
  <c r="L68" i="26" s="1"/>
  <c r="K69" i="26"/>
  <c r="L69" i="26" s="1"/>
  <c r="K70" i="26"/>
  <c r="K71" i="26"/>
  <c r="K72" i="26"/>
  <c r="L72" i="26" s="1"/>
  <c r="K73" i="26"/>
  <c r="K74" i="26"/>
  <c r="K75" i="26"/>
  <c r="L75" i="26" s="1"/>
  <c r="K76" i="26"/>
  <c r="L76" i="26" s="1"/>
  <c r="K77" i="26"/>
  <c r="K78" i="26"/>
  <c r="K79" i="26"/>
  <c r="L79" i="26" s="1"/>
  <c r="K80" i="26"/>
  <c r="K81" i="26"/>
  <c r="K82" i="26"/>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6" i="46"/>
  <c r="I476"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9" i="46"/>
  <c r="I319"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2" i="46"/>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L7" i="25"/>
  <c r="L22" i="25"/>
  <c r="L38" i="25"/>
  <c r="L39"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L30" i="25" s="1"/>
  <c r="K31" i="25"/>
  <c r="L31" i="25" s="1"/>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L62" i="25" s="1"/>
  <c r="K63" i="25"/>
  <c r="L63" i="25" s="1"/>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6" a="1"/>
  <c r="S36" i="25" a="1"/>
  <c r="S36" i="27"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5" a="1"/>
  <c r="S36" i="36" a="1"/>
  <c r="S36" i="32" a="1"/>
  <c r="S36" i="31" a="1"/>
  <c r="S36" i="30" a="1"/>
  <c r="S36" i="33" a="1"/>
  <c r="S36" i="28"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<sst xmlns="http://schemas.openxmlformats.org/spreadsheetml/2006/main" count="5416" uniqueCount="432">
  <si>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</si>
  <si>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</si>
  <si>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</si>
  <si>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</si>
  <si>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</si>
  <si>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</si>
  <si>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</si>
  <si>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</si>
  <si>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</si>
  <si>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</si>
  <si>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</si>
  <si>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</si>
  <si>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</si>
  <si>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</si>
  <si>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</si>
  <si>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</si>
  <si>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</si>
  <si>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</si>
  <si>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</si>
  <si>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</si>
  <si>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</si>
  <si>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</si>
  <si>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</si>
  <si>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</si>
  <si>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</si>
  <si>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</si>
  <si>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</si>
  <si>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</si>
  <si>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</si>
  <si>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</si>
  <si>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</si>
  <si>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</si>
  <si>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</si>
  <si>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</si>
  <si>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</si>
  <si>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</si>
  <si>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</si>
  <si>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</si>
  <si>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</si>
  <si>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</si>
  <si>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</si>
  <si>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</si>
  <si>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</si>
  <si>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</si>
  <si>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</si>
  <si>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</si>
  <si>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</si>
  <si>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</si>
  <si>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</si>
  <si>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</si>
  <si>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</si>
  <si>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</si>
  <si>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</si>
  <si>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</si>
  <si>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</si>
  <si>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</si>
  <si>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</si>
  <si>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</si>
  <si>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</si>
  <si>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</si>
  <si>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</si>
  <si>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</si>
  <si>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</si>
  <si>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</si>
  <si>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</si>
  <si>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</si>
  <si>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</si>
  <si>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</si>
  <si>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</si>
  <si>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</si>
  <si>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</si>
  <si>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</si>
  <si>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</si>
  <si>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</si>
  <si>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</si>
  <si>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</si>
  <si>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</si>
  <si>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</si>
  <si>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</si>
  <si>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</si>
  <si>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</si>
  <si>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</si>
  <si>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</si>
  <si>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</si>
  <si>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</si>
  <si>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</si>
  <si>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</si>
  <si>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</si>
  <si>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</si>
  <si>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</si>
  <si>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</si>
  <si>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</si>
  <si>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</si>
  <si>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</si>
  <si>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</si>
  <si>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</si>
  <si>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</si>
  <si>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</si>
  <si>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</si>
  <si>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</si>
  <si>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</si>
  <si>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</si>
  <si>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</si>
  <si>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</si>
  <si>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</si>
  <si>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</si>
  <si>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</si>
  <si>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</si>
  <si>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</si>
  <si>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</si>
  <si>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</si>
  <si>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</si>
  <si>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</si>
  <si>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</si>
  <si>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</si>
  <si>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</si>
  <si>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</si>
  <si>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</si>
  <si>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</si>
  <si>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</si>
  <si>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</si>
  <si>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</si>
  <si>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</si>
  <si>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</si>
  <si>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</si>
  <si>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</si>
  <si>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</si>
  <si>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</si>
  <si>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</si>
  <si>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</si>
  <si>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</si>
  <si>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</si>
  <si>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</si>
  <si>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</si>
  <si>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</si>
  <si>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</si>
  <si>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</si>
  <si>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</si>
  <si>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</si>
  <si>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</si>
  <si>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</si>
  <si>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</si>
  <si>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</si>
  <si>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</si>
  <si>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</si>
  <si>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</si>
  <si>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</si>
  <si>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</si>
  <si>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</si>
  <si>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</si>
  <si>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</si>
  <si>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</si>
  <si>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</si>
  <si>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</si>
  <si>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</si>
  <si>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</si>
  <si>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</si>
  <si>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</si>
  <si>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</si>
  <si>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</si>
  <si>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</si>
  <si>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</si>
  <si>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</si>
  <si>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</si>
  <si>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</si>
  <si>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</si>
  <si>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</si>
  <si>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</si>
  <si>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</si>
  <si>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</si>
  <si>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</si>
  <si>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</si>
  <si>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</si>
  <si>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</si>
  <si>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</si>
  <si>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</si>
  <si>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</si>
  <si>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</si>
  <si>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</si>
  <si>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</si>
  <si>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</si>
  <si>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</si>
  <si>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</si>
  <si>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</si>
  <si>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</si>
  <si>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</si>
  <si>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</si>
  <si>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</si>
  <si>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</si>
  <si>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</si>
  <si>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</si>
  <si>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</si>
  <si>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</si>
  <si>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</si>
  <si>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</si>
  <si>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</si>
  <si>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</si>
  <si>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</si>
  <si>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</si>
  <si>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</si>
  <si>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</si>
  <si>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</si>
  <si>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</si>
  <si>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</si>
  <si>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</si>
  <si>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</si>
  <si>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</si>
  <si>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</si>
  <si>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</si>
  <si>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</si>
  <si>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</si>
  <si>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</si>
  <si>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</si>
  <si>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</si>
  <si>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</si>
  <si>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</si>
  <si>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</si>
  <si>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</si>
  <si>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</si>
  <si>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</si>
  <si>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</si>
  <si>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</si>
  <si>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</si>
  <si>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</si>
  <si>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</si>
  <si>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</si>
  <si>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</si>
  <si>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</si>
  <si>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</si>
  <si>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</si>
  <si>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</si>
  <si>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</si>
  <si>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</si>
  <si>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</si>
  <si>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</si>
  <si>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</si>
  <si>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</si>
  <si>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</si>
  <si>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</si>
  <si>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</si>
  <si>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</si>
  <si>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</si>
  <si>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</si>
  <si>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</si>
  <si>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</si>
  <si>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</si>
  <si>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</si>
  <si>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</si>
  <si>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</si>
  <si>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</si>
  <si>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</si>
  <si>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</si>
  <si>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</si>
  <si>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</si>
  <si>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</si>
  <si>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</si>
  <si>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</si>
  <si>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</si>
  <si>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</si>
  <si>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</si>
  <si>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</si>
  <si>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</si>
  <si>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</si>
  <si>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</si>
  <si>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</si>
  <si>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</si>
  <si>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</si>
  <si>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</si>
  <si>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</si>
  <si>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</si>
  <si>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</si>
  <si>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</si>
  <si>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</si>
  <si>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</si>
  <si>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</si>
  <si>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</si>
  <si>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</si>
  <si>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</si>
  <si>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</si>
  <si>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</si>
  <si>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</si>
  <si>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</si>
  <si>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</si>
  <si>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</si>
  <si>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</si>
  <si>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</si>
  <si>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</si>
  <si>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</si>
  <si>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</si>
  <si>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</si>
  <si>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</si>
  <si>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</si>
  <si>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</si>
  <si>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</si>
  <si>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</si>
  <si>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</si>
  <si>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</si>
  <si>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</si>
  <si>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</si>
  <si>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</si>
  <si>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</si>
  <si>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</si>
  <si>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</si>
  <si>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</si>
  <si>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</si>
  <si>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</si>
  <si>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</si>
  <si>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</si>
  <si>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</si>
  <si>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</si>
  <si>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</si>
  <si>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</si>
  <si>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</si>
  <si>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</si>
  <si>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</si>
  <si>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</si>
  <si>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</si>
  <si>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</si>
  <si>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</si>
  <si>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</si>
  <si>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</si>
  <si>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</si>
  <si>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</si>
  <si>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</si>
  <si>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</si>
  <si>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</si>
  <si>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</si>
  <si>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</si>
  <si>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</si>
  <si>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</si>
  <si>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</si>
  <si>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</si>
  <si>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</si>
  <si>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</si>
  <si>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</si>
  <si>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</si>
  <si>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</si>
  <si>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</si>
  <si>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</si>
  <si>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</si>
  <si>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</si>
  <si>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</si>
  <si>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</si>
  <si>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</si>
  <si>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</si>
  <si>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</si>
  <si>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</si>
  <si>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</si>
  <si>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</si>
  <si>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</si>
  <si>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</si>
  <si>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</si>
  <si>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</si>
  <si>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</si>
  <si>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</si>
  <si>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</si>
  <si>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teszt karcsi</t>
  </si>
  <si>
    <t>asd</t>
  </si>
  <si>
    <t>Marz</t>
  </si>
  <si>
    <t>Dienstnehmer Kuendigung</t>
  </si>
  <si>
    <t>Erste 90 Tage</t>
  </si>
  <si>
    <t>Dienstnehmer Kuendigung (1)</t>
  </si>
  <si>
    <t>Austritt in den ersten 90 Tagen. Onboarding, Training und erste Dienstplaene pruefen.</t>
  </si>
  <si>
    <t>Rigo Janos</t>
  </si>
  <si>
    <t>Wichtiger Austritt. Arbeitsklima, Fuehrung und Kommunikation pruefen.</t>
  </si>
  <si>
    <t>Aprilisban Jottem</t>
  </si>
  <si>
    <t>Majus Mate</t>
  </si>
  <si>
    <t>Vadiuj Test</t>
  </si>
  <si>
    <t>vegso teszt</t>
  </si>
  <si>
    <t>Marika</t>
  </si>
  <si>
    <t>Janoska</t>
  </si>
  <si>
    <t>Ferike</t>
  </si>
  <si>
    <t>Janika</t>
  </si>
  <si>
    <t>GERGO</t>
  </si>
  <si>
    <t>Year</t>
  </si>
  <si>
    <t>Month</t>
  </si>
  <si>
    <t>EmployeeKey</t>
  </si>
  <si>
    <t>Field</t>
  </si>
  <si>
    <t>Value</t>
  </si>
  <si>
    <t>Test Case</t>
  </si>
  <si>
    <t>Details</t>
  </si>
  <si>
    <t>Checked At</t>
  </si>
  <si>
    <t>Manual Steps</t>
  </si>
  <si>
    <t>TEST 1 - Future Hour Change</t>
  </si>
  <si>
    <t>REVIEW</t>
  </si>
  <si>
    <t>Basisstruktur vorhanden. Verhaltenspruefung (Mai/Juni unveraendert, Juli+ angepasst) manuell ausfuehren.</t>
  </si>
  <si>
    <t>1) Im Blatt Juli Feld E oder F aendern. 2) CopyData ab Juli starten. 3) Pruefen: Mai/Juni unveraendert, ab Juli aktualisiert.</t>
  </si>
  <si>
    <t>TEST 2 - Exit Employee</t>
  </si>
  <si>
    <t>Austrittsfelder vorhanden. Sichtbarkeit im Austrittsmonat und Entfernung ab Folgemonat manuell pruefen.</t>
  </si>
  <si>
    <t>1) Im Blatt August ein Austrittsdatum in Spalte I setzen. 2) CopyData ab August starten. 3) Pruefen: In August sichtbar, ab September entfernt.</t>
  </si>
  <si>
    <t>TEST 3 - Future Employee Survival</t>
  </si>
  <si>
    <t>Monatskette vorhanden. Ueberleben kuenftiger MA nach Rueckwaertskopie manuell pruefen.</t>
  </si>
  <si>
    <t>1) Im Blatt Oktober neuen Mitarbeiter in B/C erfassen. 2) Rueckwaertskopie von frueherem Monat starten. 3) Pruefen: Oktober-Eintrag bleibt erhalten.</t>
  </si>
  <si>
    <t>TEST 4 - Override Survival</t>
  </si>
  <si>
    <t>Override-Bereiche vorhanden. Ueberlebenspruefung fuer D/E und Stabilitaet frueherer Monate manuell pruefen.</t>
  </si>
  <si>
    <t>1) In einem spaeteren Monat D/E-Werte manuell anpassen. 2) Propagation starten. 3) Pruefen: Overrides bleiben erhalten, fruehere Monate bleiben unveraendert.</t>
  </si>
  <si>
    <t>TEST 5 - O18:Q25 Propagation</t>
  </si>
  <si>
    <t>Bereich O18:Q25 in allen Monatsblaettern vorhanden. Propagationsverhalten manuell pruefen.</t>
  </si>
  <si>
    <t>1) Im Quellmonat O18:Q25 aendern. 2) CopyData starten. 3) In Zielmonaten pruefen: O18:Q25 wurde korrekt uebernommen.</t>
  </si>
  <si>
    <t>TEST 6 - Column L</t>
  </si>
  <si>
    <t>Info-Spalte L vorhanden. Sicherstellen, dass L nicht propagiert wird (manuelle Pruefung).</t>
  </si>
  <si>
    <t>1) In einem Zielmonat einen individuellen Wert in Spalte L setzen. 2) Propagation von anderem Monat starten. 3) Pruefen: Spalte L wird nicht ueberschrieben.</t>
  </si>
  <si>
    <t>TEST 7 - Excel 2016 Compatibility</t>
  </si>
  <si>
    <t>PASS</t>
  </si>
  <si>
    <t>Excel-Version &gt;= 16 und keine blockierten Funktionen gefunden.</t>
  </si>
  <si>
    <t>-</t>
  </si>
  <si>
    <t>TEST 8 - Mac Compatibility</t>
  </si>
  <si>
    <t>Austrittsgrund fehlt</t>
  </si>
  <si>
    <t>Daten pruefen</t>
  </si>
  <si>
    <t>Es gibt Austritte mit fehlendem oder unbekanntem Austrittsgrund. Bitte zuerst die Daten ergaenzen, damit die Analyse korrekt bewertet werden kann.</t>
  </si>
  <si>
    <t>Unvollstaendig</t>
  </si>
  <si>
    <t>Austrittsgrund fehlt (1)</t>
  </si>
  <si>
    <t>Mindestens ein Austritt hat keinen gueltigen Austrittsgrund. Bitte Daten pruefen und ergaenzen.</t>
  </si>
  <si>
    <t>Wichtig: Alte KV-Perioden niemals loeschen oder ueberschreiben. Wenn ab Mai neue Werte gueltig sind, immer eine neue KV-Periode hinzufuegen. In den Monatsblaettern wird spaeter nur der KV-Code ausgewaehlt. Nur Zeilen mit Status OK verwenden.</t>
  </si>
  <si>
    <t>Gueltig ab</t>
  </si>
  <si>
    <t>Gueltig bis</t>
  </si>
  <si>
    <t>Beschaeftigungsdauer</t>
  </si>
  <si>
    <t>Pruefung</t>
  </si>
  <si>
    <t>KV 2025/2026   |   gueltig von 01.05.2025 bis 30.04.2026</t>
  </si>
  <si>
    <t>KV 2026/2027   |   gueltig von 01.05.2026 bis 30.04.2027</t>
  </si>
  <si>
    <t>KV 2027/2028</t>
  </si>
  <si>
    <t>KV 2027/2028   |   gueltig von 01.05.2027 bis 30.04.2028</t>
  </si>
  <si>
    <t>Agika</t>
  </si>
  <si>
    <t>700000|AGIKA</t>
  </si>
  <si>
    <t>E</t>
  </si>
  <si>
    <t>F</t>
  </si>
  <si>
    <t>Pityuka</t>
  </si>
  <si>
    <t>800000|PITYUKA</t>
  </si>
  <si>
    <t>Februar</t>
  </si>
  <si>
    <t>Betriebszugehoerigkeit: 1 Jahr und 5 Monate</t>
  </si>
  <si>
    <t>FAIL</t>
  </si>
  <si>
    <t>Windows-only API Declare-Anweisungen in exportierten VBA-Dateien gefunden.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</si>
</sst>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2" formatCode="dd\.mm\.yyyy\ hh:mm:ss"/>
  </numFmts>
  <fonts count="64">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sz val="11"/>
      <color rgb="FF9C6500"/>
      <name val="Calibri"/>
      <family val="2"/>
      <scheme val="minor"/>
    </font>
    <font>
      <sz val="11"/>
      <color rgb="FF006100"/>
      <name val="Calibri"/>
      <family val="2"/>
      <scheme val="minor"/>
    </font>
    <font>
      <b/>
      <sz val="13"/>
      <color rgb="FF1F4E79"/>
      <name val="Calibri"/>
      <family val="2"/>
      <scheme val="minor"/>
    </font>
    <font>
      <sz val="10"/>
      <color theme="1"/>
      <name val="Calibri"/>
      <family val="2"/>
      <scheme val="minor"/>
    </font>
    <font>
      <b/>
      <sz val="20"/>
      <color rgb="FFC0504D"/>
      <name val="Aptos Narrow"/>
      <family val="2"/>
    </font>
    <font>
      <sz val="11"/>
      <color rgb="FF9C0006"/>
      <name val="Calibri"/>
      <family val="2"/>
      <scheme val="minor"/>
    </font>
  </fonts>
  <fills count="30">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EB9C"/>
        <bgColor indexed="64"/>
      </patternFill>
    </fill>
    <fill>
      <patternFill patternType="solid">
        <fgColor rgb="FFC6EFCE"/>
        <bgColor indexed="64"/>
      </patternFill>
    </fill>
    <fill>
      <patternFill patternType="solid">
        <fgColor rgb="FFDDEBF7"/>
        <bgColor indexed="64"/>
      </patternFill>
    </fill>
    <fill>
      <patternFill patternType="solid">
        <fgColor rgb="FFF2F8FF"/>
        <bgColor indexed="64"/>
      </patternFill>
    </fill>
    <fill>
      <patternFill patternType="solid">
        <fgColor rgb="FFF1FAF1"/>
        <bgColor indexed="64"/>
      </patternFill>
    </fill>
    <fill>
      <patternFill patternType="solid">
        <fgColor rgb="FFFFF6ED"/>
        <bgColor indexed="64"/>
      </patternFill>
    </fill>
    <fill>
      <patternFill patternType="solid">
        <fgColor rgb="FFEBEBEB"/>
        <bgColor indexed="64"/>
      </patternFill>
    </fill>
    <fill>
      <patternFill patternType="solid">
        <fgColor rgb="FFFFC7CE"/>
        <bgColor indexed="64"/>
      </patternFill>
    </fill>
  </fills>
  <borders count="9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rgb="FF969696"/>
      </left>
      <right style="thin">
        <color rgb="FF969696"/>
      </right>
      <top style="thin">
        <color rgb="FFB4B4B4"/>
      </top>
      <bottom style="thin">
        <color rgb="FF969696"/>
      </bottom>
      <diagonal/>
    </border>
    <border>
      <left style="thin">
        <color rgb="FF969696"/>
      </left>
      <right style="thin">
        <color rgb="FF969696"/>
      </right>
      <top style="medium">
        <color rgb="FF5A5A5A"/>
      </top>
      <bottom/>
      <diagonal/>
    </border>
    <border>
      <left style="thin">
        <color rgb="FF969696"/>
      </left>
      <right style="thin">
        <color rgb="FF969696"/>
      </right>
      <top style="thin">
        <color rgb="FFB4B4B4"/>
      </top>
      <bottom/>
      <diagonal/>
    </border>
    <border>
      <left style="medium">
        <color rgb="FF5A5A5A"/>
      </left>
      <right style="thin">
        <color rgb="FF969696"/>
      </right>
      <top style="medium">
        <color rgb="FF5A5A5A"/>
      </top>
      <bottom/>
      <diagonal/>
    </border>
    <border>
      <left style="medium">
        <color rgb="FF5A5A5A"/>
      </left>
      <right style="thin">
        <color rgb="FF969696"/>
      </right>
      <top style="thin">
        <color rgb="FFB4B4B4"/>
      </top>
      <bottom/>
      <diagonal/>
    </border>
    <border>
      <left style="medium">
        <color rgb="FF5A5A5A"/>
      </left>
      <right style="thin">
        <color rgb="FF969696"/>
      </right>
      <top style="thin">
        <color rgb="FFB4B4B4"/>
      </top>
      <bottom style="thin">
        <color rgb="FF969696"/>
      </bottom>
      <diagonal/>
    </border>
    <border>
      <left style="thin">
        <color rgb="FF969696"/>
      </left>
      <right style="medium">
        <color rgb="FF5A5A5A"/>
      </right>
      <top style="medium">
        <color rgb="FF5A5A5A"/>
      </top>
      <bottom/>
      <diagonal/>
    </border>
    <border>
      <left style="thin">
        <color rgb="FF969696"/>
      </left>
      <right style="medium">
        <color rgb="FF5A5A5A"/>
      </right>
      <top style="thin">
        <color rgb="FFB4B4B4"/>
      </top>
      <bottom/>
      <diagonal/>
    </border>
    <border>
      <left style="thin">
        <color rgb="FF969696"/>
      </left>
      <right style="medium">
        <color rgb="FF5A5A5A"/>
      </right>
      <top style="thin">
        <color rgb="FFB4B4B4"/>
      </top>
      <bottom style="thin">
        <color rgb="FF969696"/>
      </bottom>
      <diagonal/>
    </border>
    <border>
      <left style="medium">
        <color rgb="FF5A5A5A"/>
      </left>
      <right style="thin">
        <color rgb="FF969696"/>
      </right>
      <top style="thin">
        <color rgb="FFB4B4B4"/>
      </top>
      <bottom style="medium">
        <color rgb="FF5A5A5A"/>
      </bottom>
      <diagonal/>
    </border>
    <border>
      <left style="thin">
        <color rgb="FF969696"/>
      </left>
      <right style="thin">
        <color rgb="FF969696"/>
      </right>
      <top style="thin">
        <color rgb="FFB4B4B4"/>
      </top>
      <bottom style="medium">
        <color rgb="FF5A5A5A"/>
      </bottom>
      <diagonal/>
    </border>
    <border>
      <left style="thin">
        <color rgb="FF969696"/>
      </left>
      <right style="medium">
        <color rgb="FF5A5A5A"/>
      </right>
      <top style="thin">
        <color rgb="FFB4B4B4"/>
      </top>
      <bottom style="medium">
        <color rgb="FF5A5A5A"/>
      </bottom>
      <diagonal/>
    </border>
    <border>
      <left style="medium">
        <color rgb="FF5A5A5A"/>
      </left>
      <right style="thin">
        <color rgb="FF969696"/>
      </right>
      <top/>
      <bottom/>
      <diagonal/>
    </border>
    <border>
      <left style="thin">
        <color rgb="FF969696"/>
      </left>
      <right style="thin">
        <color rgb="FF969696"/>
      </right>
      <top/>
      <bottom/>
      <diagonal/>
    </border>
    <border>
      <left style="thin">
        <color rgb="FF969696"/>
      </left>
      <right style="medium">
        <color rgb="FF5A5A5A"/>
      </right>
      <top/>
      <bottom/>
      <diagonal/>
    </border>
    <border>
      <left style="thin">
        <color rgb="FF969696"/>
      </left>
      <right style="thin">
        <color rgb="FF969696"/>
      </right>
      <top style="medium">
        <color rgb="FF787878"/>
      </top>
      <bottom/>
      <diagonal/>
    </border>
    <border>
      <left style="medium">
        <color rgb="FF5A5A5A"/>
      </left>
      <right style="thin">
        <color rgb="FF969696"/>
      </right>
      <top style="medium">
        <color rgb="FF787878"/>
      </top>
      <bottom/>
      <diagonal/>
    </border>
    <border>
      <left style="thin">
        <color rgb="FF969696"/>
      </left>
      <right style="medium">
        <color rgb="FF5A5A5A"/>
      </right>
      <top style="medium">
        <color rgb="FF787878"/>
      </top>
      <bottom/>
      <diagonal/>
    </border>
    <border>
      <left style="thin">
        <color rgb="FF969696"/>
      </left>
      <right style="thin">
        <color rgb="FF969696"/>
      </right>
      <top style="thin">
        <color rgb="FF969696"/>
      </top>
      <bottom/>
      <diagonal/>
    </border>
    <border>
      <left style="medium">
        <color rgb="FF5A5A5A"/>
      </left>
      <right style="thin">
        <color rgb="FF969696"/>
      </right>
      <top style="thin">
        <color rgb="FF969696"/>
      </top>
      <bottom/>
      <diagonal/>
    </border>
    <border>
      <left style="thin">
        <color rgb="FF969696"/>
      </left>
      <right style="medium">
        <color rgb="FF5A5A5A"/>
      </right>
      <top style="thin">
        <color rgb="FF969696"/>
      </top>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61">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3" fillId="0" borderId="76" xfId="0" applyFont="1" applyBorder="1" applyAlignment="1">
      <alignment horizontal="center" vertical="center"/>
    </xf>
    <xf numFmtId="0" fontId="0" fillId="0" borderId="76" xfId="0" applyBorder="1" applyAlignment="1">
      <alignment vertical="center"/>
    </xf>
    <xf numFmtId="0" fontId="58" fillId="22" borderId="76" xfId="0" applyFont="1" applyFill="1" applyBorder="1" applyAlignment="1">
      <alignment vertical="center"/>
    </xf>
    <xf numFmtId="0" fontId="59" fillId="23" borderId="76" xfId="0" applyFont="1" applyFill="1" applyBorder="1" applyAlignment="1">
      <alignment vertical="center"/>
    </xf>
    <xf numFmtId="0" fontId="0" fillId="0" borderId="76" xfId="0" applyBorder="1" applyAlignment="1">
      <alignment vertical="top" wrapText="1"/>
    </xf>
    <xf numFmtId="172" fontId="0" fillId="0" borderId="76" xfId="0" applyNumberFormat="1" applyBorder="1" applyAlignment="1">
      <alignment horizontal="center"/>
    </xf>
    <xf numFmtId="0" fontId="60" fillId="24" borderId="75" xfId="0" applyFont="1" applyFill="1" applyBorder="1" applyAlignment="1">
      <alignment horizontal="center" vertical="center"/>
    </xf>
    <xf numFmtId="0" fontId="56" fillId="0" borderId="28" xfId="0" applyFont="1" applyBorder="1" applyAlignment="1">
      <alignment horizontal="center" vertical="center"/>
    </xf>
    <xf numFmtId="166" fontId="56" fillId="0" borderId="28" xfId="0" applyNumberFormat="1" applyFont="1" applyBorder="1" applyAlignment="1">
      <alignment horizontal="center" vertical="center"/>
    </xf>
    <xf numFmtId="2" fontId="61" fillId="25" borderId="78" xfId="0" applyNumberFormat="1" applyFont="1" applyFill="1" applyBorder="1" applyAlignment="1" applyProtection="1">
      <alignment horizontal="center" vertical="center"/>
      <protection locked="0"/>
    </xf>
    <xf numFmtId="166" fontId="61" fillId="25" borderId="78" xfId="0" applyNumberFormat="1" applyFont="1" applyFill="1" applyBorder="1" applyAlignment="1" applyProtection="1">
      <alignment horizontal="center" vertical="center"/>
      <protection locked="0"/>
    </xf>
    <xf numFmtId="2" fontId="61" fillId="25" borderId="79" xfId="0" applyNumberFormat="1" applyFont="1" applyFill="1" applyBorder="1" applyAlignment="1" applyProtection="1">
      <alignment horizontal="center" vertical="center"/>
      <protection locked="0"/>
    </xf>
    <xf numFmtId="166" fontId="61" fillId="25" borderId="79" xfId="0" applyNumberFormat="1" applyFont="1" applyFill="1" applyBorder="1" applyAlignment="1" applyProtection="1">
      <alignment horizontal="center" vertical="center"/>
      <protection locked="0"/>
    </xf>
    <xf numFmtId="2" fontId="61" fillId="25" borderId="92" xfId="0" applyNumberFormat="1" applyFont="1" applyFill="1" applyBorder="1" applyAlignment="1" applyProtection="1">
      <alignment horizontal="center" vertical="center"/>
      <protection locked="0"/>
    </xf>
    <xf numFmtId="166" fontId="61" fillId="25" borderId="92" xfId="0" applyNumberFormat="1" applyFont="1" applyFill="1" applyBorder="1" applyAlignment="1" applyProtection="1">
      <alignment horizontal="center" vertical="center"/>
      <protection locked="0"/>
    </xf>
    <xf numFmtId="2" fontId="61" fillId="26" borderId="92" xfId="0" applyNumberFormat="1" applyFont="1" applyFill="1" applyBorder="1" applyAlignment="1" applyProtection="1">
      <alignment horizontal="center" vertical="center"/>
      <protection locked="0"/>
    </xf>
    <xf numFmtId="166" fontId="61" fillId="26" borderId="92" xfId="0" applyNumberFormat="1" applyFont="1" applyFill="1" applyBorder="1" applyAlignment="1" applyProtection="1">
      <alignment horizontal="center" vertical="center"/>
      <protection locked="0"/>
    </xf>
    <xf numFmtId="2" fontId="61" fillId="26" borderId="79" xfId="0" applyNumberFormat="1" applyFont="1" applyFill="1" applyBorder="1" applyAlignment="1" applyProtection="1">
      <alignment horizontal="center" vertical="center"/>
      <protection locked="0"/>
    </xf>
    <xf numFmtId="166" fontId="61" fillId="26" borderId="79" xfId="0" applyNumberFormat="1" applyFont="1" applyFill="1" applyBorder="1" applyAlignment="1" applyProtection="1">
      <alignment horizontal="center" vertical="center"/>
      <protection locked="0"/>
    </xf>
    <xf numFmtId="2" fontId="61" fillId="27" borderId="92" xfId="0" applyNumberFormat="1" applyFont="1" applyFill="1" applyBorder="1" applyAlignment="1" applyProtection="1">
      <alignment horizontal="center" vertical="center"/>
      <protection locked="0"/>
    </xf>
    <xf numFmtId="166" fontId="61" fillId="27" borderId="92" xfId="0" applyNumberFormat="1" applyFont="1" applyFill="1" applyBorder="1" applyAlignment="1" applyProtection="1">
      <alignment horizontal="center" vertical="center"/>
      <protection locked="0"/>
    </xf>
    <xf numFmtId="2" fontId="61" fillId="27" borderId="79" xfId="0" applyNumberFormat="1" applyFont="1" applyFill="1" applyBorder="1" applyAlignment="1" applyProtection="1">
      <alignment horizontal="center" vertical="center"/>
      <protection locked="0"/>
    </xf>
    <xf numFmtId="166" fontId="61" fillId="27" borderId="79" xfId="0" applyNumberFormat="1" applyFont="1" applyFill="1" applyBorder="1" applyAlignment="1" applyProtection="1">
      <alignment horizontal="center" vertical="center"/>
      <protection locked="0"/>
    </xf>
    <xf numFmtId="2" fontId="61" fillId="27" borderId="77" xfId="0" applyNumberFormat="1" applyFont="1" applyFill="1" applyBorder="1" applyAlignment="1" applyProtection="1">
      <alignment horizontal="center" vertical="center"/>
      <protection locked="0"/>
    </xf>
    <xf numFmtId="166" fontId="61" fillId="27" borderId="77" xfId="0" applyNumberFormat="1" applyFont="1" applyFill="1" applyBorder="1" applyAlignment="1" applyProtection="1">
      <alignment horizontal="center" vertical="center"/>
      <protection locked="0"/>
    </xf>
    <xf numFmtId="2" fontId="61" fillId="27" borderId="87" xfId="0" applyNumberFormat="1" applyFont="1" applyFill="1" applyBorder="1" applyAlignment="1" applyProtection="1">
      <alignment horizontal="center" vertical="center"/>
      <protection locked="0"/>
    </xf>
    <xf numFmtId="166" fontId="61" fillId="27" borderId="87" xfId="0" applyNumberFormat="1" applyFont="1" applyFill="1" applyBorder="1" applyAlignment="1" applyProtection="1">
      <alignment horizontal="center" vertical="center"/>
      <protection locked="0"/>
    </xf>
    <xf numFmtId="171" fontId="61" fillId="25" borderId="78" xfId="0" applyNumberFormat="1" applyFont="1" applyFill="1" applyBorder="1" applyAlignment="1">
      <alignment horizontal="center" vertical="center"/>
    </xf>
    <xf numFmtId="0" fontId="61" fillId="25" borderId="78" xfId="0" applyFont="1" applyFill="1" applyBorder="1" applyAlignment="1">
      <alignment horizontal="center" vertical="center"/>
    </xf>
    <xf numFmtId="171" fontId="61" fillId="25" borderId="79" xfId="0" applyNumberFormat="1" applyFont="1" applyFill="1" applyBorder="1" applyAlignment="1">
      <alignment horizontal="center" vertical="center"/>
    </xf>
    <xf numFmtId="0" fontId="61" fillId="25" borderId="79" xfId="0" applyFont="1" applyFill="1" applyBorder="1" applyAlignment="1">
      <alignment horizontal="center" vertical="center"/>
    </xf>
    <xf numFmtId="171" fontId="61" fillId="25" borderId="92" xfId="0" applyNumberFormat="1" applyFont="1" applyFill="1" applyBorder="1" applyAlignment="1">
      <alignment horizontal="center" vertical="center"/>
    </xf>
    <xf numFmtId="0" fontId="61" fillId="25" borderId="92" xfId="0" applyFont="1" applyFill="1" applyBorder="1" applyAlignment="1">
      <alignment horizontal="center" vertical="center"/>
    </xf>
    <xf numFmtId="171" fontId="61" fillId="26" borderId="92" xfId="0" applyNumberFormat="1" applyFont="1" applyFill="1" applyBorder="1" applyAlignment="1">
      <alignment horizontal="center" vertical="center"/>
    </xf>
    <xf numFmtId="0" fontId="61" fillId="26" borderId="92" xfId="0" applyFont="1" applyFill="1" applyBorder="1" applyAlignment="1">
      <alignment horizontal="center" vertical="center"/>
    </xf>
    <xf numFmtId="171" fontId="61" fillId="26" borderId="79" xfId="0" applyNumberFormat="1" applyFont="1" applyFill="1" applyBorder="1" applyAlignment="1">
      <alignment horizontal="center" vertical="center"/>
    </xf>
    <xf numFmtId="0" fontId="61" fillId="26" borderId="79" xfId="0" applyFont="1" applyFill="1" applyBorder="1" applyAlignment="1">
      <alignment horizontal="center" vertical="center"/>
    </xf>
    <xf numFmtId="171" fontId="61" fillId="27" borderId="77" xfId="0" applyNumberFormat="1" applyFont="1" applyFill="1" applyBorder="1" applyAlignment="1">
      <alignment horizontal="center" vertical="center"/>
    </xf>
    <xf numFmtId="0" fontId="61" fillId="27" borderId="77" xfId="0" applyFont="1" applyFill="1" applyBorder="1" applyAlignment="1">
      <alignment horizontal="center" vertical="center"/>
    </xf>
    <xf numFmtId="171" fontId="61" fillId="27" borderId="92" xfId="0" applyNumberFormat="1" applyFont="1" applyFill="1" applyBorder="1" applyAlignment="1">
      <alignment horizontal="center" vertical="center"/>
    </xf>
    <xf numFmtId="0" fontId="61" fillId="27" borderId="92" xfId="0" applyFont="1" applyFill="1" applyBorder="1" applyAlignment="1">
      <alignment horizontal="center" vertical="center"/>
    </xf>
    <xf numFmtId="171" fontId="61" fillId="27" borderId="79" xfId="0" applyNumberFormat="1" applyFont="1" applyFill="1" applyBorder="1" applyAlignment="1">
      <alignment horizontal="center" vertical="center"/>
    </xf>
    <xf numFmtId="0" fontId="61" fillId="27" borderId="79" xfId="0" applyFont="1" applyFill="1" applyBorder="1" applyAlignment="1">
      <alignment horizontal="center" vertical="center"/>
    </xf>
    <xf numFmtId="49" fontId="61" fillId="25" borderId="80" xfId="0" applyNumberFormat="1" applyFont="1" applyFill="1" applyBorder="1" applyAlignment="1">
      <alignment horizontal="center" vertical="center"/>
    </xf>
    <xf numFmtId="49" fontId="61" fillId="25" borderId="81" xfId="0" applyNumberFormat="1" applyFont="1" applyFill="1" applyBorder="1" applyAlignment="1">
      <alignment horizontal="center" vertical="center"/>
    </xf>
    <xf numFmtId="49" fontId="61" fillId="25" borderId="93" xfId="0" applyNumberFormat="1" applyFont="1" applyFill="1" applyBorder="1" applyAlignment="1">
      <alignment horizontal="center" vertical="center"/>
    </xf>
    <xf numFmtId="49" fontId="61" fillId="26" borderId="93" xfId="0" applyNumberFormat="1" applyFont="1" applyFill="1" applyBorder="1" applyAlignment="1">
      <alignment horizontal="center" vertical="center"/>
    </xf>
    <xf numFmtId="49" fontId="61" fillId="26" borderId="81" xfId="0" applyNumberFormat="1" applyFont="1" applyFill="1" applyBorder="1" applyAlignment="1">
      <alignment horizontal="center" vertical="center"/>
    </xf>
    <xf numFmtId="49" fontId="61" fillId="27" borderId="93" xfId="0" applyNumberFormat="1" applyFont="1" applyFill="1" applyBorder="1" applyAlignment="1">
      <alignment horizontal="center" vertical="center"/>
    </xf>
    <xf numFmtId="49" fontId="61" fillId="27" borderId="81" xfId="0" applyNumberFormat="1" applyFont="1" applyFill="1" applyBorder="1" applyAlignment="1">
      <alignment horizontal="center" vertical="center"/>
    </xf>
    <xf numFmtId="49" fontId="61" fillId="27" borderId="82" xfId="0" applyNumberFormat="1" applyFont="1" applyFill="1" applyBorder="1" applyAlignment="1">
      <alignment horizontal="center" vertical="center"/>
    </xf>
    <xf numFmtId="0" fontId="61" fillId="25" borderId="83" xfId="0" applyFont="1" applyFill="1" applyBorder="1" applyAlignment="1">
      <alignment horizontal="center" vertical="center"/>
    </xf>
    <xf numFmtId="0" fontId="61" fillId="25" borderId="84" xfId="0" applyFont="1" applyFill="1" applyBorder="1" applyAlignment="1">
      <alignment horizontal="center" vertical="center"/>
    </xf>
    <xf numFmtId="0" fontId="61" fillId="25" borderId="94" xfId="0" applyFont="1" applyFill="1" applyBorder="1" applyAlignment="1">
      <alignment horizontal="center" vertical="center"/>
    </xf>
    <xf numFmtId="0" fontId="61" fillId="26" borderId="94" xfId="0" applyFont="1" applyFill="1" applyBorder="1" applyAlignment="1">
      <alignment horizontal="center" vertical="center"/>
    </xf>
    <xf numFmtId="0" fontId="61" fillId="26" borderId="84" xfId="0" applyFont="1" applyFill="1" applyBorder="1" applyAlignment="1">
      <alignment horizontal="center" vertical="center"/>
    </xf>
    <xf numFmtId="0" fontId="61" fillId="27" borderId="94" xfId="0" applyFont="1" applyFill="1" applyBorder="1" applyAlignment="1">
      <alignment horizontal="center" vertical="center"/>
    </xf>
    <xf numFmtId="0" fontId="61" fillId="27" borderId="84" xfId="0" applyFont="1" applyFill="1" applyBorder="1" applyAlignment="1">
      <alignment horizontal="center" vertical="center"/>
    </xf>
    <xf numFmtId="0" fontId="61" fillId="27" borderId="85" xfId="0" applyFont="1" applyFill="1" applyBorder="1" applyAlignment="1">
      <alignment horizontal="center" vertical="center"/>
    </xf>
    <xf numFmtId="49" fontId="61" fillId="27" borderId="86" xfId="0" applyNumberFormat="1" applyFont="1" applyFill="1" applyBorder="1" applyAlignment="1">
      <alignment horizontal="center" vertical="center"/>
    </xf>
    <xf numFmtId="171" fontId="61" fillId="27" borderId="87" xfId="0" applyNumberFormat="1" applyFont="1" applyFill="1" applyBorder="1" applyAlignment="1">
      <alignment horizontal="center" vertical="center"/>
    </xf>
    <xf numFmtId="0" fontId="61" fillId="27" borderId="87" xfId="0" applyFont="1" applyFill="1" applyBorder="1" applyAlignment="1">
      <alignment horizontal="center" vertical="center"/>
    </xf>
    <xf numFmtId="0" fontId="61" fillId="27" borderId="88" xfId="0" applyFont="1" applyFill="1" applyBorder="1" applyAlignment="1">
      <alignment horizontal="center" vertical="center"/>
    </xf>
    <xf numFmtId="0" fontId="51" fillId="0" borderId="0" xfId="0" applyFont="1"/>
    <xf numFmtId="0" fontId="51" fillId="0" borderId="76" xfId="0" applyFont="1" applyBorder="1" applyAlignment="1">
      <alignment horizontal="center" vertical="center"/>
    </xf>
    <xf numFmtId="0" fontId="51" fillId="0" borderId="76" xfId="0" applyFont="1" applyBorder="1" applyAlignment="1">
      <alignment horizontal="left" vertical="center" wrapText="1"/>
    </xf>
    <xf numFmtId="0" fontId="53" fillId="0" borderId="75" xfId="0" applyFont="1" applyBorder="1" applyAlignment="1">
      <alignment horizontal="center" vertical="center"/>
    </xf>
    <xf numFmtId="0" fontId="21" fillId="0" borderId="76" xfId="0" applyFont="1" applyBorder="1" applyAlignment="1">
      <alignment horizontal="center" vertical="center"/>
    </xf>
    <xf numFmtId="0" fontId="51" fillId="0" borderId="76" xfId="0" applyFont="1" applyBorder="1" applyAlignment="1">
      <alignment horizontal="center" vertical="center" wrapText="1"/>
    </xf>
    <xf numFmtId="10" fontId="51" fillId="0" borderId="76" xfId="0" applyNumberFormat="1" applyFont="1" applyBorder="1" applyAlignment="1">
      <alignment horizontal="center" vertical="center" wrapText="1"/>
    </xf>
    <xf numFmtId="2" fontId="51" fillId="0" borderId="76" xfId="0" applyNumberFormat="1" applyFont="1" applyBorder="1" applyAlignment="1">
      <alignment horizontal="center" vertical="center" wrapText="1"/>
    </xf>
    <xf numFmtId="10" fontId="51" fillId="0" borderId="76" xfId="0" applyNumberFormat="1" applyFont="1" applyBorder="1" applyAlignment="1">
      <alignment horizontal="center" vertical="center"/>
    </xf>
    <xf numFmtId="2" fontId="51" fillId="0" borderId="76" xfId="0" applyNumberFormat="1" applyFont="1" applyBorder="1" applyAlignment="1">
      <alignment horizontal="center" vertical="center"/>
    </xf>
    <xf numFmtId="0" fontId="51" fillId="0" borderId="0" xfId="0" applyFont="1" applyAlignment="1">
      <alignment vertical="center"/>
    </xf>
    <xf numFmtId="0" fontId="21" fillId="0" borderId="0" xfId="0" applyFont="1" applyAlignment="1">
      <alignment vertical="center"/>
    </xf>
    <xf numFmtId="0" fontId="21" fillId="0" borderId="76" xfId="0" applyFont="1" applyBorder="1" applyAlignment="1">
      <alignment vertical="center"/>
    </xf>
    <xf numFmtId="0" fontId="51" fillId="0" borderId="76" xfId="0" applyFont="1" applyBorder="1" applyAlignment="1">
      <alignment vertic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10" fontId="5" fillId="17" borderId="1" xfId="0" applyNumberFormat="1" applyFont="1" applyFill="1" applyBorder="1" applyAlignment="1">
      <alignment horizontal="center"/>
    </xf>
    <xf numFmtId="166" fontId="5" fillId="4" borderId="12" xfId="0" applyNumberFormat="1" applyFont="1" applyFill="1" applyBorder="1" applyAlignment="1">
      <alignment horizontal="center"/>
    </xf>
    <xf numFmtId="166" fontId="5" fillId="4" borderId="14" xfId="0" applyNumberFormat="1" applyFont="1" applyFill="1" applyBorder="1" applyAlignment="1">
      <alignment horizontal="center"/>
    </xf>
    <xf numFmtId="166" fontId="5" fillId="17" borderId="1" xfId="0" applyNumberFormat="1" applyFont="1" applyFill="1" applyBorder="1" applyAlignment="1">
      <alignment horizontal="center"/>
    </xf>
    <xf numFmtId="166" fontId="5" fillId="4" borderId="1" xfId="0" applyNumberFormat="1"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0" fontId="5" fillId="7" borderId="26"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14" xfId="0" applyFont="1" applyFill="1" applyBorder="1" applyAlignment="1">
      <alignment horizontal="left"/>
    </xf>
    <xf numFmtId="0" fontId="5" fillId="4" borderId="1" xfId="0" applyFont="1" applyFill="1" applyBorder="1" applyAlignment="1">
      <alignment horizontal="left"/>
    </xf>
    <xf numFmtId="166" fontId="5" fillId="4" borderId="36"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0" fontId="5" fillId="4" borderId="36" xfId="0" applyFont="1" applyFill="1" applyBorder="1" applyAlignment="1">
      <alignment horizontal="left"/>
    </xf>
    <xf numFmtId="0" fontId="46" fillId="10" borderId="36" xfId="0" applyFont="1" applyFill="1" applyBorder="1" applyAlignment="1" applyProtection="1">
      <alignment horizontal="left"/>
      <protection locked="0"/>
    </xf>
    <xf numFmtId="0" fontId="46" fillId="10" borderId="14"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10" fontId="5" fillId="8" borderId="14"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5" fillId="7" borderId="36" xfId="0" applyFont="1" applyFill="1" applyBorder="1" applyAlignment="1" applyProtection="1">
      <alignment horizontal="left"/>
      <protection locked="0"/>
    </xf>
    <xf numFmtId="0" fontId="5" fillId="7" borderId="14"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5" fillId="7" borderId="40" xfId="0" applyFont="1" applyFill="1" applyBorder="1" applyAlignment="1" applyProtection="1">
      <alignment horizontal="left"/>
      <protection locked="0"/>
    </xf>
    <xf numFmtId="0" fontId="46" fillId="10" borderId="35"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0" fontId="5" fillId="7" borderId="19"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0" fontId="5" fillId="7" borderId="14"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5" fillId="6" borderId="36" xfId="0" applyFont="1" applyFill="1" applyBorder="1" applyAlignment="1">
      <alignment horizontal="left"/>
    </xf>
    <xf numFmtId="0" fontId="5" fillId="6" borderId="14" xfId="0" applyFont="1" applyFill="1" applyBorder="1" applyAlignment="1">
      <alignment horizontal="left"/>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30" xfId="0" applyFont="1" applyFill="1" applyBorder="1" applyAlignment="1">
      <alignment horizontal="center"/>
    </xf>
    <xf numFmtId="0" fontId="5" fillId="3" borderId="24" xfId="0" applyFont="1" applyFill="1" applyBorder="1" applyAlignment="1">
      <alignment horizontal="center"/>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30" fillId="0" borderId="35" xfId="0" applyFont="1" applyBorder="1" applyAlignment="1">
      <alignment horizontal="center"/>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12" fillId="12" borderId="35" xfId="0" applyFont="1" applyFill="1" applyBorder="1" applyAlignment="1">
      <alignment horizontal="center"/>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9" fillId="4" borderId="29" xfId="0" applyFont="1" applyFill="1" applyBorder="1" applyAlignment="1">
      <alignment horizontal="center"/>
    </xf>
    <xf numFmtId="0" fontId="9" fillId="4" borderId="49" xfId="0" applyFont="1" applyFill="1" applyBorder="1" applyAlignment="1">
      <alignment horizontal="center"/>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7" fillId="0" borderId="0" xfId="0" applyFont="1" applyAlignment="1">
      <alignment horizontal="center" vertical="center"/>
    </xf>
    <xf numFmtId="0" fontId="55" fillId="0" borderId="0" xfId="0" applyFont="1" applyAlignment="1">
      <alignment horizontal="center" vertical="center"/>
    </xf>
    <xf numFmtId="0" fontId="55" fillId="0" borderId="32" xfId="0" applyFont="1" applyBorder="1" applyAlignment="1">
      <alignment horizontal="left" vertical="center" wrapText="1"/>
    </xf>
    <xf numFmtId="49" fontId="3" fillId="28" borderId="89" xfId="0" applyNumberFormat="1" applyFont="1" applyFill="1" applyBorder="1" applyAlignment="1">
      <alignment horizontal="center" vertical="center"/>
    </xf>
    <xf numFmtId="171" fontId="3" fillId="28" borderId="90" xfId="0" applyNumberFormat="1" applyFont="1" applyFill="1" applyBorder="1" applyAlignment="1">
      <alignment horizontal="center" vertical="center"/>
    </xf>
    <xf numFmtId="0" fontId="3" fillId="28" borderId="90" xfId="0" applyFont="1" applyFill="1" applyBorder="1" applyAlignment="1">
      <alignment horizontal="center" vertical="center"/>
    </xf>
    <xf numFmtId="2" fontId="3" fillId="28" borderId="90" xfId="0" applyNumberFormat="1" applyFont="1" applyFill="1" applyBorder="1" applyAlignment="1">
      <alignment horizontal="center" vertical="center"/>
    </xf>
    <xf numFmtId="166" fontId="3" fillId="28" borderId="90" xfId="0" applyNumberFormat="1" applyFont="1" applyFill="1" applyBorder="1" applyAlignment="1">
      <alignment horizontal="center" vertical="center"/>
    </xf>
    <xf numFmtId="0" fontId="3" fillId="28" borderId="91" xfId="0" applyFont="1" applyFill="1" applyBorder="1" applyAlignment="1">
      <alignment horizontal="center" vertical="center"/>
    </xf>
    <xf numFmtId="49" fontId="3" fillId="28" borderId="96" xfId="0" applyNumberFormat="1" applyFont="1" applyFill="1" applyBorder="1" applyAlignment="1">
      <alignment horizontal="center" vertical="center"/>
    </xf>
    <xf numFmtId="171" fontId="3" fillId="28" borderId="95" xfId="0" applyNumberFormat="1" applyFont="1" applyFill="1" applyBorder="1" applyAlignment="1">
      <alignment horizontal="center" vertical="center"/>
    </xf>
    <xf numFmtId="0" fontId="3" fillId="28" borderId="95" xfId="0" applyFont="1" applyFill="1" applyBorder="1" applyAlignment="1">
      <alignment horizontal="center" vertical="center"/>
    </xf>
    <xf numFmtId="2" fontId="3" fillId="28" borderId="95" xfId="0" applyNumberFormat="1" applyFont="1" applyFill="1" applyBorder="1" applyAlignment="1">
      <alignment horizontal="center" vertical="center"/>
    </xf>
    <xf numFmtId="166" fontId="3" fillId="28" borderId="95" xfId="0" applyNumberFormat="1" applyFont="1" applyFill="1" applyBorder="1" applyAlignment="1">
      <alignment horizontal="center" vertical="center"/>
    </xf>
    <xf numFmtId="0" fontId="3" fillId="28" borderId="97" xfId="0" applyFont="1" applyFill="1" applyBorder="1" applyAlignment="1">
      <alignment horizontal="center" vertical="center"/>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166" fontId="5" fillId="0" borderId="1" xfId="0" applyNumberFormat="1" applyFont="1" applyBorder="1" applyAlignment="1" applyProtection="1">
      <alignment horizontal="center"/>
      <protection locked="0"/>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30" fillId="0" borderId="36" xfId="0" applyFont="1" applyBorder="1" applyAlignment="1">
      <alignment horizontal="center"/>
    </xf>
    <xf numFmtId="0" fontId="5" fillId="7" borderId="1" xfId="0" applyFont="1" applyFill="1" applyBorder="1" applyAlignment="1" applyProtection="1">
      <alignment horizontal="left"/>
      <protection locked="0"/>
    </xf>
    <xf numFmtId="0" fontId="5" fillId="7" borderId="1" xfId="0" applyFont="1" applyFill="1" applyBorder="1" applyAlignment="1">
      <alignment horizontal="left"/>
    </xf>
    <xf numFmtId="10" fontId="5" fillId="4"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2" fontId="5" fillId="12" borderId="1" xfId="0" applyNumberFormat="1" applyFont="1" applyFill="1" applyBorder="1" applyAlignment="1" applyProtection="1">
      <alignment horizontal="center"/>
      <protection locked="0"/>
    </xf>
    <xf numFmtId="166" fontId="5" fillId="7" borderId="1" xfId="0" applyNumberFormat="1" applyFont="1" applyFill="1" applyBorder="1" applyAlignment="1">
      <alignment horizontal="center"/>
    </xf>
    <xf numFmtId="166" fontId="5" fillId="0" borderId="0" xfId="0" applyNumberFormat="1" applyFont="1" applyAlignment="1">
      <alignment horizontal="center"/>
    </xf>
    <xf numFmtId="2" fontId="5" fillId="0" borderId="0" xfId="0" applyNumberFormat="1" applyFont="1" applyAlignment="1">
      <alignment horizontal="center"/>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5" fillId="0" borderId="28" xfId="0" applyNumberFormat="1" applyFont="1" applyBorder="1" applyAlignment="1" applyProtection="1">
      <alignment horizontal="center"/>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7" borderId="6"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7" fillId="0" borderId="0" xfId="0" applyFont="1" applyAlignment="1">
      <alignment horizontal="center" wrapText="1"/>
    </xf>
    <xf numFmtId="10" fontId="5" fillId="0" borderId="0" xfId="0" applyNumberFormat="1" applyFont="1" applyAlignment="1">
      <alignment horizontal="center"/>
    </xf>
    <xf numFmtId="0" fontId="7" fillId="4" borderId="1" xfId="0" applyFont="1" applyFill="1" applyBorder="1" applyAlignment="1">
      <alignment horizontal="center"/>
    </xf>
    <xf numFmtId="0" fontId="7" fillId="4" borderId="1" xfId="0" applyFont="1" applyFill="1" applyBorder="1" applyAlignment="1">
      <alignment horizontal="center" wrapText="1"/>
    </xf>
    <xf numFmtId="0" fontId="46" fillId="10" borderId="1" xfId="0" applyFont="1" applyFill="1" applyBorder="1" applyAlignment="1" applyProtection="1">
      <alignment horizontal="left"/>
      <protection locked="0"/>
    </xf>
    <xf numFmtId="166" fontId="46" fillId="11" borderId="1" xfId="0" applyNumberFormat="1" applyFont="1" applyFill="1" applyBorder="1" applyAlignment="1" applyProtection="1">
      <alignment horizontal="center"/>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0" fontId="30" fillId="0" borderId="0" xfId="0" applyFont="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51" fillId="0" borderId="76" xfId="0" applyFont="1" applyBorder="1" applyAlignment="1">
      <alignment horizontal="left" vertical="center" wrapText="1"/>
    </xf>
    <xf numFmtId="0" fontId="51" fillId="0" borderId="76" xfId="0" applyFont="1" applyBorder="1" applyAlignment="1">
      <alignment vertical="center" wrapText="1"/>
    </xf>
    <xf numFmtId="0" fontId="54" fillId="0" borderId="0" xfId="0" applyFont="1" applyAlignment="1">
      <alignment horizontal="center" vertical="center"/>
    </xf>
    <xf numFmtId="0" fontId="51" fillId="0" borderId="0" xfId="0" applyFont="1" applyAlignment="1">
      <alignment horizontal="center" vertical="center"/>
    </xf>
    <xf numFmtId="0" fontId="53" fillId="0" borderId="76" xfId="0" applyFont="1" applyBorder="1" applyAlignment="1">
      <alignment vertical="center"/>
    </xf>
    <xf numFmtId="0" fontId="51" fillId="0" borderId="76" xfId="0" applyFont="1" applyBorder="1" applyAlignment="1">
      <alignment vertical="center"/>
    </xf>
    <xf numFmtId="0" fontId="21" fillId="0" borderId="76" xfId="0" applyFont="1" applyBorder="1" applyAlignment="1">
      <alignment vertical="center"/>
    </xf>
    <xf numFmtId="0" fontId="52" fillId="0" borderId="0" xfId="0" applyFont="1" applyAlignment="1">
      <alignment horizontal="center" vertical="center"/>
    </xf>
    <xf numFmtId="0" fontId="53" fillId="0" borderId="0" xfId="0" applyFont="1" applyAlignment="1">
      <alignment vertical="center"/>
    </xf>
    <xf numFmtId="0" fontId="51" fillId="0" borderId="0" xfId="0" applyFont="1" applyAlignment="1">
      <alignment vertical="center"/>
    </xf>
    <xf numFmtId="0" fontId="51" fillId="0" borderId="0" xfId="0" applyFont="1" applyAlignment="1">
      <alignment vertical="center" wrapText="1"/>
    </xf>
    <xf numFmtId="0" fontId="63" fillId="29" borderId="76" xfId="0" applyFont="1" applyFill="1" applyBorder="1" applyAlignment="1">
      <alignmen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0"/>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de-DE" sz="2000" b="1" i="0" u="none" strike="noStrike" baseline="0">
                  <a:solidFill>
                    <a:srgbClr val="C0504D"/>
                  </a:solidFill>
                  <a:latin typeface="Aptos Narrow"/>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1581150</xdr:colOff>
      <xdr:row>0</xdr:row>
      <xdr:rowOff>25400</xdr:rowOff>
    </xdr:from>
    <xdr:to>
      <xdr:col>11</xdr:col>
      <xdr:colOff>819150</xdr:colOff>
      <xdr:row>0</xdr:row>
      <xdr:rowOff>304800</xdr:rowOff>
    </xdr:to>
    <xdr:sp macro="AddNewKVPeriodOnTop" textlink="">
      <xdr:nvSpPr>
        <xdr:cNvPr id="2" name="btn_AddNewKVPeriodOnTop">
          <a:extLst>
            <a:ext uri="{FF2B5EF4-FFF2-40B4-BE49-F238E27FC236}">
              <a16:creationId xmlns:a16="http://schemas.microsoft.com/office/drawing/2014/main" id="{030DF17B-D442-C05E-A3E8-79BB35D43891}"/>
            </a:ext>
          </a:extLst>
        </xdr:cNvPr>
        <xdr:cNvSpPr/>
      </xdr:nvSpPr>
      <xdr:spPr>
        <a:xfrm>
          <a:off x="10248900" y="25400"/>
          <a:ext cx="2794000" cy="279400"/>
        </a:xfrm>
        <a:prstGeom prst="roundRect">
          <a:avLst/>
        </a:prstGeom>
        <a:solidFill>
          <a:srgbClr val="366092"/>
        </a:solidFill>
        <a:ln>
          <a:solidFill>
            <a:srgbClr val="2140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1">
              <a:solidFill>
                <a:srgbClr val="FFFFFF"/>
              </a:solidFill>
            </a:rPr>
            <a:t>Neuen KV-Zeitraum oben einfuegen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D8" sqref="D8"/>
    </sheetView>
  </sheetViews>
  <sheetFormatPr baseColWidth="10" defaultColWidth="10.81640625" defaultRowHeight="15.5"/>
  <cols>
    <col min="1" max="1" width="10.81640625" style="11" customWidth="1"/>
    <col min="2" max="2" width="18.453125" style="12" customWidth="1"/>
    <col min="3" max="3" width="19.453125" style="7" customWidth="1"/>
    <col min="4" max="4" width="22.1796875" style="10" customWidth="1"/>
    <col min="5" max="5" width="2.1796875" style="8" customWidth="1"/>
    <col min="6" max="6" width="22" style="8" customWidth="1"/>
    <col min="7" max="7" width="10.81640625" style="8"/>
    <col min="8" max="8" width="14.6328125" style="191" customWidth="1"/>
    <col min="9" max="9" width="39.6328125" style="8" customWidth="1"/>
    <col min="10" max="14" width="10.81640625" style="9"/>
    <col min="15" max="15" width="35.453125" style="9" customWidth="1"/>
    <col min="16" max="16" width="10.81640625" style="9" customWidth="1"/>
    <col min="17" max="16384" width="10.81640625" style="9"/>
  </cols>
  <sheetData>
    <row r="1" spans="1:18" ht="21">
      <c r="A1" s="368" t="s">
        <v>0</v>
      </c>
      <c r="B1" s="370" t="s">
        <v>1</v>
      </c>
      <c r="C1" s="372" t="s">
        <v>2</v>
      </c>
      <c r="D1" s="372"/>
      <c r="I1" s="18" t="s">
        <v>3</v>
      </c>
      <c r="J1" s="375"/>
      <c r="K1" s="375"/>
      <c r="L1" s="375"/>
      <c r="M1" s="375"/>
      <c r="O1" s="177" t="s">
        <v>208</v>
      </c>
      <c r="P1" s="177" t="s">
        <v>212</v>
      </c>
    </row>
    <row r="2" spans="1:18" ht="21.5" thickBot="1">
      <c r="A2" s="369"/>
      <c r="B2" s="371"/>
      <c r="C2" s="54" t="str">
        <f>G3-1&amp;"/"&amp;G3</f>
        <v>2025/2026</v>
      </c>
      <c r="D2" s="54" t="str">
        <f>G3 &amp; "/" &amp; G3+1</f>
        <v>2026/2027</v>
      </c>
      <c r="I2" s="14"/>
      <c r="J2" s="376" t="s">
        <v>204</v>
      </c>
      <c r="K2" s="376"/>
      <c r="L2" s="376"/>
      <c r="M2" s="376"/>
      <c r="O2" s="175" t="s">
        <v>213</v>
      </c>
      <c r="P2" s="175">
        <v>0</v>
      </c>
    </row>
    <row r="3" spans="1:18" ht="16.5"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6" thickBot="1">
      <c r="A15" s="23" t="s">
        <v>4</v>
      </c>
      <c r="B15" s="24">
        <v>32.01</v>
      </c>
      <c r="C15" s="107">
        <v>373.89</v>
      </c>
      <c r="D15" s="108">
        <v>373.89</v>
      </c>
      <c r="E15" s="40"/>
      <c r="I15" s="17"/>
      <c r="Q15" s="13" t="s">
        <v>22</v>
      </c>
      <c r="R15" s="13">
        <v>47.58</v>
      </c>
    </row>
    <row r="16" spans="1:18" ht="16"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373" t="s">
        <v>202</v>
      </c>
      <c r="J17" s="374"/>
      <c r="K17" s="374"/>
      <c r="L17" s="374"/>
      <c r="M17" s="374"/>
      <c r="N17" s="124"/>
      <c r="O17" s="176" t="s">
        <v>224</v>
      </c>
      <c r="P17" s="175">
        <v>0.3</v>
      </c>
      <c r="Q17" s="13" t="s">
        <v>24</v>
      </c>
      <c r="R17" s="13"/>
    </row>
    <row r="18" spans="1:18">
      <c r="A18" s="21" t="s">
        <v>8</v>
      </c>
      <c r="B18" s="22">
        <v>138.4</v>
      </c>
      <c r="C18" s="103">
        <v>1665.6</v>
      </c>
      <c r="D18" s="104">
        <v>1665.6</v>
      </c>
      <c r="I18" s="373"/>
      <c r="J18" s="374"/>
      <c r="K18" s="374"/>
      <c r="L18" s="374"/>
      <c r="M18" s="374"/>
      <c r="N18" s="124"/>
      <c r="O18" s="176" t="s">
        <v>225</v>
      </c>
      <c r="P18" s="175">
        <v>0.5</v>
      </c>
      <c r="Q18" s="13"/>
      <c r="R18" s="13"/>
    </row>
    <row r="19" spans="1:18">
      <c r="A19" s="21" t="s">
        <v>8</v>
      </c>
      <c r="B19" s="22">
        <v>129.75</v>
      </c>
      <c r="C19" s="103">
        <v>1561.5</v>
      </c>
      <c r="D19" s="104">
        <v>1561.5</v>
      </c>
      <c r="I19" s="373"/>
      <c r="J19" s="374"/>
      <c r="K19" s="374"/>
      <c r="L19" s="374"/>
      <c r="M19" s="374"/>
      <c r="N19" s="124"/>
      <c r="O19" s="176" t="s">
        <v>226</v>
      </c>
      <c r="P19" s="175">
        <v>0.75</v>
      </c>
      <c r="Q19" s="13"/>
      <c r="R19" s="13"/>
    </row>
    <row r="20" spans="1:18">
      <c r="A20" s="21" t="s">
        <v>8</v>
      </c>
      <c r="B20" s="22">
        <v>108.13</v>
      </c>
      <c r="C20" s="103">
        <v>1301.25</v>
      </c>
      <c r="D20" s="104">
        <v>1301.25</v>
      </c>
      <c r="I20" s="373"/>
      <c r="J20" s="374"/>
      <c r="K20" s="374"/>
      <c r="L20" s="374"/>
      <c r="M20" s="374"/>
      <c r="N20" s="124"/>
      <c r="O20" s="176" t="s">
        <v>227</v>
      </c>
      <c r="P20" s="175">
        <v>1</v>
      </c>
    </row>
    <row r="21" spans="1:18">
      <c r="A21" s="21" t="s">
        <v>8</v>
      </c>
      <c r="B21" s="22">
        <v>103.8</v>
      </c>
      <c r="C21" s="103">
        <v>1249.2</v>
      </c>
      <c r="D21" s="104">
        <v>1249.2</v>
      </c>
      <c r="I21" s="373"/>
      <c r="J21" s="374"/>
      <c r="K21" s="374"/>
      <c r="L21" s="374"/>
      <c r="M21" s="374"/>
      <c r="N21" s="124"/>
      <c r="O21" s="176" t="s">
        <v>228</v>
      </c>
      <c r="P21" s="175">
        <v>1.25</v>
      </c>
    </row>
    <row r="22" spans="1:18">
      <c r="A22" s="21" t="s">
        <v>8</v>
      </c>
      <c r="B22" s="22">
        <v>86.5</v>
      </c>
      <c r="C22" s="103">
        <v>1041.2</v>
      </c>
      <c r="D22" s="104">
        <v>1041.2</v>
      </c>
      <c r="I22" s="373"/>
      <c r="J22" s="374"/>
      <c r="K22" s="374"/>
      <c r="L22" s="374"/>
      <c r="M22" s="374"/>
      <c r="N22" s="124"/>
      <c r="O22" s="176" t="s">
        <v>229</v>
      </c>
      <c r="P22" s="175">
        <v>1.5</v>
      </c>
    </row>
    <row r="23" spans="1:18">
      <c r="A23" s="21" t="s">
        <v>8</v>
      </c>
      <c r="B23" s="22">
        <v>69.2</v>
      </c>
      <c r="C23" s="103">
        <v>832.8</v>
      </c>
      <c r="D23" s="104">
        <v>832.8</v>
      </c>
      <c r="I23" s="373"/>
      <c r="J23" s="374"/>
      <c r="K23" s="374"/>
      <c r="L23" s="374"/>
      <c r="M23" s="374"/>
      <c r="N23" s="124"/>
      <c r="O23" s="176" t="s">
        <v>230</v>
      </c>
      <c r="P23" s="175">
        <v>2</v>
      </c>
    </row>
    <row r="24" spans="1:18">
      <c r="A24" s="21" t="s">
        <v>8</v>
      </c>
      <c r="B24" s="22">
        <v>51.9</v>
      </c>
      <c r="C24" s="103">
        <v>624.6</v>
      </c>
      <c r="D24" s="104">
        <v>624.6</v>
      </c>
      <c r="I24" s="373"/>
      <c r="J24" s="374"/>
      <c r="K24" s="374"/>
      <c r="L24" s="374"/>
      <c r="M24" s="374"/>
      <c r="N24" s="124"/>
      <c r="O24" s="124"/>
    </row>
    <row r="25" spans="1:18">
      <c r="A25" s="21" t="s">
        <v>8</v>
      </c>
      <c r="B25" s="22">
        <v>47.58</v>
      </c>
      <c r="C25" s="103">
        <v>575.54999999999995</v>
      </c>
      <c r="D25" s="104">
        <v>575.54999999999995</v>
      </c>
      <c r="I25" s="373"/>
      <c r="J25" s="374"/>
      <c r="K25" s="374"/>
      <c r="L25" s="374"/>
      <c r="M25" s="374"/>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6" thickBot="1">
      <c r="A28" s="23" t="s">
        <v>8</v>
      </c>
      <c r="B28" s="24">
        <v>32.01</v>
      </c>
      <c r="C28" s="107">
        <v>385.17</v>
      </c>
      <c r="D28" s="108">
        <v>385.17</v>
      </c>
    </row>
    <row r="29" spans="1:18" ht="16"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6" thickBot="1">
      <c r="A41" s="23" t="s">
        <v>10</v>
      </c>
      <c r="B41" s="24">
        <v>32.01</v>
      </c>
      <c r="C41" s="107">
        <v>392.76</v>
      </c>
      <c r="D41" s="108">
        <v>392.76</v>
      </c>
    </row>
    <row r="42" spans="1:9" ht="16"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6" thickBot="1">
      <c r="A54" s="23" t="s">
        <v>12</v>
      </c>
      <c r="B54" s="24">
        <v>32.01</v>
      </c>
      <c r="C54" s="107">
        <v>403.86</v>
      </c>
      <c r="D54" s="108">
        <v>403.86</v>
      </c>
    </row>
    <row r="55" spans="1:4" ht="16"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6" thickBot="1">
      <c r="A67" s="30" t="s">
        <v>13</v>
      </c>
      <c r="B67" s="31">
        <v>32.01</v>
      </c>
      <c r="C67" s="107">
        <v>399.6</v>
      </c>
      <c r="D67" s="114">
        <v>399.6</v>
      </c>
    </row>
    <row r="68" spans="1:4" ht="16"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6" thickBot="1">
      <c r="A80" s="30" t="s">
        <v>15</v>
      </c>
      <c r="B80" s="31">
        <v>32.01</v>
      </c>
      <c r="C80" s="107">
        <v>399.6</v>
      </c>
      <c r="D80" s="114">
        <v>399.6</v>
      </c>
    </row>
    <row r="81" spans="1:4" ht="16"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6" thickBot="1">
      <c r="A93" s="30" t="s">
        <v>17</v>
      </c>
      <c r="B93" s="31">
        <v>32.01</v>
      </c>
      <c r="C93" s="107">
        <v>400.16</v>
      </c>
      <c r="D93" s="114">
        <v>400.16</v>
      </c>
    </row>
    <row r="94" spans="1:4" ht="16"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6" thickBot="1">
      <c r="A106" s="30" t="s">
        <v>19</v>
      </c>
      <c r="B106" s="31">
        <v>32.01</v>
      </c>
      <c r="C106" s="107">
        <v>411.63</v>
      </c>
      <c r="D106" s="114">
        <v>411.63</v>
      </c>
    </row>
    <row r="107" spans="1:4" ht="16"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6" thickBot="1">
      <c r="A119" s="36" t="s">
        <v>21</v>
      </c>
      <c r="B119" s="37">
        <v>32.01</v>
      </c>
      <c r="C119" s="107">
        <v>425.5</v>
      </c>
      <c r="D119" s="118">
        <v>425.5</v>
      </c>
    </row>
    <row r="120" spans="1:4" ht="16"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6" thickBot="1">
      <c r="A132" s="95" t="s">
        <v>22</v>
      </c>
      <c r="B132" s="37">
        <v>32.01</v>
      </c>
      <c r="C132" s="107">
        <v>425.5</v>
      </c>
      <c r="D132" s="118">
        <v>425.5</v>
      </c>
    </row>
    <row r="133" spans="1:4" ht="16"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6" thickBot="1">
      <c r="A145" s="95" t="s">
        <v>23</v>
      </c>
      <c r="B145" s="37">
        <v>32.01</v>
      </c>
      <c r="C145" s="107">
        <v>425.5</v>
      </c>
      <c r="D145" s="118">
        <v>425.5</v>
      </c>
    </row>
    <row r="146" spans="1:4" ht="16"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6" thickBot="1">
      <c r="A158" s="38" t="s">
        <v>24</v>
      </c>
      <c r="B158" s="39">
        <v>32.01</v>
      </c>
      <c r="C158" s="119">
        <v>430.68</v>
      </c>
      <c r="D158" s="120">
        <v>430.68</v>
      </c>
    </row>
  </sheetData>
  <sheetProtection algorithmName="SHA-512" hashValue="rGxTBOEjW/+Fp1bDLSlcD/DVAIeFnG0kD76gmL0nZES/xdCSfa4B06nRuSU5BgWM/96kixT7M3LV1A6tYhYJHA==" saltValue="4ue4YuHpMzii/1qEi/BJEw=="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510"/>
  <sheetViews>
    <sheetView showGridLines="0" zoomScale="120" zoomScaleNormal="120" workbookViewId="0">
      <pane ySplit="3" topLeftCell="A181" activePane="bottomLeft" state="frozen"/>
      <selection pane="bottomLeft" activeCell="H187" sqref="H187"/>
    </sheetView>
  </sheetViews>
  <sheetFormatPr baseColWidth="10" defaultRowHeight="18" customHeight="1"/>
  <cols>
    <col min="1" max="1" width="16.6328125" style="183" customWidth="1"/>
    <col min="2" max="3" width="13.6328125" style="183" customWidth="1"/>
    <col min="4" max="4" width="14.6328125" style="183" customWidth="1"/>
    <col min="5" max="5" width="12.6328125" style="183" customWidth="1"/>
    <col min="6" max="6" width="24.6328125" style="183" customWidth="1"/>
    <col min="7" max="7" width="13.6328125" style="183" customWidth="1"/>
    <col min="8" max="8" width="14.6328125" style="190" customWidth="1"/>
    <col min="9" max="9" width="22.6328125" style="183" customWidth="1"/>
    <col min="10" max="10" width="24.6328125" style="183" customWidth="1"/>
    <col min="11" max="11" width="3.6328125" customWidth="1"/>
    <col min="12" max="14" width="18.81640625" customWidth="1"/>
    <col min="27" max="29" width="0" hidden="1" customWidth="1"/>
  </cols>
  <sheetData>
    <row r="1" spans="1:10" ht="28" customHeight="1">
      <c r="A1" s="377" t="s">
        <v>320</v>
      </c>
      <c r="B1" s="378"/>
      <c r="C1" s="378"/>
      <c r="D1" s="378"/>
      <c r="E1" s="378"/>
      <c r="F1" s="378"/>
      <c r="G1" s="378"/>
      <c r="H1" s="378"/>
      <c r="I1" s="378"/>
      <c r="J1" s="378"/>
    </row>
    <row r="2" spans="1:10" ht="36" customHeight="1">
      <c r="A2" s="379" t="s">
        <v>413</v>
      </c>
      <c r="B2" s="379"/>
      <c r="C2" s="379"/>
      <c r="D2" s="379"/>
      <c r="E2" s="379"/>
      <c r="F2" s="379"/>
      <c r="G2" s="379"/>
      <c r="H2" s="379"/>
      <c r="I2" s="379"/>
      <c r="J2" s="379"/>
    </row>
    <row r="3" spans="1:10" ht="24" customHeight="1">
      <c r="A3" s="205" t="s">
        <v>325</v>
      </c>
      <c r="B3" s="205" t="s">
        <v>414</v>
      </c>
      <c r="C3" s="205" t="s">
        <v>415</v>
      </c>
      <c r="D3" s="205" t="s">
        <v>330</v>
      </c>
      <c r="E3" s="205" t="s">
        <v>326</v>
      </c>
      <c r="F3" s="205" t="s">
        <v>416</v>
      </c>
      <c r="G3" s="205" t="s">
        <v>327</v>
      </c>
      <c r="H3" s="206" t="s">
        <v>2</v>
      </c>
      <c r="I3" s="205" t="s">
        <v>328</v>
      </c>
      <c r="J3" s="205" t="s">
        <v>417</v>
      </c>
    </row>
    <row r="4" spans="1:10" ht="24" customHeight="1" thickBot="1">
      <c r="A4" s="386" t="s">
        <v>421</v>
      </c>
      <c r="B4" s="387"/>
      <c r="C4" s="387"/>
      <c r="D4" s="388"/>
      <c r="E4" s="388"/>
      <c r="F4" s="388"/>
      <c r="G4" s="389"/>
      <c r="H4" s="390"/>
      <c r="I4" s="388"/>
      <c r="J4" s="391"/>
    </row>
    <row r="5" spans="1:10" ht="24" customHeight="1">
      <c r="A5" s="241" t="s">
        <v>420</v>
      </c>
      <c r="B5" s="225">
        <v>46508</v>
      </c>
      <c r="C5" s="225">
        <v>46873</v>
      </c>
      <c r="D5" s="226" t="s">
        <v>331</v>
      </c>
      <c r="E5" s="226" t="s">
        <v>4</v>
      </c>
      <c r="F5" s="226" t="s">
        <v>321</v>
      </c>
      <c r="G5" s="207">
        <v>173</v>
      </c>
      <c r="H5" s="208"/>
      <c r="I5" s="226" t="str">
        <f t="shared" ref="I5:I36" si="0">IF($A5="","",IF(OR($B5="",$C5="",$D5="",$E5="",$F5=""),"Stammdaten fehlen",IF(AND($G5="",$H5=""),"Werte fehlen",IF($G5="","Monatsstunden fehlen",IF($H5="","Monatslohn fehlt","OK")))))</f>
        <v>Monatslohn fehlt</v>
      </c>
      <c r="J5" s="249" t="str">
        <f t="shared" ref="J5:J36" si="1">IF($G5="","",IF(COUNTIFS($A:$A,$A5,$D:$D,$D5,$G:$G,$G5)&gt;1,"Doppelte Monatsstunden",""))</f>
        <v/>
      </c>
    </row>
    <row r="6" spans="1:10" ht="24" customHeight="1">
      <c r="A6" s="242" t="s">
        <v>420</v>
      </c>
      <c r="B6" s="227">
        <v>46508</v>
      </c>
      <c r="C6" s="227">
        <v>46873</v>
      </c>
      <c r="D6" s="228" t="s">
        <v>331</v>
      </c>
      <c r="E6" s="228" t="s">
        <v>4</v>
      </c>
      <c r="F6" s="228" t="s">
        <v>321</v>
      </c>
      <c r="G6" s="209">
        <v>151.38</v>
      </c>
      <c r="H6" s="210"/>
      <c r="I6" s="228" t="str">
        <f t="shared" si="0"/>
        <v>Monatslohn fehlt</v>
      </c>
      <c r="J6" s="250" t="str">
        <f t="shared" si="1"/>
        <v/>
      </c>
    </row>
    <row r="7" spans="1:10" ht="24" customHeight="1">
      <c r="A7" s="242" t="s">
        <v>420</v>
      </c>
      <c r="B7" s="227">
        <v>46508</v>
      </c>
      <c r="C7" s="227">
        <v>46873</v>
      </c>
      <c r="D7" s="228" t="s">
        <v>331</v>
      </c>
      <c r="E7" s="228" t="s">
        <v>4</v>
      </c>
      <c r="F7" s="228" t="s">
        <v>321</v>
      </c>
      <c r="G7" s="209">
        <v>138.4</v>
      </c>
      <c r="H7" s="210"/>
      <c r="I7" s="228" t="str">
        <f t="shared" si="0"/>
        <v>Monatslohn fehlt</v>
      </c>
      <c r="J7" s="250" t="str">
        <f t="shared" si="1"/>
        <v/>
      </c>
    </row>
    <row r="8" spans="1:10" ht="24" customHeight="1">
      <c r="A8" s="242" t="s">
        <v>420</v>
      </c>
      <c r="B8" s="227">
        <v>46508</v>
      </c>
      <c r="C8" s="227">
        <v>46873</v>
      </c>
      <c r="D8" s="228" t="s">
        <v>331</v>
      </c>
      <c r="E8" s="228" t="s">
        <v>4</v>
      </c>
      <c r="F8" s="228" t="s">
        <v>321</v>
      </c>
      <c r="G8" s="209">
        <v>129.75</v>
      </c>
      <c r="H8" s="210"/>
      <c r="I8" s="228" t="str">
        <f t="shared" si="0"/>
        <v>Monatslohn fehlt</v>
      </c>
      <c r="J8" s="250" t="str">
        <f t="shared" si="1"/>
        <v/>
      </c>
    </row>
    <row r="9" spans="1:10" ht="24" customHeight="1">
      <c r="A9" s="242" t="s">
        <v>420</v>
      </c>
      <c r="B9" s="227">
        <v>46508</v>
      </c>
      <c r="C9" s="227">
        <v>46873</v>
      </c>
      <c r="D9" s="228" t="s">
        <v>331</v>
      </c>
      <c r="E9" s="228" t="s">
        <v>4</v>
      </c>
      <c r="F9" s="228" t="s">
        <v>321</v>
      </c>
      <c r="G9" s="209">
        <v>108.13</v>
      </c>
      <c r="H9" s="210"/>
      <c r="I9" s="228" t="str">
        <f t="shared" si="0"/>
        <v>Monatslohn fehlt</v>
      </c>
      <c r="J9" s="250" t="str">
        <f t="shared" si="1"/>
        <v/>
      </c>
    </row>
    <row r="10" spans="1:10" ht="24" customHeight="1">
      <c r="A10" s="242" t="s">
        <v>420</v>
      </c>
      <c r="B10" s="227">
        <v>46508</v>
      </c>
      <c r="C10" s="227">
        <v>46873</v>
      </c>
      <c r="D10" s="228" t="s">
        <v>331</v>
      </c>
      <c r="E10" s="228" t="s">
        <v>4</v>
      </c>
      <c r="F10" s="228" t="s">
        <v>321</v>
      </c>
      <c r="G10" s="209">
        <v>103.8</v>
      </c>
      <c r="H10" s="210"/>
      <c r="I10" s="228" t="str">
        <f t="shared" si="0"/>
        <v>Monatslohn fehlt</v>
      </c>
      <c r="J10" s="250" t="str">
        <f t="shared" si="1"/>
        <v/>
      </c>
    </row>
    <row r="11" spans="1:10" ht="24" customHeight="1">
      <c r="A11" s="242" t="s">
        <v>420</v>
      </c>
      <c r="B11" s="227">
        <v>46508</v>
      </c>
      <c r="C11" s="227">
        <v>46873</v>
      </c>
      <c r="D11" s="228" t="s">
        <v>331</v>
      </c>
      <c r="E11" s="228" t="s">
        <v>4</v>
      </c>
      <c r="F11" s="228" t="s">
        <v>321</v>
      </c>
      <c r="G11" s="209">
        <v>86.5</v>
      </c>
      <c r="H11" s="210"/>
      <c r="I11" s="228" t="str">
        <f t="shared" si="0"/>
        <v>Monatslohn fehlt</v>
      </c>
      <c r="J11" s="250" t="str">
        <f t="shared" si="1"/>
        <v/>
      </c>
    </row>
    <row r="12" spans="1:10" ht="24" customHeight="1">
      <c r="A12" s="242" t="s">
        <v>420</v>
      </c>
      <c r="B12" s="227">
        <v>46508</v>
      </c>
      <c r="C12" s="227">
        <v>46873</v>
      </c>
      <c r="D12" s="228" t="s">
        <v>331</v>
      </c>
      <c r="E12" s="228" t="s">
        <v>4</v>
      </c>
      <c r="F12" s="228" t="s">
        <v>321</v>
      </c>
      <c r="G12" s="209">
        <v>69.2</v>
      </c>
      <c r="H12" s="210"/>
      <c r="I12" s="228" t="str">
        <f t="shared" si="0"/>
        <v>Monatslohn fehlt</v>
      </c>
      <c r="J12" s="250" t="str">
        <f t="shared" si="1"/>
        <v/>
      </c>
    </row>
    <row r="13" spans="1:10" ht="24" customHeight="1">
      <c r="A13" s="242" t="s">
        <v>420</v>
      </c>
      <c r="B13" s="227">
        <v>46508</v>
      </c>
      <c r="C13" s="227">
        <v>46873</v>
      </c>
      <c r="D13" s="228" t="s">
        <v>331</v>
      </c>
      <c r="E13" s="228" t="s">
        <v>4</v>
      </c>
      <c r="F13" s="228" t="s">
        <v>321</v>
      </c>
      <c r="G13" s="209">
        <v>51.9</v>
      </c>
      <c r="H13" s="210"/>
      <c r="I13" s="228" t="str">
        <f t="shared" si="0"/>
        <v>Monatslohn fehlt</v>
      </c>
      <c r="J13" s="250" t="str">
        <f t="shared" si="1"/>
        <v/>
      </c>
    </row>
    <row r="14" spans="1:10" ht="24" customHeight="1">
      <c r="A14" s="242" t="s">
        <v>420</v>
      </c>
      <c r="B14" s="227">
        <v>46508</v>
      </c>
      <c r="C14" s="227">
        <v>46873</v>
      </c>
      <c r="D14" s="228" t="s">
        <v>331</v>
      </c>
      <c r="E14" s="228" t="s">
        <v>4</v>
      </c>
      <c r="F14" s="228" t="s">
        <v>321</v>
      </c>
      <c r="G14" s="209">
        <v>47.58</v>
      </c>
      <c r="H14" s="210"/>
      <c r="I14" s="228" t="str">
        <f t="shared" si="0"/>
        <v>Monatslohn fehlt</v>
      </c>
      <c r="J14" s="250" t="str">
        <f t="shared" si="1"/>
        <v/>
      </c>
    </row>
    <row r="15" spans="1:10" ht="24" customHeight="1">
      <c r="A15" s="242" t="s">
        <v>420</v>
      </c>
      <c r="B15" s="227">
        <v>46508</v>
      </c>
      <c r="C15" s="227">
        <v>46873</v>
      </c>
      <c r="D15" s="228" t="s">
        <v>331</v>
      </c>
      <c r="E15" s="228" t="s">
        <v>4</v>
      </c>
      <c r="F15" s="228" t="s">
        <v>321</v>
      </c>
      <c r="G15" s="209">
        <v>43.25</v>
      </c>
      <c r="H15" s="210"/>
      <c r="I15" s="228" t="str">
        <f t="shared" si="0"/>
        <v>Monatslohn fehlt</v>
      </c>
      <c r="J15" s="250" t="str">
        <f t="shared" si="1"/>
        <v/>
      </c>
    </row>
    <row r="16" spans="1:10" ht="24" customHeight="1">
      <c r="A16" s="242" t="s">
        <v>420</v>
      </c>
      <c r="B16" s="227">
        <v>46508</v>
      </c>
      <c r="C16" s="227">
        <v>46873</v>
      </c>
      <c r="D16" s="228" t="s">
        <v>331</v>
      </c>
      <c r="E16" s="228" t="s">
        <v>4</v>
      </c>
      <c r="F16" s="228" t="s">
        <v>321</v>
      </c>
      <c r="G16" s="209">
        <v>34.6</v>
      </c>
      <c r="H16" s="210"/>
      <c r="I16" s="228" t="str">
        <f t="shared" si="0"/>
        <v>Monatslohn fehlt</v>
      </c>
      <c r="J16" s="250" t="str">
        <f t="shared" si="1"/>
        <v/>
      </c>
    </row>
    <row r="17" spans="1:10" ht="24" customHeight="1">
      <c r="A17" s="242" t="s">
        <v>420</v>
      </c>
      <c r="B17" s="227">
        <v>46508</v>
      </c>
      <c r="C17" s="227">
        <v>46873</v>
      </c>
      <c r="D17" s="228" t="s">
        <v>331</v>
      </c>
      <c r="E17" s="228" t="s">
        <v>4</v>
      </c>
      <c r="F17" s="228" t="s">
        <v>321</v>
      </c>
      <c r="G17" s="209">
        <v>32.01</v>
      </c>
      <c r="H17" s="210"/>
      <c r="I17" s="228" t="str">
        <f t="shared" si="0"/>
        <v>Monatslohn fehlt</v>
      </c>
      <c r="J17" s="250" t="str">
        <f t="shared" si="1"/>
        <v/>
      </c>
    </row>
    <row r="18" spans="1:10" ht="24" customHeight="1">
      <c r="A18" s="242" t="s">
        <v>420</v>
      </c>
      <c r="B18" s="227">
        <v>46508</v>
      </c>
      <c r="C18" s="227">
        <v>46873</v>
      </c>
      <c r="D18" s="228" t="s">
        <v>331</v>
      </c>
      <c r="E18" s="228" t="s">
        <v>4</v>
      </c>
      <c r="F18" s="228" t="s">
        <v>321</v>
      </c>
      <c r="G18" s="209">
        <v>20</v>
      </c>
      <c r="H18" s="210"/>
      <c r="I18" s="228" t="str">
        <f t="shared" si="0"/>
        <v>Monatslohn fehlt</v>
      </c>
      <c r="J18" s="250" t="str">
        <f t="shared" si="1"/>
        <v/>
      </c>
    </row>
    <row r="19" spans="1:10" ht="24" customHeight="1" thickBot="1">
      <c r="A19" s="242" t="s">
        <v>420</v>
      </c>
      <c r="B19" s="227">
        <v>46508</v>
      </c>
      <c r="C19" s="227">
        <v>46873</v>
      </c>
      <c r="D19" s="228" t="s">
        <v>331</v>
      </c>
      <c r="E19" s="228" t="s">
        <v>4</v>
      </c>
      <c r="F19" s="228" t="s">
        <v>321</v>
      </c>
      <c r="G19" s="209"/>
      <c r="H19" s="210"/>
      <c r="I19" s="228" t="str">
        <f t="shared" si="0"/>
        <v>Werte fehlen</v>
      </c>
      <c r="J19" s="250" t="str">
        <f t="shared" si="1"/>
        <v/>
      </c>
    </row>
    <row r="20" spans="1:10" ht="24" customHeight="1">
      <c r="A20" s="243" t="s">
        <v>420</v>
      </c>
      <c r="B20" s="229">
        <v>46508</v>
      </c>
      <c r="C20" s="229">
        <v>46873</v>
      </c>
      <c r="D20" s="230" t="s">
        <v>8</v>
      </c>
      <c r="E20" s="230" t="s">
        <v>4</v>
      </c>
      <c r="F20" s="230" t="s">
        <v>322</v>
      </c>
      <c r="G20" s="211">
        <v>173</v>
      </c>
      <c r="H20" s="212"/>
      <c r="I20" s="230" t="str">
        <f t="shared" si="0"/>
        <v>Monatslohn fehlt</v>
      </c>
      <c r="J20" s="251" t="str">
        <f t="shared" si="1"/>
        <v/>
      </c>
    </row>
    <row r="21" spans="1:10" ht="24" customHeight="1">
      <c r="A21" s="242" t="s">
        <v>420</v>
      </c>
      <c r="B21" s="227">
        <v>46508</v>
      </c>
      <c r="C21" s="227">
        <v>46873</v>
      </c>
      <c r="D21" s="228" t="s">
        <v>8</v>
      </c>
      <c r="E21" s="228" t="s">
        <v>4</v>
      </c>
      <c r="F21" s="228" t="s">
        <v>322</v>
      </c>
      <c r="G21" s="209">
        <v>151.38</v>
      </c>
      <c r="H21" s="210"/>
      <c r="I21" s="228" t="str">
        <f t="shared" si="0"/>
        <v>Monatslohn fehlt</v>
      </c>
      <c r="J21" s="250" t="str">
        <f t="shared" si="1"/>
        <v/>
      </c>
    </row>
    <row r="22" spans="1:10" ht="24" customHeight="1">
      <c r="A22" s="242" t="s">
        <v>420</v>
      </c>
      <c r="B22" s="227">
        <v>46508</v>
      </c>
      <c r="C22" s="227">
        <v>46873</v>
      </c>
      <c r="D22" s="228" t="s">
        <v>8</v>
      </c>
      <c r="E22" s="228" t="s">
        <v>4</v>
      </c>
      <c r="F22" s="228" t="s">
        <v>322</v>
      </c>
      <c r="G22" s="209">
        <v>138.4</v>
      </c>
      <c r="H22" s="210"/>
      <c r="I22" s="228" t="str">
        <f t="shared" si="0"/>
        <v>Monatslohn fehlt</v>
      </c>
      <c r="J22" s="250" t="str">
        <f t="shared" si="1"/>
        <v/>
      </c>
    </row>
    <row r="23" spans="1:10" ht="24" customHeight="1">
      <c r="A23" s="242" t="s">
        <v>420</v>
      </c>
      <c r="B23" s="227">
        <v>46508</v>
      </c>
      <c r="C23" s="227">
        <v>46873</v>
      </c>
      <c r="D23" s="228" t="s">
        <v>8</v>
      </c>
      <c r="E23" s="228" t="s">
        <v>4</v>
      </c>
      <c r="F23" s="228" t="s">
        <v>322</v>
      </c>
      <c r="G23" s="209">
        <v>129.75</v>
      </c>
      <c r="H23" s="210"/>
      <c r="I23" s="228" t="str">
        <f t="shared" si="0"/>
        <v>Monatslohn fehlt</v>
      </c>
      <c r="J23" s="250" t="str">
        <f t="shared" si="1"/>
        <v/>
      </c>
    </row>
    <row r="24" spans="1:10" ht="24" customHeight="1">
      <c r="A24" s="242" t="s">
        <v>420</v>
      </c>
      <c r="B24" s="227">
        <v>46508</v>
      </c>
      <c r="C24" s="227">
        <v>46873</v>
      </c>
      <c r="D24" s="228" t="s">
        <v>8</v>
      </c>
      <c r="E24" s="228" t="s">
        <v>4</v>
      </c>
      <c r="F24" s="228" t="s">
        <v>322</v>
      </c>
      <c r="G24" s="209">
        <v>108.13</v>
      </c>
      <c r="H24" s="210"/>
      <c r="I24" s="228" t="str">
        <f t="shared" si="0"/>
        <v>Monatslohn fehlt</v>
      </c>
      <c r="J24" s="250" t="str">
        <f t="shared" si="1"/>
        <v/>
      </c>
    </row>
    <row r="25" spans="1:10" ht="24" customHeight="1">
      <c r="A25" s="242" t="s">
        <v>420</v>
      </c>
      <c r="B25" s="227">
        <v>46508</v>
      </c>
      <c r="C25" s="227">
        <v>46873</v>
      </c>
      <c r="D25" s="228" t="s">
        <v>8</v>
      </c>
      <c r="E25" s="228" t="s">
        <v>4</v>
      </c>
      <c r="F25" s="228" t="s">
        <v>322</v>
      </c>
      <c r="G25" s="209">
        <v>103.8</v>
      </c>
      <c r="H25" s="210"/>
      <c r="I25" s="228" t="str">
        <f t="shared" si="0"/>
        <v>Monatslohn fehlt</v>
      </c>
      <c r="J25" s="250" t="str">
        <f t="shared" si="1"/>
        <v/>
      </c>
    </row>
    <row r="26" spans="1:10" ht="24" customHeight="1">
      <c r="A26" s="242" t="s">
        <v>420</v>
      </c>
      <c r="B26" s="227">
        <v>46508</v>
      </c>
      <c r="C26" s="227">
        <v>46873</v>
      </c>
      <c r="D26" s="228" t="s">
        <v>8</v>
      </c>
      <c r="E26" s="228" t="s">
        <v>4</v>
      </c>
      <c r="F26" s="228" t="s">
        <v>322</v>
      </c>
      <c r="G26" s="209">
        <v>86.5</v>
      </c>
      <c r="H26" s="210"/>
      <c r="I26" s="228" t="str">
        <f t="shared" si="0"/>
        <v>Monatslohn fehlt</v>
      </c>
      <c r="J26" s="250" t="str">
        <f t="shared" si="1"/>
        <v/>
      </c>
    </row>
    <row r="27" spans="1:10" ht="24" customHeight="1">
      <c r="A27" s="242" t="s">
        <v>420</v>
      </c>
      <c r="B27" s="227">
        <v>46508</v>
      </c>
      <c r="C27" s="227">
        <v>46873</v>
      </c>
      <c r="D27" s="228" t="s">
        <v>8</v>
      </c>
      <c r="E27" s="228" t="s">
        <v>4</v>
      </c>
      <c r="F27" s="228" t="s">
        <v>322</v>
      </c>
      <c r="G27" s="209">
        <v>69.2</v>
      </c>
      <c r="H27" s="210"/>
      <c r="I27" s="228" t="str">
        <f t="shared" si="0"/>
        <v>Monatslohn fehlt</v>
      </c>
      <c r="J27" s="250" t="str">
        <f t="shared" si="1"/>
        <v/>
      </c>
    </row>
    <row r="28" spans="1:10" ht="24" customHeight="1">
      <c r="A28" s="242" t="s">
        <v>420</v>
      </c>
      <c r="B28" s="227">
        <v>46508</v>
      </c>
      <c r="C28" s="227">
        <v>46873</v>
      </c>
      <c r="D28" s="228" t="s">
        <v>8</v>
      </c>
      <c r="E28" s="228" t="s">
        <v>4</v>
      </c>
      <c r="F28" s="228" t="s">
        <v>322</v>
      </c>
      <c r="G28" s="209">
        <v>51.9</v>
      </c>
      <c r="H28" s="210"/>
      <c r="I28" s="228" t="str">
        <f t="shared" si="0"/>
        <v>Monatslohn fehlt</v>
      </c>
      <c r="J28" s="250" t="str">
        <f t="shared" si="1"/>
        <v/>
      </c>
    </row>
    <row r="29" spans="1:10" ht="24" customHeight="1">
      <c r="A29" s="242" t="s">
        <v>420</v>
      </c>
      <c r="B29" s="227">
        <v>46508</v>
      </c>
      <c r="C29" s="227">
        <v>46873</v>
      </c>
      <c r="D29" s="228" t="s">
        <v>8</v>
      </c>
      <c r="E29" s="228" t="s">
        <v>4</v>
      </c>
      <c r="F29" s="228" t="s">
        <v>322</v>
      </c>
      <c r="G29" s="209">
        <v>47.58</v>
      </c>
      <c r="H29" s="210"/>
      <c r="I29" s="228" t="str">
        <f t="shared" si="0"/>
        <v>Monatslohn fehlt</v>
      </c>
      <c r="J29" s="250" t="str">
        <f t="shared" si="1"/>
        <v/>
      </c>
    </row>
    <row r="30" spans="1:10" ht="24" customHeight="1">
      <c r="A30" s="242" t="s">
        <v>420</v>
      </c>
      <c r="B30" s="227">
        <v>46508</v>
      </c>
      <c r="C30" s="227">
        <v>46873</v>
      </c>
      <c r="D30" s="228" t="s">
        <v>8</v>
      </c>
      <c r="E30" s="228" t="s">
        <v>4</v>
      </c>
      <c r="F30" s="228" t="s">
        <v>322</v>
      </c>
      <c r="G30" s="209">
        <v>43.25</v>
      </c>
      <c r="H30" s="210"/>
      <c r="I30" s="228" t="str">
        <f t="shared" si="0"/>
        <v>Monatslohn fehlt</v>
      </c>
      <c r="J30" s="250" t="str">
        <f t="shared" si="1"/>
        <v/>
      </c>
    </row>
    <row r="31" spans="1:10" ht="24" customHeight="1">
      <c r="A31" s="242" t="s">
        <v>420</v>
      </c>
      <c r="B31" s="227">
        <v>46508</v>
      </c>
      <c r="C31" s="227">
        <v>46873</v>
      </c>
      <c r="D31" s="228" t="s">
        <v>8</v>
      </c>
      <c r="E31" s="228" t="s">
        <v>4</v>
      </c>
      <c r="F31" s="228" t="s">
        <v>322</v>
      </c>
      <c r="G31" s="209">
        <v>34.6</v>
      </c>
      <c r="H31" s="210"/>
      <c r="I31" s="228" t="str">
        <f t="shared" si="0"/>
        <v>Monatslohn fehlt</v>
      </c>
      <c r="J31" s="250" t="str">
        <f t="shared" si="1"/>
        <v/>
      </c>
    </row>
    <row r="32" spans="1:10" ht="24" customHeight="1">
      <c r="A32" s="242" t="s">
        <v>420</v>
      </c>
      <c r="B32" s="227">
        <v>46508</v>
      </c>
      <c r="C32" s="227">
        <v>46873</v>
      </c>
      <c r="D32" s="228" t="s">
        <v>8</v>
      </c>
      <c r="E32" s="228" t="s">
        <v>4</v>
      </c>
      <c r="F32" s="228" t="s">
        <v>322</v>
      </c>
      <c r="G32" s="209">
        <v>32.01</v>
      </c>
      <c r="H32" s="210"/>
      <c r="I32" s="228" t="str">
        <f t="shared" si="0"/>
        <v>Monatslohn fehlt</v>
      </c>
      <c r="J32" s="250" t="str">
        <f t="shared" si="1"/>
        <v/>
      </c>
    </row>
    <row r="33" spans="1:10" ht="24" customHeight="1">
      <c r="A33" s="242" t="s">
        <v>420</v>
      </c>
      <c r="B33" s="227">
        <v>46508</v>
      </c>
      <c r="C33" s="227">
        <v>46873</v>
      </c>
      <c r="D33" s="228" t="s">
        <v>8</v>
      </c>
      <c r="E33" s="228" t="s">
        <v>4</v>
      </c>
      <c r="F33" s="228" t="s">
        <v>322</v>
      </c>
      <c r="G33" s="209"/>
      <c r="H33" s="210"/>
      <c r="I33" s="228" t="str">
        <f t="shared" si="0"/>
        <v>Werte fehlen</v>
      </c>
      <c r="J33" s="250" t="str">
        <f t="shared" si="1"/>
        <v/>
      </c>
    </row>
    <row r="34" spans="1:10" ht="24" customHeight="1" thickBot="1">
      <c r="A34" s="242" t="s">
        <v>420</v>
      </c>
      <c r="B34" s="227">
        <v>46508</v>
      </c>
      <c r="C34" s="227">
        <v>46873</v>
      </c>
      <c r="D34" s="228" t="s">
        <v>8</v>
      </c>
      <c r="E34" s="228" t="s">
        <v>4</v>
      </c>
      <c r="F34" s="228" t="s">
        <v>322</v>
      </c>
      <c r="G34" s="209"/>
      <c r="H34" s="210"/>
      <c r="I34" s="228" t="str">
        <f t="shared" si="0"/>
        <v>Werte fehlen</v>
      </c>
      <c r="J34" s="250" t="str">
        <f t="shared" si="1"/>
        <v/>
      </c>
    </row>
    <row r="35" spans="1:10" ht="24" customHeight="1">
      <c r="A35" s="243" t="s">
        <v>420</v>
      </c>
      <c r="B35" s="229">
        <v>46508</v>
      </c>
      <c r="C35" s="229">
        <v>46873</v>
      </c>
      <c r="D35" s="230" t="s">
        <v>10</v>
      </c>
      <c r="E35" s="230" t="s">
        <v>4</v>
      </c>
      <c r="F35" s="230" t="s">
        <v>323</v>
      </c>
      <c r="G35" s="211">
        <v>173</v>
      </c>
      <c r="H35" s="212"/>
      <c r="I35" s="230" t="str">
        <f t="shared" si="0"/>
        <v>Monatslohn fehlt</v>
      </c>
      <c r="J35" s="251" t="str">
        <f t="shared" si="1"/>
        <v/>
      </c>
    </row>
    <row r="36" spans="1:10" ht="24" customHeight="1">
      <c r="A36" s="242" t="s">
        <v>420</v>
      </c>
      <c r="B36" s="227">
        <v>46508</v>
      </c>
      <c r="C36" s="227">
        <v>46873</v>
      </c>
      <c r="D36" s="228" t="s">
        <v>10</v>
      </c>
      <c r="E36" s="228" t="s">
        <v>4</v>
      </c>
      <c r="F36" s="228" t="s">
        <v>323</v>
      </c>
      <c r="G36" s="209">
        <v>151.38</v>
      </c>
      <c r="H36" s="210"/>
      <c r="I36" s="228" t="str">
        <f t="shared" si="0"/>
        <v>Monatslohn fehlt</v>
      </c>
      <c r="J36" s="250" t="str">
        <f t="shared" si="1"/>
        <v/>
      </c>
    </row>
    <row r="37" spans="1:10" ht="24" customHeight="1">
      <c r="A37" s="242" t="s">
        <v>420</v>
      </c>
      <c r="B37" s="227">
        <v>46508</v>
      </c>
      <c r="C37" s="227">
        <v>46873</v>
      </c>
      <c r="D37" s="228" t="s">
        <v>10</v>
      </c>
      <c r="E37" s="228" t="s">
        <v>4</v>
      </c>
      <c r="F37" s="228" t="s">
        <v>323</v>
      </c>
      <c r="G37" s="209">
        <v>138.4</v>
      </c>
      <c r="H37" s="210"/>
      <c r="I37" s="228" t="str">
        <f t="shared" ref="I37:I68" si="2">IF($A37="","",IF(OR($B37="",$C37="",$D37="",$E37="",$F37=""),"Stammdaten fehlen",IF(AND($G37="",$H37=""),"Werte fehlen",IF($G37="","Monatsstunden fehlen",IF($H37="","Monatslohn fehlt","OK")))))</f>
        <v>Monatslohn fehlt</v>
      </c>
      <c r="J37" s="250" t="str">
        <f t="shared" ref="J37:J68" si="3">IF($G37="","",IF(COUNTIFS($A:$A,$A37,$D:$D,$D37,$G:$G,$G37)&gt;1,"Doppelte Monatsstunden",""))</f>
        <v/>
      </c>
    </row>
    <row r="38" spans="1:10" ht="24" customHeight="1">
      <c r="A38" s="242" t="s">
        <v>420</v>
      </c>
      <c r="B38" s="227">
        <v>46508</v>
      </c>
      <c r="C38" s="227">
        <v>46873</v>
      </c>
      <c r="D38" s="228" t="s">
        <v>10</v>
      </c>
      <c r="E38" s="228" t="s">
        <v>4</v>
      </c>
      <c r="F38" s="228" t="s">
        <v>323</v>
      </c>
      <c r="G38" s="209">
        <v>129.75</v>
      </c>
      <c r="H38" s="210"/>
      <c r="I38" s="228" t="str">
        <f t="shared" si="2"/>
        <v>Monatslohn fehlt</v>
      </c>
      <c r="J38" s="250" t="str">
        <f t="shared" si="3"/>
        <v/>
      </c>
    </row>
    <row r="39" spans="1:10" ht="24" customHeight="1">
      <c r="A39" s="242" t="s">
        <v>420</v>
      </c>
      <c r="B39" s="227">
        <v>46508</v>
      </c>
      <c r="C39" s="227">
        <v>46873</v>
      </c>
      <c r="D39" s="228" t="s">
        <v>10</v>
      </c>
      <c r="E39" s="228" t="s">
        <v>4</v>
      </c>
      <c r="F39" s="228" t="s">
        <v>323</v>
      </c>
      <c r="G39" s="209">
        <v>108.13</v>
      </c>
      <c r="H39" s="210"/>
      <c r="I39" s="228" t="str">
        <f t="shared" si="2"/>
        <v>Monatslohn fehlt</v>
      </c>
      <c r="J39" s="250" t="str">
        <f t="shared" si="3"/>
        <v/>
      </c>
    </row>
    <row r="40" spans="1:10" ht="24" customHeight="1">
      <c r="A40" s="242" t="s">
        <v>420</v>
      </c>
      <c r="B40" s="227">
        <v>46508</v>
      </c>
      <c r="C40" s="227">
        <v>46873</v>
      </c>
      <c r="D40" s="228" t="s">
        <v>10</v>
      </c>
      <c r="E40" s="228" t="s">
        <v>4</v>
      </c>
      <c r="F40" s="228" t="s">
        <v>323</v>
      </c>
      <c r="G40" s="209">
        <v>103.8</v>
      </c>
      <c r="H40" s="210"/>
      <c r="I40" s="228" t="str">
        <f t="shared" si="2"/>
        <v>Monatslohn fehlt</v>
      </c>
      <c r="J40" s="250" t="str">
        <f t="shared" si="3"/>
        <v/>
      </c>
    </row>
    <row r="41" spans="1:10" ht="24" customHeight="1">
      <c r="A41" s="242" t="s">
        <v>420</v>
      </c>
      <c r="B41" s="227">
        <v>46508</v>
      </c>
      <c r="C41" s="227">
        <v>46873</v>
      </c>
      <c r="D41" s="228" t="s">
        <v>10</v>
      </c>
      <c r="E41" s="228" t="s">
        <v>4</v>
      </c>
      <c r="F41" s="228" t="s">
        <v>323</v>
      </c>
      <c r="G41" s="209">
        <v>86.5</v>
      </c>
      <c r="H41" s="210"/>
      <c r="I41" s="228" t="str">
        <f t="shared" si="2"/>
        <v>Monatslohn fehlt</v>
      </c>
      <c r="J41" s="250" t="str">
        <f t="shared" si="3"/>
        <v/>
      </c>
    </row>
    <row r="42" spans="1:10" ht="24" customHeight="1">
      <c r="A42" s="242" t="s">
        <v>420</v>
      </c>
      <c r="B42" s="227">
        <v>46508</v>
      </c>
      <c r="C42" s="227">
        <v>46873</v>
      </c>
      <c r="D42" s="228" t="s">
        <v>10</v>
      </c>
      <c r="E42" s="228" t="s">
        <v>4</v>
      </c>
      <c r="F42" s="228" t="s">
        <v>323</v>
      </c>
      <c r="G42" s="209">
        <v>69.2</v>
      </c>
      <c r="H42" s="210"/>
      <c r="I42" s="228" t="str">
        <f t="shared" si="2"/>
        <v>Monatslohn fehlt</v>
      </c>
      <c r="J42" s="250" t="str">
        <f t="shared" si="3"/>
        <v/>
      </c>
    </row>
    <row r="43" spans="1:10" ht="24" customHeight="1">
      <c r="A43" s="242" t="s">
        <v>420</v>
      </c>
      <c r="B43" s="227">
        <v>46508</v>
      </c>
      <c r="C43" s="227">
        <v>46873</v>
      </c>
      <c r="D43" s="228" t="s">
        <v>10</v>
      </c>
      <c r="E43" s="228" t="s">
        <v>4</v>
      </c>
      <c r="F43" s="228" t="s">
        <v>323</v>
      </c>
      <c r="G43" s="209">
        <v>51.9</v>
      </c>
      <c r="H43" s="210"/>
      <c r="I43" s="228" t="str">
        <f t="shared" si="2"/>
        <v>Monatslohn fehlt</v>
      </c>
      <c r="J43" s="250" t="str">
        <f t="shared" si="3"/>
        <v/>
      </c>
    </row>
    <row r="44" spans="1:10" ht="24" customHeight="1">
      <c r="A44" s="242" t="s">
        <v>420</v>
      </c>
      <c r="B44" s="227">
        <v>46508</v>
      </c>
      <c r="C44" s="227">
        <v>46873</v>
      </c>
      <c r="D44" s="228" t="s">
        <v>10</v>
      </c>
      <c r="E44" s="228" t="s">
        <v>4</v>
      </c>
      <c r="F44" s="228" t="s">
        <v>323</v>
      </c>
      <c r="G44" s="209">
        <v>47.58</v>
      </c>
      <c r="H44" s="210"/>
      <c r="I44" s="228" t="str">
        <f t="shared" si="2"/>
        <v>Monatslohn fehlt</v>
      </c>
      <c r="J44" s="250" t="str">
        <f t="shared" si="3"/>
        <v/>
      </c>
    </row>
    <row r="45" spans="1:10" ht="24" customHeight="1">
      <c r="A45" s="242" t="s">
        <v>420</v>
      </c>
      <c r="B45" s="227">
        <v>46508</v>
      </c>
      <c r="C45" s="227">
        <v>46873</v>
      </c>
      <c r="D45" s="228" t="s">
        <v>10</v>
      </c>
      <c r="E45" s="228" t="s">
        <v>4</v>
      </c>
      <c r="F45" s="228" t="s">
        <v>323</v>
      </c>
      <c r="G45" s="209">
        <v>43.25</v>
      </c>
      <c r="H45" s="210"/>
      <c r="I45" s="228" t="str">
        <f t="shared" si="2"/>
        <v>Monatslohn fehlt</v>
      </c>
      <c r="J45" s="250" t="str">
        <f t="shared" si="3"/>
        <v/>
      </c>
    </row>
    <row r="46" spans="1:10" ht="24" customHeight="1">
      <c r="A46" s="242" t="s">
        <v>420</v>
      </c>
      <c r="B46" s="227">
        <v>46508</v>
      </c>
      <c r="C46" s="227">
        <v>46873</v>
      </c>
      <c r="D46" s="228" t="s">
        <v>10</v>
      </c>
      <c r="E46" s="228" t="s">
        <v>4</v>
      </c>
      <c r="F46" s="228" t="s">
        <v>323</v>
      </c>
      <c r="G46" s="209">
        <v>34.6</v>
      </c>
      <c r="H46" s="210"/>
      <c r="I46" s="228" t="str">
        <f t="shared" si="2"/>
        <v>Monatslohn fehlt</v>
      </c>
      <c r="J46" s="250" t="str">
        <f t="shared" si="3"/>
        <v/>
      </c>
    </row>
    <row r="47" spans="1:10" ht="24" customHeight="1">
      <c r="A47" s="242" t="s">
        <v>420</v>
      </c>
      <c r="B47" s="227">
        <v>46508</v>
      </c>
      <c r="C47" s="227">
        <v>46873</v>
      </c>
      <c r="D47" s="228" t="s">
        <v>10</v>
      </c>
      <c r="E47" s="228" t="s">
        <v>4</v>
      </c>
      <c r="F47" s="228" t="s">
        <v>323</v>
      </c>
      <c r="G47" s="209">
        <v>32.01</v>
      </c>
      <c r="H47" s="210"/>
      <c r="I47" s="228" t="str">
        <f t="shared" si="2"/>
        <v>Monatslohn fehlt</v>
      </c>
      <c r="J47" s="250" t="str">
        <f t="shared" si="3"/>
        <v/>
      </c>
    </row>
    <row r="48" spans="1:10" ht="24" customHeight="1">
      <c r="A48" s="242" t="s">
        <v>420</v>
      </c>
      <c r="B48" s="227">
        <v>46508</v>
      </c>
      <c r="C48" s="227">
        <v>46873</v>
      </c>
      <c r="D48" s="228" t="s">
        <v>10</v>
      </c>
      <c r="E48" s="228" t="s">
        <v>4</v>
      </c>
      <c r="F48" s="228" t="s">
        <v>323</v>
      </c>
      <c r="G48" s="209"/>
      <c r="H48" s="210"/>
      <c r="I48" s="228" t="str">
        <f t="shared" si="2"/>
        <v>Werte fehlen</v>
      </c>
      <c r="J48" s="250" t="str">
        <f t="shared" si="3"/>
        <v/>
      </c>
    </row>
    <row r="49" spans="1:10" ht="24" customHeight="1" thickBot="1">
      <c r="A49" s="242" t="s">
        <v>420</v>
      </c>
      <c r="B49" s="227">
        <v>46508</v>
      </c>
      <c r="C49" s="227">
        <v>46873</v>
      </c>
      <c r="D49" s="228" t="s">
        <v>10</v>
      </c>
      <c r="E49" s="228" t="s">
        <v>4</v>
      </c>
      <c r="F49" s="228" t="s">
        <v>323</v>
      </c>
      <c r="G49" s="209"/>
      <c r="H49" s="210"/>
      <c r="I49" s="228" t="str">
        <f t="shared" si="2"/>
        <v>Werte fehlen</v>
      </c>
      <c r="J49" s="250" t="str">
        <f t="shared" si="3"/>
        <v/>
      </c>
    </row>
    <row r="50" spans="1:10" ht="24" customHeight="1">
      <c r="A50" s="243" t="s">
        <v>420</v>
      </c>
      <c r="B50" s="229">
        <v>46508</v>
      </c>
      <c r="C50" s="229">
        <v>46873</v>
      </c>
      <c r="D50" s="230" t="s">
        <v>12</v>
      </c>
      <c r="E50" s="230" t="s">
        <v>4</v>
      </c>
      <c r="F50" s="230" t="s">
        <v>324</v>
      </c>
      <c r="G50" s="211">
        <v>173</v>
      </c>
      <c r="H50" s="212"/>
      <c r="I50" s="230" t="str">
        <f t="shared" si="2"/>
        <v>Monatslohn fehlt</v>
      </c>
      <c r="J50" s="251" t="str">
        <f t="shared" si="3"/>
        <v/>
      </c>
    </row>
    <row r="51" spans="1:10" ht="24" customHeight="1">
      <c r="A51" s="242" t="s">
        <v>420</v>
      </c>
      <c r="B51" s="227">
        <v>46508</v>
      </c>
      <c r="C51" s="227">
        <v>46873</v>
      </c>
      <c r="D51" s="228" t="s">
        <v>12</v>
      </c>
      <c r="E51" s="228" t="s">
        <v>4</v>
      </c>
      <c r="F51" s="228" t="s">
        <v>324</v>
      </c>
      <c r="G51" s="209">
        <v>151.38</v>
      </c>
      <c r="H51" s="210"/>
      <c r="I51" s="228" t="str">
        <f t="shared" si="2"/>
        <v>Monatslohn fehlt</v>
      </c>
      <c r="J51" s="250" t="str">
        <f t="shared" si="3"/>
        <v/>
      </c>
    </row>
    <row r="52" spans="1:10" ht="24" customHeight="1">
      <c r="A52" s="242" t="s">
        <v>420</v>
      </c>
      <c r="B52" s="227">
        <v>46508</v>
      </c>
      <c r="C52" s="227">
        <v>46873</v>
      </c>
      <c r="D52" s="228" t="s">
        <v>12</v>
      </c>
      <c r="E52" s="228" t="s">
        <v>4</v>
      </c>
      <c r="F52" s="228" t="s">
        <v>324</v>
      </c>
      <c r="G52" s="209">
        <v>138.4</v>
      </c>
      <c r="H52" s="210"/>
      <c r="I52" s="228" t="str">
        <f t="shared" si="2"/>
        <v>Monatslohn fehlt</v>
      </c>
      <c r="J52" s="250" t="str">
        <f t="shared" si="3"/>
        <v/>
      </c>
    </row>
    <row r="53" spans="1:10" ht="24" customHeight="1">
      <c r="A53" s="242" t="s">
        <v>420</v>
      </c>
      <c r="B53" s="227">
        <v>46508</v>
      </c>
      <c r="C53" s="227">
        <v>46873</v>
      </c>
      <c r="D53" s="228" t="s">
        <v>12</v>
      </c>
      <c r="E53" s="228" t="s">
        <v>4</v>
      </c>
      <c r="F53" s="228" t="s">
        <v>324</v>
      </c>
      <c r="G53" s="209">
        <v>129.75</v>
      </c>
      <c r="H53" s="210"/>
      <c r="I53" s="228" t="str">
        <f t="shared" si="2"/>
        <v>Monatslohn fehlt</v>
      </c>
      <c r="J53" s="250" t="str">
        <f t="shared" si="3"/>
        <v/>
      </c>
    </row>
    <row r="54" spans="1:10" ht="24" customHeight="1">
      <c r="A54" s="242" t="s">
        <v>420</v>
      </c>
      <c r="B54" s="227">
        <v>46508</v>
      </c>
      <c r="C54" s="227">
        <v>46873</v>
      </c>
      <c r="D54" s="228" t="s">
        <v>12</v>
      </c>
      <c r="E54" s="228" t="s">
        <v>4</v>
      </c>
      <c r="F54" s="228" t="s">
        <v>324</v>
      </c>
      <c r="G54" s="209">
        <v>108.13</v>
      </c>
      <c r="H54" s="210"/>
      <c r="I54" s="228" t="str">
        <f t="shared" si="2"/>
        <v>Monatslohn fehlt</v>
      </c>
      <c r="J54" s="250" t="str">
        <f t="shared" si="3"/>
        <v/>
      </c>
    </row>
    <row r="55" spans="1:10" ht="24" customHeight="1">
      <c r="A55" s="242" t="s">
        <v>420</v>
      </c>
      <c r="B55" s="227">
        <v>46508</v>
      </c>
      <c r="C55" s="227">
        <v>46873</v>
      </c>
      <c r="D55" s="228" t="s">
        <v>12</v>
      </c>
      <c r="E55" s="228" t="s">
        <v>4</v>
      </c>
      <c r="F55" s="228" t="s">
        <v>324</v>
      </c>
      <c r="G55" s="209">
        <v>103.8</v>
      </c>
      <c r="H55" s="210"/>
      <c r="I55" s="228" t="str">
        <f t="shared" si="2"/>
        <v>Monatslohn fehlt</v>
      </c>
      <c r="J55" s="250" t="str">
        <f t="shared" si="3"/>
        <v/>
      </c>
    </row>
    <row r="56" spans="1:10" ht="24" customHeight="1">
      <c r="A56" s="242" t="s">
        <v>420</v>
      </c>
      <c r="B56" s="227">
        <v>46508</v>
      </c>
      <c r="C56" s="227">
        <v>46873</v>
      </c>
      <c r="D56" s="228" t="s">
        <v>12</v>
      </c>
      <c r="E56" s="228" t="s">
        <v>4</v>
      </c>
      <c r="F56" s="228" t="s">
        <v>324</v>
      </c>
      <c r="G56" s="209">
        <v>86.5</v>
      </c>
      <c r="H56" s="210"/>
      <c r="I56" s="228" t="str">
        <f t="shared" si="2"/>
        <v>Monatslohn fehlt</v>
      </c>
      <c r="J56" s="250" t="str">
        <f t="shared" si="3"/>
        <v/>
      </c>
    </row>
    <row r="57" spans="1:10" ht="24" customHeight="1">
      <c r="A57" s="242" t="s">
        <v>420</v>
      </c>
      <c r="B57" s="227">
        <v>46508</v>
      </c>
      <c r="C57" s="227">
        <v>46873</v>
      </c>
      <c r="D57" s="228" t="s">
        <v>12</v>
      </c>
      <c r="E57" s="228" t="s">
        <v>4</v>
      </c>
      <c r="F57" s="228" t="s">
        <v>324</v>
      </c>
      <c r="G57" s="209">
        <v>69.2</v>
      </c>
      <c r="H57" s="210"/>
      <c r="I57" s="228" t="str">
        <f t="shared" si="2"/>
        <v>Monatslohn fehlt</v>
      </c>
      <c r="J57" s="250" t="str">
        <f t="shared" si="3"/>
        <v/>
      </c>
    </row>
    <row r="58" spans="1:10" ht="24" customHeight="1">
      <c r="A58" s="242" t="s">
        <v>420</v>
      </c>
      <c r="B58" s="227">
        <v>46508</v>
      </c>
      <c r="C58" s="227">
        <v>46873</v>
      </c>
      <c r="D58" s="228" t="s">
        <v>12</v>
      </c>
      <c r="E58" s="228" t="s">
        <v>4</v>
      </c>
      <c r="F58" s="228" t="s">
        <v>324</v>
      </c>
      <c r="G58" s="209">
        <v>51.9</v>
      </c>
      <c r="H58" s="210"/>
      <c r="I58" s="228" t="str">
        <f t="shared" si="2"/>
        <v>Monatslohn fehlt</v>
      </c>
      <c r="J58" s="250" t="str">
        <f t="shared" si="3"/>
        <v/>
      </c>
    </row>
    <row r="59" spans="1:10" ht="24" customHeight="1">
      <c r="A59" s="242" t="s">
        <v>420</v>
      </c>
      <c r="B59" s="227">
        <v>46508</v>
      </c>
      <c r="C59" s="227">
        <v>46873</v>
      </c>
      <c r="D59" s="228" t="s">
        <v>12</v>
      </c>
      <c r="E59" s="228" t="s">
        <v>4</v>
      </c>
      <c r="F59" s="228" t="s">
        <v>324</v>
      </c>
      <c r="G59" s="209">
        <v>47.58</v>
      </c>
      <c r="H59" s="210"/>
      <c r="I59" s="228" t="str">
        <f t="shared" si="2"/>
        <v>Monatslohn fehlt</v>
      </c>
      <c r="J59" s="250" t="str">
        <f t="shared" si="3"/>
        <v/>
      </c>
    </row>
    <row r="60" spans="1:10" ht="24" customHeight="1">
      <c r="A60" s="242" t="s">
        <v>420</v>
      </c>
      <c r="B60" s="227">
        <v>46508</v>
      </c>
      <c r="C60" s="227">
        <v>46873</v>
      </c>
      <c r="D60" s="228" t="s">
        <v>12</v>
      </c>
      <c r="E60" s="228" t="s">
        <v>4</v>
      </c>
      <c r="F60" s="228" t="s">
        <v>324</v>
      </c>
      <c r="G60" s="209">
        <v>43.25</v>
      </c>
      <c r="H60" s="210"/>
      <c r="I60" s="228" t="str">
        <f t="shared" si="2"/>
        <v>Monatslohn fehlt</v>
      </c>
      <c r="J60" s="250" t="str">
        <f t="shared" si="3"/>
        <v/>
      </c>
    </row>
    <row r="61" spans="1:10" ht="24" customHeight="1">
      <c r="A61" s="242" t="s">
        <v>420</v>
      </c>
      <c r="B61" s="227">
        <v>46508</v>
      </c>
      <c r="C61" s="227">
        <v>46873</v>
      </c>
      <c r="D61" s="228" t="s">
        <v>12</v>
      </c>
      <c r="E61" s="228" t="s">
        <v>4</v>
      </c>
      <c r="F61" s="228" t="s">
        <v>324</v>
      </c>
      <c r="G61" s="209">
        <v>34.6</v>
      </c>
      <c r="H61" s="210"/>
      <c r="I61" s="228" t="str">
        <f t="shared" si="2"/>
        <v>Monatslohn fehlt</v>
      </c>
      <c r="J61" s="250" t="str">
        <f t="shared" si="3"/>
        <v/>
      </c>
    </row>
    <row r="62" spans="1:10" ht="24" customHeight="1">
      <c r="A62" s="242" t="s">
        <v>420</v>
      </c>
      <c r="B62" s="227">
        <v>46508</v>
      </c>
      <c r="C62" s="227">
        <v>46873</v>
      </c>
      <c r="D62" s="228" t="s">
        <v>12</v>
      </c>
      <c r="E62" s="228" t="s">
        <v>4</v>
      </c>
      <c r="F62" s="228" t="s">
        <v>324</v>
      </c>
      <c r="G62" s="209">
        <v>32.01</v>
      </c>
      <c r="H62" s="210"/>
      <c r="I62" s="228" t="str">
        <f t="shared" si="2"/>
        <v>Monatslohn fehlt</v>
      </c>
      <c r="J62" s="250" t="str">
        <f t="shared" si="3"/>
        <v/>
      </c>
    </row>
    <row r="63" spans="1:10" ht="24" customHeight="1">
      <c r="A63" s="242" t="s">
        <v>420</v>
      </c>
      <c r="B63" s="227">
        <v>46508</v>
      </c>
      <c r="C63" s="227">
        <v>46873</v>
      </c>
      <c r="D63" s="228" t="s">
        <v>12</v>
      </c>
      <c r="E63" s="228" t="s">
        <v>4</v>
      </c>
      <c r="F63" s="228" t="s">
        <v>324</v>
      </c>
      <c r="G63" s="209"/>
      <c r="H63" s="210"/>
      <c r="I63" s="228" t="str">
        <f t="shared" si="2"/>
        <v>Werte fehlen</v>
      </c>
      <c r="J63" s="250" t="str">
        <f t="shared" si="3"/>
        <v/>
      </c>
    </row>
    <row r="64" spans="1:10" ht="24" customHeight="1" thickBot="1">
      <c r="A64" s="242" t="s">
        <v>420</v>
      </c>
      <c r="B64" s="227">
        <v>46508</v>
      </c>
      <c r="C64" s="227">
        <v>46873</v>
      </c>
      <c r="D64" s="228" t="s">
        <v>12</v>
      </c>
      <c r="E64" s="228" t="s">
        <v>4</v>
      </c>
      <c r="F64" s="228" t="s">
        <v>324</v>
      </c>
      <c r="G64" s="209"/>
      <c r="H64" s="210"/>
      <c r="I64" s="228" t="str">
        <f t="shared" si="2"/>
        <v>Werte fehlen</v>
      </c>
      <c r="J64" s="250" t="str">
        <f t="shared" si="3"/>
        <v/>
      </c>
    </row>
    <row r="65" spans="1:10" ht="24" customHeight="1">
      <c r="A65" s="244" t="s">
        <v>420</v>
      </c>
      <c r="B65" s="231">
        <v>46508</v>
      </c>
      <c r="C65" s="231">
        <v>46873</v>
      </c>
      <c r="D65" s="232" t="s">
        <v>332</v>
      </c>
      <c r="E65" s="232" t="s">
        <v>13</v>
      </c>
      <c r="F65" s="232" t="s">
        <v>321</v>
      </c>
      <c r="G65" s="213">
        <v>173</v>
      </c>
      <c r="H65" s="214"/>
      <c r="I65" s="232" t="str">
        <f t="shared" si="2"/>
        <v>Monatslohn fehlt</v>
      </c>
      <c r="J65" s="252" t="str">
        <f t="shared" si="3"/>
        <v/>
      </c>
    </row>
    <row r="66" spans="1:10" ht="24" customHeight="1">
      <c r="A66" s="245" t="s">
        <v>420</v>
      </c>
      <c r="B66" s="233">
        <v>46508</v>
      </c>
      <c r="C66" s="233">
        <v>46873</v>
      </c>
      <c r="D66" s="234" t="s">
        <v>332</v>
      </c>
      <c r="E66" s="234" t="s">
        <v>13</v>
      </c>
      <c r="F66" s="234" t="s">
        <v>321</v>
      </c>
      <c r="G66" s="215">
        <v>151.38</v>
      </c>
      <c r="H66" s="216"/>
      <c r="I66" s="234" t="str">
        <f t="shared" si="2"/>
        <v>Monatslohn fehlt</v>
      </c>
      <c r="J66" s="253" t="str">
        <f t="shared" si="3"/>
        <v/>
      </c>
    </row>
    <row r="67" spans="1:10" ht="24" customHeight="1">
      <c r="A67" s="245" t="s">
        <v>420</v>
      </c>
      <c r="B67" s="233">
        <v>46508</v>
      </c>
      <c r="C67" s="233">
        <v>46873</v>
      </c>
      <c r="D67" s="234" t="s">
        <v>332</v>
      </c>
      <c r="E67" s="234" t="s">
        <v>13</v>
      </c>
      <c r="F67" s="234" t="s">
        <v>321</v>
      </c>
      <c r="G67" s="215">
        <v>138.4</v>
      </c>
      <c r="H67" s="216"/>
      <c r="I67" s="234" t="str">
        <f t="shared" si="2"/>
        <v>Monatslohn fehlt</v>
      </c>
      <c r="J67" s="253" t="str">
        <f t="shared" si="3"/>
        <v/>
      </c>
    </row>
    <row r="68" spans="1:10" ht="24" customHeight="1">
      <c r="A68" s="245" t="s">
        <v>420</v>
      </c>
      <c r="B68" s="233">
        <v>46508</v>
      </c>
      <c r="C68" s="233">
        <v>46873</v>
      </c>
      <c r="D68" s="234" t="s">
        <v>332</v>
      </c>
      <c r="E68" s="234" t="s">
        <v>13</v>
      </c>
      <c r="F68" s="234" t="s">
        <v>321</v>
      </c>
      <c r="G68" s="215">
        <v>129.75</v>
      </c>
      <c r="H68" s="216"/>
      <c r="I68" s="234" t="str">
        <f t="shared" si="2"/>
        <v>Monatslohn fehlt</v>
      </c>
      <c r="J68" s="253" t="str">
        <f t="shared" si="3"/>
        <v/>
      </c>
    </row>
    <row r="69" spans="1:10" ht="24" customHeight="1">
      <c r="A69" s="245" t="s">
        <v>420</v>
      </c>
      <c r="B69" s="233">
        <v>46508</v>
      </c>
      <c r="C69" s="233">
        <v>46873</v>
      </c>
      <c r="D69" s="234" t="s">
        <v>332</v>
      </c>
      <c r="E69" s="234" t="s">
        <v>13</v>
      </c>
      <c r="F69" s="234" t="s">
        <v>321</v>
      </c>
      <c r="G69" s="215">
        <v>108.13</v>
      </c>
      <c r="H69" s="216"/>
      <c r="I69" s="234" t="str">
        <f t="shared" ref="I69:I100" si="4">IF($A69="","",IF(OR($B69="",$C69="",$D69="",$E69="",$F69=""),"Stammdaten fehlen",IF(AND($G69="",$H69=""),"Werte fehlen",IF($G69="","Monatsstunden fehlen",IF($H69="","Monatslohn fehlt","OK")))))</f>
        <v>Monatslohn fehlt</v>
      </c>
      <c r="J69" s="253" t="str">
        <f t="shared" ref="J69:J100" si="5">IF($G69="","",IF(COUNTIFS($A:$A,$A69,$D:$D,$D69,$G:$G,$G69)&gt;1,"Doppelte Monatsstunden",""))</f>
        <v/>
      </c>
    </row>
    <row r="70" spans="1:10" ht="24" customHeight="1">
      <c r="A70" s="245" t="s">
        <v>420</v>
      </c>
      <c r="B70" s="233">
        <v>46508</v>
      </c>
      <c r="C70" s="233">
        <v>46873</v>
      </c>
      <c r="D70" s="234" t="s">
        <v>332</v>
      </c>
      <c r="E70" s="234" t="s">
        <v>13</v>
      </c>
      <c r="F70" s="234" t="s">
        <v>321</v>
      </c>
      <c r="G70" s="215">
        <v>103.8</v>
      </c>
      <c r="H70" s="216"/>
      <c r="I70" s="234" t="str">
        <f t="shared" si="4"/>
        <v>Monatslohn fehlt</v>
      </c>
      <c r="J70" s="253" t="str">
        <f t="shared" si="5"/>
        <v/>
      </c>
    </row>
    <row r="71" spans="1:10" ht="24" customHeight="1">
      <c r="A71" s="245" t="s">
        <v>420</v>
      </c>
      <c r="B71" s="233">
        <v>46508</v>
      </c>
      <c r="C71" s="233">
        <v>46873</v>
      </c>
      <c r="D71" s="234" t="s">
        <v>332</v>
      </c>
      <c r="E71" s="234" t="s">
        <v>13</v>
      </c>
      <c r="F71" s="234" t="s">
        <v>321</v>
      </c>
      <c r="G71" s="215">
        <v>86.5</v>
      </c>
      <c r="H71" s="216"/>
      <c r="I71" s="234" t="str">
        <f t="shared" si="4"/>
        <v>Monatslohn fehlt</v>
      </c>
      <c r="J71" s="253" t="str">
        <f t="shared" si="5"/>
        <v/>
      </c>
    </row>
    <row r="72" spans="1:10" ht="24" customHeight="1">
      <c r="A72" s="245" t="s">
        <v>420</v>
      </c>
      <c r="B72" s="233">
        <v>46508</v>
      </c>
      <c r="C72" s="233">
        <v>46873</v>
      </c>
      <c r="D72" s="234" t="s">
        <v>332</v>
      </c>
      <c r="E72" s="234" t="s">
        <v>13</v>
      </c>
      <c r="F72" s="234" t="s">
        <v>321</v>
      </c>
      <c r="G72" s="215">
        <v>69.2</v>
      </c>
      <c r="H72" s="216"/>
      <c r="I72" s="234" t="str">
        <f t="shared" si="4"/>
        <v>Monatslohn fehlt</v>
      </c>
      <c r="J72" s="253" t="str">
        <f t="shared" si="5"/>
        <v/>
      </c>
    </row>
    <row r="73" spans="1:10" ht="24" customHeight="1">
      <c r="A73" s="245" t="s">
        <v>420</v>
      </c>
      <c r="B73" s="233">
        <v>46508</v>
      </c>
      <c r="C73" s="233">
        <v>46873</v>
      </c>
      <c r="D73" s="234" t="s">
        <v>332</v>
      </c>
      <c r="E73" s="234" t="s">
        <v>13</v>
      </c>
      <c r="F73" s="234" t="s">
        <v>321</v>
      </c>
      <c r="G73" s="215">
        <v>51.9</v>
      </c>
      <c r="H73" s="216"/>
      <c r="I73" s="234" t="str">
        <f t="shared" si="4"/>
        <v>Monatslohn fehlt</v>
      </c>
      <c r="J73" s="253" t="str">
        <f t="shared" si="5"/>
        <v/>
      </c>
    </row>
    <row r="74" spans="1:10" ht="24" customHeight="1">
      <c r="A74" s="245" t="s">
        <v>420</v>
      </c>
      <c r="B74" s="233">
        <v>46508</v>
      </c>
      <c r="C74" s="233">
        <v>46873</v>
      </c>
      <c r="D74" s="234" t="s">
        <v>332</v>
      </c>
      <c r="E74" s="234" t="s">
        <v>13</v>
      </c>
      <c r="F74" s="234" t="s">
        <v>321</v>
      </c>
      <c r="G74" s="215">
        <v>47.58</v>
      </c>
      <c r="H74" s="216"/>
      <c r="I74" s="234" t="str">
        <f t="shared" si="4"/>
        <v>Monatslohn fehlt</v>
      </c>
      <c r="J74" s="253" t="str">
        <f t="shared" si="5"/>
        <v/>
      </c>
    </row>
    <row r="75" spans="1:10" ht="24" customHeight="1">
      <c r="A75" s="245" t="s">
        <v>420</v>
      </c>
      <c r="B75" s="233">
        <v>46508</v>
      </c>
      <c r="C75" s="233">
        <v>46873</v>
      </c>
      <c r="D75" s="234" t="s">
        <v>332</v>
      </c>
      <c r="E75" s="234" t="s">
        <v>13</v>
      </c>
      <c r="F75" s="234" t="s">
        <v>321</v>
      </c>
      <c r="G75" s="215">
        <v>43.25</v>
      </c>
      <c r="H75" s="216"/>
      <c r="I75" s="234" t="str">
        <f t="shared" si="4"/>
        <v>Monatslohn fehlt</v>
      </c>
      <c r="J75" s="253" t="str">
        <f t="shared" si="5"/>
        <v/>
      </c>
    </row>
    <row r="76" spans="1:10" ht="24" customHeight="1">
      <c r="A76" s="245" t="s">
        <v>420</v>
      </c>
      <c r="B76" s="233">
        <v>46508</v>
      </c>
      <c r="C76" s="233">
        <v>46873</v>
      </c>
      <c r="D76" s="234" t="s">
        <v>332</v>
      </c>
      <c r="E76" s="234" t="s">
        <v>13</v>
      </c>
      <c r="F76" s="234" t="s">
        <v>321</v>
      </c>
      <c r="G76" s="215">
        <v>34.6</v>
      </c>
      <c r="H76" s="216"/>
      <c r="I76" s="234" t="str">
        <f t="shared" si="4"/>
        <v>Monatslohn fehlt</v>
      </c>
      <c r="J76" s="253" t="str">
        <f t="shared" si="5"/>
        <v/>
      </c>
    </row>
    <row r="77" spans="1:10" ht="24" customHeight="1">
      <c r="A77" s="245" t="s">
        <v>420</v>
      </c>
      <c r="B77" s="233">
        <v>46508</v>
      </c>
      <c r="C77" s="233">
        <v>46873</v>
      </c>
      <c r="D77" s="234" t="s">
        <v>332</v>
      </c>
      <c r="E77" s="234" t="s">
        <v>13</v>
      </c>
      <c r="F77" s="234" t="s">
        <v>321</v>
      </c>
      <c r="G77" s="215">
        <v>32.01</v>
      </c>
      <c r="H77" s="216"/>
      <c r="I77" s="234" t="str">
        <f t="shared" si="4"/>
        <v>Monatslohn fehlt</v>
      </c>
      <c r="J77" s="253" t="str">
        <f t="shared" si="5"/>
        <v/>
      </c>
    </row>
    <row r="78" spans="1:10" ht="24" customHeight="1">
      <c r="A78" s="245" t="s">
        <v>420</v>
      </c>
      <c r="B78" s="233">
        <v>46508</v>
      </c>
      <c r="C78" s="233">
        <v>46873</v>
      </c>
      <c r="D78" s="234" t="s">
        <v>332</v>
      </c>
      <c r="E78" s="234" t="s">
        <v>13</v>
      </c>
      <c r="F78" s="234" t="s">
        <v>321</v>
      </c>
      <c r="G78" s="215"/>
      <c r="H78" s="216"/>
      <c r="I78" s="234" t="str">
        <f t="shared" si="4"/>
        <v>Werte fehlen</v>
      </c>
      <c r="J78" s="253" t="str">
        <f t="shared" si="5"/>
        <v/>
      </c>
    </row>
    <row r="79" spans="1:10" ht="24" customHeight="1" thickBot="1">
      <c r="A79" s="245" t="s">
        <v>420</v>
      </c>
      <c r="B79" s="233">
        <v>46508</v>
      </c>
      <c r="C79" s="233">
        <v>46873</v>
      </c>
      <c r="D79" s="234" t="s">
        <v>332</v>
      </c>
      <c r="E79" s="234" t="s">
        <v>13</v>
      </c>
      <c r="F79" s="234" t="s">
        <v>321</v>
      </c>
      <c r="G79" s="215"/>
      <c r="H79" s="216"/>
      <c r="I79" s="234" t="str">
        <f t="shared" si="4"/>
        <v>Werte fehlen</v>
      </c>
      <c r="J79" s="253" t="str">
        <f t="shared" si="5"/>
        <v/>
      </c>
    </row>
    <row r="80" spans="1:10" ht="24" customHeight="1">
      <c r="A80" s="244" t="s">
        <v>420</v>
      </c>
      <c r="B80" s="231">
        <v>46508</v>
      </c>
      <c r="C80" s="231">
        <v>46873</v>
      </c>
      <c r="D80" s="232" t="s">
        <v>15</v>
      </c>
      <c r="E80" s="232" t="s">
        <v>13</v>
      </c>
      <c r="F80" s="232" t="s">
        <v>322</v>
      </c>
      <c r="G80" s="213">
        <v>173</v>
      </c>
      <c r="H80" s="214"/>
      <c r="I80" s="232" t="str">
        <f t="shared" si="4"/>
        <v>Monatslohn fehlt</v>
      </c>
      <c r="J80" s="252" t="str">
        <f t="shared" si="5"/>
        <v/>
      </c>
    </row>
    <row r="81" spans="1:10" ht="24" customHeight="1">
      <c r="A81" s="245" t="s">
        <v>420</v>
      </c>
      <c r="B81" s="233">
        <v>46508</v>
      </c>
      <c r="C81" s="233">
        <v>46873</v>
      </c>
      <c r="D81" s="234" t="s">
        <v>15</v>
      </c>
      <c r="E81" s="234" t="s">
        <v>13</v>
      </c>
      <c r="F81" s="234" t="s">
        <v>322</v>
      </c>
      <c r="G81" s="215">
        <v>151.38</v>
      </c>
      <c r="H81" s="216"/>
      <c r="I81" s="234" t="str">
        <f t="shared" si="4"/>
        <v>Monatslohn fehlt</v>
      </c>
      <c r="J81" s="253" t="str">
        <f t="shared" si="5"/>
        <v/>
      </c>
    </row>
    <row r="82" spans="1:10" ht="24" customHeight="1">
      <c r="A82" s="245" t="s">
        <v>420</v>
      </c>
      <c r="B82" s="233">
        <v>46508</v>
      </c>
      <c r="C82" s="233">
        <v>46873</v>
      </c>
      <c r="D82" s="234" t="s">
        <v>15</v>
      </c>
      <c r="E82" s="234" t="s">
        <v>13</v>
      </c>
      <c r="F82" s="234" t="s">
        <v>322</v>
      </c>
      <c r="G82" s="215">
        <v>138.4</v>
      </c>
      <c r="H82" s="216"/>
      <c r="I82" s="234" t="str">
        <f t="shared" si="4"/>
        <v>Monatslohn fehlt</v>
      </c>
      <c r="J82" s="253" t="str">
        <f t="shared" si="5"/>
        <v/>
      </c>
    </row>
    <row r="83" spans="1:10" ht="24" customHeight="1">
      <c r="A83" s="245" t="s">
        <v>420</v>
      </c>
      <c r="B83" s="233">
        <v>46508</v>
      </c>
      <c r="C83" s="233">
        <v>46873</v>
      </c>
      <c r="D83" s="234" t="s">
        <v>15</v>
      </c>
      <c r="E83" s="234" t="s">
        <v>13</v>
      </c>
      <c r="F83" s="234" t="s">
        <v>322</v>
      </c>
      <c r="G83" s="215">
        <v>129.75</v>
      </c>
      <c r="H83" s="216"/>
      <c r="I83" s="234" t="str">
        <f t="shared" si="4"/>
        <v>Monatslohn fehlt</v>
      </c>
      <c r="J83" s="253" t="str">
        <f t="shared" si="5"/>
        <v/>
      </c>
    </row>
    <row r="84" spans="1:10" ht="24" customHeight="1">
      <c r="A84" s="245" t="s">
        <v>420</v>
      </c>
      <c r="B84" s="233">
        <v>46508</v>
      </c>
      <c r="C84" s="233">
        <v>46873</v>
      </c>
      <c r="D84" s="234" t="s">
        <v>15</v>
      </c>
      <c r="E84" s="234" t="s">
        <v>13</v>
      </c>
      <c r="F84" s="234" t="s">
        <v>322</v>
      </c>
      <c r="G84" s="215">
        <v>108.13</v>
      </c>
      <c r="H84" s="216"/>
      <c r="I84" s="234" t="str">
        <f t="shared" si="4"/>
        <v>Monatslohn fehlt</v>
      </c>
      <c r="J84" s="253" t="str">
        <f t="shared" si="5"/>
        <v/>
      </c>
    </row>
    <row r="85" spans="1:10" ht="24" customHeight="1">
      <c r="A85" s="245" t="s">
        <v>420</v>
      </c>
      <c r="B85" s="233">
        <v>46508</v>
      </c>
      <c r="C85" s="233">
        <v>46873</v>
      </c>
      <c r="D85" s="234" t="s">
        <v>15</v>
      </c>
      <c r="E85" s="234" t="s">
        <v>13</v>
      </c>
      <c r="F85" s="234" t="s">
        <v>322</v>
      </c>
      <c r="G85" s="215">
        <v>103.8</v>
      </c>
      <c r="H85" s="216"/>
      <c r="I85" s="234" t="str">
        <f t="shared" si="4"/>
        <v>Monatslohn fehlt</v>
      </c>
      <c r="J85" s="253" t="str">
        <f t="shared" si="5"/>
        <v/>
      </c>
    </row>
    <row r="86" spans="1:10" ht="24" customHeight="1">
      <c r="A86" s="245" t="s">
        <v>420</v>
      </c>
      <c r="B86" s="233">
        <v>46508</v>
      </c>
      <c r="C86" s="233">
        <v>46873</v>
      </c>
      <c r="D86" s="234" t="s">
        <v>15</v>
      </c>
      <c r="E86" s="234" t="s">
        <v>13</v>
      </c>
      <c r="F86" s="234" t="s">
        <v>322</v>
      </c>
      <c r="G86" s="215">
        <v>86.5</v>
      </c>
      <c r="H86" s="216"/>
      <c r="I86" s="234" t="str">
        <f t="shared" si="4"/>
        <v>Monatslohn fehlt</v>
      </c>
      <c r="J86" s="253" t="str">
        <f t="shared" si="5"/>
        <v/>
      </c>
    </row>
    <row r="87" spans="1:10" ht="24" customHeight="1">
      <c r="A87" s="245" t="s">
        <v>420</v>
      </c>
      <c r="B87" s="233">
        <v>46508</v>
      </c>
      <c r="C87" s="233">
        <v>46873</v>
      </c>
      <c r="D87" s="234" t="s">
        <v>15</v>
      </c>
      <c r="E87" s="234" t="s">
        <v>13</v>
      </c>
      <c r="F87" s="234" t="s">
        <v>322</v>
      </c>
      <c r="G87" s="215">
        <v>69.2</v>
      </c>
      <c r="H87" s="216"/>
      <c r="I87" s="234" t="str">
        <f t="shared" si="4"/>
        <v>Monatslohn fehlt</v>
      </c>
      <c r="J87" s="253" t="str">
        <f t="shared" si="5"/>
        <v/>
      </c>
    </row>
    <row r="88" spans="1:10" ht="24" customHeight="1">
      <c r="A88" s="245" t="s">
        <v>420</v>
      </c>
      <c r="B88" s="233">
        <v>46508</v>
      </c>
      <c r="C88" s="233">
        <v>46873</v>
      </c>
      <c r="D88" s="234" t="s">
        <v>15</v>
      </c>
      <c r="E88" s="234" t="s">
        <v>13</v>
      </c>
      <c r="F88" s="234" t="s">
        <v>322</v>
      </c>
      <c r="G88" s="215">
        <v>51.9</v>
      </c>
      <c r="H88" s="216"/>
      <c r="I88" s="234" t="str">
        <f t="shared" si="4"/>
        <v>Monatslohn fehlt</v>
      </c>
      <c r="J88" s="253" t="str">
        <f t="shared" si="5"/>
        <v/>
      </c>
    </row>
    <row r="89" spans="1:10" ht="24" customHeight="1">
      <c r="A89" s="245" t="s">
        <v>420</v>
      </c>
      <c r="B89" s="233">
        <v>46508</v>
      </c>
      <c r="C89" s="233">
        <v>46873</v>
      </c>
      <c r="D89" s="234" t="s">
        <v>15</v>
      </c>
      <c r="E89" s="234" t="s">
        <v>13</v>
      </c>
      <c r="F89" s="234" t="s">
        <v>322</v>
      </c>
      <c r="G89" s="215">
        <v>47.58</v>
      </c>
      <c r="H89" s="216"/>
      <c r="I89" s="234" t="str">
        <f t="shared" si="4"/>
        <v>Monatslohn fehlt</v>
      </c>
      <c r="J89" s="253" t="str">
        <f t="shared" si="5"/>
        <v/>
      </c>
    </row>
    <row r="90" spans="1:10" ht="24" customHeight="1">
      <c r="A90" s="245" t="s">
        <v>420</v>
      </c>
      <c r="B90" s="233">
        <v>46508</v>
      </c>
      <c r="C90" s="233">
        <v>46873</v>
      </c>
      <c r="D90" s="234" t="s">
        <v>15</v>
      </c>
      <c r="E90" s="234" t="s">
        <v>13</v>
      </c>
      <c r="F90" s="234" t="s">
        <v>322</v>
      </c>
      <c r="G90" s="215">
        <v>43.25</v>
      </c>
      <c r="H90" s="216"/>
      <c r="I90" s="234" t="str">
        <f t="shared" si="4"/>
        <v>Monatslohn fehlt</v>
      </c>
      <c r="J90" s="253" t="str">
        <f t="shared" si="5"/>
        <v/>
      </c>
    </row>
    <row r="91" spans="1:10" ht="24" customHeight="1">
      <c r="A91" s="245" t="s">
        <v>420</v>
      </c>
      <c r="B91" s="233">
        <v>46508</v>
      </c>
      <c r="C91" s="233">
        <v>46873</v>
      </c>
      <c r="D91" s="234" t="s">
        <v>15</v>
      </c>
      <c r="E91" s="234" t="s">
        <v>13</v>
      </c>
      <c r="F91" s="234" t="s">
        <v>322</v>
      </c>
      <c r="G91" s="215">
        <v>34.6</v>
      </c>
      <c r="H91" s="216"/>
      <c r="I91" s="234" t="str">
        <f t="shared" si="4"/>
        <v>Monatslohn fehlt</v>
      </c>
      <c r="J91" s="253" t="str">
        <f t="shared" si="5"/>
        <v/>
      </c>
    </row>
    <row r="92" spans="1:10" ht="24" customHeight="1">
      <c r="A92" s="245" t="s">
        <v>420</v>
      </c>
      <c r="B92" s="233">
        <v>46508</v>
      </c>
      <c r="C92" s="233">
        <v>46873</v>
      </c>
      <c r="D92" s="234" t="s">
        <v>15</v>
      </c>
      <c r="E92" s="234" t="s">
        <v>13</v>
      </c>
      <c r="F92" s="234" t="s">
        <v>322</v>
      </c>
      <c r="G92" s="215">
        <v>32.01</v>
      </c>
      <c r="H92" s="216"/>
      <c r="I92" s="234" t="str">
        <f t="shared" si="4"/>
        <v>Monatslohn fehlt</v>
      </c>
      <c r="J92" s="253" t="str">
        <f t="shared" si="5"/>
        <v/>
      </c>
    </row>
    <row r="93" spans="1:10" ht="24" customHeight="1">
      <c r="A93" s="245" t="s">
        <v>420</v>
      </c>
      <c r="B93" s="233">
        <v>46508</v>
      </c>
      <c r="C93" s="233">
        <v>46873</v>
      </c>
      <c r="D93" s="234" t="s">
        <v>15</v>
      </c>
      <c r="E93" s="234" t="s">
        <v>13</v>
      </c>
      <c r="F93" s="234" t="s">
        <v>322</v>
      </c>
      <c r="G93" s="215"/>
      <c r="H93" s="216"/>
      <c r="I93" s="234" t="str">
        <f t="shared" si="4"/>
        <v>Werte fehlen</v>
      </c>
      <c r="J93" s="253" t="str">
        <f t="shared" si="5"/>
        <v/>
      </c>
    </row>
    <row r="94" spans="1:10" ht="24" customHeight="1" thickBot="1">
      <c r="A94" s="245" t="s">
        <v>420</v>
      </c>
      <c r="B94" s="233">
        <v>46508</v>
      </c>
      <c r="C94" s="233">
        <v>46873</v>
      </c>
      <c r="D94" s="234" t="s">
        <v>15</v>
      </c>
      <c r="E94" s="234" t="s">
        <v>13</v>
      </c>
      <c r="F94" s="234" t="s">
        <v>322</v>
      </c>
      <c r="G94" s="215"/>
      <c r="H94" s="216"/>
      <c r="I94" s="234" t="str">
        <f t="shared" si="4"/>
        <v>Werte fehlen</v>
      </c>
      <c r="J94" s="253" t="str">
        <f t="shared" si="5"/>
        <v/>
      </c>
    </row>
    <row r="95" spans="1:10" ht="24" customHeight="1">
      <c r="A95" s="244" t="s">
        <v>420</v>
      </c>
      <c r="B95" s="231">
        <v>46508</v>
      </c>
      <c r="C95" s="231">
        <v>46873</v>
      </c>
      <c r="D95" s="232" t="s">
        <v>17</v>
      </c>
      <c r="E95" s="232" t="s">
        <v>13</v>
      </c>
      <c r="F95" s="232" t="s">
        <v>323</v>
      </c>
      <c r="G95" s="213">
        <v>173</v>
      </c>
      <c r="H95" s="214"/>
      <c r="I95" s="232" t="str">
        <f t="shared" si="4"/>
        <v>Monatslohn fehlt</v>
      </c>
      <c r="J95" s="252" t="str">
        <f t="shared" si="5"/>
        <v/>
      </c>
    </row>
    <row r="96" spans="1:10" ht="24" customHeight="1">
      <c r="A96" s="245" t="s">
        <v>420</v>
      </c>
      <c r="B96" s="233">
        <v>46508</v>
      </c>
      <c r="C96" s="233">
        <v>46873</v>
      </c>
      <c r="D96" s="234" t="s">
        <v>17</v>
      </c>
      <c r="E96" s="234" t="s">
        <v>13</v>
      </c>
      <c r="F96" s="234" t="s">
        <v>323</v>
      </c>
      <c r="G96" s="215">
        <v>151.38</v>
      </c>
      <c r="H96" s="216"/>
      <c r="I96" s="234" t="str">
        <f t="shared" si="4"/>
        <v>Monatslohn fehlt</v>
      </c>
      <c r="J96" s="253" t="str">
        <f t="shared" si="5"/>
        <v/>
      </c>
    </row>
    <row r="97" spans="1:10" ht="24" customHeight="1">
      <c r="A97" s="245" t="s">
        <v>420</v>
      </c>
      <c r="B97" s="233">
        <v>46508</v>
      </c>
      <c r="C97" s="233">
        <v>46873</v>
      </c>
      <c r="D97" s="234" t="s">
        <v>17</v>
      </c>
      <c r="E97" s="234" t="s">
        <v>13</v>
      </c>
      <c r="F97" s="234" t="s">
        <v>323</v>
      </c>
      <c r="G97" s="215">
        <v>138.4</v>
      </c>
      <c r="H97" s="216"/>
      <c r="I97" s="234" t="str">
        <f t="shared" si="4"/>
        <v>Monatslohn fehlt</v>
      </c>
      <c r="J97" s="253" t="str">
        <f t="shared" si="5"/>
        <v/>
      </c>
    </row>
    <row r="98" spans="1:10" ht="24" customHeight="1">
      <c r="A98" s="245" t="s">
        <v>420</v>
      </c>
      <c r="B98" s="233">
        <v>46508</v>
      </c>
      <c r="C98" s="233">
        <v>46873</v>
      </c>
      <c r="D98" s="234" t="s">
        <v>17</v>
      </c>
      <c r="E98" s="234" t="s">
        <v>13</v>
      </c>
      <c r="F98" s="234" t="s">
        <v>323</v>
      </c>
      <c r="G98" s="215">
        <v>129.75</v>
      </c>
      <c r="H98" s="216"/>
      <c r="I98" s="234" t="str">
        <f t="shared" si="4"/>
        <v>Monatslohn fehlt</v>
      </c>
      <c r="J98" s="253" t="str">
        <f t="shared" si="5"/>
        <v/>
      </c>
    </row>
    <row r="99" spans="1:10" ht="24" customHeight="1">
      <c r="A99" s="245" t="s">
        <v>420</v>
      </c>
      <c r="B99" s="233">
        <v>46508</v>
      </c>
      <c r="C99" s="233">
        <v>46873</v>
      </c>
      <c r="D99" s="234" t="s">
        <v>17</v>
      </c>
      <c r="E99" s="234" t="s">
        <v>13</v>
      </c>
      <c r="F99" s="234" t="s">
        <v>323</v>
      </c>
      <c r="G99" s="215">
        <v>108.13</v>
      </c>
      <c r="H99" s="216"/>
      <c r="I99" s="234" t="str">
        <f t="shared" si="4"/>
        <v>Monatslohn fehlt</v>
      </c>
      <c r="J99" s="253" t="str">
        <f t="shared" si="5"/>
        <v/>
      </c>
    </row>
    <row r="100" spans="1:10" ht="24" customHeight="1">
      <c r="A100" s="245" t="s">
        <v>420</v>
      </c>
      <c r="B100" s="233">
        <v>46508</v>
      </c>
      <c r="C100" s="233">
        <v>46873</v>
      </c>
      <c r="D100" s="234" t="s">
        <v>17</v>
      </c>
      <c r="E100" s="234" t="s">
        <v>13</v>
      </c>
      <c r="F100" s="234" t="s">
        <v>323</v>
      </c>
      <c r="G100" s="215">
        <v>103.8</v>
      </c>
      <c r="H100" s="216"/>
      <c r="I100" s="234" t="str">
        <f t="shared" si="4"/>
        <v>Monatslohn fehlt</v>
      </c>
      <c r="J100" s="253" t="str">
        <f t="shared" si="5"/>
        <v/>
      </c>
    </row>
    <row r="101" spans="1:10" ht="24" customHeight="1">
      <c r="A101" s="245" t="s">
        <v>420</v>
      </c>
      <c r="B101" s="233">
        <v>46508</v>
      </c>
      <c r="C101" s="233">
        <v>46873</v>
      </c>
      <c r="D101" s="234" t="s">
        <v>17</v>
      </c>
      <c r="E101" s="234" t="s">
        <v>13</v>
      </c>
      <c r="F101" s="234" t="s">
        <v>323</v>
      </c>
      <c r="G101" s="215">
        <v>86.5</v>
      </c>
      <c r="H101" s="216"/>
      <c r="I101" s="234" t="str">
        <f t="shared" ref="I101:I132" si="6">IF($A101="","",IF(OR($B101="",$C101="",$D101="",$E101="",$F101=""),"Stammdaten fehlen",IF(AND($G101="",$H101=""),"Werte fehlen",IF($G101="","Monatsstunden fehlen",IF($H101="","Monatslohn fehlt","OK")))))</f>
        <v>Monatslohn fehlt</v>
      </c>
      <c r="J101" s="253" t="str">
        <f t="shared" ref="J101:J132" si="7">IF($G101="","",IF(COUNTIFS($A:$A,$A101,$D:$D,$D101,$G:$G,$G101)&gt;1,"Doppelte Monatsstunden",""))</f>
        <v/>
      </c>
    </row>
    <row r="102" spans="1:10" ht="24" customHeight="1">
      <c r="A102" s="245" t="s">
        <v>420</v>
      </c>
      <c r="B102" s="233">
        <v>46508</v>
      </c>
      <c r="C102" s="233">
        <v>46873</v>
      </c>
      <c r="D102" s="234" t="s">
        <v>17</v>
      </c>
      <c r="E102" s="234" t="s">
        <v>13</v>
      </c>
      <c r="F102" s="234" t="s">
        <v>323</v>
      </c>
      <c r="G102" s="215">
        <v>69.2</v>
      </c>
      <c r="H102" s="216"/>
      <c r="I102" s="234" t="str">
        <f t="shared" si="6"/>
        <v>Monatslohn fehlt</v>
      </c>
      <c r="J102" s="253" t="str">
        <f t="shared" si="7"/>
        <v/>
      </c>
    </row>
    <row r="103" spans="1:10" ht="24" customHeight="1">
      <c r="A103" s="245" t="s">
        <v>420</v>
      </c>
      <c r="B103" s="233">
        <v>46508</v>
      </c>
      <c r="C103" s="233">
        <v>46873</v>
      </c>
      <c r="D103" s="234" t="s">
        <v>17</v>
      </c>
      <c r="E103" s="234" t="s">
        <v>13</v>
      </c>
      <c r="F103" s="234" t="s">
        <v>323</v>
      </c>
      <c r="G103" s="215">
        <v>51.9</v>
      </c>
      <c r="H103" s="216"/>
      <c r="I103" s="234" t="str">
        <f t="shared" si="6"/>
        <v>Monatslohn fehlt</v>
      </c>
      <c r="J103" s="253" t="str">
        <f t="shared" si="7"/>
        <v/>
      </c>
    </row>
    <row r="104" spans="1:10" ht="24" customHeight="1">
      <c r="A104" s="245" t="s">
        <v>420</v>
      </c>
      <c r="B104" s="233">
        <v>46508</v>
      </c>
      <c r="C104" s="233">
        <v>46873</v>
      </c>
      <c r="D104" s="234" t="s">
        <v>17</v>
      </c>
      <c r="E104" s="234" t="s">
        <v>13</v>
      </c>
      <c r="F104" s="234" t="s">
        <v>323</v>
      </c>
      <c r="G104" s="215">
        <v>47.58</v>
      </c>
      <c r="H104" s="216"/>
      <c r="I104" s="234" t="str">
        <f t="shared" si="6"/>
        <v>Monatslohn fehlt</v>
      </c>
      <c r="J104" s="253" t="str">
        <f t="shared" si="7"/>
        <v/>
      </c>
    </row>
    <row r="105" spans="1:10" ht="24" customHeight="1">
      <c r="A105" s="245" t="s">
        <v>420</v>
      </c>
      <c r="B105" s="233">
        <v>46508</v>
      </c>
      <c r="C105" s="233">
        <v>46873</v>
      </c>
      <c r="D105" s="234" t="s">
        <v>17</v>
      </c>
      <c r="E105" s="234" t="s">
        <v>13</v>
      </c>
      <c r="F105" s="234" t="s">
        <v>323</v>
      </c>
      <c r="G105" s="215">
        <v>43.25</v>
      </c>
      <c r="H105" s="216"/>
      <c r="I105" s="234" t="str">
        <f t="shared" si="6"/>
        <v>Monatslohn fehlt</v>
      </c>
      <c r="J105" s="253" t="str">
        <f t="shared" si="7"/>
        <v/>
      </c>
    </row>
    <row r="106" spans="1:10" ht="24" customHeight="1">
      <c r="A106" s="245" t="s">
        <v>420</v>
      </c>
      <c r="B106" s="233">
        <v>46508</v>
      </c>
      <c r="C106" s="233">
        <v>46873</v>
      </c>
      <c r="D106" s="234" t="s">
        <v>17</v>
      </c>
      <c r="E106" s="234" t="s">
        <v>13</v>
      </c>
      <c r="F106" s="234" t="s">
        <v>323</v>
      </c>
      <c r="G106" s="215">
        <v>34.6</v>
      </c>
      <c r="H106" s="216"/>
      <c r="I106" s="234" t="str">
        <f t="shared" si="6"/>
        <v>Monatslohn fehlt</v>
      </c>
      <c r="J106" s="253" t="str">
        <f t="shared" si="7"/>
        <v/>
      </c>
    </row>
    <row r="107" spans="1:10" ht="24" customHeight="1">
      <c r="A107" s="245" t="s">
        <v>420</v>
      </c>
      <c r="B107" s="233">
        <v>46508</v>
      </c>
      <c r="C107" s="233">
        <v>46873</v>
      </c>
      <c r="D107" s="234" t="s">
        <v>17</v>
      </c>
      <c r="E107" s="234" t="s">
        <v>13</v>
      </c>
      <c r="F107" s="234" t="s">
        <v>323</v>
      </c>
      <c r="G107" s="215">
        <v>32.01</v>
      </c>
      <c r="H107" s="216"/>
      <c r="I107" s="234" t="str">
        <f t="shared" si="6"/>
        <v>Monatslohn fehlt</v>
      </c>
      <c r="J107" s="253" t="str">
        <f t="shared" si="7"/>
        <v/>
      </c>
    </row>
    <row r="108" spans="1:10" ht="24" customHeight="1">
      <c r="A108" s="245" t="s">
        <v>420</v>
      </c>
      <c r="B108" s="233">
        <v>46508</v>
      </c>
      <c r="C108" s="233">
        <v>46873</v>
      </c>
      <c r="D108" s="234" t="s">
        <v>17</v>
      </c>
      <c r="E108" s="234" t="s">
        <v>13</v>
      </c>
      <c r="F108" s="234" t="s">
        <v>323</v>
      </c>
      <c r="G108" s="215"/>
      <c r="H108" s="216"/>
      <c r="I108" s="234" t="str">
        <f t="shared" si="6"/>
        <v>Werte fehlen</v>
      </c>
      <c r="J108" s="253" t="str">
        <f t="shared" si="7"/>
        <v/>
      </c>
    </row>
    <row r="109" spans="1:10" ht="24" customHeight="1" thickBot="1">
      <c r="A109" s="245" t="s">
        <v>420</v>
      </c>
      <c r="B109" s="233">
        <v>46508</v>
      </c>
      <c r="C109" s="233">
        <v>46873</v>
      </c>
      <c r="D109" s="234" t="s">
        <v>17</v>
      </c>
      <c r="E109" s="234" t="s">
        <v>13</v>
      </c>
      <c r="F109" s="234" t="s">
        <v>323</v>
      </c>
      <c r="G109" s="215"/>
      <c r="H109" s="216"/>
      <c r="I109" s="234" t="str">
        <f t="shared" si="6"/>
        <v>Werte fehlen</v>
      </c>
      <c r="J109" s="253" t="str">
        <f t="shared" si="7"/>
        <v/>
      </c>
    </row>
    <row r="110" spans="1:10" ht="24" customHeight="1">
      <c r="A110" s="244" t="s">
        <v>420</v>
      </c>
      <c r="B110" s="231">
        <v>46508</v>
      </c>
      <c r="C110" s="231">
        <v>46873</v>
      </c>
      <c r="D110" s="232" t="s">
        <v>19</v>
      </c>
      <c r="E110" s="232" t="s">
        <v>13</v>
      </c>
      <c r="F110" s="232" t="s">
        <v>324</v>
      </c>
      <c r="G110" s="213">
        <v>173</v>
      </c>
      <c r="H110" s="214"/>
      <c r="I110" s="232" t="str">
        <f t="shared" si="6"/>
        <v>Monatslohn fehlt</v>
      </c>
      <c r="J110" s="252" t="str">
        <f t="shared" si="7"/>
        <v/>
      </c>
    </row>
    <row r="111" spans="1:10" ht="24" customHeight="1">
      <c r="A111" s="245" t="s">
        <v>420</v>
      </c>
      <c r="B111" s="233">
        <v>46508</v>
      </c>
      <c r="C111" s="233">
        <v>46873</v>
      </c>
      <c r="D111" s="234" t="s">
        <v>19</v>
      </c>
      <c r="E111" s="234" t="s">
        <v>13</v>
      </c>
      <c r="F111" s="234" t="s">
        <v>324</v>
      </c>
      <c r="G111" s="215">
        <v>151.38</v>
      </c>
      <c r="H111" s="216"/>
      <c r="I111" s="234" t="str">
        <f t="shared" si="6"/>
        <v>Monatslohn fehlt</v>
      </c>
      <c r="J111" s="253" t="str">
        <f t="shared" si="7"/>
        <v/>
      </c>
    </row>
    <row r="112" spans="1:10" ht="24" customHeight="1">
      <c r="A112" s="245" t="s">
        <v>420</v>
      </c>
      <c r="B112" s="233">
        <v>46508</v>
      </c>
      <c r="C112" s="233">
        <v>46873</v>
      </c>
      <c r="D112" s="234" t="s">
        <v>19</v>
      </c>
      <c r="E112" s="234" t="s">
        <v>13</v>
      </c>
      <c r="F112" s="234" t="s">
        <v>324</v>
      </c>
      <c r="G112" s="215">
        <v>138.4</v>
      </c>
      <c r="H112" s="216"/>
      <c r="I112" s="234" t="str">
        <f t="shared" si="6"/>
        <v>Monatslohn fehlt</v>
      </c>
      <c r="J112" s="253" t="str">
        <f t="shared" si="7"/>
        <v/>
      </c>
    </row>
    <row r="113" spans="1:10" ht="24" customHeight="1">
      <c r="A113" s="245" t="s">
        <v>420</v>
      </c>
      <c r="B113" s="233">
        <v>46508</v>
      </c>
      <c r="C113" s="233">
        <v>46873</v>
      </c>
      <c r="D113" s="234" t="s">
        <v>19</v>
      </c>
      <c r="E113" s="234" t="s">
        <v>13</v>
      </c>
      <c r="F113" s="234" t="s">
        <v>324</v>
      </c>
      <c r="G113" s="215">
        <v>129.75</v>
      </c>
      <c r="H113" s="216"/>
      <c r="I113" s="234" t="str">
        <f t="shared" si="6"/>
        <v>Monatslohn fehlt</v>
      </c>
      <c r="J113" s="253" t="str">
        <f t="shared" si="7"/>
        <v/>
      </c>
    </row>
    <row r="114" spans="1:10" ht="24" customHeight="1">
      <c r="A114" s="245" t="s">
        <v>420</v>
      </c>
      <c r="B114" s="233">
        <v>46508</v>
      </c>
      <c r="C114" s="233">
        <v>46873</v>
      </c>
      <c r="D114" s="234" t="s">
        <v>19</v>
      </c>
      <c r="E114" s="234" t="s">
        <v>13</v>
      </c>
      <c r="F114" s="234" t="s">
        <v>324</v>
      </c>
      <c r="G114" s="215">
        <v>108.13</v>
      </c>
      <c r="H114" s="216"/>
      <c r="I114" s="234" t="str">
        <f t="shared" si="6"/>
        <v>Monatslohn fehlt</v>
      </c>
      <c r="J114" s="253" t="str">
        <f t="shared" si="7"/>
        <v/>
      </c>
    </row>
    <row r="115" spans="1:10" ht="24" customHeight="1">
      <c r="A115" s="245" t="s">
        <v>420</v>
      </c>
      <c r="B115" s="233">
        <v>46508</v>
      </c>
      <c r="C115" s="233">
        <v>46873</v>
      </c>
      <c r="D115" s="234" t="s">
        <v>19</v>
      </c>
      <c r="E115" s="234" t="s">
        <v>13</v>
      </c>
      <c r="F115" s="234" t="s">
        <v>324</v>
      </c>
      <c r="G115" s="215">
        <v>103.8</v>
      </c>
      <c r="H115" s="216"/>
      <c r="I115" s="234" t="str">
        <f t="shared" si="6"/>
        <v>Monatslohn fehlt</v>
      </c>
      <c r="J115" s="253" t="str">
        <f t="shared" si="7"/>
        <v/>
      </c>
    </row>
    <row r="116" spans="1:10" ht="24" customHeight="1">
      <c r="A116" s="245" t="s">
        <v>420</v>
      </c>
      <c r="B116" s="233">
        <v>46508</v>
      </c>
      <c r="C116" s="233">
        <v>46873</v>
      </c>
      <c r="D116" s="234" t="s">
        <v>19</v>
      </c>
      <c r="E116" s="234" t="s">
        <v>13</v>
      </c>
      <c r="F116" s="234" t="s">
        <v>324</v>
      </c>
      <c r="G116" s="215">
        <v>86.5</v>
      </c>
      <c r="H116" s="216"/>
      <c r="I116" s="234" t="str">
        <f t="shared" si="6"/>
        <v>Monatslohn fehlt</v>
      </c>
      <c r="J116" s="253" t="str">
        <f t="shared" si="7"/>
        <v/>
      </c>
    </row>
    <row r="117" spans="1:10" ht="24" customHeight="1">
      <c r="A117" s="245" t="s">
        <v>420</v>
      </c>
      <c r="B117" s="233">
        <v>46508</v>
      </c>
      <c r="C117" s="233">
        <v>46873</v>
      </c>
      <c r="D117" s="234" t="s">
        <v>19</v>
      </c>
      <c r="E117" s="234" t="s">
        <v>13</v>
      </c>
      <c r="F117" s="234" t="s">
        <v>324</v>
      </c>
      <c r="G117" s="215">
        <v>69.2</v>
      </c>
      <c r="H117" s="216"/>
      <c r="I117" s="234" t="str">
        <f t="shared" si="6"/>
        <v>Monatslohn fehlt</v>
      </c>
      <c r="J117" s="253" t="str">
        <f t="shared" si="7"/>
        <v/>
      </c>
    </row>
    <row r="118" spans="1:10" ht="24" customHeight="1">
      <c r="A118" s="245" t="s">
        <v>420</v>
      </c>
      <c r="B118" s="233">
        <v>46508</v>
      </c>
      <c r="C118" s="233">
        <v>46873</v>
      </c>
      <c r="D118" s="234" t="s">
        <v>19</v>
      </c>
      <c r="E118" s="234" t="s">
        <v>13</v>
      </c>
      <c r="F118" s="234" t="s">
        <v>324</v>
      </c>
      <c r="G118" s="215">
        <v>51.9</v>
      </c>
      <c r="H118" s="216"/>
      <c r="I118" s="234" t="str">
        <f t="shared" si="6"/>
        <v>Monatslohn fehlt</v>
      </c>
      <c r="J118" s="253" t="str">
        <f t="shared" si="7"/>
        <v/>
      </c>
    </row>
    <row r="119" spans="1:10" ht="24" customHeight="1">
      <c r="A119" s="245" t="s">
        <v>420</v>
      </c>
      <c r="B119" s="233">
        <v>46508</v>
      </c>
      <c r="C119" s="233">
        <v>46873</v>
      </c>
      <c r="D119" s="234" t="s">
        <v>19</v>
      </c>
      <c r="E119" s="234" t="s">
        <v>13</v>
      </c>
      <c r="F119" s="234" t="s">
        <v>324</v>
      </c>
      <c r="G119" s="215">
        <v>47.58</v>
      </c>
      <c r="H119" s="216"/>
      <c r="I119" s="234" t="str">
        <f t="shared" si="6"/>
        <v>Monatslohn fehlt</v>
      </c>
      <c r="J119" s="253" t="str">
        <f t="shared" si="7"/>
        <v/>
      </c>
    </row>
    <row r="120" spans="1:10" ht="24" customHeight="1">
      <c r="A120" s="245" t="s">
        <v>420</v>
      </c>
      <c r="B120" s="233">
        <v>46508</v>
      </c>
      <c r="C120" s="233">
        <v>46873</v>
      </c>
      <c r="D120" s="234" t="s">
        <v>19</v>
      </c>
      <c r="E120" s="234" t="s">
        <v>13</v>
      </c>
      <c r="F120" s="234" t="s">
        <v>324</v>
      </c>
      <c r="G120" s="215">
        <v>43.25</v>
      </c>
      <c r="H120" s="216"/>
      <c r="I120" s="234" t="str">
        <f t="shared" si="6"/>
        <v>Monatslohn fehlt</v>
      </c>
      <c r="J120" s="253" t="str">
        <f t="shared" si="7"/>
        <v/>
      </c>
    </row>
    <row r="121" spans="1:10" ht="24" customHeight="1">
      <c r="A121" s="245" t="s">
        <v>420</v>
      </c>
      <c r="B121" s="233">
        <v>46508</v>
      </c>
      <c r="C121" s="233">
        <v>46873</v>
      </c>
      <c r="D121" s="234" t="s">
        <v>19</v>
      </c>
      <c r="E121" s="234" t="s">
        <v>13</v>
      </c>
      <c r="F121" s="234" t="s">
        <v>324</v>
      </c>
      <c r="G121" s="215">
        <v>34.6</v>
      </c>
      <c r="H121" s="216"/>
      <c r="I121" s="234" t="str">
        <f t="shared" si="6"/>
        <v>Monatslohn fehlt</v>
      </c>
      <c r="J121" s="253" t="str">
        <f t="shared" si="7"/>
        <v/>
      </c>
    </row>
    <row r="122" spans="1:10" ht="24" customHeight="1">
      <c r="A122" s="245" t="s">
        <v>420</v>
      </c>
      <c r="B122" s="233">
        <v>46508</v>
      </c>
      <c r="C122" s="233">
        <v>46873</v>
      </c>
      <c r="D122" s="234" t="s">
        <v>19</v>
      </c>
      <c r="E122" s="234" t="s">
        <v>13</v>
      </c>
      <c r="F122" s="234" t="s">
        <v>324</v>
      </c>
      <c r="G122" s="215">
        <v>32.01</v>
      </c>
      <c r="H122" s="216"/>
      <c r="I122" s="234" t="str">
        <f t="shared" si="6"/>
        <v>Monatslohn fehlt</v>
      </c>
      <c r="J122" s="253" t="str">
        <f t="shared" si="7"/>
        <v/>
      </c>
    </row>
    <row r="123" spans="1:10" ht="24" customHeight="1">
      <c r="A123" s="245" t="s">
        <v>420</v>
      </c>
      <c r="B123" s="233">
        <v>46508</v>
      </c>
      <c r="C123" s="233">
        <v>46873</v>
      </c>
      <c r="D123" s="234" t="s">
        <v>19</v>
      </c>
      <c r="E123" s="234" t="s">
        <v>13</v>
      </c>
      <c r="F123" s="234" t="s">
        <v>324</v>
      </c>
      <c r="G123" s="215"/>
      <c r="H123" s="216"/>
      <c r="I123" s="234" t="str">
        <f t="shared" si="6"/>
        <v>Werte fehlen</v>
      </c>
      <c r="J123" s="253" t="str">
        <f t="shared" si="7"/>
        <v/>
      </c>
    </row>
    <row r="124" spans="1:10" ht="24" customHeight="1" thickBot="1">
      <c r="A124" s="245" t="s">
        <v>420</v>
      </c>
      <c r="B124" s="233">
        <v>46508</v>
      </c>
      <c r="C124" s="233">
        <v>46873</v>
      </c>
      <c r="D124" s="234" t="s">
        <v>19</v>
      </c>
      <c r="E124" s="234" t="s">
        <v>13</v>
      </c>
      <c r="F124" s="234" t="s">
        <v>324</v>
      </c>
      <c r="G124" s="215"/>
      <c r="H124" s="216"/>
      <c r="I124" s="234" t="str">
        <f t="shared" si="6"/>
        <v>Werte fehlen</v>
      </c>
      <c r="J124" s="253" t="str">
        <f t="shared" si="7"/>
        <v/>
      </c>
    </row>
    <row r="125" spans="1:10" ht="24" customHeight="1">
      <c r="A125" s="246" t="s">
        <v>420</v>
      </c>
      <c r="B125" s="237">
        <v>46508</v>
      </c>
      <c r="C125" s="237">
        <v>46873</v>
      </c>
      <c r="D125" s="238" t="s">
        <v>333</v>
      </c>
      <c r="E125" s="238" t="s">
        <v>21</v>
      </c>
      <c r="F125" s="238" t="s">
        <v>321</v>
      </c>
      <c r="G125" s="217">
        <v>173</v>
      </c>
      <c r="H125" s="218"/>
      <c r="I125" s="238" t="str">
        <f t="shared" si="6"/>
        <v>Monatslohn fehlt</v>
      </c>
      <c r="J125" s="254" t="str">
        <f t="shared" si="7"/>
        <v/>
      </c>
    </row>
    <row r="126" spans="1:10" ht="24" customHeight="1">
      <c r="A126" s="247" t="s">
        <v>420</v>
      </c>
      <c r="B126" s="239">
        <v>46508</v>
      </c>
      <c r="C126" s="239">
        <v>46873</v>
      </c>
      <c r="D126" s="240" t="s">
        <v>333</v>
      </c>
      <c r="E126" s="240" t="s">
        <v>21</v>
      </c>
      <c r="F126" s="240" t="s">
        <v>321</v>
      </c>
      <c r="G126" s="219">
        <v>151.38</v>
      </c>
      <c r="H126" s="220"/>
      <c r="I126" s="240" t="str">
        <f t="shared" si="6"/>
        <v>Monatslohn fehlt</v>
      </c>
      <c r="J126" s="255" t="str">
        <f t="shared" si="7"/>
        <v/>
      </c>
    </row>
    <row r="127" spans="1:10" ht="24" customHeight="1">
      <c r="A127" s="247" t="s">
        <v>420</v>
      </c>
      <c r="B127" s="239">
        <v>46508</v>
      </c>
      <c r="C127" s="239">
        <v>46873</v>
      </c>
      <c r="D127" s="240" t="s">
        <v>333</v>
      </c>
      <c r="E127" s="240" t="s">
        <v>21</v>
      </c>
      <c r="F127" s="240" t="s">
        <v>321</v>
      </c>
      <c r="G127" s="219">
        <v>138.4</v>
      </c>
      <c r="H127" s="220"/>
      <c r="I127" s="240" t="str">
        <f t="shared" si="6"/>
        <v>Monatslohn fehlt</v>
      </c>
      <c r="J127" s="255" t="str">
        <f t="shared" si="7"/>
        <v/>
      </c>
    </row>
    <row r="128" spans="1:10" ht="24" customHeight="1">
      <c r="A128" s="247" t="s">
        <v>420</v>
      </c>
      <c r="B128" s="239">
        <v>46508</v>
      </c>
      <c r="C128" s="239">
        <v>46873</v>
      </c>
      <c r="D128" s="240" t="s">
        <v>333</v>
      </c>
      <c r="E128" s="240" t="s">
        <v>21</v>
      </c>
      <c r="F128" s="240" t="s">
        <v>321</v>
      </c>
      <c r="G128" s="219">
        <v>129.75</v>
      </c>
      <c r="H128" s="220"/>
      <c r="I128" s="240" t="str">
        <f t="shared" si="6"/>
        <v>Monatslohn fehlt</v>
      </c>
      <c r="J128" s="255" t="str">
        <f t="shared" si="7"/>
        <v/>
      </c>
    </row>
    <row r="129" spans="1:10" ht="24" customHeight="1">
      <c r="A129" s="247" t="s">
        <v>420</v>
      </c>
      <c r="B129" s="239">
        <v>46508</v>
      </c>
      <c r="C129" s="239">
        <v>46873</v>
      </c>
      <c r="D129" s="240" t="s">
        <v>333</v>
      </c>
      <c r="E129" s="240" t="s">
        <v>21</v>
      </c>
      <c r="F129" s="240" t="s">
        <v>321</v>
      </c>
      <c r="G129" s="219">
        <v>108.13</v>
      </c>
      <c r="H129" s="220"/>
      <c r="I129" s="240" t="str">
        <f t="shared" si="6"/>
        <v>Monatslohn fehlt</v>
      </c>
      <c r="J129" s="255" t="str">
        <f t="shared" si="7"/>
        <v/>
      </c>
    </row>
    <row r="130" spans="1:10" ht="24" customHeight="1">
      <c r="A130" s="247" t="s">
        <v>420</v>
      </c>
      <c r="B130" s="239">
        <v>46508</v>
      </c>
      <c r="C130" s="239">
        <v>46873</v>
      </c>
      <c r="D130" s="240" t="s">
        <v>333</v>
      </c>
      <c r="E130" s="240" t="s">
        <v>21</v>
      </c>
      <c r="F130" s="240" t="s">
        <v>321</v>
      </c>
      <c r="G130" s="219">
        <v>103.8</v>
      </c>
      <c r="H130" s="220"/>
      <c r="I130" s="240" t="str">
        <f t="shared" si="6"/>
        <v>Monatslohn fehlt</v>
      </c>
      <c r="J130" s="255" t="str">
        <f t="shared" si="7"/>
        <v/>
      </c>
    </row>
    <row r="131" spans="1:10" ht="24" customHeight="1">
      <c r="A131" s="247" t="s">
        <v>420</v>
      </c>
      <c r="B131" s="239">
        <v>46508</v>
      </c>
      <c r="C131" s="239">
        <v>46873</v>
      </c>
      <c r="D131" s="240" t="s">
        <v>333</v>
      </c>
      <c r="E131" s="240" t="s">
        <v>21</v>
      </c>
      <c r="F131" s="240" t="s">
        <v>321</v>
      </c>
      <c r="G131" s="219">
        <v>86.5</v>
      </c>
      <c r="H131" s="220"/>
      <c r="I131" s="240" t="str">
        <f t="shared" si="6"/>
        <v>Monatslohn fehlt</v>
      </c>
      <c r="J131" s="255" t="str">
        <f t="shared" si="7"/>
        <v/>
      </c>
    </row>
    <row r="132" spans="1:10" ht="24" customHeight="1">
      <c r="A132" s="247" t="s">
        <v>420</v>
      </c>
      <c r="B132" s="239">
        <v>46508</v>
      </c>
      <c r="C132" s="239">
        <v>46873</v>
      </c>
      <c r="D132" s="240" t="s">
        <v>333</v>
      </c>
      <c r="E132" s="240" t="s">
        <v>21</v>
      </c>
      <c r="F132" s="240" t="s">
        <v>321</v>
      </c>
      <c r="G132" s="219">
        <v>69.2</v>
      </c>
      <c r="H132" s="220"/>
      <c r="I132" s="240" t="str">
        <f t="shared" si="6"/>
        <v>Monatslohn fehlt</v>
      </c>
      <c r="J132" s="255" t="str">
        <f t="shared" si="7"/>
        <v/>
      </c>
    </row>
    <row r="133" spans="1:10" ht="24" customHeight="1">
      <c r="A133" s="247" t="s">
        <v>420</v>
      </c>
      <c r="B133" s="239">
        <v>46508</v>
      </c>
      <c r="C133" s="239">
        <v>46873</v>
      </c>
      <c r="D133" s="240" t="s">
        <v>333</v>
      </c>
      <c r="E133" s="240" t="s">
        <v>21</v>
      </c>
      <c r="F133" s="240" t="s">
        <v>321</v>
      </c>
      <c r="G133" s="219">
        <v>51.9</v>
      </c>
      <c r="H133" s="220"/>
      <c r="I133" s="240" t="str">
        <f t="shared" ref="I133:I164" si="8">IF($A133="","",IF(OR($B133="",$C133="",$D133="",$E133="",$F133=""),"Stammdaten fehlen",IF(AND($G133="",$H133=""),"Werte fehlen",IF($G133="","Monatsstunden fehlen",IF($H133="","Monatslohn fehlt","OK")))))</f>
        <v>Monatslohn fehlt</v>
      </c>
      <c r="J133" s="255" t="str">
        <f t="shared" ref="J133:J164" si="9">IF($G133="","",IF(COUNTIFS($A:$A,$A133,$D:$D,$D133,$G:$G,$G133)&gt;1,"Doppelte Monatsstunden",""))</f>
        <v/>
      </c>
    </row>
    <row r="134" spans="1:10" ht="24" customHeight="1">
      <c r="A134" s="247" t="s">
        <v>420</v>
      </c>
      <c r="B134" s="239">
        <v>46508</v>
      </c>
      <c r="C134" s="239">
        <v>46873</v>
      </c>
      <c r="D134" s="240" t="s">
        <v>333</v>
      </c>
      <c r="E134" s="240" t="s">
        <v>21</v>
      </c>
      <c r="F134" s="240" t="s">
        <v>321</v>
      </c>
      <c r="G134" s="219">
        <v>47.58</v>
      </c>
      <c r="H134" s="220"/>
      <c r="I134" s="240" t="str">
        <f t="shared" si="8"/>
        <v>Monatslohn fehlt</v>
      </c>
      <c r="J134" s="255" t="str">
        <f t="shared" si="9"/>
        <v/>
      </c>
    </row>
    <row r="135" spans="1:10" ht="24" customHeight="1">
      <c r="A135" s="247" t="s">
        <v>420</v>
      </c>
      <c r="B135" s="239">
        <v>46508</v>
      </c>
      <c r="C135" s="239">
        <v>46873</v>
      </c>
      <c r="D135" s="240" t="s">
        <v>333</v>
      </c>
      <c r="E135" s="240" t="s">
        <v>21</v>
      </c>
      <c r="F135" s="240" t="s">
        <v>321</v>
      </c>
      <c r="G135" s="219">
        <v>43.25</v>
      </c>
      <c r="H135" s="220"/>
      <c r="I135" s="240" t="str">
        <f t="shared" si="8"/>
        <v>Monatslohn fehlt</v>
      </c>
      <c r="J135" s="255" t="str">
        <f t="shared" si="9"/>
        <v/>
      </c>
    </row>
    <row r="136" spans="1:10" ht="24" customHeight="1">
      <c r="A136" s="247" t="s">
        <v>420</v>
      </c>
      <c r="B136" s="239">
        <v>46508</v>
      </c>
      <c r="C136" s="239">
        <v>46873</v>
      </c>
      <c r="D136" s="240" t="s">
        <v>333</v>
      </c>
      <c r="E136" s="240" t="s">
        <v>21</v>
      </c>
      <c r="F136" s="240" t="s">
        <v>321</v>
      </c>
      <c r="G136" s="219">
        <v>34.6</v>
      </c>
      <c r="H136" s="220"/>
      <c r="I136" s="240" t="str">
        <f t="shared" si="8"/>
        <v>Monatslohn fehlt</v>
      </c>
      <c r="J136" s="255" t="str">
        <f t="shared" si="9"/>
        <v/>
      </c>
    </row>
    <row r="137" spans="1:10" ht="24" customHeight="1">
      <c r="A137" s="247" t="s">
        <v>420</v>
      </c>
      <c r="B137" s="239">
        <v>46508</v>
      </c>
      <c r="C137" s="239">
        <v>46873</v>
      </c>
      <c r="D137" s="240" t="s">
        <v>333</v>
      </c>
      <c r="E137" s="240" t="s">
        <v>21</v>
      </c>
      <c r="F137" s="240" t="s">
        <v>321</v>
      </c>
      <c r="G137" s="219">
        <v>32.01</v>
      </c>
      <c r="H137" s="220"/>
      <c r="I137" s="240" t="str">
        <f t="shared" si="8"/>
        <v>Monatslohn fehlt</v>
      </c>
      <c r="J137" s="255" t="str">
        <f t="shared" si="9"/>
        <v/>
      </c>
    </row>
    <row r="138" spans="1:10" ht="24" customHeight="1">
      <c r="A138" s="247" t="s">
        <v>420</v>
      </c>
      <c r="B138" s="239">
        <v>46508</v>
      </c>
      <c r="C138" s="239">
        <v>46873</v>
      </c>
      <c r="D138" s="240" t="s">
        <v>333</v>
      </c>
      <c r="E138" s="240" t="s">
        <v>21</v>
      </c>
      <c r="F138" s="240" t="s">
        <v>321</v>
      </c>
      <c r="G138" s="219"/>
      <c r="H138" s="220"/>
      <c r="I138" s="240" t="str">
        <f t="shared" si="8"/>
        <v>Werte fehlen</v>
      </c>
      <c r="J138" s="255" t="str">
        <f t="shared" si="9"/>
        <v/>
      </c>
    </row>
    <row r="139" spans="1:10" ht="24" customHeight="1" thickBot="1">
      <c r="A139" s="247" t="s">
        <v>420</v>
      </c>
      <c r="B139" s="239">
        <v>46508</v>
      </c>
      <c r="C139" s="239">
        <v>46873</v>
      </c>
      <c r="D139" s="240" t="s">
        <v>333</v>
      </c>
      <c r="E139" s="240" t="s">
        <v>21</v>
      </c>
      <c r="F139" s="240" t="s">
        <v>321</v>
      </c>
      <c r="G139" s="219"/>
      <c r="H139" s="220"/>
      <c r="I139" s="240" t="str">
        <f t="shared" si="8"/>
        <v>Werte fehlen</v>
      </c>
      <c r="J139" s="255" t="str">
        <f t="shared" si="9"/>
        <v/>
      </c>
    </row>
    <row r="140" spans="1:10" ht="24" customHeight="1">
      <c r="A140" s="246" t="s">
        <v>420</v>
      </c>
      <c r="B140" s="237">
        <v>46508</v>
      </c>
      <c r="C140" s="237">
        <v>46873</v>
      </c>
      <c r="D140" s="238" t="s">
        <v>22</v>
      </c>
      <c r="E140" s="238" t="s">
        <v>21</v>
      </c>
      <c r="F140" s="238" t="s">
        <v>322</v>
      </c>
      <c r="G140" s="217">
        <v>173</v>
      </c>
      <c r="H140" s="218"/>
      <c r="I140" s="238" t="str">
        <f t="shared" si="8"/>
        <v>Monatslohn fehlt</v>
      </c>
      <c r="J140" s="254" t="str">
        <f t="shared" si="9"/>
        <v/>
      </c>
    </row>
    <row r="141" spans="1:10" ht="24" customHeight="1">
      <c r="A141" s="247" t="s">
        <v>420</v>
      </c>
      <c r="B141" s="239">
        <v>46508</v>
      </c>
      <c r="C141" s="239">
        <v>46873</v>
      </c>
      <c r="D141" s="240" t="s">
        <v>22</v>
      </c>
      <c r="E141" s="240" t="s">
        <v>21</v>
      </c>
      <c r="F141" s="240" t="s">
        <v>322</v>
      </c>
      <c r="G141" s="219">
        <v>151.38</v>
      </c>
      <c r="H141" s="220"/>
      <c r="I141" s="240" t="str">
        <f t="shared" si="8"/>
        <v>Monatslohn fehlt</v>
      </c>
      <c r="J141" s="255" t="str">
        <f t="shared" si="9"/>
        <v/>
      </c>
    </row>
    <row r="142" spans="1:10" ht="24" customHeight="1">
      <c r="A142" s="247" t="s">
        <v>420</v>
      </c>
      <c r="B142" s="239">
        <v>46508</v>
      </c>
      <c r="C142" s="239">
        <v>46873</v>
      </c>
      <c r="D142" s="240" t="s">
        <v>22</v>
      </c>
      <c r="E142" s="240" t="s">
        <v>21</v>
      </c>
      <c r="F142" s="240" t="s">
        <v>322</v>
      </c>
      <c r="G142" s="219">
        <v>138.4</v>
      </c>
      <c r="H142" s="220"/>
      <c r="I142" s="240" t="str">
        <f t="shared" si="8"/>
        <v>Monatslohn fehlt</v>
      </c>
      <c r="J142" s="255" t="str">
        <f t="shared" si="9"/>
        <v/>
      </c>
    </row>
    <row r="143" spans="1:10" ht="24" customHeight="1">
      <c r="A143" s="247" t="s">
        <v>420</v>
      </c>
      <c r="B143" s="239">
        <v>46508</v>
      </c>
      <c r="C143" s="239">
        <v>46873</v>
      </c>
      <c r="D143" s="240" t="s">
        <v>22</v>
      </c>
      <c r="E143" s="240" t="s">
        <v>21</v>
      </c>
      <c r="F143" s="240" t="s">
        <v>322</v>
      </c>
      <c r="G143" s="219">
        <v>129.75</v>
      </c>
      <c r="H143" s="220"/>
      <c r="I143" s="240" t="str">
        <f t="shared" si="8"/>
        <v>Monatslohn fehlt</v>
      </c>
      <c r="J143" s="255" t="str">
        <f t="shared" si="9"/>
        <v/>
      </c>
    </row>
    <row r="144" spans="1:10" ht="24" customHeight="1">
      <c r="A144" s="247" t="s">
        <v>420</v>
      </c>
      <c r="B144" s="239">
        <v>46508</v>
      </c>
      <c r="C144" s="239">
        <v>46873</v>
      </c>
      <c r="D144" s="240" t="s">
        <v>22</v>
      </c>
      <c r="E144" s="240" t="s">
        <v>21</v>
      </c>
      <c r="F144" s="240" t="s">
        <v>322</v>
      </c>
      <c r="G144" s="219">
        <v>108.13</v>
      </c>
      <c r="H144" s="220"/>
      <c r="I144" s="240" t="str">
        <f t="shared" si="8"/>
        <v>Monatslohn fehlt</v>
      </c>
      <c r="J144" s="255" t="str">
        <f t="shared" si="9"/>
        <v/>
      </c>
    </row>
    <row r="145" spans="1:10" ht="24" customHeight="1">
      <c r="A145" s="247" t="s">
        <v>420</v>
      </c>
      <c r="B145" s="239">
        <v>46508</v>
      </c>
      <c r="C145" s="239">
        <v>46873</v>
      </c>
      <c r="D145" s="240" t="s">
        <v>22</v>
      </c>
      <c r="E145" s="240" t="s">
        <v>21</v>
      </c>
      <c r="F145" s="240" t="s">
        <v>322</v>
      </c>
      <c r="G145" s="219">
        <v>103.8</v>
      </c>
      <c r="H145" s="220"/>
      <c r="I145" s="240" t="str">
        <f t="shared" si="8"/>
        <v>Monatslohn fehlt</v>
      </c>
      <c r="J145" s="255" t="str">
        <f t="shared" si="9"/>
        <v/>
      </c>
    </row>
    <row r="146" spans="1:10" ht="24" customHeight="1">
      <c r="A146" s="247" t="s">
        <v>420</v>
      </c>
      <c r="B146" s="239">
        <v>46508</v>
      </c>
      <c r="C146" s="239">
        <v>46873</v>
      </c>
      <c r="D146" s="240" t="s">
        <v>22</v>
      </c>
      <c r="E146" s="240" t="s">
        <v>21</v>
      </c>
      <c r="F146" s="240" t="s">
        <v>322</v>
      </c>
      <c r="G146" s="219">
        <v>86.5</v>
      </c>
      <c r="H146" s="220"/>
      <c r="I146" s="240" t="str">
        <f t="shared" si="8"/>
        <v>Monatslohn fehlt</v>
      </c>
      <c r="J146" s="255" t="str">
        <f t="shared" si="9"/>
        <v/>
      </c>
    </row>
    <row r="147" spans="1:10" ht="24" customHeight="1">
      <c r="A147" s="247" t="s">
        <v>420</v>
      </c>
      <c r="B147" s="239">
        <v>46508</v>
      </c>
      <c r="C147" s="239">
        <v>46873</v>
      </c>
      <c r="D147" s="240" t="s">
        <v>22</v>
      </c>
      <c r="E147" s="240" t="s">
        <v>21</v>
      </c>
      <c r="F147" s="240" t="s">
        <v>322</v>
      </c>
      <c r="G147" s="219">
        <v>69.2</v>
      </c>
      <c r="H147" s="220"/>
      <c r="I147" s="240" t="str">
        <f t="shared" si="8"/>
        <v>Monatslohn fehlt</v>
      </c>
      <c r="J147" s="255" t="str">
        <f t="shared" si="9"/>
        <v/>
      </c>
    </row>
    <row r="148" spans="1:10" ht="24" customHeight="1">
      <c r="A148" s="247" t="s">
        <v>420</v>
      </c>
      <c r="B148" s="239">
        <v>46508</v>
      </c>
      <c r="C148" s="239">
        <v>46873</v>
      </c>
      <c r="D148" s="240" t="s">
        <v>22</v>
      </c>
      <c r="E148" s="240" t="s">
        <v>21</v>
      </c>
      <c r="F148" s="240" t="s">
        <v>322</v>
      </c>
      <c r="G148" s="219">
        <v>51.9</v>
      </c>
      <c r="H148" s="220"/>
      <c r="I148" s="240" t="str">
        <f t="shared" si="8"/>
        <v>Monatslohn fehlt</v>
      </c>
      <c r="J148" s="255" t="str">
        <f t="shared" si="9"/>
        <v/>
      </c>
    </row>
    <row r="149" spans="1:10" ht="24" customHeight="1">
      <c r="A149" s="247" t="s">
        <v>420</v>
      </c>
      <c r="B149" s="239">
        <v>46508</v>
      </c>
      <c r="C149" s="239">
        <v>46873</v>
      </c>
      <c r="D149" s="240" t="s">
        <v>22</v>
      </c>
      <c r="E149" s="240" t="s">
        <v>21</v>
      </c>
      <c r="F149" s="240" t="s">
        <v>322</v>
      </c>
      <c r="G149" s="219">
        <v>47.58</v>
      </c>
      <c r="H149" s="220"/>
      <c r="I149" s="240" t="str">
        <f t="shared" si="8"/>
        <v>Monatslohn fehlt</v>
      </c>
      <c r="J149" s="255" t="str">
        <f t="shared" si="9"/>
        <v/>
      </c>
    </row>
    <row r="150" spans="1:10" ht="24" customHeight="1">
      <c r="A150" s="247" t="s">
        <v>420</v>
      </c>
      <c r="B150" s="239">
        <v>46508</v>
      </c>
      <c r="C150" s="239">
        <v>46873</v>
      </c>
      <c r="D150" s="240" t="s">
        <v>22</v>
      </c>
      <c r="E150" s="240" t="s">
        <v>21</v>
      </c>
      <c r="F150" s="240" t="s">
        <v>322</v>
      </c>
      <c r="G150" s="219">
        <v>43.25</v>
      </c>
      <c r="H150" s="220"/>
      <c r="I150" s="240" t="str">
        <f t="shared" si="8"/>
        <v>Monatslohn fehlt</v>
      </c>
      <c r="J150" s="255" t="str">
        <f t="shared" si="9"/>
        <v/>
      </c>
    </row>
    <row r="151" spans="1:10" ht="24" customHeight="1">
      <c r="A151" s="247" t="s">
        <v>420</v>
      </c>
      <c r="B151" s="239">
        <v>46508</v>
      </c>
      <c r="C151" s="239">
        <v>46873</v>
      </c>
      <c r="D151" s="240" t="s">
        <v>22</v>
      </c>
      <c r="E151" s="240" t="s">
        <v>21</v>
      </c>
      <c r="F151" s="240" t="s">
        <v>322</v>
      </c>
      <c r="G151" s="219">
        <v>34.6</v>
      </c>
      <c r="H151" s="220"/>
      <c r="I151" s="240" t="str">
        <f t="shared" si="8"/>
        <v>Monatslohn fehlt</v>
      </c>
      <c r="J151" s="255" t="str">
        <f t="shared" si="9"/>
        <v/>
      </c>
    </row>
    <row r="152" spans="1:10" ht="24" customHeight="1">
      <c r="A152" s="247" t="s">
        <v>420</v>
      </c>
      <c r="B152" s="239">
        <v>46508</v>
      </c>
      <c r="C152" s="239">
        <v>46873</v>
      </c>
      <c r="D152" s="240" t="s">
        <v>22</v>
      </c>
      <c r="E152" s="240" t="s">
        <v>21</v>
      </c>
      <c r="F152" s="240" t="s">
        <v>322</v>
      </c>
      <c r="G152" s="219">
        <v>32.01</v>
      </c>
      <c r="H152" s="220"/>
      <c r="I152" s="240" t="str">
        <f t="shared" si="8"/>
        <v>Monatslohn fehlt</v>
      </c>
      <c r="J152" s="255" t="str">
        <f t="shared" si="9"/>
        <v/>
      </c>
    </row>
    <row r="153" spans="1:10" ht="24" customHeight="1">
      <c r="A153" s="247" t="s">
        <v>420</v>
      </c>
      <c r="B153" s="239">
        <v>46508</v>
      </c>
      <c r="C153" s="239">
        <v>46873</v>
      </c>
      <c r="D153" s="240" t="s">
        <v>22</v>
      </c>
      <c r="E153" s="240" t="s">
        <v>21</v>
      </c>
      <c r="F153" s="240" t="s">
        <v>322</v>
      </c>
      <c r="G153" s="219"/>
      <c r="H153" s="220"/>
      <c r="I153" s="240" t="str">
        <f t="shared" si="8"/>
        <v>Werte fehlen</v>
      </c>
      <c r="J153" s="255" t="str">
        <f t="shared" si="9"/>
        <v/>
      </c>
    </row>
    <row r="154" spans="1:10" ht="24" customHeight="1" thickBot="1">
      <c r="A154" s="247" t="s">
        <v>420</v>
      </c>
      <c r="B154" s="239">
        <v>46508</v>
      </c>
      <c r="C154" s="239">
        <v>46873</v>
      </c>
      <c r="D154" s="240" t="s">
        <v>22</v>
      </c>
      <c r="E154" s="240" t="s">
        <v>21</v>
      </c>
      <c r="F154" s="240" t="s">
        <v>322</v>
      </c>
      <c r="G154" s="219"/>
      <c r="H154" s="220"/>
      <c r="I154" s="240" t="str">
        <f t="shared" si="8"/>
        <v>Werte fehlen</v>
      </c>
      <c r="J154" s="255" t="str">
        <f t="shared" si="9"/>
        <v/>
      </c>
    </row>
    <row r="155" spans="1:10" ht="24" customHeight="1">
      <c r="A155" s="246" t="s">
        <v>420</v>
      </c>
      <c r="B155" s="237">
        <v>46508</v>
      </c>
      <c r="C155" s="237">
        <v>46873</v>
      </c>
      <c r="D155" s="238" t="s">
        <v>23</v>
      </c>
      <c r="E155" s="238" t="s">
        <v>21</v>
      </c>
      <c r="F155" s="238" t="s">
        <v>323</v>
      </c>
      <c r="G155" s="217">
        <v>173</v>
      </c>
      <c r="H155" s="218"/>
      <c r="I155" s="238" t="str">
        <f t="shared" si="8"/>
        <v>Monatslohn fehlt</v>
      </c>
      <c r="J155" s="254" t="str">
        <f t="shared" si="9"/>
        <v/>
      </c>
    </row>
    <row r="156" spans="1:10" ht="24" customHeight="1">
      <c r="A156" s="247" t="s">
        <v>420</v>
      </c>
      <c r="B156" s="239">
        <v>46508</v>
      </c>
      <c r="C156" s="239">
        <v>46873</v>
      </c>
      <c r="D156" s="240" t="s">
        <v>23</v>
      </c>
      <c r="E156" s="240" t="s">
        <v>21</v>
      </c>
      <c r="F156" s="240" t="s">
        <v>323</v>
      </c>
      <c r="G156" s="219">
        <v>151.38</v>
      </c>
      <c r="H156" s="220"/>
      <c r="I156" s="240" t="str">
        <f t="shared" si="8"/>
        <v>Monatslohn fehlt</v>
      </c>
      <c r="J156" s="255" t="str">
        <f t="shared" si="9"/>
        <v/>
      </c>
    </row>
    <row r="157" spans="1:10" ht="24" customHeight="1">
      <c r="A157" s="247" t="s">
        <v>420</v>
      </c>
      <c r="B157" s="239">
        <v>46508</v>
      </c>
      <c r="C157" s="239">
        <v>46873</v>
      </c>
      <c r="D157" s="240" t="s">
        <v>23</v>
      </c>
      <c r="E157" s="240" t="s">
        <v>21</v>
      </c>
      <c r="F157" s="240" t="s">
        <v>323</v>
      </c>
      <c r="G157" s="219">
        <v>138.4</v>
      </c>
      <c r="H157" s="220"/>
      <c r="I157" s="240" t="str">
        <f t="shared" si="8"/>
        <v>Monatslohn fehlt</v>
      </c>
      <c r="J157" s="255" t="str">
        <f t="shared" si="9"/>
        <v/>
      </c>
    </row>
    <row r="158" spans="1:10" ht="24" customHeight="1">
      <c r="A158" s="247" t="s">
        <v>420</v>
      </c>
      <c r="B158" s="239">
        <v>46508</v>
      </c>
      <c r="C158" s="239">
        <v>46873</v>
      </c>
      <c r="D158" s="240" t="s">
        <v>23</v>
      </c>
      <c r="E158" s="240" t="s">
        <v>21</v>
      </c>
      <c r="F158" s="240" t="s">
        <v>323</v>
      </c>
      <c r="G158" s="219">
        <v>129.75</v>
      </c>
      <c r="H158" s="220"/>
      <c r="I158" s="240" t="str">
        <f t="shared" si="8"/>
        <v>Monatslohn fehlt</v>
      </c>
      <c r="J158" s="255" t="str">
        <f t="shared" si="9"/>
        <v/>
      </c>
    </row>
    <row r="159" spans="1:10" ht="24" customHeight="1">
      <c r="A159" s="247" t="s">
        <v>420</v>
      </c>
      <c r="B159" s="239">
        <v>46508</v>
      </c>
      <c r="C159" s="239">
        <v>46873</v>
      </c>
      <c r="D159" s="240" t="s">
        <v>23</v>
      </c>
      <c r="E159" s="240" t="s">
        <v>21</v>
      </c>
      <c r="F159" s="240" t="s">
        <v>323</v>
      </c>
      <c r="G159" s="219">
        <v>108.13</v>
      </c>
      <c r="H159" s="220"/>
      <c r="I159" s="240" t="str">
        <f t="shared" si="8"/>
        <v>Monatslohn fehlt</v>
      </c>
      <c r="J159" s="255" t="str">
        <f t="shared" si="9"/>
        <v/>
      </c>
    </row>
    <row r="160" spans="1:10" ht="24" customHeight="1">
      <c r="A160" s="247" t="s">
        <v>420</v>
      </c>
      <c r="B160" s="239">
        <v>46508</v>
      </c>
      <c r="C160" s="239">
        <v>46873</v>
      </c>
      <c r="D160" s="240" t="s">
        <v>23</v>
      </c>
      <c r="E160" s="240" t="s">
        <v>21</v>
      </c>
      <c r="F160" s="240" t="s">
        <v>323</v>
      </c>
      <c r="G160" s="219">
        <v>103.8</v>
      </c>
      <c r="H160" s="220"/>
      <c r="I160" s="240" t="str">
        <f t="shared" si="8"/>
        <v>Monatslohn fehlt</v>
      </c>
      <c r="J160" s="255" t="str">
        <f t="shared" si="9"/>
        <v/>
      </c>
    </row>
    <row r="161" spans="1:10" ht="24" customHeight="1">
      <c r="A161" s="247" t="s">
        <v>420</v>
      </c>
      <c r="B161" s="239">
        <v>46508</v>
      </c>
      <c r="C161" s="239">
        <v>46873</v>
      </c>
      <c r="D161" s="240" t="s">
        <v>23</v>
      </c>
      <c r="E161" s="240" t="s">
        <v>21</v>
      </c>
      <c r="F161" s="240" t="s">
        <v>323</v>
      </c>
      <c r="G161" s="219">
        <v>86.5</v>
      </c>
      <c r="H161" s="220"/>
      <c r="I161" s="240" t="str">
        <f t="shared" si="8"/>
        <v>Monatslohn fehlt</v>
      </c>
      <c r="J161" s="255" t="str">
        <f t="shared" si="9"/>
        <v/>
      </c>
    </row>
    <row r="162" spans="1:10" ht="24" customHeight="1">
      <c r="A162" s="247" t="s">
        <v>420</v>
      </c>
      <c r="B162" s="239">
        <v>46508</v>
      </c>
      <c r="C162" s="239">
        <v>46873</v>
      </c>
      <c r="D162" s="240" t="s">
        <v>23</v>
      </c>
      <c r="E162" s="240" t="s">
        <v>21</v>
      </c>
      <c r="F162" s="240" t="s">
        <v>323</v>
      </c>
      <c r="G162" s="219">
        <v>69.2</v>
      </c>
      <c r="H162" s="220"/>
      <c r="I162" s="240" t="str">
        <f t="shared" si="8"/>
        <v>Monatslohn fehlt</v>
      </c>
      <c r="J162" s="255" t="str">
        <f t="shared" si="9"/>
        <v/>
      </c>
    </row>
    <row r="163" spans="1:10" ht="24" customHeight="1">
      <c r="A163" s="247" t="s">
        <v>420</v>
      </c>
      <c r="B163" s="239">
        <v>46508</v>
      </c>
      <c r="C163" s="239">
        <v>46873</v>
      </c>
      <c r="D163" s="240" t="s">
        <v>23</v>
      </c>
      <c r="E163" s="240" t="s">
        <v>21</v>
      </c>
      <c r="F163" s="240" t="s">
        <v>323</v>
      </c>
      <c r="G163" s="219">
        <v>51.9</v>
      </c>
      <c r="H163" s="220"/>
      <c r="I163" s="240" t="str">
        <f t="shared" si="8"/>
        <v>Monatslohn fehlt</v>
      </c>
      <c r="J163" s="255" t="str">
        <f t="shared" si="9"/>
        <v/>
      </c>
    </row>
    <row r="164" spans="1:10" ht="24" customHeight="1">
      <c r="A164" s="247" t="s">
        <v>420</v>
      </c>
      <c r="B164" s="239">
        <v>46508</v>
      </c>
      <c r="C164" s="239">
        <v>46873</v>
      </c>
      <c r="D164" s="240" t="s">
        <v>23</v>
      </c>
      <c r="E164" s="240" t="s">
        <v>21</v>
      </c>
      <c r="F164" s="240" t="s">
        <v>323</v>
      </c>
      <c r="G164" s="219">
        <v>47.58</v>
      </c>
      <c r="H164" s="220"/>
      <c r="I164" s="240" t="str">
        <f t="shared" si="8"/>
        <v>Monatslohn fehlt</v>
      </c>
      <c r="J164" s="255" t="str">
        <f t="shared" si="9"/>
        <v/>
      </c>
    </row>
    <row r="165" spans="1:10" ht="24" customHeight="1">
      <c r="A165" s="247" t="s">
        <v>420</v>
      </c>
      <c r="B165" s="239">
        <v>46508</v>
      </c>
      <c r="C165" s="239">
        <v>46873</v>
      </c>
      <c r="D165" s="240" t="s">
        <v>23</v>
      </c>
      <c r="E165" s="240" t="s">
        <v>21</v>
      </c>
      <c r="F165" s="240" t="s">
        <v>323</v>
      </c>
      <c r="G165" s="219">
        <v>43.25</v>
      </c>
      <c r="H165" s="220"/>
      <c r="I165" s="240" t="str">
        <f t="shared" ref="I165:I184" si="10">IF($A165="","",IF(OR($B165="",$C165="",$D165="",$E165="",$F165=""),"Stammdaten fehlen",IF(AND($G165="",$H165=""),"Werte fehlen",IF($G165="","Monatsstunden fehlen",IF($H165="","Monatslohn fehlt","OK")))))</f>
        <v>Monatslohn fehlt</v>
      </c>
      <c r="J165" s="255" t="str">
        <f t="shared" ref="J165:J184" si="11">IF($G165="","",IF(COUNTIFS($A:$A,$A165,$D:$D,$D165,$G:$G,$G165)&gt;1,"Doppelte Monatsstunden",""))</f>
        <v/>
      </c>
    </row>
    <row r="166" spans="1:10" ht="24" customHeight="1">
      <c r="A166" s="247" t="s">
        <v>420</v>
      </c>
      <c r="B166" s="239">
        <v>46508</v>
      </c>
      <c r="C166" s="239">
        <v>46873</v>
      </c>
      <c r="D166" s="240" t="s">
        <v>23</v>
      </c>
      <c r="E166" s="240" t="s">
        <v>21</v>
      </c>
      <c r="F166" s="240" t="s">
        <v>323</v>
      </c>
      <c r="G166" s="219">
        <v>34.6</v>
      </c>
      <c r="H166" s="220"/>
      <c r="I166" s="240" t="str">
        <f t="shared" si="10"/>
        <v>Monatslohn fehlt</v>
      </c>
      <c r="J166" s="255" t="str">
        <f t="shared" si="11"/>
        <v/>
      </c>
    </row>
    <row r="167" spans="1:10" ht="24" customHeight="1">
      <c r="A167" s="247" t="s">
        <v>420</v>
      </c>
      <c r="B167" s="239">
        <v>46508</v>
      </c>
      <c r="C167" s="239">
        <v>46873</v>
      </c>
      <c r="D167" s="240" t="s">
        <v>23</v>
      </c>
      <c r="E167" s="240" t="s">
        <v>21</v>
      </c>
      <c r="F167" s="240" t="s">
        <v>323</v>
      </c>
      <c r="G167" s="219">
        <v>32.01</v>
      </c>
      <c r="H167" s="220"/>
      <c r="I167" s="240" t="str">
        <f t="shared" si="10"/>
        <v>Monatslohn fehlt</v>
      </c>
      <c r="J167" s="255" t="str">
        <f t="shared" si="11"/>
        <v/>
      </c>
    </row>
    <row r="168" spans="1:10" ht="24" customHeight="1">
      <c r="A168" s="247" t="s">
        <v>420</v>
      </c>
      <c r="B168" s="239">
        <v>46508</v>
      </c>
      <c r="C168" s="239">
        <v>46873</v>
      </c>
      <c r="D168" s="240" t="s">
        <v>23</v>
      </c>
      <c r="E168" s="240" t="s">
        <v>21</v>
      </c>
      <c r="F168" s="240" t="s">
        <v>323</v>
      </c>
      <c r="G168" s="219"/>
      <c r="H168" s="220"/>
      <c r="I168" s="240" t="str">
        <f t="shared" si="10"/>
        <v>Werte fehlen</v>
      </c>
      <c r="J168" s="255" t="str">
        <f t="shared" si="11"/>
        <v/>
      </c>
    </row>
    <row r="169" spans="1:10" ht="24" customHeight="1" thickBot="1">
      <c r="A169" s="247" t="s">
        <v>420</v>
      </c>
      <c r="B169" s="239">
        <v>46508</v>
      </c>
      <c r="C169" s="239">
        <v>46873</v>
      </c>
      <c r="D169" s="240" t="s">
        <v>23</v>
      </c>
      <c r="E169" s="240" t="s">
        <v>21</v>
      </c>
      <c r="F169" s="240" t="s">
        <v>323</v>
      </c>
      <c r="G169" s="219"/>
      <c r="H169" s="220"/>
      <c r="I169" s="240" t="str">
        <f t="shared" si="10"/>
        <v>Werte fehlen</v>
      </c>
      <c r="J169" s="255" t="str">
        <f t="shared" si="11"/>
        <v/>
      </c>
    </row>
    <row r="170" spans="1:10" ht="24" customHeight="1">
      <c r="A170" s="246" t="s">
        <v>420</v>
      </c>
      <c r="B170" s="237">
        <v>46508</v>
      </c>
      <c r="C170" s="237">
        <v>46873</v>
      </c>
      <c r="D170" s="238" t="s">
        <v>24</v>
      </c>
      <c r="E170" s="238" t="s">
        <v>21</v>
      </c>
      <c r="F170" s="238" t="s">
        <v>324</v>
      </c>
      <c r="G170" s="217">
        <v>173</v>
      </c>
      <c r="H170" s="218"/>
      <c r="I170" s="238" t="str">
        <f t="shared" si="10"/>
        <v>Monatslohn fehlt</v>
      </c>
      <c r="J170" s="254" t="str">
        <f t="shared" si="11"/>
        <v/>
      </c>
    </row>
    <row r="171" spans="1:10" ht="24" customHeight="1">
      <c r="A171" s="247" t="s">
        <v>420</v>
      </c>
      <c r="B171" s="239">
        <v>46508</v>
      </c>
      <c r="C171" s="239">
        <v>46873</v>
      </c>
      <c r="D171" s="240" t="s">
        <v>24</v>
      </c>
      <c r="E171" s="240" t="s">
        <v>21</v>
      </c>
      <c r="F171" s="240" t="s">
        <v>324</v>
      </c>
      <c r="G171" s="219">
        <v>151.38</v>
      </c>
      <c r="H171" s="220"/>
      <c r="I171" s="240" t="str">
        <f t="shared" si="10"/>
        <v>Monatslohn fehlt</v>
      </c>
      <c r="J171" s="255" t="str">
        <f t="shared" si="11"/>
        <v/>
      </c>
    </row>
    <row r="172" spans="1:10" ht="24" customHeight="1">
      <c r="A172" s="247" t="s">
        <v>420</v>
      </c>
      <c r="B172" s="239">
        <v>46508</v>
      </c>
      <c r="C172" s="239">
        <v>46873</v>
      </c>
      <c r="D172" s="240" t="s">
        <v>24</v>
      </c>
      <c r="E172" s="240" t="s">
        <v>21</v>
      </c>
      <c r="F172" s="240" t="s">
        <v>324</v>
      </c>
      <c r="G172" s="219">
        <v>138.4</v>
      </c>
      <c r="H172" s="220"/>
      <c r="I172" s="240" t="str">
        <f t="shared" si="10"/>
        <v>Monatslohn fehlt</v>
      </c>
      <c r="J172" s="255" t="str">
        <f t="shared" si="11"/>
        <v/>
      </c>
    </row>
    <row r="173" spans="1:10" ht="24" customHeight="1">
      <c r="A173" s="247" t="s">
        <v>420</v>
      </c>
      <c r="B173" s="239">
        <v>46508</v>
      </c>
      <c r="C173" s="239">
        <v>46873</v>
      </c>
      <c r="D173" s="240" t="s">
        <v>24</v>
      </c>
      <c r="E173" s="240" t="s">
        <v>21</v>
      </c>
      <c r="F173" s="240" t="s">
        <v>324</v>
      </c>
      <c r="G173" s="219">
        <v>129.75</v>
      </c>
      <c r="H173" s="220"/>
      <c r="I173" s="240" t="str">
        <f t="shared" si="10"/>
        <v>Monatslohn fehlt</v>
      </c>
      <c r="J173" s="255" t="str">
        <f t="shared" si="11"/>
        <v/>
      </c>
    </row>
    <row r="174" spans="1:10" ht="24" customHeight="1">
      <c r="A174" s="247" t="s">
        <v>420</v>
      </c>
      <c r="B174" s="239">
        <v>46508</v>
      </c>
      <c r="C174" s="239">
        <v>46873</v>
      </c>
      <c r="D174" s="240" t="s">
        <v>24</v>
      </c>
      <c r="E174" s="240" t="s">
        <v>21</v>
      </c>
      <c r="F174" s="240" t="s">
        <v>324</v>
      </c>
      <c r="G174" s="219">
        <v>108.13</v>
      </c>
      <c r="H174" s="220"/>
      <c r="I174" s="240" t="str">
        <f t="shared" si="10"/>
        <v>Monatslohn fehlt</v>
      </c>
      <c r="J174" s="255" t="str">
        <f t="shared" si="11"/>
        <v/>
      </c>
    </row>
    <row r="175" spans="1:10" ht="24" customHeight="1">
      <c r="A175" s="247" t="s">
        <v>420</v>
      </c>
      <c r="B175" s="239">
        <v>46508</v>
      </c>
      <c r="C175" s="239">
        <v>46873</v>
      </c>
      <c r="D175" s="240" t="s">
        <v>24</v>
      </c>
      <c r="E175" s="240" t="s">
        <v>21</v>
      </c>
      <c r="F175" s="240" t="s">
        <v>324</v>
      </c>
      <c r="G175" s="219">
        <v>103.8</v>
      </c>
      <c r="H175" s="220"/>
      <c r="I175" s="240" t="str">
        <f t="shared" si="10"/>
        <v>Monatslohn fehlt</v>
      </c>
      <c r="J175" s="255" t="str">
        <f t="shared" si="11"/>
        <v/>
      </c>
    </row>
    <row r="176" spans="1:10" ht="24" customHeight="1">
      <c r="A176" s="247" t="s">
        <v>420</v>
      </c>
      <c r="B176" s="239">
        <v>46508</v>
      </c>
      <c r="C176" s="239">
        <v>46873</v>
      </c>
      <c r="D176" s="240" t="s">
        <v>24</v>
      </c>
      <c r="E176" s="240" t="s">
        <v>21</v>
      </c>
      <c r="F176" s="240" t="s">
        <v>324</v>
      </c>
      <c r="G176" s="219">
        <v>86.5</v>
      </c>
      <c r="H176" s="220"/>
      <c r="I176" s="240" t="str">
        <f t="shared" si="10"/>
        <v>Monatslohn fehlt</v>
      </c>
      <c r="J176" s="255" t="str">
        <f t="shared" si="11"/>
        <v/>
      </c>
    </row>
    <row r="177" spans="1:10" ht="24" customHeight="1">
      <c r="A177" s="247" t="s">
        <v>420</v>
      </c>
      <c r="B177" s="239">
        <v>46508</v>
      </c>
      <c r="C177" s="239">
        <v>46873</v>
      </c>
      <c r="D177" s="240" t="s">
        <v>24</v>
      </c>
      <c r="E177" s="240" t="s">
        <v>21</v>
      </c>
      <c r="F177" s="240" t="s">
        <v>324</v>
      </c>
      <c r="G177" s="219">
        <v>69.2</v>
      </c>
      <c r="H177" s="220"/>
      <c r="I177" s="240" t="str">
        <f t="shared" si="10"/>
        <v>Monatslohn fehlt</v>
      </c>
      <c r="J177" s="255" t="str">
        <f t="shared" si="11"/>
        <v/>
      </c>
    </row>
    <row r="178" spans="1:10" ht="24" customHeight="1">
      <c r="A178" s="247" t="s">
        <v>420</v>
      </c>
      <c r="B178" s="239">
        <v>46508</v>
      </c>
      <c r="C178" s="239">
        <v>46873</v>
      </c>
      <c r="D178" s="240" t="s">
        <v>24</v>
      </c>
      <c r="E178" s="240" t="s">
        <v>21</v>
      </c>
      <c r="F178" s="240" t="s">
        <v>324</v>
      </c>
      <c r="G178" s="219">
        <v>51.9</v>
      </c>
      <c r="H178" s="220"/>
      <c r="I178" s="240" t="str">
        <f t="shared" si="10"/>
        <v>Monatslohn fehlt</v>
      </c>
      <c r="J178" s="255" t="str">
        <f t="shared" si="11"/>
        <v/>
      </c>
    </row>
    <row r="179" spans="1:10" ht="24" customHeight="1">
      <c r="A179" s="247" t="s">
        <v>420</v>
      </c>
      <c r="B179" s="239">
        <v>46508</v>
      </c>
      <c r="C179" s="239">
        <v>46873</v>
      </c>
      <c r="D179" s="240" t="s">
        <v>24</v>
      </c>
      <c r="E179" s="240" t="s">
        <v>21</v>
      </c>
      <c r="F179" s="240" t="s">
        <v>324</v>
      </c>
      <c r="G179" s="219">
        <v>47.58</v>
      </c>
      <c r="H179" s="220"/>
      <c r="I179" s="240" t="str">
        <f t="shared" si="10"/>
        <v>Monatslohn fehlt</v>
      </c>
      <c r="J179" s="255" t="str">
        <f t="shared" si="11"/>
        <v/>
      </c>
    </row>
    <row r="180" spans="1:10" ht="24" customHeight="1">
      <c r="A180" s="247" t="s">
        <v>420</v>
      </c>
      <c r="B180" s="239">
        <v>46508</v>
      </c>
      <c r="C180" s="239">
        <v>46873</v>
      </c>
      <c r="D180" s="240" t="s">
        <v>24</v>
      </c>
      <c r="E180" s="240" t="s">
        <v>21</v>
      </c>
      <c r="F180" s="240" t="s">
        <v>324</v>
      </c>
      <c r="G180" s="219">
        <v>43.25</v>
      </c>
      <c r="H180" s="220"/>
      <c r="I180" s="240" t="str">
        <f t="shared" si="10"/>
        <v>Monatslohn fehlt</v>
      </c>
      <c r="J180" s="255" t="str">
        <f t="shared" si="11"/>
        <v/>
      </c>
    </row>
    <row r="181" spans="1:10" ht="24" customHeight="1">
      <c r="A181" s="247" t="s">
        <v>420</v>
      </c>
      <c r="B181" s="239">
        <v>46508</v>
      </c>
      <c r="C181" s="239">
        <v>46873</v>
      </c>
      <c r="D181" s="240" t="s">
        <v>24</v>
      </c>
      <c r="E181" s="240" t="s">
        <v>21</v>
      </c>
      <c r="F181" s="240" t="s">
        <v>324</v>
      </c>
      <c r="G181" s="219">
        <v>34.6</v>
      </c>
      <c r="H181" s="220"/>
      <c r="I181" s="240" t="str">
        <f t="shared" si="10"/>
        <v>Monatslohn fehlt</v>
      </c>
      <c r="J181" s="255" t="str">
        <f t="shared" si="11"/>
        <v/>
      </c>
    </row>
    <row r="182" spans="1:10" ht="24" customHeight="1">
      <c r="A182" s="247" t="s">
        <v>420</v>
      </c>
      <c r="B182" s="239">
        <v>46508</v>
      </c>
      <c r="C182" s="239">
        <v>46873</v>
      </c>
      <c r="D182" s="240" t="s">
        <v>24</v>
      </c>
      <c r="E182" s="240" t="s">
        <v>21</v>
      </c>
      <c r="F182" s="240" t="s">
        <v>324</v>
      </c>
      <c r="G182" s="219">
        <v>32.01</v>
      </c>
      <c r="H182" s="220"/>
      <c r="I182" s="240" t="str">
        <f t="shared" si="10"/>
        <v>Monatslohn fehlt</v>
      </c>
      <c r="J182" s="255" t="str">
        <f t="shared" si="11"/>
        <v/>
      </c>
    </row>
    <row r="183" spans="1:10" ht="24" customHeight="1">
      <c r="A183" s="247" t="s">
        <v>420</v>
      </c>
      <c r="B183" s="239">
        <v>46508</v>
      </c>
      <c r="C183" s="239">
        <v>46873</v>
      </c>
      <c r="D183" s="240" t="s">
        <v>24</v>
      </c>
      <c r="E183" s="240" t="s">
        <v>21</v>
      </c>
      <c r="F183" s="240" t="s">
        <v>324</v>
      </c>
      <c r="G183" s="219"/>
      <c r="H183" s="220"/>
      <c r="I183" s="240" t="str">
        <f t="shared" si="10"/>
        <v>Werte fehlen</v>
      </c>
      <c r="J183" s="255" t="str">
        <f t="shared" si="11"/>
        <v/>
      </c>
    </row>
    <row r="184" spans="1:10" ht="24" customHeight="1">
      <c r="A184" s="248" t="s">
        <v>420</v>
      </c>
      <c r="B184" s="235">
        <v>46508</v>
      </c>
      <c r="C184" s="235">
        <v>46873</v>
      </c>
      <c r="D184" s="236" t="s">
        <v>24</v>
      </c>
      <c r="E184" s="236" t="s">
        <v>21</v>
      </c>
      <c r="F184" s="236" t="s">
        <v>324</v>
      </c>
      <c r="G184" s="221"/>
      <c r="H184" s="222"/>
      <c r="I184" s="236" t="str">
        <f t="shared" si="10"/>
        <v>Werte fehlen</v>
      </c>
      <c r="J184" s="256" t="str">
        <f t="shared" si="11"/>
        <v/>
      </c>
    </row>
    <row r="185" spans="1:10" ht="24" customHeight="1" thickBot="1">
      <c r="A185" s="380" t="s">
        <v>419</v>
      </c>
      <c r="B185" s="381"/>
      <c r="C185" s="381"/>
      <c r="D185" s="382"/>
      <c r="E185" s="382"/>
      <c r="F185" s="382"/>
      <c r="G185" s="383"/>
      <c r="H185" s="384"/>
      <c r="I185" s="382"/>
      <c r="J185" s="385"/>
    </row>
    <row r="186" spans="1:10" ht="24" customHeight="1">
      <c r="A186" s="241" t="s">
        <v>329</v>
      </c>
      <c r="B186" s="225">
        <v>46143</v>
      </c>
      <c r="C186" s="225">
        <v>46507</v>
      </c>
      <c r="D186" s="226" t="s">
        <v>331</v>
      </c>
      <c r="E186" s="226" t="s">
        <v>4</v>
      </c>
      <c r="F186" s="226" t="s">
        <v>321</v>
      </c>
      <c r="G186" s="207">
        <v>173</v>
      </c>
      <c r="H186" s="208"/>
      <c r="I186" s="226" t="str">
        <f t="shared" ref="I186:I217" si="12">IF($A186="","",IF(OR($B186="",$C186="",$D186="",$E186="",$F186=""),"Stammdaten fehlen",IF(AND($G186="",$H186=""),"Werte fehlen",IF($G186="","Monatsstunden fehlen",IF($H186="","Monatslohn fehlt","OK")))))</f>
        <v>Monatslohn fehlt</v>
      </c>
      <c r="J186" s="249" t="str">
        <f t="shared" ref="J186:J217" si="13">IF($G186="","",IF(COUNTIFS($A:$A,$A186,$D:$D,$D186,$G:$G,$G186)&gt;1,"Doppelte Monatsstunden",""))</f>
        <v/>
      </c>
    </row>
    <row r="187" spans="1:10" ht="24" customHeight="1">
      <c r="A187" s="242" t="s">
        <v>329</v>
      </c>
      <c r="B187" s="227">
        <v>46143</v>
      </c>
      <c r="C187" s="227">
        <v>46507</v>
      </c>
      <c r="D187" s="228" t="s">
        <v>331</v>
      </c>
      <c r="E187" s="228" t="s">
        <v>4</v>
      </c>
      <c r="F187" s="228" t="s">
        <v>321</v>
      </c>
      <c r="G187" s="209">
        <v>151.38</v>
      </c>
      <c r="H187" s="210"/>
      <c r="I187" s="228" t="str">
        <f t="shared" si="12"/>
        <v>Monatslohn fehlt</v>
      </c>
      <c r="J187" s="250" t="str">
        <f t="shared" si="13"/>
        <v/>
      </c>
    </row>
    <row r="188" spans="1:10" ht="24" customHeight="1">
      <c r="A188" s="242" t="s">
        <v>329</v>
      </c>
      <c r="B188" s="227">
        <v>46143</v>
      </c>
      <c r="C188" s="227">
        <v>46507</v>
      </c>
      <c r="D188" s="228" t="s">
        <v>331</v>
      </c>
      <c r="E188" s="228" t="s">
        <v>4</v>
      </c>
      <c r="F188" s="228" t="s">
        <v>321</v>
      </c>
      <c r="G188" s="209">
        <v>138.4</v>
      </c>
      <c r="H188" s="210"/>
      <c r="I188" s="228" t="str">
        <f t="shared" si="12"/>
        <v>Monatslohn fehlt</v>
      </c>
      <c r="J188" s="250" t="str">
        <f t="shared" si="13"/>
        <v/>
      </c>
    </row>
    <row r="189" spans="1:10" ht="24" customHeight="1">
      <c r="A189" s="242" t="s">
        <v>329</v>
      </c>
      <c r="B189" s="227">
        <v>46143</v>
      </c>
      <c r="C189" s="227">
        <v>46507</v>
      </c>
      <c r="D189" s="228" t="s">
        <v>331</v>
      </c>
      <c r="E189" s="228" t="s">
        <v>4</v>
      </c>
      <c r="F189" s="228" t="s">
        <v>321</v>
      </c>
      <c r="G189" s="209">
        <v>129.75</v>
      </c>
      <c r="H189" s="210"/>
      <c r="I189" s="228" t="str">
        <f t="shared" si="12"/>
        <v>Monatslohn fehlt</v>
      </c>
      <c r="J189" s="250" t="str">
        <f t="shared" si="13"/>
        <v/>
      </c>
    </row>
    <row r="190" spans="1:10" ht="24" customHeight="1">
      <c r="A190" s="242" t="s">
        <v>329</v>
      </c>
      <c r="B190" s="227">
        <v>46143</v>
      </c>
      <c r="C190" s="227">
        <v>46507</v>
      </c>
      <c r="D190" s="228" t="s">
        <v>331</v>
      </c>
      <c r="E190" s="228" t="s">
        <v>4</v>
      </c>
      <c r="F190" s="228" t="s">
        <v>321</v>
      </c>
      <c r="G190" s="209">
        <v>108.13</v>
      </c>
      <c r="H190" s="210"/>
      <c r="I190" s="228" t="str">
        <f t="shared" si="12"/>
        <v>Monatslohn fehlt</v>
      </c>
      <c r="J190" s="250" t="str">
        <f t="shared" si="13"/>
        <v/>
      </c>
    </row>
    <row r="191" spans="1:10" ht="24" customHeight="1">
      <c r="A191" s="242" t="s">
        <v>329</v>
      </c>
      <c r="B191" s="227">
        <v>46143</v>
      </c>
      <c r="C191" s="227">
        <v>46507</v>
      </c>
      <c r="D191" s="228" t="s">
        <v>331</v>
      </c>
      <c r="E191" s="228" t="s">
        <v>4</v>
      </c>
      <c r="F191" s="228" t="s">
        <v>321</v>
      </c>
      <c r="G191" s="209">
        <v>103.8</v>
      </c>
      <c r="H191" s="210"/>
      <c r="I191" s="228" t="str">
        <f t="shared" si="12"/>
        <v>Monatslohn fehlt</v>
      </c>
      <c r="J191" s="250" t="str">
        <f t="shared" si="13"/>
        <v/>
      </c>
    </row>
    <row r="192" spans="1:10" ht="24" customHeight="1">
      <c r="A192" s="242" t="s">
        <v>329</v>
      </c>
      <c r="B192" s="227">
        <v>46143</v>
      </c>
      <c r="C192" s="227">
        <v>46507</v>
      </c>
      <c r="D192" s="228" t="s">
        <v>331</v>
      </c>
      <c r="E192" s="228" t="s">
        <v>4</v>
      </c>
      <c r="F192" s="228" t="s">
        <v>321</v>
      </c>
      <c r="G192" s="209">
        <v>86.5</v>
      </c>
      <c r="H192" s="210"/>
      <c r="I192" s="228" t="str">
        <f t="shared" si="12"/>
        <v>Monatslohn fehlt</v>
      </c>
      <c r="J192" s="250" t="str">
        <f t="shared" si="13"/>
        <v/>
      </c>
    </row>
    <row r="193" spans="1:10" ht="24" customHeight="1">
      <c r="A193" s="242" t="s">
        <v>329</v>
      </c>
      <c r="B193" s="227">
        <v>46143</v>
      </c>
      <c r="C193" s="227">
        <v>46507</v>
      </c>
      <c r="D193" s="228" t="s">
        <v>331</v>
      </c>
      <c r="E193" s="228" t="s">
        <v>4</v>
      </c>
      <c r="F193" s="228" t="s">
        <v>321</v>
      </c>
      <c r="G193" s="209">
        <v>69.2</v>
      </c>
      <c r="H193" s="210"/>
      <c r="I193" s="228" t="str">
        <f t="shared" si="12"/>
        <v>Monatslohn fehlt</v>
      </c>
      <c r="J193" s="250" t="str">
        <f t="shared" si="13"/>
        <v/>
      </c>
    </row>
    <row r="194" spans="1:10" ht="24" customHeight="1">
      <c r="A194" s="242" t="s">
        <v>329</v>
      </c>
      <c r="B194" s="227">
        <v>46143</v>
      </c>
      <c r="C194" s="227">
        <v>46507</v>
      </c>
      <c r="D194" s="228" t="s">
        <v>331</v>
      </c>
      <c r="E194" s="228" t="s">
        <v>4</v>
      </c>
      <c r="F194" s="228" t="s">
        <v>321</v>
      </c>
      <c r="G194" s="209">
        <v>51.9</v>
      </c>
      <c r="H194" s="210"/>
      <c r="I194" s="228" t="str">
        <f t="shared" si="12"/>
        <v>Monatslohn fehlt</v>
      </c>
      <c r="J194" s="250" t="str">
        <f t="shared" si="13"/>
        <v/>
      </c>
    </row>
    <row r="195" spans="1:10" ht="24" customHeight="1">
      <c r="A195" s="242" t="s">
        <v>329</v>
      </c>
      <c r="B195" s="227">
        <v>46143</v>
      </c>
      <c r="C195" s="227">
        <v>46507</v>
      </c>
      <c r="D195" s="228" t="s">
        <v>331</v>
      </c>
      <c r="E195" s="228" t="s">
        <v>4</v>
      </c>
      <c r="F195" s="228" t="s">
        <v>321</v>
      </c>
      <c r="G195" s="209">
        <v>47.58</v>
      </c>
      <c r="H195" s="210"/>
      <c r="I195" s="228" t="str">
        <f t="shared" si="12"/>
        <v>Monatslohn fehlt</v>
      </c>
      <c r="J195" s="250" t="str">
        <f t="shared" si="13"/>
        <v/>
      </c>
    </row>
    <row r="196" spans="1:10" ht="24" customHeight="1">
      <c r="A196" s="242" t="s">
        <v>329</v>
      </c>
      <c r="B196" s="227">
        <v>46143</v>
      </c>
      <c r="C196" s="227">
        <v>46507</v>
      </c>
      <c r="D196" s="228" t="s">
        <v>331</v>
      </c>
      <c r="E196" s="228" t="s">
        <v>4</v>
      </c>
      <c r="F196" s="228" t="s">
        <v>321</v>
      </c>
      <c r="G196" s="209">
        <v>43.25</v>
      </c>
      <c r="H196" s="210"/>
      <c r="I196" s="228" t="str">
        <f t="shared" si="12"/>
        <v>Monatslohn fehlt</v>
      </c>
      <c r="J196" s="250" t="str">
        <f t="shared" si="13"/>
        <v/>
      </c>
    </row>
    <row r="197" spans="1:10" ht="24" customHeight="1">
      <c r="A197" s="242" t="s">
        <v>329</v>
      </c>
      <c r="B197" s="227">
        <v>46143</v>
      </c>
      <c r="C197" s="227">
        <v>46507</v>
      </c>
      <c r="D197" s="228" t="s">
        <v>331</v>
      </c>
      <c r="E197" s="228" t="s">
        <v>4</v>
      </c>
      <c r="F197" s="228" t="s">
        <v>321</v>
      </c>
      <c r="G197" s="209">
        <v>34.6</v>
      </c>
      <c r="H197" s="210"/>
      <c r="I197" s="228" t="str">
        <f t="shared" si="12"/>
        <v>Monatslohn fehlt</v>
      </c>
      <c r="J197" s="250" t="str">
        <f t="shared" si="13"/>
        <v/>
      </c>
    </row>
    <row r="198" spans="1:10" ht="24" customHeight="1">
      <c r="A198" s="242" t="s">
        <v>329</v>
      </c>
      <c r="B198" s="227">
        <v>46143</v>
      </c>
      <c r="C198" s="227">
        <v>46507</v>
      </c>
      <c r="D198" s="228" t="s">
        <v>331</v>
      </c>
      <c r="E198" s="228" t="s">
        <v>4</v>
      </c>
      <c r="F198" s="228" t="s">
        <v>321</v>
      </c>
      <c r="G198" s="209">
        <v>32.01</v>
      </c>
      <c r="H198" s="210"/>
      <c r="I198" s="228" t="str">
        <f t="shared" si="12"/>
        <v>Monatslohn fehlt</v>
      </c>
      <c r="J198" s="250" t="str">
        <f t="shared" si="13"/>
        <v/>
      </c>
    </row>
    <row r="199" spans="1:10" ht="24" customHeight="1" thickBot="1">
      <c r="A199" s="242" t="s">
        <v>329</v>
      </c>
      <c r="B199" s="227">
        <v>46143</v>
      </c>
      <c r="C199" s="227">
        <v>46507</v>
      </c>
      <c r="D199" s="228" t="s">
        <v>331</v>
      </c>
      <c r="E199" s="228" t="s">
        <v>4</v>
      </c>
      <c r="F199" s="228" t="s">
        <v>321</v>
      </c>
      <c r="G199" s="209">
        <v>20</v>
      </c>
      <c r="H199" s="210"/>
      <c r="I199" s="228" t="str">
        <f t="shared" si="12"/>
        <v>Monatslohn fehlt</v>
      </c>
      <c r="J199" s="250" t="str">
        <f t="shared" si="13"/>
        <v/>
      </c>
    </row>
    <row r="200" spans="1:10" ht="24" customHeight="1">
      <c r="A200" s="243" t="s">
        <v>329</v>
      </c>
      <c r="B200" s="229">
        <v>46143</v>
      </c>
      <c r="C200" s="229">
        <v>46507</v>
      </c>
      <c r="D200" s="230" t="s">
        <v>8</v>
      </c>
      <c r="E200" s="230" t="s">
        <v>4</v>
      </c>
      <c r="F200" s="230" t="s">
        <v>322</v>
      </c>
      <c r="G200" s="211">
        <v>173</v>
      </c>
      <c r="H200" s="212"/>
      <c r="I200" s="230" t="str">
        <f t="shared" si="12"/>
        <v>Monatslohn fehlt</v>
      </c>
      <c r="J200" s="251" t="str">
        <f t="shared" si="13"/>
        <v/>
      </c>
    </row>
    <row r="201" spans="1:10" ht="24" customHeight="1">
      <c r="A201" s="242" t="s">
        <v>329</v>
      </c>
      <c r="B201" s="227">
        <v>46143</v>
      </c>
      <c r="C201" s="227">
        <v>46507</v>
      </c>
      <c r="D201" s="228" t="s">
        <v>8</v>
      </c>
      <c r="E201" s="228" t="s">
        <v>4</v>
      </c>
      <c r="F201" s="228" t="s">
        <v>322</v>
      </c>
      <c r="G201" s="209">
        <v>151.38</v>
      </c>
      <c r="H201" s="210"/>
      <c r="I201" s="228" t="str">
        <f t="shared" si="12"/>
        <v>Monatslohn fehlt</v>
      </c>
      <c r="J201" s="250" t="str">
        <f t="shared" si="13"/>
        <v/>
      </c>
    </row>
    <row r="202" spans="1:10" ht="24" customHeight="1">
      <c r="A202" s="242" t="s">
        <v>329</v>
      </c>
      <c r="B202" s="227">
        <v>46143</v>
      </c>
      <c r="C202" s="227">
        <v>46507</v>
      </c>
      <c r="D202" s="228" t="s">
        <v>8</v>
      </c>
      <c r="E202" s="228" t="s">
        <v>4</v>
      </c>
      <c r="F202" s="228" t="s">
        <v>322</v>
      </c>
      <c r="G202" s="209">
        <v>138.4</v>
      </c>
      <c r="H202" s="210"/>
      <c r="I202" s="228" t="str">
        <f t="shared" si="12"/>
        <v>Monatslohn fehlt</v>
      </c>
      <c r="J202" s="250" t="str">
        <f t="shared" si="13"/>
        <v/>
      </c>
    </row>
    <row r="203" spans="1:10" ht="24" customHeight="1">
      <c r="A203" s="242" t="s">
        <v>329</v>
      </c>
      <c r="B203" s="227">
        <v>46143</v>
      </c>
      <c r="C203" s="227">
        <v>46507</v>
      </c>
      <c r="D203" s="228" t="s">
        <v>8</v>
      </c>
      <c r="E203" s="228" t="s">
        <v>4</v>
      </c>
      <c r="F203" s="228" t="s">
        <v>322</v>
      </c>
      <c r="G203" s="209">
        <v>129.75</v>
      </c>
      <c r="H203" s="210"/>
      <c r="I203" s="228" t="str">
        <f t="shared" si="12"/>
        <v>Monatslohn fehlt</v>
      </c>
      <c r="J203" s="250" t="str">
        <f t="shared" si="13"/>
        <v/>
      </c>
    </row>
    <row r="204" spans="1:10" ht="24" customHeight="1">
      <c r="A204" s="242" t="s">
        <v>329</v>
      </c>
      <c r="B204" s="227">
        <v>46143</v>
      </c>
      <c r="C204" s="227">
        <v>46507</v>
      </c>
      <c r="D204" s="228" t="s">
        <v>8</v>
      </c>
      <c r="E204" s="228" t="s">
        <v>4</v>
      </c>
      <c r="F204" s="228" t="s">
        <v>322</v>
      </c>
      <c r="G204" s="209">
        <v>108.13</v>
      </c>
      <c r="H204" s="210"/>
      <c r="I204" s="228" t="str">
        <f t="shared" si="12"/>
        <v>Monatslohn fehlt</v>
      </c>
      <c r="J204" s="250" t="str">
        <f t="shared" si="13"/>
        <v/>
      </c>
    </row>
    <row r="205" spans="1:10" ht="24" customHeight="1">
      <c r="A205" s="242" t="s">
        <v>329</v>
      </c>
      <c r="B205" s="227">
        <v>46143</v>
      </c>
      <c r="C205" s="227">
        <v>46507</v>
      </c>
      <c r="D205" s="228" t="s">
        <v>8</v>
      </c>
      <c r="E205" s="228" t="s">
        <v>4</v>
      </c>
      <c r="F205" s="228" t="s">
        <v>322</v>
      </c>
      <c r="G205" s="209">
        <v>103.8</v>
      </c>
      <c r="H205" s="210"/>
      <c r="I205" s="228" t="str">
        <f t="shared" si="12"/>
        <v>Monatslohn fehlt</v>
      </c>
      <c r="J205" s="250" t="str">
        <f t="shared" si="13"/>
        <v/>
      </c>
    </row>
    <row r="206" spans="1:10" ht="24" customHeight="1">
      <c r="A206" s="242" t="s">
        <v>329</v>
      </c>
      <c r="B206" s="227">
        <v>46143</v>
      </c>
      <c r="C206" s="227">
        <v>46507</v>
      </c>
      <c r="D206" s="228" t="s">
        <v>8</v>
      </c>
      <c r="E206" s="228" t="s">
        <v>4</v>
      </c>
      <c r="F206" s="228" t="s">
        <v>322</v>
      </c>
      <c r="G206" s="209">
        <v>86.5</v>
      </c>
      <c r="H206" s="210"/>
      <c r="I206" s="228" t="str">
        <f t="shared" si="12"/>
        <v>Monatslohn fehlt</v>
      </c>
      <c r="J206" s="250" t="str">
        <f t="shared" si="13"/>
        <v/>
      </c>
    </row>
    <row r="207" spans="1:10" ht="24" customHeight="1">
      <c r="A207" s="242" t="s">
        <v>329</v>
      </c>
      <c r="B207" s="227">
        <v>46143</v>
      </c>
      <c r="C207" s="227">
        <v>46507</v>
      </c>
      <c r="D207" s="228" t="s">
        <v>8</v>
      </c>
      <c r="E207" s="228" t="s">
        <v>4</v>
      </c>
      <c r="F207" s="228" t="s">
        <v>322</v>
      </c>
      <c r="G207" s="209">
        <v>69.2</v>
      </c>
      <c r="H207" s="210"/>
      <c r="I207" s="228" t="str">
        <f t="shared" si="12"/>
        <v>Monatslohn fehlt</v>
      </c>
      <c r="J207" s="250" t="str">
        <f t="shared" si="13"/>
        <v/>
      </c>
    </row>
    <row r="208" spans="1:10" ht="24" customHeight="1">
      <c r="A208" s="242" t="s">
        <v>329</v>
      </c>
      <c r="B208" s="227">
        <v>46143</v>
      </c>
      <c r="C208" s="227">
        <v>46507</v>
      </c>
      <c r="D208" s="228" t="s">
        <v>8</v>
      </c>
      <c r="E208" s="228" t="s">
        <v>4</v>
      </c>
      <c r="F208" s="228" t="s">
        <v>322</v>
      </c>
      <c r="G208" s="209">
        <v>51.9</v>
      </c>
      <c r="H208" s="210"/>
      <c r="I208" s="228" t="str">
        <f t="shared" si="12"/>
        <v>Monatslohn fehlt</v>
      </c>
      <c r="J208" s="250" t="str">
        <f t="shared" si="13"/>
        <v/>
      </c>
    </row>
    <row r="209" spans="1:10" ht="24" customHeight="1">
      <c r="A209" s="242" t="s">
        <v>329</v>
      </c>
      <c r="B209" s="227">
        <v>46143</v>
      </c>
      <c r="C209" s="227">
        <v>46507</v>
      </c>
      <c r="D209" s="228" t="s">
        <v>8</v>
      </c>
      <c r="E209" s="228" t="s">
        <v>4</v>
      </c>
      <c r="F209" s="228" t="s">
        <v>322</v>
      </c>
      <c r="G209" s="209">
        <v>47.58</v>
      </c>
      <c r="H209" s="210"/>
      <c r="I209" s="228" t="str">
        <f t="shared" si="12"/>
        <v>Monatslohn fehlt</v>
      </c>
      <c r="J209" s="250" t="str">
        <f t="shared" si="13"/>
        <v/>
      </c>
    </row>
    <row r="210" spans="1:10" ht="24" customHeight="1">
      <c r="A210" s="242" t="s">
        <v>329</v>
      </c>
      <c r="B210" s="227">
        <v>46143</v>
      </c>
      <c r="C210" s="227">
        <v>46507</v>
      </c>
      <c r="D210" s="228" t="s">
        <v>8</v>
      </c>
      <c r="E210" s="228" t="s">
        <v>4</v>
      </c>
      <c r="F210" s="228" t="s">
        <v>322</v>
      </c>
      <c r="G210" s="209">
        <v>43.25</v>
      </c>
      <c r="H210" s="210"/>
      <c r="I210" s="228" t="str">
        <f t="shared" si="12"/>
        <v>Monatslohn fehlt</v>
      </c>
      <c r="J210" s="250" t="str">
        <f t="shared" si="13"/>
        <v/>
      </c>
    </row>
    <row r="211" spans="1:10" ht="24" customHeight="1">
      <c r="A211" s="242" t="s">
        <v>329</v>
      </c>
      <c r="B211" s="227">
        <v>46143</v>
      </c>
      <c r="C211" s="227">
        <v>46507</v>
      </c>
      <c r="D211" s="228" t="s">
        <v>8</v>
      </c>
      <c r="E211" s="228" t="s">
        <v>4</v>
      </c>
      <c r="F211" s="228" t="s">
        <v>322</v>
      </c>
      <c r="G211" s="209">
        <v>34.6</v>
      </c>
      <c r="H211" s="210"/>
      <c r="I211" s="228" t="str">
        <f t="shared" si="12"/>
        <v>Monatslohn fehlt</v>
      </c>
      <c r="J211" s="250" t="str">
        <f t="shared" si="13"/>
        <v/>
      </c>
    </row>
    <row r="212" spans="1:10" ht="24" customHeight="1">
      <c r="A212" s="242" t="s">
        <v>329</v>
      </c>
      <c r="B212" s="227">
        <v>46143</v>
      </c>
      <c r="C212" s="227">
        <v>46507</v>
      </c>
      <c r="D212" s="228" t="s">
        <v>8</v>
      </c>
      <c r="E212" s="228" t="s">
        <v>4</v>
      </c>
      <c r="F212" s="228" t="s">
        <v>322</v>
      </c>
      <c r="G212" s="209">
        <v>32.01</v>
      </c>
      <c r="H212" s="210"/>
      <c r="I212" s="228" t="str">
        <f t="shared" si="12"/>
        <v>Monatslohn fehlt</v>
      </c>
      <c r="J212" s="250" t="str">
        <f t="shared" si="13"/>
        <v/>
      </c>
    </row>
    <row r="213" spans="1:10" ht="24" customHeight="1" thickBot="1">
      <c r="A213" s="242" t="s">
        <v>329</v>
      </c>
      <c r="B213" s="227">
        <v>46143</v>
      </c>
      <c r="C213" s="227">
        <v>46507</v>
      </c>
      <c r="D213" s="228" t="s">
        <v>8</v>
      </c>
      <c r="E213" s="228" t="s">
        <v>4</v>
      </c>
      <c r="F213" s="228" t="s">
        <v>322</v>
      </c>
      <c r="G213" s="209"/>
      <c r="H213" s="210"/>
      <c r="I213" s="228" t="str">
        <f t="shared" si="12"/>
        <v>Werte fehlen</v>
      </c>
      <c r="J213" s="250" t="str">
        <f t="shared" si="13"/>
        <v/>
      </c>
    </row>
    <row r="214" spans="1:10" ht="24" customHeight="1">
      <c r="A214" s="243" t="s">
        <v>329</v>
      </c>
      <c r="B214" s="229">
        <v>46143</v>
      </c>
      <c r="C214" s="229">
        <v>46507</v>
      </c>
      <c r="D214" s="230" t="s">
        <v>10</v>
      </c>
      <c r="E214" s="230" t="s">
        <v>4</v>
      </c>
      <c r="F214" s="230" t="s">
        <v>323</v>
      </c>
      <c r="G214" s="211">
        <v>173</v>
      </c>
      <c r="H214" s="212"/>
      <c r="I214" s="230" t="str">
        <f t="shared" si="12"/>
        <v>Monatslohn fehlt</v>
      </c>
      <c r="J214" s="251" t="str">
        <f t="shared" si="13"/>
        <v/>
      </c>
    </row>
    <row r="215" spans="1:10" ht="24" customHeight="1">
      <c r="A215" s="242" t="s">
        <v>329</v>
      </c>
      <c r="B215" s="227">
        <v>46143</v>
      </c>
      <c r="C215" s="227">
        <v>46507</v>
      </c>
      <c r="D215" s="228" t="s">
        <v>10</v>
      </c>
      <c r="E215" s="228" t="s">
        <v>4</v>
      </c>
      <c r="F215" s="228" t="s">
        <v>323</v>
      </c>
      <c r="G215" s="209">
        <v>151.38</v>
      </c>
      <c r="H215" s="210"/>
      <c r="I215" s="228" t="str">
        <f t="shared" si="12"/>
        <v>Monatslohn fehlt</v>
      </c>
      <c r="J215" s="250" t="str">
        <f t="shared" si="13"/>
        <v/>
      </c>
    </row>
    <row r="216" spans="1:10" ht="24" customHeight="1">
      <c r="A216" s="242" t="s">
        <v>329</v>
      </c>
      <c r="B216" s="227">
        <v>46143</v>
      </c>
      <c r="C216" s="227">
        <v>46507</v>
      </c>
      <c r="D216" s="228" t="s">
        <v>10</v>
      </c>
      <c r="E216" s="228" t="s">
        <v>4</v>
      </c>
      <c r="F216" s="228" t="s">
        <v>323</v>
      </c>
      <c r="G216" s="209">
        <v>138.4</v>
      </c>
      <c r="H216" s="210"/>
      <c r="I216" s="228" t="str">
        <f t="shared" si="12"/>
        <v>Monatslohn fehlt</v>
      </c>
      <c r="J216" s="250" t="str">
        <f t="shared" si="13"/>
        <v/>
      </c>
    </row>
    <row r="217" spans="1:10" ht="24" customHeight="1">
      <c r="A217" s="242" t="s">
        <v>329</v>
      </c>
      <c r="B217" s="227">
        <v>46143</v>
      </c>
      <c r="C217" s="227">
        <v>46507</v>
      </c>
      <c r="D217" s="228" t="s">
        <v>10</v>
      </c>
      <c r="E217" s="228" t="s">
        <v>4</v>
      </c>
      <c r="F217" s="228" t="s">
        <v>323</v>
      </c>
      <c r="G217" s="209">
        <v>129.75</v>
      </c>
      <c r="H217" s="210"/>
      <c r="I217" s="228" t="str">
        <f t="shared" si="12"/>
        <v>Monatslohn fehlt</v>
      </c>
      <c r="J217" s="250" t="str">
        <f t="shared" si="13"/>
        <v/>
      </c>
    </row>
    <row r="218" spans="1:10" ht="24" customHeight="1">
      <c r="A218" s="242" t="s">
        <v>329</v>
      </c>
      <c r="B218" s="227">
        <v>46143</v>
      </c>
      <c r="C218" s="227">
        <v>46507</v>
      </c>
      <c r="D218" s="228" t="s">
        <v>10</v>
      </c>
      <c r="E218" s="228" t="s">
        <v>4</v>
      </c>
      <c r="F218" s="228" t="s">
        <v>323</v>
      </c>
      <c r="G218" s="209">
        <v>108.13</v>
      </c>
      <c r="H218" s="210"/>
      <c r="I218" s="228" t="str">
        <f t="shared" ref="I218:I249" si="14">IF($A218="","",IF(OR($B218="",$C218="",$D218="",$E218="",$F218=""),"Stammdaten fehlen",IF(AND($G218="",$H218=""),"Werte fehlen",IF($G218="","Monatsstunden fehlen",IF($H218="","Monatslohn fehlt","OK")))))</f>
        <v>Monatslohn fehlt</v>
      </c>
      <c r="J218" s="250" t="str">
        <f t="shared" ref="J218:J249" si="15">IF($G218="","",IF(COUNTIFS($A:$A,$A218,$D:$D,$D218,$G:$G,$G218)&gt;1,"Doppelte Monatsstunden",""))</f>
        <v/>
      </c>
    </row>
    <row r="219" spans="1:10" ht="24" customHeight="1">
      <c r="A219" s="242" t="s">
        <v>329</v>
      </c>
      <c r="B219" s="227">
        <v>46143</v>
      </c>
      <c r="C219" s="227">
        <v>46507</v>
      </c>
      <c r="D219" s="228" t="s">
        <v>10</v>
      </c>
      <c r="E219" s="228" t="s">
        <v>4</v>
      </c>
      <c r="F219" s="228" t="s">
        <v>323</v>
      </c>
      <c r="G219" s="209">
        <v>103.8</v>
      </c>
      <c r="H219" s="210"/>
      <c r="I219" s="228" t="str">
        <f t="shared" si="14"/>
        <v>Monatslohn fehlt</v>
      </c>
      <c r="J219" s="250" t="str">
        <f t="shared" si="15"/>
        <v/>
      </c>
    </row>
    <row r="220" spans="1:10" ht="24" customHeight="1">
      <c r="A220" s="242" t="s">
        <v>329</v>
      </c>
      <c r="B220" s="227">
        <v>46143</v>
      </c>
      <c r="C220" s="227">
        <v>46507</v>
      </c>
      <c r="D220" s="228" t="s">
        <v>10</v>
      </c>
      <c r="E220" s="228" t="s">
        <v>4</v>
      </c>
      <c r="F220" s="228" t="s">
        <v>323</v>
      </c>
      <c r="G220" s="209">
        <v>86.5</v>
      </c>
      <c r="H220" s="210"/>
      <c r="I220" s="228" t="str">
        <f t="shared" si="14"/>
        <v>Monatslohn fehlt</v>
      </c>
      <c r="J220" s="250" t="str">
        <f t="shared" si="15"/>
        <v/>
      </c>
    </row>
    <row r="221" spans="1:10" ht="24" customHeight="1">
      <c r="A221" s="242" t="s">
        <v>329</v>
      </c>
      <c r="B221" s="227">
        <v>46143</v>
      </c>
      <c r="C221" s="227">
        <v>46507</v>
      </c>
      <c r="D221" s="228" t="s">
        <v>10</v>
      </c>
      <c r="E221" s="228" t="s">
        <v>4</v>
      </c>
      <c r="F221" s="228" t="s">
        <v>323</v>
      </c>
      <c r="G221" s="209">
        <v>69.2</v>
      </c>
      <c r="H221" s="210"/>
      <c r="I221" s="228" t="str">
        <f t="shared" si="14"/>
        <v>Monatslohn fehlt</v>
      </c>
      <c r="J221" s="250" t="str">
        <f t="shared" si="15"/>
        <v/>
      </c>
    </row>
    <row r="222" spans="1:10" ht="24" customHeight="1">
      <c r="A222" s="242" t="s">
        <v>329</v>
      </c>
      <c r="B222" s="227">
        <v>46143</v>
      </c>
      <c r="C222" s="227">
        <v>46507</v>
      </c>
      <c r="D222" s="228" t="s">
        <v>10</v>
      </c>
      <c r="E222" s="228" t="s">
        <v>4</v>
      </c>
      <c r="F222" s="228" t="s">
        <v>323</v>
      </c>
      <c r="G222" s="209">
        <v>51.9</v>
      </c>
      <c r="H222" s="210"/>
      <c r="I222" s="228" t="str">
        <f t="shared" si="14"/>
        <v>Monatslohn fehlt</v>
      </c>
      <c r="J222" s="250" t="str">
        <f t="shared" si="15"/>
        <v/>
      </c>
    </row>
    <row r="223" spans="1:10" ht="24" customHeight="1">
      <c r="A223" s="242" t="s">
        <v>329</v>
      </c>
      <c r="B223" s="227">
        <v>46143</v>
      </c>
      <c r="C223" s="227">
        <v>46507</v>
      </c>
      <c r="D223" s="228" t="s">
        <v>10</v>
      </c>
      <c r="E223" s="228" t="s">
        <v>4</v>
      </c>
      <c r="F223" s="228" t="s">
        <v>323</v>
      </c>
      <c r="G223" s="209">
        <v>47.58</v>
      </c>
      <c r="H223" s="210"/>
      <c r="I223" s="228" t="str">
        <f t="shared" si="14"/>
        <v>Monatslohn fehlt</v>
      </c>
      <c r="J223" s="250" t="str">
        <f t="shared" si="15"/>
        <v/>
      </c>
    </row>
    <row r="224" spans="1:10" ht="24" customHeight="1">
      <c r="A224" s="242" t="s">
        <v>329</v>
      </c>
      <c r="B224" s="227">
        <v>46143</v>
      </c>
      <c r="C224" s="227">
        <v>46507</v>
      </c>
      <c r="D224" s="228" t="s">
        <v>10</v>
      </c>
      <c r="E224" s="228" t="s">
        <v>4</v>
      </c>
      <c r="F224" s="228" t="s">
        <v>323</v>
      </c>
      <c r="G224" s="209">
        <v>43.25</v>
      </c>
      <c r="H224" s="210"/>
      <c r="I224" s="228" t="str">
        <f t="shared" si="14"/>
        <v>Monatslohn fehlt</v>
      </c>
      <c r="J224" s="250" t="str">
        <f t="shared" si="15"/>
        <v/>
      </c>
    </row>
    <row r="225" spans="1:10" ht="24" customHeight="1">
      <c r="A225" s="242" t="s">
        <v>329</v>
      </c>
      <c r="B225" s="227">
        <v>46143</v>
      </c>
      <c r="C225" s="227">
        <v>46507</v>
      </c>
      <c r="D225" s="228" t="s">
        <v>10</v>
      </c>
      <c r="E225" s="228" t="s">
        <v>4</v>
      </c>
      <c r="F225" s="228" t="s">
        <v>323</v>
      </c>
      <c r="G225" s="209">
        <v>34.6</v>
      </c>
      <c r="H225" s="210"/>
      <c r="I225" s="228" t="str">
        <f t="shared" si="14"/>
        <v>Monatslohn fehlt</v>
      </c>
      <c r="J225" s="250" t="str">
        <f t="shared" si="15"/>
        <v/>
      </c>
    </row>
    <row r="226" spans="1:10" ht="24" customHeight="1">
      <c r="A226" s="242" t="s">
        <v>329</v>
      </c>
      <c r="B226" s="227">
        <v>46143</v>
      </c>
      <c r="C226" s="227">
        <v>46507</v>
      </c>
      <c r="D226" s="228" t="s">
        <v>10</v>
      </c>
      <c r="E226" s="228" t="s">
        <v>4</v>
      </c>
      <c r="F226" s="228" t="s">
        <v>323</v>
      </c>
      <c r="G226" s="209">
        <v>32.01</v>
      </c>
      <c r="H226" s="210"/>
      <c r="I226" s="228" t="str">
        <f t="shared" si="14"/>
        <v>Monatslohn fehlt</v>
      </c>
      <c r="J226" s="250" t="str">
        <f t="shared" si="15"/>
        <v/>
      </c>
    </row>
    <row r="227" spans="1:10" ht="24" customHeight="1" thickBot="1">
      <c r="A227" s="242" t="s">
        <v>329</v>
      </c>
      <c r="B227" s="227">
        <v>46143</v>
      </c>
      <c r="C227" s="227">
        <v>46507</v>
      </c>
      <c r="D227" s="228" t="s">
        <v>10</v>
      </c>
      <c r="E227" s="228" t="s">
        <v>4</v>
      </c>
      <c r="F227" s="228" t="s">
        <v>323</v>
      </c>
      <c r="G227" s="209"/>
      <c r="H227" s="210"/>
      <c r="I227" s="228" t="str">
        <f t="shared" si="14"/>
        <v>Werte fehlen</v>
      </c>
      <c r="J227" s="250" t="str">
        <f t="shared" si="15"/>
        <v/>
      </c>
    </row>
    <row r="228" spans="1:10" ht="24" customHeight="1">
      <c r="A228" s="243" t="s">
        <v>329</v>
      </c>
      <c r="B228" s="229">
        <v>46143</v>
      </c>
      <c r="C228" s="229">
        <v>46507</v>
      </c>
      <c r="D228" s="230" t="s">
        <v>12</v>
      </c>
      <c r="E228" s="230" t="s">
        <v>4</v>
      </c>
      <c r="F228" s="230" t="s">
        <v>324</v>
      </c>
      <c r="G228" s="211">
        <v>173</v>
      </c>
      <c r="H228" s="212"/>
      <c r="I228" s="230" t="str">
        <f t="shared" si="14"/>
        <v>Monatslohn fehlt</v>
      </c>
      <c r="J228" s="251" t="str">
        <f t="shared" si="15"/>
        <v/>
      </c>
    </row>
    <row r="229" spans="1:10" ht="24" customHeight="1">
      <c r="A229" s="242" t="s">
        <v>329</v>
      </c>
      <c r="B229" s="227">
        <v>46143</v>
      </c>
      <c r="C229" s="227">
        <v>46507</v>
      </c>
      <c r="D229" s="228" t="s">
        <v>12</v>
      </c>
      <c r="E229" s="228" t="s">
        <v>4</v>
      </c>
      <c r="F229" s="228" t="s">
        <v>324</v>
      </c>
      <c r="G229" s="209">
        <v>151.38</v>
      </c>
      <c r="H229" s="210"/>
      <c r="I229" s="228" t="str">
        <f t="shared" si="14"/>
        <v>Monatslohn fehlt</v>
      </c>
      <c r="J229" s="250" t="str">
        <f t="shared" si="15"/>
        <v/>
      </c>
    </row>
    <row r="230" spans="1:10" ht="24" customHeight="1">
      <c r="A230" s="242" t="s">
        <v>329</v>
      </c>
      <c r="B230" s="227">
        <v>46143</v>
      </c>
      <c r="C230" s="227">
        <v>46507</v>
      </c>
      <c r="D230" s="228" t="s">
        <v>12</v>
      </c>
      <c r="E230" s="228" t="s">
        <v>4</v>
      </c>
      <c r="F230" s="228" t="s">
        <v>324</v>
      </c>
      <c r="G230" s="209">
        <v>138.4</v>
      </c>
      <c r="H230" s="210"/>
      <c r="I230" s="228" t="str">
        <f t="shared" si="14"/>
        <v>Monatslohn fehlt</v>
      </c>
      <c r="J230" s="250" t="str">
        <f t="shared" si="15"/>
        <v/>
      </c>
    </row>
    <row r="231" spans="1:10" ht="24" customHeight="1">
      <c r="A231" s="242" t="s">
        <v>329</v>
      </c>
      <c r="B231" s="227">
        <v>46143</v>
      </c>
      <c r="C231" s="227">
        <v>46507</v>
      </c>
      <c r="D231" s="228" t="s">
        <v>12</v>
      </c>
      <c r="E231" s="228" t="s">
        <v>4</v>
      </c>
      <c r="F231" s="228" t="s">
        <v>324</v>
      </c>
      <c r="G231" s="209">
        <v>129.75</v>
      </c>
      <c r="H231" s="210"/>
      <c r="I231" s="228" t="str">
        <f t="shared" si="14"/>
        <v>Monatslohn fehlt</v>
      </c>
      <c r="J231" s="250" t="str">
        <f t="shared" si="15"/>
        <v/>
      </c>
    </row>
    <row r="232" spans="1:10" ht="24" customHeight="1">
      <c r="A232" s="242" t="s">
        <v>329</v>
      </c>
      <c r="B232" s="227">
        <v>46143</v>
      </c>
      <c r="C232" s="227">
        <v>46507</v>
      </c>
      <c r="D232" s="228" t="s">
        <v>12</v>
      </c>
      <c r="E232" s="228" t="s">
        <v>4</v>
      </c>
      <c r="F232" s="228" t="s">
        <v>324</v>
      </c>
      <c r="G232" s="209">
        <v>108.13</v>
      </c>
      <c r="H232" s="210"/>
      <c r="I232" s="228" t="str">
        <f t="shared" si="14"/>
        <v>Monatslohn fehlt</v>
      </c>
      <c r="J232" s="250" t="str">
        <f t="shared" si="15"/>
        <v/>
      </c>
    </row>
    <row r="233" spans="1:10" ht="24" customHeight="1">
      <c r="A233" s="242" t="s">
        <v>329</v>
      </c>
      <c r="B233" s="227">
        <v>46143</v>
      </c>
      <c r="C233" s="227">
        <v>46507</v>
      </c>
      <c r="D233" s="228" t="s">
        <v>12</v>
      </c>
      <c r="E233" s="228" t="s">
        <v>4</v>
      </c>
      <c r="F233" s="228" t="s">
        <v>324</v>
      </c>
      <c r="G233" s="209">
        <v>103.8</v>
      </c>
      <c r="H233" s="210"/>
      <c r="I233" s="228" t="str">
        <f t="shared" si="14"/>
        <v>Monatslohn fehlt</v>
      </c>
      <c r="J233" s="250" t="str">
        <f t="shared" si="15"/>
        <v/>
      </c>
    </row>
    <row r="234" spans="1:10" ht="24" customHeight="1">
      <c r="A234" s="242" t="s">
        <v>329</v>
      </c>
      <c r="B234" s="227">
        <v>46143</v>
      </c>
      <c r="C234" s="227">
        <v>46507</v>
      </c>
      <c r="D234" s="228" t="s">
        <v>12</v>
      </c>
      <c r="E234" s="228" t="s">
        <v>4</v>
      </c>
      <c r="F234" s="228" t="s">
        <v>324</v>
      </c>
      <c r="G234" s="209">
        <v>86.5</v>
      </c>
      <c r="H234" s="210"/>
      <c r="I234" s="228" t="str">
        <f t="shared" si="14"/>
        <v>Monatslohn fehlt</v>
      </c>
      <c r="J234" s="250" t="str">
        <f t="shared" si="15"/>
        <v/>
      </c>
    </row>
    <row r="235" spans="1:10" ht="24" customHeight="1">
      <c r="A235" s="242" t="s">
        <v>329</v>
      </c>
      <c r="B235" s="227">
        <v>46143</v>
      </c>
      <c r="C235" s="227">
        <v>46507</v>
      </c>
      <c r="D235" s="228" t="s">
        <v>12</v>
      </c>
      <c r="E235" s="228" t="s">
        <v>4</v>
      </c>
      <c r="F235" s="228" t="s">
        <v>324</v>
      </c>
      <c r="G235" s="209">
        <v>69.2</v>
      </c>
      <c r="H235" s="210"/>
      <c r="I235" s="228" t="str">
        <f t="shared" si="14"/>
        <v>Monatslohn fehlt</v>
      </c>
      <c r="J235" s="250" t="str">
        <f t="shared" si="15"/>
        <v/>
      </c>
    </row>
    <row r="236" spans="1:10" ht="24" customHeight="1">
      <c r="A236" s="242" t="s">
        <v>329</v>
      </c>
      <c r="B236" s="227">
        <v>46143</v>
      </c>
      <c r="C236" s="227">
        <v>46507</v>
      </c>
      <c r="D236" s="228" t="s">
        <v>12</v>
      </c>
      <c r="E236" s="228" t="s">
        <v>4</v>
      </c>
      <c r="F236" s="228" t="s">
        <v>324</v>
      </c>
      <c r="G236" s="209">
        <v>51.9</v>
      </c>
      <c r="H236" s="210"/>
      <c r="I236" s="228" t="str">
        <f t="shared" si="14"/>
        <v>Monatslohn fehlt</v>
      </c>
      <c r="J236" s="250" t="str">
        <f t="shared" si="15"/>
        <v/>
      </c>
    </row>
    <row r="237" spans="1:10" ht="24" customHeight="1">
      <c r="A237" s="242" t="s">
        <v>329</v>
      </c>
      <c r="B237" s="227">
        <v>46143</v>
      </c>
      <c r="C237" s="227">
        <v>46507</v>
      </c>
      <c r="D237" s="228" t="s">
        <v>12</v>
      </c>
      <c r="E237" s="228" t="s">
        <v>4</v>
      </c>
      <c r="F237" s="228" t="s">
        <v>324</v>
      </c>
      <c r="G237" s="209">
        <v>47.58</v>
      </c>
      <c r="H237" s="210"/>
      <c r="I237" s="228" t="str">
        <f t="shared" si="14"/>
        <v>Monatslohn fehlt</v>
      </c>
      <c r="J237" s="250" t="str">
        <f t="shared" si="15"/>
        <v/>
      </c>
    </row>
    <row r="238" spans="1:10" ht="24" customHeight="1">
      <c r="A238" s="242" t="s">
        <v>329</v>
      </c>
      <c r="B238" s="227">
        <v>46143</v>
      </c>
      <c r="C238" s="227">
        <v>46507</v>
      </c>
      <c r="D238" s="228" t="s">
        <v>12</v>
      </c>
      <c r="E238" s="228" t="s">
        <v>4</v>
      </c>
      <c r="F238" s="228" t="s">
        <v>324</v>
      </c>
      <c r="G238" s="209">
        <v>43.25</v>
      </c>
      <c r="H238" s="210"/>
      <c r="I238" s="228" t="str">
        <f t="shared" si="14"/>
        <v>Monatslohn fehlt</v>
      </c>
      <c r="J238" s="250" t="str">
        <f t="shared" si="15"/>
        <v/>
      </c>
    </row>
    <row r="239" spans="1:10" ht="24" customHeight="1">
      <c r="A239" s="242" t="s">
        <v>329</v>
      </c>
      <c r="B239" s="227">
        <v>46143</v>
      </c>
      <c r="C239" s="227">
        <v>46507</v>
      </c>
      <c r="D239" s="228" t="s">
        <v>12</v>
      </c>
      <c r="E239" s="228" t="s">
        <v>4</v>
      </c>
      <c r="F239" s="228" t="s">
        <v>324</v>
      </c>
      <c r="G239" s="209">
        <v>34.6</v>
      </c>
      <c r="H239" s="210"/>
      <c r="I239" s="228" t="str">
        <f t="shared" si="14"/>
        <v>Monatslohn fehlt</v>
      </c>
      <c r="J239" s="250" t="str">
        <f t="shared" si="15"/>
        <v/>
      </c>
    </row>
    <row r="240" spans="1:10" ht="24" customHeight="1">
      <c r="A240" s="242" t="s">
        <v>329</v>
      </c>
      <c r="B240" s="227">
        <v>46143</v>
      </c>
      <c r="C240" s="227">
        <v>46507</v>
      </c>
      <c r="D240" s="228" t="s">
        <v>12</v>
      </c>
      <c r="E240" s="228" t="s">
        <v>4</v>
      </c>
      <c r="F240" s="228" t="s">
        <v>324</v>
      </c>
      <c r="G240" s="209">
        <v>32.01</v>
      </c>
      <c r="H240" s="210"/>
      <c r="I240" s="228" t="str">
        <f t="shared" si="14"/>
        <v>Monatslohn fehlt</v>
      </c>
      <c r="J240" s="250" t="str">
        <f t="shared" si="15"/>
        <v/>
      </c>
    </row>
    <row r="241" spans="1:10" ht="24" customHeight="1" thickBot="1">
      <c r="A241" s="242" t="s">
        <v>329</v>
      </c>
      <c r="B241" s="227">
        <v>46143</v>
      </c>
      <c r="C241" s="227">
        <v>46507</v>
      </c>
      <c r="D241" s="228" t="s">
        <v>12</v>
      </c>
      <c r="E241" s="228" t="s">
        <v>4</v>
      </c>
      <c r="F241" s="228" t="s">
        <v>324</v>
      </c>
      <c r="G241" s="209"/>
      <c r="H241" s="210"/>
      <c r="I241" s="228" t="str">
        <f t="shared" si="14"/>
        <v>Werte fehlen</v>
      </c>
      <c r="J241" s="250" t="str">
        <f t="shared" si="15"/>
        <v/>
      </c>
    </row>
    <row r="242" spans="1:10" ht="24" customHeight="1">
      <c r="A242" s="244" t="s">
        <v>329</v>
      </c>
      <c r="B242" s="231">
        <v>46143</v>
      </c>
      <c r="C242" s="231">
        <v>46507</v>
      </c>
      <c r="D242" s="232" t="s">
        <v>332</v>
      </c>
      <c r="E242" s="232" t="s">
        <v>13</v>
      </c>
      <c r="F242" s="232" t="s">
        <v>321</v>
      </c>
      <c r="G242" s="213">
        <v>173</v>
      </c>
      <c r="H242" s="214"/>
      <c r="I242" s="232" t="str">
        <f t="shared" si="14"/>
        <v>Monatslohn fehlt</v>
      </c>
      <c r="J242" s="252" t="str">
        <f t="shared" si="15"/>
        <v/>
      </c>
    </row>
    <row r="243" spans="1:10" ht="24" customHeight="1">
      <c r="A243" s="245" t="s">
        <v>329</v>
      </c>
      <c r="B243" s="233">
        <v>46143</v>
      </c>
      <c r="C243" s="233">
        <v>46507</v>
      </c>
      <c r="D243" s="234" t="s">
        <v>332</v>
      </c>
      <c r="E243" s="234" t="s">
        <v>13</v>
      </c>
      <c r="F243" s="234" t="s">
        <v>321</v>
      </c>
      <c r="G243" s="215">
        <v>151.38</v>
      </c>
      <c r="H243" s="216"/>
      <c r="I243" s="234" t="str">
        <f t="shared" si="14"/>
        <v>Monatslohn fehlt</v>
      </c>
      <c r="J243" s="253" t="str">
        <f t="shared" si="15"/>
        <v/>
      </c>
    </row>
    <row r="244" spans="1:10" ht="24" customHeight="1">
      <c r="A244" s="245" t="s">
        <v>329</v>
      </c>
      <c r="B244" s="233">
        <v>46143</v>
      </c>
      <c r="C244" s="233">
        <v>46507</v>
      </c>
      <c r="D244" s="234" t="s">
        <v>332</v>
      </c>
      <c r="E244" s="234" t="s">
        <v>13</v>
      </c>
      <c r="F244" s="234" t="s">
        <v>321</v>
      </c>
      <c r="G244" s="215">
        <v>138.4</v>
      </c>
      <c r="H244" s="216"/>
      <c r="I244" s="234" t="str">
        <f t="shared" si="14"/>
        <v>Monatslohn fehlt</v>
      </c>
      <c r="J244" s="253" t="str">
        <f t="shared" si="15"/>
        <v/>
      </c>
    </row>
    <row r="245" spans="1:10" ht="24" customHeight="1">
      <c r="A245" s="245" t="s">
        <v>329</v>
      </c>
      <c r="B245" s="233">
        <v>46143</v>
      </c>
      <c r="C245" s="233">
        <v>46507</v>
      </c>
      <c r="D245" s="234" t="s">
        <v>332</v>
      </c>
      <c r="E245" s="234" t="s">
        <v>13</v>
      </c>
      <c r="F245" s="234" t="s">
        <v>321</v>
      </c>
      <c r="G245" s="215">
        <v>129.75</v>
      </c>
      <c r="H245" s="216"/>
      <c r="I245" s="234" t="str">
        <f t="shared" si="14"/>
        <v>Monatslohn fehlt</v>
      </c>
      <c r="J245" s="253" t="str">
        <f t="shared" si="15"/>
        <v/>
      </c>
    </row>
    <row r="246" spans="1:10" ht="24" customHeight="1">
      <c r="A246" s="245" t="s">
        <v>329</v>
      </c>
      <c r="B246" s="233">
        <v>46143</v>
      </c>
      <c r="C246" s="233">
        <v>46507</v>
      </c>
      <c r="D246" s="234" t="s">
        <v>332</v>
      </c>
      <c r="E246" s="234" t="s">
        <v>13</v>
      </c>
      <c r="F246" s="234" t="s">
        <v>321</v>
      </c>
      <c r="G246" s="215">
        <v>108.13</v>
      </c>
      <c r="H246" s="216"/>
      <c r="I246" s="234" t="str">
        <f t="shared" si="14"/>
        <v>Monatslohn fehlt</v>
      </c>
      <c r="J246" s="253" t="str">
        <f t="shared" si="15"/>
        <v/>
      </c>
    </row>
    <row r="247" spans="1:10" ht="24" customHeight="1">
      <c r="A247" s="245" t="s">
        <v>329</v>
      </c>
      <c r="B247" s="233">
        <v>46143</v>
      </c>
      <c r="C247" s="233">
        <v>46507</v>
      </c>
      <c r="D247" s="234" t="s">
        <v>332</v>
      </c>
      <c r="E247" s="234" t="s">
        <v>13</v>
      </c>
      <c r="F247" s="234" t="s">
        <v>321</v>
      </c>
      <c r="G247" s="215">
        <v>103.8</v>
      </c>
      <c r="H247" s="216"/>
      <c r="I247" s="234" t="str">
        <f t="shared" si="14"/>
        <v>Monatslohn fehlt</v>
      </c>
      <c r="J247" s="253" t="str">
        <f t="shared" si="15"/>
        <v/>
      </c>
    </row>
    <row r="248" spans="1:10" ht="24" customHeight="1">
      <c r="A248" s="245" t="s">
        <v>329</v>
      </c>
      <c r="B248" s="233">
        <v>46143</v>
      </c>
      <c r="C248" s="233">
        <v>46507</v>
      </c>
      <c r="D248" s="234" t="s">
        <v>332</v>
      </c>
      <c r="E248" s="234" t="s">
        <v>13</v>
      </c>
      <c r="F248" s="234" t="s">
        <v>321</v>
      </c>
      <c r="G248" s="215">
        <v>86.5</v>
      </c>
      <c r="H248" s="216"/>
      <c r="I248" s="234" t="str">
        <f t="shared" si="14"/>
        <v>Monatslohn fehlt</v>
      </c>
      <c r="J248" s="253" t="str">
        <f t="shared" si="15"/>
        <v/>
      </c>
    </row>
    <row r="249" spans="1:10" ht="24" customHeight="1">
      <c r="A249" s="245" t="s">
        <v>329</v>
      </c>
      <c r="B249" s="233">
        <v>46143</v>
      </c>
      <c r="C249" s="233">
        <v>46507</v>
      </c>
      <c r="D249" s="234" t="s">
        <v>332</v>
      </c>
      <c r="E249" s="234" t="s">
        <v>13</v>
      </c>
      <c r="F249" s="234" t="s">
        <v>321</v>
      </c>
      <c r="G249" s="215">
        <v>69.2</v>
      </c>
      <c r="H249" s="216"/>
      <c r="I249" s="234" t="str">
        <f t="shared" si="14"/>
        <v>Monatslohn fehlt</v>
      </c>
      <c r="J249" s="253" t="str">
        <f t="shared" si="15"/>
        <v/>
      </c>
    </row>
    <row r="250" spans="1:10" ht="24" customHeight="1">
      <c r="A250" s="245" t="s">
        <v>329</v>
      </c>
      <c r="B250" s="233">
        <v>46143</v>
      </c>
      <c r="C250" s="233">
        <v>46507</v>
      </c>
      <c r="D250" s="234" t="s">
        <v>332</v>
      </c>
      <c r="E250" s="234" t="s">
        <v>13</v>
      </c>
      <c r="F250" s="234" t="s">
        <v>321</v>
      </c>
      <c r="G250" s="215">
        <v>51.9</v>
      </c>
      <c r="H250" s="216"/>
      <c r="I250" s="234" t="str">
        <f t="shared" ref="I250:I281" si="16">IF($A250="","",IF(OR($B250="",$C250="",$D250="",$E250="",$F250=""),"Stammdaten fehlen",IF(AND($G250="",$H250=""),"Werte fehlen",IF($G250="","Monatsstunden fehlen",IF($H250="","Monatslohn fehlt","OK")))))</f>
        <v>Monatslohn fehlt</v>
      </c>
      <c r="J250" s="253" t="str">
        <f t="shared" ref="J250:J281" si="17">IF($G250="","",IF(COUNTIFS($A:$A,$A250,$D:$D,$D250,$G:$G,$G250)&gt;1,"Doppelte Monatsstunden",""))</f>
        <v/>
      </c>
    </row>
    <row r="251" spans="1:10" ht="24" customHeight="1">
      <c r="A251" s="245" t="s">
        <v>329</v>
      </c>
      <c r="B251" s="233">
        <v>46143</v>
      </c>
      <c r="C251" s="233">
        <v>46507</v>
      </c>
      <c r="D251" s="234" t="s">
        <v>332</v>
      </c>
      <c r="E251" s="234" t="s">
        <v>13</v>
      </c>
      <c r="F251" s="234" t="s">
        <v>321</v>
      </c>
      <c r="G251" s="215">
        <v>47.58</v>
      </c>
      <c r="H251" s="216"/>
      <c r="I251" s="234" t="str">
        <f t="shared" si="16"/>
        <v>Monatslohn fehlt</v>
      </c>
      <c r="J251" s="253" t="str">
        <f t="shared" si="17"/>
        <v/>
      </c>
    </row>
    <row r="252" spans="1:10" ht="24" customHeight="1">
      <c r="A252" s="245" t="s">
        <v>329</v>
      </c>
      <c r="B252" s="233">
        <v>46143</v>
      </c>
      <c r="C252" s="233">
        <v>46507</v>
      </c>
      <c r="D252" s="234" t="s">
        <v>332</v>
      </c>
      <c r="E252" s="234" t="s">
        <v>13</v>
      </c>
      <c r="F252" s="234" t="s">
        <v>321</v>
      </c>
      <c r="G252" s="215">
        <v>43.25</v>
      </c>
      <c r="H252" s="216"/>
      <c r="I252" s="234" t="str">
        <f t="shared" si="16"/>
        <v>Monatslohn fehlt</v>
      </c>
      <c r="J252" s="253" t="str">
        <f t="shared" si="17"/>
        <v/>
      </c>
    </row>
    <row r="253" spans="1:10" ht="24" customHeight="1">
      <c r="A253" s="245" t="s">
        <v>329</v>
      </c>
      <c r="B253" s="233">
        <v>46143</v>
      </c>
      <c r="C253" s="233">
        <v>46507</v>
      </c>
      <c r="D253" s="234" t="s">
        <v>332</v>
      </c>
      <c r="E253" s="234" t="s">
        <v>13</v>
      </c>
      <c r="F253" s="234" t="s">
        <v>321</v>
      </c>
      <c r="G253" s="215">
        <v>34.6</v>
      </c>
      <c r="H253" s="216"/>
      <c r="I253" s="234" t="str">
        <f t="shared" si="16"/>
        <v>Monatslohn fehlt</v>
      </c>
      <c r="J253" s="253" t="str">
        <f t="shared" si="17"/>
        <v/>
      </c>
    </row>
    <row r="254" spans="1:10" ht="24" customHeight="1">
      <c r="A254" s="245" t="s">
        <v>329</v>
      </c>
      <c r="B254" s="233">
        <v>46143</v>
      </c>
      <c r="C254" s="233">
        <v>46507</v>
      </c>
      <c r="D254" s="234" t="s">
        <v>332</v>
      </c>
      <c r="E254" s="234" t="s">
        <v>13</v>
      </c>
      <c r="F254" s="234" t="s">
        <v>321</v>
      </c>
      <c r="G254" s="215">
        <v>32.01</v>
      </c>
      <c r="H254" s="216"/>
      <c r="I254" s="234" t="str">
        <f t="shared" si="16"/>
        <v>Monatslohn fehlt</v>
      </c>
      <c r="J254" s="253" t="str">
        <f t="shared" si="17"/>
        <v/>
      </c>
    </row>
    <row r="255" spans="1:10" ht="24" customHeight="1" thickBot="1">
      <c r="A255" s="245" t="s">
        <v>329</v>
      </c>
      <c r="B255" s="233">
        <v>46143</v>
      </c>
      <c r="C255" s="233">
        <v>46507</v>
      </c>
      <c r="D255" s="234" t="s">
        <v>332</v>
      </c>
      <c r="E255" s="234" t="s">
        <v>13</v>
      </c>
      <c r="F255" s="234" t="s">
        <v>321</v>
      </c>
      <c r="G255" s="215"/>
      <c r="H255" s="216"/>
      <c r="I255" s="234" t="str">
        <f t="shared" si="16"/>
        <v>Werte fehlen</v>
      </c>
      <c r="J255" s="253" t="str">
        <f t="shared" si="17"/>
        <v/>
      </c>
    </row>
    <row r="256" spans="1:10" ht="24" customHeight="1">
      <c r="A256" s="244" t="s">
        <v>329</v>
      </c>
      <c r="B256" s="231">
        <v>46143</v>
      </c>
      <c r="C256" s="231">
        <v>46507</v>
      </c>
      <c r="D256" s="232" t="s">
        <v>15</v>
      </c>
      <c r="E256" s="232" t="s">
        <v>13</v>
      </c>
      <c r="F256" s="232" t="s">
        <v>322</v>
      </c>
      <c r="G256" s="213">
        <v>173</v>
      </c>
      <c r="H256" s="214"/>
      <c r="I256" s="232" t="str">
        <f t="shared" si="16"/>
        <v>Monatslohn fehlt</v>
      </c>
      <c r="J256" s="252" t="str">
        <f t="shared" si="17"/>
        <v/>
      </c>
    </row>
    <row r="257" spans="1:10" ht="24" customHeight="1">
      <c r="A257" s="245" t="s">
        <v>329</v>
      </c>
      <c r="B257" s="233">
        <v>46143</v>
      </c>
      <c r="C257" s="233">
        <v>46507</v>
      </c>
      <c r="D257" s="234" t="s">
        <v>15</v>
      </c>
      <c r="E257" s="234" t="s">
        <v>13</v>
      </c>
      <c r="F257" s="234" t="s">
        <v>322</v>
      </c>
      <c r="G257" s="215">
        <v>151.38</v>
      </c>
      <c r="H257" s="216"/>
      <c r="I257" s="234" t="str">
        <f t="shared" si="16"/>
        <v>Monatslohn fehlt</v>
      </c>
      <c r="J257" s="253" t="str">
        <f t="shared" si="17"/>
        <v/>
      </c>
    </row>
    <row r="258" spans="1:10" ht="24" customHeight="1">
      <c r="A258" s="245" t="s">
        <v>329</v>
      </c>
      <c r="B258" s="233">
        <v>46143</v>
      </c>
      <c r="C258" s="233">
        <v>46507</v>
      </c>
      <c r="D258" s="234" t="s">
        <v>15</v>
      </c>
      <c r="E258" s="234" t="s">
        <v>13</v>
      </c>
      <c r="F258" s="234" t="s">
        <v>322</v>
      </c>
      <c r="G258" s="215">
        <v>138.4</v>
      </c>
      <c r="H258" s="216"/>
      <c r="I258" s="234" t="str">
        <f t="shared" si="16"/>
        <v>Monatslohn fehlt</v>
      </c>
      <c r="J258" s="253" t="str">
        <f t="shared" si="17"/>
        <v/>
      </c>
    </row>
    <row r="259" spans="1:10" ht="24" customHeight="1">
      <c r="A259" s="245" t="s">
        <v>329</v>
      </c>
      <c r="B259" s="233">
        <v>46143</v>
      </c>
      <c r="C259" s="233">
        <v>46507</v>
      </c>
      <c r="D259" s="234" t="s">
        <v>15</v>
      </c>
      <c r="E259" s="234" t="s">
        <v>13</v>
      </c>
      <c r="F259" s="234" t="s">
        <v>322</v>
      </c>
      <c r="G259" s="215">
        <v>129.75</v>
      </c>
      <c r="H259" s="216"/>
      <c r="I259" s="234" t="str">
        <f t="shared" si="16"/>
        <v>Monatslohn fehlt</v>
      </c>
      <c r="J259" s="253" t="str">
        <f t="shared" si="17"/>
        <v/>
      </c>
    </row>
    <row r="260" spans="1:10" ht="24" customHeight="1">
      <c r="A260" s="245" t="s">
        <v>329</v>
      </c>
      <c r="B260" s="233">
        <v>46143</v>
      </c>
      <c r="C260" s="233">
        <v>46507</v>
      </c>
      <c r="D260" s="234" t="s">
        <v>15</v>
      </c>
      <c r="E260" s="234" t="s">
        <v>13</v>
      </c>
      <c r="F260" s="234" t="s">
        <v>322</v>
      </c>
      <c r="G260" s="215">
        <v>108.13</v>
      </c>
      <c r="H260" s="216"/>
      <c r="I260" s="234" t="str">
        <f t="shared" si="16"/>
        <v>Monatslohn fehlt</v>
      </c>
      <c r="J260" s="253" t="str">
        <f t="shared" si="17"/>
        <v/>
      </c>
    </row>
    <row r="261" spans="1:10" ht="24" customHeight="1">
      <c r="A261" s="245" t="s">
        <v>329</v>
      </c>
      <c r="B261" s="233">
        <v>46143</v>
      </c>
      <c r="C261" s="233">
        <v>46507</v>
      </c>
      <c r="D261" s="234" t="s">
        <v>15</v>
      </c>
      <c r="E261" s="234" t="s">
        <v>13</v>
      </c>
      <c r="F261" s="234" t="s">
        <v>322</v>
      </c>
      <c r="G261" s="215">
        <v>103.8</v>
      </c>
      <c r="H261" s="216"/>
      <c r="I261" s="234" t="str">
        <f t="shared" si="16"/>
        <v>Monatslohn fehlt</v>
      </c>
      <c r="J261" s="253" t="str">
        <f t="shared" si="17"/>
        <v/>
      </c>
    </row>
    <row r="262" spans="1:10" ht="24" customHeight="1">
      <c r="A262" s="245" t="s">
        <v>329</v>
      </c>
      <c r="B262" s="233">
        <v>46143</v>
      </c>
      <c r="C262" s="233">
        <v>46507</v>
      </c>
      <c r="D262" s="234" t="s">
        <v>15</v>
      </c>
      <c r="E262" s="234" t="s">
        <v>13</v>
      </c>
      <c r="F262" s="234" t="s">
        <v>322</v>
      </c>
      <c r="G262" s="215">
        <v>86.5</v>
      </c>
      <c r="H262" s="216"/>
      <c r="I262" s="234" t="str">
        <f t="shared" si="16"/>
        <v>Monatslohn fehlt</v>
      </c>
      <c r="J262" s="253" t="str">
        <f t="shared" si="17"/>
        <v/>
      </c>
    </row>
    <row r="263" spans="1:10" ht="24" customHeight="1">
      <c r="A263" s="245" t="s">
        <v>329</v>
      </c>
      <c r="B263" s="233">
        <v>46143</v>
      </c>
      <c r="C263" s="233">
        <v>46507</v>
      </c>
      <c r="D263" s="234" t="s">
        <v>15</v>
      </c>
      <c r="E263" s="234" t="s">
        <v>13</v>
      </c>
      <c r="F263" s="234" t="s">
        <v>322</v>
      </c>
      <c r="G263" s="215">
        <v>69.2</v>
      </c>
      <c r="H263" s="216"/>
      <c r="I263" s="234" t="str">
        <f t="shared" si="16"/>
        <v>Monatslohn fehlt</v>
      </c>
      <c r="J263" s="253" t="str">
        <f t="shared" si="17"/>
        <v/>
      </c>
    </row>
    <row r="264" spans="1:10" ht="24" customHeight="1">
      <c r="A264" s="245" t="s">
        <v>329</v>
      </c>
      <c r="B264" s="233">
        <v>46143</v>
      </c>
      <c r="C264" s="233">
        <v>46507</v>
      </c>
      <c r="D264" s="234" t="s">
        <v>15</v>
      </c>
      <c r="E264" s="234" t="s">
        <v>13</v>
      </c>
      <c r="F264" s="234" t="s">
        <v>322</v>
      </c>
      <c r="G264" s="215">
        <v>51.9</v>
      </c>
      <c r="H264" s="216"/>
      <c r="I264" s="234" t="str">
        <f t="shared" si="16"/>
        <v>Monatslohn fehlt</v>
      </c>
      <c r="J264" s="253" t="str">
        <f t="shared" si="17"/>
        <v/>
      </c>
    </row>
    <row r="265" spans="1:10" ht="24" customHeight="1">
      <c r="A265" s="245" t="s">
        <v>329</v>
      </c>
      <c r="B265" s="233">
        <v>46143</v>
      </c>
      <c r="C265" s="233">
        <v>46507</v>
      </c>
      <c r="D265" s="234" t="s">
        <v>15</v>
      </c>
      <c r="E265" s="234" t="s">
        <v>13</v>
      </c>
      <c r="F265" s="234" t="s">
        <v>322</v>
      </c>
      <c r="G265" s="215">
        <v>47.58</v>
      </c>
      <c r="H265" s="216"/>
      <c r="I265" s="234" t="str">
        <f t="shared" si="16"/>
        <v>Monatslohn fehlt</v>
      </c>
      <c r="J265" s="253" t="str">
        <f t="shared" si="17"/>
        <v/>
      </c>
    </row>
    <row r="266" spans="1:10" ht="24" customHeight="1">
      <c r="A266" s="245" t="s">
        <v>329</v>
      </c>
      <c r="B266" s="233">
        <v>46143</v>
      </c>
      <c r="C266" s="233">
        <v>46507</v>
      </c>
      <c r="D266" s="234" t="s">
        <v>15</v>
      </c>
      <c r="E266" s="234" t="s">
        <v>13</v>
      </c>
      <c r="F266" s="234" t="s">
        <v>322</v>
      </c>
      <c r="G266" s="215">
        <v>43.25</v>
      </c>
      <c r="H266" s="216"/>
      <c r="I266" s="234" t="str">
        <f t="shared" si="16"/>
        <v>Monatslohn fehlt</v>
      </c>
      <c r="J266" s="253" t="str">
        <f t="shared" si="17"/>
        <v/>
      </c>
    </row>
    <row r="267" spans="1:10" ht="24" customHeight="1">
      <c r="A267" s="245" t="s">
        <v>329</v>
      </c>
      <c r="B267" s="233">
        <v>46143</v>
      </c>
      <c r="C267" s="233">
        <v>46507</v>
      </c>
      <c r="D267" s="234" t="s">
        <v>15</v>
      </c>
      <c r="E267" s="234" t="s">
        <v>13</v>
      </c>
      <c r="F267" s="234" t="s">
        <v>322</v>
      </c>
      <c r="G267" s="215">
        <v>34.6</v>
      </c>
      <c r="H267" s="216"/>
      <c r="I267" s="234" t="str">
        <f t="shared" si="16"/>
        <v>Monatslohn fehlt</v>
      </c>
      <c r="J267" s="253" t="str">
        <f t="shared" si="17"/>
        <v/>
      </c>
    </row>
    <row r="268" spans="1:10" ht="24" customHeight="1">
      <c r="A268" s="245" t="s">
        <v>329</v>
      </c>
      <c r="B268" s="233">
        <v>46143</v>
      </c>
      <c r="C268" s="233">
        <v>46507</v>
      </c>
      <c r="D268" s="234" t="s">
        <v>15</v>
      </c>
      <c r="E268" s="234" t="s">
        <v>13</v>
      </c>
      <c r="F268" s="234" t="s">
        <v>322</v>
      </c>
      <c r="G268" s="215">
        <v>32.01</v>
      </c>
      <c r="H268" s="216"/>
      <c r="I268" s="234" t="str">
        <f t="shared" si="16"/>
        <v>Monatslohn fehlt</v>
      </c>
      <c r="J268" s="253" t="str">
        <f t="shared" si="17"/>
        <v/>
      </c>
    </row>
    <row r="269" spans="1:10" ht="24" customHeight="1" thickBot="1">
      <c r="A269" s="245" t="s">
        <v>329</v>
      </c>
      <c r="B269" s="233">
        <v>46143</v>
      </c>
      <c r="C269" s="233">
        <v>46507</v>
      </c>
      <c r="D269" s="234" t="s">
        <v>15</v>
      </c>
      <c r="E269" s="234" t="s">
        <v>13</v>
      </c>
      <c r="F269" s="234" t="s">
        <v>322</v>
      </c>
      <c r="G269" s="215"/>
      <c r="H269" s="216"/>
      <c r="I269" s="234" t="str">
        <f t="shared" si="16"/>
        <v>Werte fehlen</v>
      </c>
      <c r="J269" s="253" t="str">
        <f t="shared" si="17"/>
        <v/>
      </c>
    </row>
    <row r="270" spans="1:10" ht="24" customHeight="1">
      <c r="A270" s="244" t="s">
        <v>329</v>
      </c>
      <c r="B270" s="231">
        <v>46143</v>
      </c>
      <c r="C270" s="231">
        <v>46507</v>
      </c>
      <c r="D270" s="232" t="s">
        <v>17</v>
      </c>
      <c r="E270" s="232" t="s">
        <v>13</v>
      </c>
      <c r="F270" s="232" t="s">
        <v>323</v>
      </c>
      <c r="G270" s="213">
        <v>173</v>
      </c>
      <c r="H270" s="214"/>
      <c r="I270" s="232" t="str">
        <f t="shared" si="16"/>
        <v>Monatslohn fehlt</v>
      </c>
      <c r="J270" s="252" t="str">
        <f t="shared" si="17"/>
        <v/>
      </c>
    </row>
    <row r="271" spans="1:10" ht="24" customHeight="1">
      <c r="A271" s="245" t="s">
        <v>329</v>
      </c>
      <c r="B271" s="233">
        <v>46143</v>
      </c>
      <c r="C271" s="233">
        <v>46507</v>
      </c>
      <c r="D271" s="234" t="s">
        <v>17</v>
      </c>
      <c r="E271" s="234" t="s">
        <v>13</v>
      </c>
      <c r="F271" s="234" t="s">
        <v>323</v>
      </c>
      <c r="G271" s="215">
        <v>151.38</v>
      </c>
      <c r="H271" s="216"/>
      <c r="I271" s="234" t="str">
        <f t="shared" si="16"/>
        <v>Monatslohn fehlt</v>
      </c>
      <c r="J271" s="253" t="str">
        <f t="shared" si="17"/>
        <v/>
      </c>
    </row>
    <row r="272" spans="1:10" ht="24" customHeight="1">
      <c r="A272" s="245" t="s">
        <v>329</v>
      </c>
      <c r="B272" s="233">
        <v>46143</v>
      </c>
      <c r="C272" s="233">
        <v>46507</v>
      </c>
      <c r="D272" s="234" t="s">
        <v>17</v>
      </c>
      <c r="E272" s="234" t="s">
        <v>13</v>
      </c>
      <c r="F272" s="234" t="s">
        <v>323</v>
      </c>
      <c r="G272" s="215">
        <v>138.4</v>
      </c>
      <c r="H272" s="216"/>
      <c r="I272" s="234" t="str">
        <f t="shared" si="16"/>
        <v>Monatslohn fehlt</v>
      </c>
      <c r="J272" s="253" t="str">
        <f t="shared" si="17"/>
        <v/>
      </c>
    </row>
    <row r="273" spans="1:10" ht="24" customHeight="1">
      <c r="A273" s="245" t="s">
        <v>329</v>
      </c>
      <c r="B273" s="233">
        <v>46143</v>
      </c>
      <c r="C273" s="233">
        <v>46507</v>
      </c>
      <c r="D273" s="234" t="s">
        <v>17</v>
      </c>
      <c r="E273" s="234" t="s">
        <v>13</v>
      </c>
      <c r="F273" s="234" t="s">
        <v>323</v>
      </c>
      <c r="G273" s="215">
        <v>129.75</v>
      </c>
      <c r="H273" s="216"/>
      <c r="I273" s="234" t="str">
        <f t="shared" si="16"/>
        <v>Monatslohn fehlt</v>
      </c>
      <c r="J273" s="253" t="str">
        <f t="shared" si="17"/>
        <v/>
      </c>
    </row>
    <row r="274" spans="1:10" ht="24" customHeight="1">
      <c r="A274" s="245" t="s">
        <v>329</v>
      </c>
      <c r="B274" s="233">
        <v>46143</v>
      </c>
      <c r="C274" s="233">
        <v>46507</v>
      </c>
      <c r="D274" s="234" t="s">
        <v>17</v>
      </c>
      <c r="E274" s="234" t="s">
        <v>13</v>
      </c>
      <c r="F274" s="234" t="s">
        <v>323</v>
      </c>
      <c r="G274" s="215">
        <v>108.13</v>
      </c>
      <c r="H274" s="216"/>
      <c r="I274" s="234" t="str">
        <f t="shared" si="16"/>
        <v>Monatslohn fehlt</v>
      </c>
      <c r="J274" s="253" t="str">
        <f t="shared" si="17"/>
        <v/>
      </c>
    </row>
    <row r="275" spans="1:10" ht="24" customHeight="1">
      <c r="A275" s="245" t="s">
        <v>329</v>
      </c>
      <c r="B275" s="233">
        <v>46143</v>
      </c>
      <c r="C275" s="233">
        <v>46507</v>
      </c>
      <c r="D275" s="234" t="s">
        <v>17</v>
      </c>
      <c r="E275" s="234" t="s">
        <v>13</v>
      </c>
      <c r="F275" s="234" t="s">
        <v>323</v>
      </c>
      <c r="G275" s="215">
        <v>103.8</v>
      </c>
      <c r="H275" s="216"/>
      <c r="I275" s="234" t="str">
        <f t="shared" si="16"/>
        <v>Monatslohn fehlt</v>
      </c>
      <c r="J275" s="253" t="str">
        <f t="shared" si="17"/>
        <v/>
      </c>
    </row>
    <row r="276" spans="1:10" ht="24" customHeight="1">
      <c r="A276" s="245" t="s">
        <v>329</v>
      </c>
      <c r="B276" s="233">
        <v>46143</v>
      </c>
      <c r="C276" s="233">
        <v>46507</v>
      </c>
      <c r="D276" s="234" t="s">
        <v>17</v>
      </c>
      <c r="E276" s="234" t="s">
        <v>13</v>
      </c>
      <c r="F276" s="234" t="s">
        <v>323</v>
      </c>
      <c r="G276" s="215">
        <v>86.5</v>
      </c>
      <c r="H276" s="216"/>
      <c r="I276" s="234" t="str">
        <f t="shared" si="16"/>
        <v>Monatslohn fehlt</v>
      </c>
      <c r="J276" s="253" t="str">
        <f t="shared" si="17"/>
        <v/>
      </c>
    </row>
    <row r="277" spans="1:10" ht="24" customHeight="1">
      <c r="A277" s="245" t="s">
        <v>329</v>
      </c>
      <c r="B277" s="233">
        <v>46143</v>
      </c>
      <c r="C277" s="233">
        <v>46507</v>
      </c>
      <c r="D277" s="234" t="s">
        <v>17</v>
      </c>
      <c r="E277" s="234" t="s">
        <v>13</v>
      </c>
      <c r="F277" s="234" t="s">
        <v>323</v>
      </c>
      <c r="G277" s="215">
        <v>69.2</v>
      </c>
      <c r="H277" s="216"/>
      <c r="I277" s="234" t="str">
        <f t="shared" si="16"/>
        <v>Monatslohn fehlt</v>
      </c>
      <c r="J277" s="253" t="str">
        <f t="shared" si="17"/>
        <v/>
      </c>
    </row>
    <row r="278" spans="1:10" ht="24" customHeight="1">
      <c r="A278" s="245" t="s">
        <v>329</v>
      </c>
      <c r="B278" s="233">
        <v>46143</v>
      </c>
      <c r="C278" s="233">
        <v>46507</v>
      </c>
      <c r="D278" s="234" t="s">
        <v>17</v>
      </c>
      <c r="E278" s="234" t="s">
        <v>13</v>
      </c>
      <c r="F278" s="234" t="s">
        <v>323</v>
      </c>
      <c r="G278" s="215">
        <v>51.9</v>
      </c>
      <c r="H278" s="216"/>
      <c r="I278" s="234" t="str">
        <f t="shared" si="16"/>
        <v>Monatslohn fehlt</v>
      </c>
      <c r="J278" s="253" t="str">
        <f t="shared" si="17"/>
        <v/>
      </c>
    </row>
    <row r="279" spans="1:10" ht="24" customHeight="1">
      <c r="A279" s="245" t="s">
        <v>329</v>
      </c>
      <c r="B279" s="233">
        <v>46143</v>
      </c>
      <c r="C279" s="233">
        <v>46507</v>
      </c>
      <c r="D279" s="234" t="s">
        <v>17</v>
      </c>
      <c r="E279" s="234" t="s">
        <v>13</v>
      </c>
      <c r="F279" s="234" t="s">
        <v>323</v>
      </c>
      <c r="G279" s="215">
        <v>47.58</v>
      </c>
      <c r="H279" s="216"/>
      <c r="I279" s="234" t="str">
        <f t="shared" si="16"/>
        <v>Monatslohn fehlt</v>
      </c>
      <c r="J279" s="253" t="str">
        <f t="shared" si="17"/>
        <v/>
      </c>
    </row>
    <row r="280" spans="1:10" ht="24" customHeight="1">
      <c r="A280" s="245" t="s">
        <v>329</v>
      </c>
      <c r="B280" s="233">
        <v>46143</v>
      </c>
      <c r="C280" s="233">
        <v>46507</v>
      </c>
      <c r="D280" s="234" t="s">
        <v>17</v>
      </c>
      <c r="E280" s="234" t="s">
        <v>13</v>
      </c>
      <c r="F280" s="234" t="s">
        <v>323</v>
      </c>
      <c r="G280" s="215">
        <v>43.25</v>
      </c>
      <c r="H280" s="216"/>
      <c r="I280" s="234" t="str">
        <f t="shared" si="16"/>
        <v>Monatslohn fehlt</v>
      </c>
      <c r="J280" s="253" t="str">
        <f t="shared" si="17"/>
        <v/>
      </c>
    </row>
    <row r="281" spans="1:10" ht="24" customHeight="1">
      <c r="A281" s="245" t="s">
        <v>329</v>
      </c>
      <c r="B281" s="233">
        <v>46143</v>
      </c>
      <c r="C281" s="233">
        <v>46507</v>
      </c>
      <c r="D281" s="234" t="s">
        <v>17</v>
      </c>
      <c r="E281" s="234" t="s">
        <v>13</v>
      </c>
      <c r="F281" s="234" t="s">
        <v>323</v>
      </c>
      <c r="G281" s="215">
        <v>34.6</v>
      </c>
      <c r="H281" s="216"/>
      <c r="I281" s="234" t="str">
        <f t="shared" si="16"/>
        <v>Monatslohn fehlt</v>
      </c>
      <c r="J281" s="253" t="str">
        <f t="shared" si="17"/>
        <v/>
      </c>
    </row>
    <row r="282" spans="1:10" ht="24" customHeight="1">
      <c r="A282" s="245" t="s">
        <v>329</v>
      </c>
      <c r="B282" s="233">
        <v>46143</v>
      </c>
      <c r="C282" s="233">
        <v>46507</v>
      </c>
      <c r="D282" s="234" t="s">
        <v>17</v>
      </c>
      <c r="E282" s="234" t="s">
        <v>13</v>
      </c>
      <c r="F282" s="234" t="s">
        <v>323</v>
      </c>
      <c r="G282" s="215">
        <v>32.01</v>
      </c>
      <c r="H282" s="216"/>
      <c r="I282" s="234" t="str">
        <f t="shared" ref="I282:I313" si="18">IF($A282="","",IF(OR($B282="",$C282="",$D282="",$E282="",$F282=""),"Stammdaten fehlen",IF(AND($G282="",$H282=""),"Werte fehlen",IF($G282="","Monatsstunden fehlen",IF($H282="","Monatslohn fehlt","OK")))))</f>
        <v>Monatslohn fehlt</v>
      </c>
      <c r="J282" s="253" t="str">
        <f t="shared" ref="J282:J313" si="19">IF($G282="","",IF(COUNTIFS($A:$A,$A282,$D:$D,$D282,$G:$G,$G282)&gt;1,"Doppelte Monatsstunden",""))</f>
        <v/>
      </c>
    </row>
    <row r="283" spans="1:10" ht="24" customHeight="1" thickBot="1">
      <c r="A283" s="245" t="s">
        <v>329</v>
      </c>
      <c r="B283" s="233">
        <v>46143</v>
      </c>
      <c r="C283" s="233">
        <v>46507</v>
      </c>
      <c r="D283" s="234" t="s">
        <v>17</v>
      </c>
      <c r="E283" s="234" t="s">
        <v>13</v>
      </c>
      <c r="F283" s="234" t="s">
        <v>323</v>
      </c>
      <c r="G283" s="215"/>
      <c r="H283" s="216"/>
      <c r="I283" s="234" t="str">
        <f t="shared" si="18"/>
        <v>Werte fehlen</v>
      </c>
      <c r="J283" s="253" t="str">
        <f t="shared" si="19"/>
        <v/>
      </c>
    </row>
    <row r="284" spans="1:10" ht="24" customHeight="1">
      <c r="A284" s="244" t="s">
        <v>329</v>
      </c>
      <c r="B284" s="231">
        <v>46143</v>
      </c>
      <c r="C284" s="231">
        <v>46507</v>
      </c>
      <c r="D284" s="232" t="s">
        <v>19</v>
      </c>
      <c r="E284" s="232" t="s">
        <v>13</v>
      </c>
      <c r="F284" s="232" t="s">
        <v>324</v>
      </c>
      <c r="G284" s="213">
        <v>173</v>
      </c>
      <c r="H284" s="214"/>
      <c r="I284" s="232" t="str">
        <f t="shared" si="18"/>
        <v>Monatslohn fehlt</v>
      </c>
      <c r="J284" s="252" t="str">
        <f t="shared" si="19"/>
        <v/>
      </c>
    </row>
    <row r="285" spans="1:10" ht="24" customHeight="1">
      <c r="A285" s="245" t="s">
        <v>329</v>
      </c>
      <c r="B285" s="233">
        <v>46143</v>
      </c>
      <c r="C285" s="233">
        <v>46507</v>
      </c>
      <c r="D285" s="234" t="s">
        <v>19</v>
      </c>
      <c r="E285" s="234" t="s">
        <v>13</v>
      </c>
      <c r="F285" s="234" t="s">
        <v>324</v>
      </c>
      <c r="G285" s="215">
        <v>151.38</v>
      </c>
      <c r="H285" s="216"/>
      <c r="I285" s="234" t="str">
        <f t="shared" si="18"/>
        <v>Monatslohn fehlt</v>
      </c>
      <c r="J285" s="253" t="str">
        <f t="shared" si="19"/>
        <v/>
      </c>
    </row>
    <row r="286" spans="1:10" ht="24" customHeight="1">
      <c r="A286" s="245" t="s">
        <v>329</v>
      </c>
      <c r="B286" s="233">
        <v>46143</v>
      </c>
      <c r="C286" s="233">
        <v>46507</v>
      </c>
      <c r="D286" s="234" t="s">
        <v>19</v>
      </c>
      <c r="E286" s="234" t="s">
        <v>13</v>
      </c>
      <c r="F286" s="234" t="s">
        <v>324</v>
      </c>
      <c r="G286" s="215">
        <v>138.4</v>
      </c>
      <c r="H286" s="216"/>
      <c r="I286" s="234" t="str">
        <f t="shared" si="18"/>
        <v>Monatslohn fehlt</v>
      </c>
      <c r="J286" s="253" t="str">
        <f t="shared" si="19"/>
        <v/>
      </c>
    </row>
    <row r="287" spans="1:10" ht="24" customHeight="1">
      <c r="A287" s="245" t="s">
        <v>329</v>
      </c>
      <c r="B287" s="233">
        <v>46143</v>
      </c>
      <c r="C287" s="233">
        <v>46507</v>
      </c>
      <c r="D287" s="234" t="s">
        <v>19</v>
      </c>
      <c r="E287" s="234" t="s">
        <v>13</v>
      </c>
      <c r="F287" s="234" t="s">
        <v>324</v>
      </c>
      <c r="G287" s="215">
        <v>129.75</v>
      </c>
      <c r="H287" s="216"/>
      <c r="I287" s="234" t="str">
        <f t="shared" si="18"/>
        <v>Monatslohn fehlt</v>
      </c>
      <c r="J287" s="253" t="str">
        <f t="shared" si="19"/>
        <v/>
      </c>
    </row>
    <row r="288" spans="1:10" ht="24" customHeight="1">
      <c r="A288" s="245" t="s">
        <v>329</v>
      </c>
      <c r="B288" s="233">
        <v>46143</v>
      </c>
      <c r="C288" s="233">
        <v>46507</v>
      </c>
      <c r="D288" s="234" t="s">
        <v>19</v>
      </c>
      <c r="E288" s="234" t="s">
        <v>13</v>
      </c>
      <c r="F288" s="234" t="s">
        <v>324</v>
      </c>
      <c r="G288" s="215">
        <v>108.13</v>
      </c>
      <c r="H288" s="216"/>
      <c r="I288" s="234" t="str">
        <f t="shared" si="18"/>
        <v>Monatslohn fehlt</v>
      </c>
      <c r="J288" s="253" t="str">
        <f t="shared" si="19"/>
        <v/>
      </c>
    </row>
    <row r="289" spans="1:10" ht="24" customHeight="1">
      <c r="A289" s="245" t="s">
        <v>329</v>
      </c>
      <c r="B289" s="233">
        <v>46143</v>
      </c>
      <c r="C289" s="233">
        <v>46507</v>
      </c>
      <c r="D289" s="234" t="s">
        <v>19</v>
      </c>
      <c r="E289" s="234" t="s">
        <v>13</v>
      </c>
      <c r="F289" s="234" t="s">
        <v>324</v>
      </c>
      <c r="G289" s="215">
        <v>103.8</v>
      </c>
      <c r="H289" s="216"/>
      <c r="I289" s="234" t="str">
        <f t="shared" si="18"/>
        <v>Monatslohn fehlt</v>
      </c>
      <c r="J289" s="253" t="str">
        <f t="shared" si="19"/>
        <v/>
      </c>
    </row>
    <row r="290" spans="1:10" ht="24" customHeight="1">
      <c r="A290" s="245" t="s">
        <v>329</v>
      </c>
      <c r="B290" s="233">
        <v>46143</v>
      </c>
      <c r="C290" s="233">
        <v>46507</v>
      </c>
      <c r="D290" s="234" t="s">
        <v>19</v>
      </c>
      <c r="E290" s="234" t="s">
        <v>13</v>
      </c>
      <c r="F290" s="234" t="s">
        <v>324</v>
      </c>
      <c r="G290" s="215">
        <v>86.5</v>
      </c>
      <c r="H290" s="216"/>
      <c r="I290" s="234" t="str">
        <f t="shared" si="18"/>
        <v>Monatslohn fehlt</v>
      </c>
      <c r="J290" s="253" t="str">
        <f t="shared" si="19"/>
        <v/>
      </c>
    </row>
    <row r="291" spans="1:10" ht="24" customHeight="1">
      <c r="A291" s="245" t="s">
        <v>329</v>
      </c>
      <c r="B291" s="233">
        <v>46143</v>
      </c>
      <c r="C291" s="233">
        <v>46507</v>
      </c>
      <c r="D291" s="234" t="s">
        <v>19</v>
      </c>
      <c r="E291" s="234" t="s">
        <v>13</v>
      </c>
      <c r="F291" s="234" t="s">
        <v>324</v>
      </c>
      <c r="G291" s="215">
        <v>69.2</v>
      </c>
      <c r="H291" s="216"/>
      <c r="I291" s="234" t="str">
        <f t="shared" si="18"/>
        <v>Monatslohn fehlt</v>
      </c>
      <c r="J291" s="253" t="str">
        <f t="shared" si="19"/>
        <v/>
      </c>
    </row>
    <row r="292" spans="1:10" ht="24" customHeight="1">
      <c r="A292" s="245" t="s">
        <v>329</v>
      </c>
      <c r="B292" s="233">
        <v>46143</v>
      </c>
      <c r="C292" s="233">
        <v>46507</v>
      </c>
      <c r="D292" s="234" t="s">
        <v>19</v>
      </c>
      <c r="E292" s="234" t="s">
        <v>13</v>
      </c>
      <c r="F292" s="234" t="s">
        <v>324</v>
      </c>
      <c r="G292" s="215">
        <v>51.9</v>
      </c>
      <c r="H292" s="216"/>
      <c r="I292" s="234" t="str">
        <f t="shared" si="18"/>
        <v>Monatslohn fehlt</v>
      </c>
      <c r="J292" s="253" t="str">
        <f t="shared" si="19"/>
        <v/>
      </c>
    </row>
    <row r="293" spans="1:10" ht="24" customHeight="1">
      <c r="A293" s="245" t="s">
        <v>329</v>
      </c>
      <c r="B293" s="233">
        <v>46143</v>
      </c>
      <c r="C293" s="233">
        <v>46507</v>
      </c>
      <c r="D293" s="234" t="s">
        <v>19</v>
      </c>
      <c r="E293" s="234" t="s">
        <v>13</v>
      </c>
      <c r="F293" s="234" t="s">
        <v>324</v>
      </c>
      <c r="G293" s="215">
        <v>47.58</v>
      </c>
      <c r="H293" s="216"/>
      <c r="I293" s="234" t="str">
        <f t="shared" si="18"/>
        <v>Monatslohn fehlt</v>
      </c>
      <c r="J293" s="253" t="str">
        <f t="shared" si="19"/>
        <v/>
      </c>
    </row>
    <row r="294" spans="1:10" ht="24" customHeight="1">
      <c r="A294" s="245" t="s">
        <v>329</v>
      </c>
      <c r="B294" s="233">
        <v>46143</v>
      </c>
      <c r="C294" s="233">
        <v>46507</v>
      </c>
      <c r="D294" s="234" t="s">
        <v>19</v>
      </c>
      <c r="E294" s="234" t="s">
        <v>13</v>
      </c>
      <c r="F294" s="234" t="s">
        <v>324</v>
      </c>
      <c r="G294" s="215">
        <v>43.25</v>
      </c>
      <c r="H294" s="216"/>
      <c r="I294" s="234" t="str">
        <f t="shared" si="18"/>
        <v>Monatslohn fehlt</v>
      </c>
      <c r="J294" s="253" t="str">
        <f t="shared" si="19"/>
        <v/>
      </c>
    </row>
    <row r="295" spans="1:10" ht="24" customHeight="1">
      <c r="A295" s="245" t="s">
        <v>329</v>
      </c>
      <c r="B295" s="233">
        <v>46143</v>
      </c>
      <c r="C295" s="233">
        <v>46507</v>
      </c>
      <c r="D295" s="234" t="s">
        <v>19</v>
      </c>
      <c r="E295" s="234" t="s">
        <v>13</v>
      </c>
      <c r="F295" s="234" t="s">
        <v>324</v>
      </c>
      <c r="G295" s="215">
        <v>34.6</v>
      </c>
      <c r="H295" s="216"/>
      <c r="I295" s="234" t="str">
        <f t="shared" si="18"/>
        <v>Monatslohn fehlt</v>
      </c>
      <c r="J295" s="253" t="str">
        <f t="shared" si="19"/>
        <v/>
      </c>
    </row>
    <row r="296" spans="1:10" ht="24" customHeight="1">
      <c r="A296" s="245" t="s">
        <v>329</v>
      </c>
      <c r="B296" s="233">
        <v>46143</v>
      </c>
      <c r="C296" s="233">
        <v>46507</v>
      </c>
      <c r="D296" s="234" t="s">
        <v>19</v>
      </c>
      <c r="E296" s="234" t="s">
        <v>13</v>
      </c>
      <c r="F296" s="234" t="s">
        <v>324</v>
      </c>
      <c r="G296" s="215">
        <v>32.01</v>
      </c>
      <c r="H296" s="216"/>
      <c r="I296" s="234" t="str">
        <f t="shared" si="18"/>
        <v>Monatslohn fehlt</v>
      </c>
      <c r="J296" s="253" t="str">
        <f t="shared" si="19"/>
        <v/>
      </c>
    </row>
    <row r="297" spans="1:10" ht="24" customHeight="1" thickBot="1">
      <c r="A297" s="245" t="s">
        <v>329</v>
      </c>
      <c r="B297" s="233">
        <v>46143</v>
      </c>
      <c r="C297" s="233">
        <v>46507</v>
      </c>
      <c r="D297" s="234" t="s">
        <v>19</v>
      </c>
      <c r="E297" s="234" t="s">
        <v>13</v>
      </c>
      <c r="F297" s="234" t="s">
        <v>324</v>
      </c>
      <c r="G297" s="215"/>
      <c r="H297" s="216"/>
      <c r="I297" s="234" t="str">
        <f t="shared" si="18"/>
        <v>Werte fehlen</v>
      </c>
      <c r="J297" s="253" t="str">
        <f t="shared" si="19"/>
        <v/>
      </c>
    </row>
    <row r="298" spans="1:10" ht="24" customHeight="1">
      <c r="A298" s="246" t="s">
        <v>329</v>
      </c>
      <c r="B298" s="237">
        <v>46143</v>
      </c>
      <c r="C298" s="237">
        <v>46507</v>
      </c>
      <c r="D298" s="238" t="s">
        <v>333</v>
      </c>
      <c r="E298" s="238" t="s">
        <v>21</v>
      </c>
      <c r="F298" s="238" t="s">
        <v>321</v>
      </c>
      <c r="G298" s="217">
        <v>173</v>
      </c>
      <c r="H298" s="218"/>
      <c r="I298" s="238" t="str">
        <f t="shared" si="18"/>
        <v>Monatslohn fehlt</v>
      </c>
      <c r="J298" s="254" t="str">
        <f t="shared" si="19"/>
        <v/>
      </c>
    </row>
    <row r="299" spans="1:10" ht="24" customHeight="1">
      <c r="A299" s="247" t="s">
        <v>329</v>
      </c>
      <c r="B299" s="239">
        <v>46143</v>
      </c>
      <c r="C299" s="239">
        <v>46507</v>
      </c>
      <c r="D299" s="240" t="s">
        <v>333</v>
      </c>
      <c r="E299" s="240" t="s">
        <v>21</v>
      </c>
      <c r="F299" s="240" t="s">
        <v>321</v>
      </c>
      <c r="G299" s="219">
        <v>151.38</v>
      </c>
      <c r="H299" s="220"/>
      <c r="I299" s="240" t="str">
        <f t="shared" si="18"/>
        <v>Monatslohn fehlt</v>
      </c>
      <c r="J299" s="255" t="str">
        <f t="shared" si="19"/>
        <v/>
      </c>
    </row>
    <row r="300" spans="1:10" ht="24" customHeight="1">
      <c r="A300" s="247" t="s">
        <v>329</v>
      </c>
      <c r="B300" s="239">
        <v>46143</v>
      </c>
      <c r="C300" s="239">
        <v>46507</v>
      </c>
      <c r="D300" s="240" t="s">
        <v>333</v>
      </c>
      <c r="E300" s="240" t="s">
        <v>21</v>
      </c>
      <c r="F300" s="240" t="s">
        <v>321</v>
      </c>
      <c r="G300" s="219">
        <v>138.4</v>
      </c>
      <c r="H300" s="220"/>
      <c r="I300" s="240" t="str">
        <f t="shared" si="18"/>
        <v>Monatslohn fehlt</v>
      </c>
      <c r="J300" s="255" t="str">
        <f t="shared" si="19"/>
        <v/>
      </c>
    </row>
    <row r="301" spans="1:10" ht="24" customHeight="1">
      <c r="A301" s="247" t="s">
        <v>329</v>
      </c>
      <c r="B301" s="239">
        <v>46143</v>
      </c>
      <c r="C301" s="239">
        <v>46507</v>
      </c>
      <c r="D301" s="240" t="s">
        <v>333</v>
      </c>
      <c r="E301" s="240" t="s">
        <v>21</v>
      </c>
      <c r="F301" s="240" t="s">
        <v>321</v>
      </c>
      <c r="G301" s="219">
        <v>129.75</v>
      </c>
      <c r="H301" s="220"/>
      <c r="I301" s="240" t="str">
        <f t="shared" si="18"/>
        <v>Monatslohn fehlt</v>
      </c>
      <c r="J301" s="255" t="str">
        <f t="shared" si="19"/>
        <v/>
      </c>
    </row>
    <row r="302" spans="1:10" ht="24" customHeight="1">
      <c r="A302" s="247" t="s">
        <v>329</v>
      </c>
      <c r="B302" s="239">
        <v>46143</v>
      </c>
      <c r="C302" s="239">
        <v>46507</v>
      </c>
      <c r="D302" s="240" t="s">
        <v>333</v>
      </c>
      <c r="E302" s="240" t="s">
        <v>21</v>
      </c>
      <c r="F302" s="240" t="s">
        <v>321</v>
      </c>
      <c r="G302" s="219">
        <v>108.13</v>
      </c>
      <c r="H302" s="220"/>
      <c r="I302" s="240" t="str">
        <f t="shared" si="18"/>
        <v>Monatslohn fehlt</v>
      </c>
      <c r="J302" s="255" t="str">
        <f t="shared" si="19"/>
        <v/>
      </c>
    </row>
    <row r="303" spans="1:10" ht="24" customHeight="1">
      <c r="A303" s="247" t="s">
        <v>329</v>
      </c>
      <c r="B303" s="239">
        <v>46143</v>
      </c>
      <c r="C303" s="239">
        <v>46507</v>
      </c>
      <c r="D303" s="240" t="s">
        <v>333</v>
      </c>
      <c r="E303" s="240" t="s">
        <v>21</v>
      </c>
      <c r="F303" s="240" t="s">
        <v>321</v>
      </c>
      <c r="G303" s="219">
        <v>103.8</v>
      </c>
      <c r="H303" s="220"/>
      <c r="I303" s="240" t="str">
        <f t="shared" si="18"/>
        <v>Monatslohn fehlt</v>
      </c>
      <c r="J303" s="255" t="str">
        <f t="shared" si="19"/>
        <v/>
      </c>
    </row>
    <row r="304" spans="1:10" ht="24" customHeight="1">
      <c r="A304" s="247" t="s">
        <v>329</v>
      </c>
      <c r="B304" s="239">
        <v>46143</v>
      </c>
      <c r="C304" s="239">
        <v>46507</v>
      </c>
      <c r="D304" s="240" t="s">
        <v>333</v>
      </c>
      <c r="E304" s="240" t="s">
        <v>21</v>
      </c>
      <c r="F304" s="240" t="s">
        <v>321</v>
      </c>
      <c r="G304" s="219">
        <v>86.5</v>
      </c>
      <c r="H304" s="220"/>
      <c r="I304" s="240" t="str">
        <f t="shared" si="18"/>
        <v>Monatslohn fehlt</v>
      </c>
      <c r="J304" s="255" t="str">
        <f t="shared" si="19"/>
        <v/>
      </c>
    </row>
    <row r="305" spans="1:10" ht="24" customHeight="1">
      <c r="A305" s="247" t="s">
        <v>329</v>
      </c>
      <c r="B305" s="239">
        <v>46143</v>
      </c>
      <c r="C305" s="239">
        <v>46507</v>
      </c>
      <c r="D305" s="240" t="s">
        <v>333</v>
      </c>
      <c r="E305" s="240" t="s">
        <v>21</v>
      </c>
      <c r="F305" s="240" t="s">
        <v>321</v>
      </c>
      <c r="G305" s="219">
        <v>69.2</v>
      </c>
      <c r="H305" s="220"/>
      <c r="I305" s="240" t="str">
        <f t="shared" si="18"/>
        <v>Monatslohn fehlt</v>
      </c>
      <c r="J305" s="255" t="str">
        <f t="shared" si="19"/>
        <v/>
      </c>
    </row>
    <row r="306" spans="1:10" ht="24" customHeight="1">
      <c r="A306" s="247" t="s">
        <v>329</v>
      </c>
      <c r="B306" s="239">
        <v>46143</v>
      </c>
      <c r="C306" s="239">
        <v>46507</v>
      </c>
      <c r="D306" s="240" t="s">
        <v>333</v>
      </c>
      <c r="E306" s="240" t="s">
        <v>21</v>
      </c>
      <c r="F306" s="240" t="s">
        <v>321</v>
      </c>
      <c r="G306" s="219">
        <v>51.9</v>
      </c>
      <c r="H306" s="220"/>
      <c r="I306" s="240" t="str">
        <f t="shared" si="18"/>
        <v>Monatslohn fehlt</v>
      </c>
      <c r="J306" s="255" t="str">
        <f t="shared" si="19"/>
        <v/>
      </c>
    </row>
    <row r="307" spans="1:10" ht="24" customHeight="1">
      <c r="A307" s="247" t="s">
        <v>329</v>
      </c>
      <c r="B307" s="239">
        <v>46143</v>
      </c>
      <c r="C307" s="239">
        <v>46507</v>
      </c>
      <c r="D307" s="240" t="s">
        <v>333</v>
      </c>
      <c r="E307" s="240" t="s">
        <v>21</v>
      </c>
      <c r="F307" s="240" t="s">
        <v>321</v>
      </c>
      <c r="G307" s="219">
        <v>47.58</v>
      </c>
      <c r="H307" s="220"/>
      <c r="I307" s="240" t="str">
        <f t="shared" si="18"/>
        <v>Monatslohn fehlt</v>
      </c>
      <c r="J307" s="255" t="str">
        <f t="shared" si="19"/>
        <v/>
      </c>
    </row>
    <row r="308" spans="1:10" ht="24" customHeight="1">
      <c r="A308" s="247" t="s">
        <v>329</v>
      </c>
      <c r="B308" s="239">
        <v>46143</v>
      </c>
      <c r="C308" s="239">
        <v>46507</v>
      </c>
      <c r="D308" s="240" t="s">
        <v>333</v>
      </c>
      <c r="E308" s="240" t="s">
        <v>21</v>
      </c>
      <c r="F308" s="240" t="s">
        <v>321</v>
      </c>
      <c r="G308" s="219">
        <v>43.25</v>
      </c>
      <c r="H308" s="220"/>
      <c r="I308" s="240" t="str">
        <f t="shared" si="18"/>
        <v>Monatslohn fehlt</v>
      </c>
      <c r="J308" s="255" t="str">
        <f t="shared" si="19"/>
        <v/>
      </c>
    </row>
    <row r="309" spans="1:10" ht="24" customHeight="1">
      <c r="A309" s="247" t="s">
        <v>329</v>
      </c>
      <c r="B309" s="239">
        <v>46143</v>
      </c>
      <c r="C309" s="239">
        <v>46507</v>
      </c>
      <c r="D309" s="240" t="s">
        <v>333</v>
      </c>
      <c r="E309" s="240" t="s">
        <v>21</v>
      </c>
      <c r="F309" s="240" t="s">
        <v>321</v>
      </c>
      <c r="G309" s="219">
        <v>34.6</v>
      </c>
      <c r="H309" s="220"/>
      <c r="I309" s="240" t="str">
        <f t="shared" si="18"/>
        <v>Monatslohn fehlt</v>
      </c>
      <c r="J309" s="255" t="str">
        <f t="shared" si="19"/>
        <v/>
      </c>
    </row>
    <row r="310" spans="1:10" ht="24" customHeight="1">
      <c r="A310" s="247" t="s">
        <v>329</v>
      </c>
      <c r="B310" s="239">
        <v>46143</v>
      </c>
      <c r="C310" s="239">
        <v>46507</v>
      </c>
      <c r="D310" s="240" t="s">
        <v>333</v>
      </c>
      <c r="E310" s="240" t="s">
        <v>21</v>
      </c>
      <c r="F310" s="240" t="s">
        <v>321</v>
      </c>
      <c r="G310" s="219">
        <v>32.01</v>
      </c>
      <c r="H310" s="220"/>
      <c r="I310" s="240" t="str">
        <f t="shared" si="18"/>
        <v>Monatslohn fehlt</v>
      </c>
      <c r="J310" s="255" t="str">
        <f t="shared" si="19"/>
        <v/>
      </c>
    </row>
    <row r="311" spans="1:10" ht="24" customHeight="1" thickBot="1">
      <c r="A311" s="247" t="s">
        <v>329</v>
      </c>
      <c r="B311" s="239">
        <v>46143</v>
      </c>
      <c r="C311" s="239">
        <v>46507</v>
      </c>
      <c r="D311" s="240" t="s">
        <v>333</v>
      </c>
      <c r="E311" s="240" t="s">
        <v>21</v>
      </c>
      <c r="F311" s="240" t="s">
        <v>321</v>
      </c>
      <c r="G311" s="219"/>
      <c r="H311" s="220"/>
      <c r="I311" s="240" t="str">
        <f t="shared" si="18"/>
        <v>Werte fehlen</v>
      </c>
      <c r="J311" s="255" t="str">
        <f t="shared" si="19"/>
        <v/>
      </c>
    </row>
    <row r="312" spans="1:10" ht="24" customHeight="1">
      <c r="A312" s="246" t="s">
        <v>329</v>
      </c>
      <c r="B312" s="237">
        <v>46143</v>
      </c>
      <c r="C312" s="237">
        <v>46507</v>
      </c>
      <c r="D312" s="238" t="s">
        <v>22</v>
      </c>
      <c r="E312" s="238" t="s">
        <v>21</v>
      </c>
      <c r="F312" s="238" t="s">
        <v>322</v>
      </c>
      <c r="G312" s="217">
        <v>173</v>
      </c>
      <c r="H312" s="218"/>
      <c r="I312" s="238" t="str">
        <f t="shared" si="18"/>
        <v>Monatslohn fehlt</v>
      </c>
      <c r="J312" s="254" t="str">
        <f t="shared" si="19"/>
        <v/>
      </c>
    </row>
    <row r="313" spans="1:10" ht="24" customHeight="1">
      <c r="A313" s="247" t="s">
        <v>329</v>
      </c>
      <c r="B313" s="239">
        <v>46143</v>
      </c>
      <c r="C313" s="239">
        <v>46507</v>
      </c>
      <c r="D313" s="240" t="s">
        <v>22</v>
      </c>
      <c r="E313" s="240" t="s">
        <v>21</v>
      </c>
      <c r="F313" s="240" t="s">
        <v>322</v>
      </c>
      <c r="G313" s="219">
        <v>151.38</v>
      </c>
      <c r="H313" s="220"/>
      <c r="I313" s="240" t="str">
        <f t="shared" si="18"/>
        <v>Monatslohn fehlt</v>
      </c>
      <c r="J313" s="255" t="str">
        <f t="shared" si="19"/>
        <v/>
      </c>
    </row>
    <row r="314" spans="1:10" ht="24" customHeight="1">
      <c r="A314" s="247" t="s">
        <v>329</v>
      </c>
      <c r="B314" s="239">
        <v>46143</v>
      </c>
      <c r="C314" s="239">
        <v>46507</v>
      </c>
      <c r="D314" s="240" t="s">
        <v>22</v>
      </c>
      <c r="E314" s="240" t="s">
        <v>21</v>
      </c>
      <c r="F314" s="240" t="s">
        <v>322</v>
      </c>
      <c r="G314" s="219">
        <v>138.4</v>
      </c>
      <c r="H314" s="220"/>
      <c r="I314" s="240" t="str">
        <f t="shared" ref="I314:I345" si="20">IF($A314="","",IF(OR($B314="",$C314="",$D314="",$E314="",$F314=""),"Stammdaten fehlen",IF(AND($G314="",$H314=""),"Werte fehlen",IF($G314="","Monatsstunden fehlen",IF($H314="","Monatslohn fehlt","OK")))))</f>
        <v>Monatslohn fehlt</v>
      </c>
      <c r="J314" s="255" t="str">
        <f t="shared" ref="J314:J345" si="21">IF($G314="","",IF(COUNTIFS($A:$A,$A314,$D:$D,$D314,$G:$G,$G314)&gt;1,"Doppelte Monatsstunden",""))</f>
        <v/>
      </c>
    </row>
    <row r="315" spans="1:10" ht="24" customHeight="1">
      <c r="A315" s="247" t="s">
        <v>329</v>
      </c>
      <c r="B315" s="239">
        <v>46143</v>
      </c>
      <c r="C315" s="239">
        <v>46507</v>
      </c>
      <c r="D315" s="240" t="s">
        <v>22</v>
      </c>
      <c r="E315" s="240" t="s">
        <v>21</v>
      </c>
      <c r="F315" s="240" t="s">
        <v>322</v>
      </c>
      <c r="G315" s="219">
        <v>129.75</v>
      </c>
      <c r="H315" s="220"/>
      <c r="I315" s="240" t="str">
        <f t="shared" si="20"/>
        <v>Monatslohn fehlt</v>
      </c>
      <c r="J315" s="255" t="str">
        <f t="shared" si="21"/>
        <v/>
      </c>
    </row>
    <row r="316" spans="1:10" ht="24" customHeight="1">
      <c r="A316" s="247" t="s">
        <v>329</v>
      </c>
      <c r="B316" s="239">
        <v>46143</v>
      </c>
      <c r="C316" s="239">
        <v>46507</v>
      </c>
      <c r="D316" s="240" t="s">
        <v>22</v>
      </c>
      <c r="E316" s="240" t="s">
        <v>21</v>
      </c>
      <c r="F316" s="240" t="s">
        <v>322</v>
      </c>
      <c r="G316" s="219">
        <v>108.13</v>
      </c>
      <c r="H316" s="220"/>
      <c r="I316" s="240" t="str">
        <f t="shared" si="20"/>
        <v>Monatslohn fehlt</v>
      </c>
      <c r="J316" s="255" t="str">
        <f t="shared" si="21"/>
        <v/>
      </c>
    </row>
    <row r="317" spans="1:10" ht="24" customHeight="1">
      <c r="A317" s="247" t="s">
        <v>329</v>
      </c>
      <c r="B317" s="239">
        <v>46143</v>
      </c>
      <c r="C317" s="239">
        <v>46507</v>
      </c>
      <c r="D317" s="240" t="s">
        <v>22</v>
      </c>
      <c r="E317" s="240" t="s">
        <v>21</v>
      </c>
      <c r="F317" s="240" t="s">
        <v>322</v>
      </c>
      <c r="G317" s="219">
        <v>103.8</v>
      </c>
      <c r="H317" s="220"/>
      <c r="I317" s="240" t="str">
        <f t="shared" si="20"/>
        <v>Monatslohn fehlt</v>
      </c>
      <c r="J317" s="255" t="str">
        <f t="shared" si="21"/>
        <v/>
      </c>
    </row>
    <row r="318" spans="1:10" ht="24" customHeight="1">
      <c r="A318" s="247" t="s">
        <v>329</v>
      </c>
      <c r="B318" s="239">
        <v>46143</v>
      </c>
      <c r="C318" s="239">
        <v>46507</v>
      </c>
      <c r="D318" s="240" t="s">
        <v>22</v>
      </c>
      <c r="E318" s="240" t="s">
        <v>21</v>
      </c>
      <c r="F318" s="240" t="s">
        <v>322</v>
      </c>
      <c r="G318" s="219">
        <v>86.5</v>
      </c>
      <c r="H318" s="220"/>
      <c r="I318" s="240" t="str">
        <f t="shared" si="20"/>
        <v>Monatslohn fehlt</v>
      </c>
      <c r="J318" s="255" t="str">
        <f t="shared" si="21"/>
        <v/>
      </c>
    </row>
    <row r="319" spans="1:10" ht="24" customHeight="1">
      <c r="A319" s="247" t="s">
        <v>329</v>
      </c>
      <c r="B319" s="239">
        <v>46143</v>
      </c>
      <c r="C319" s="239">
        <v>46507</v>
      </c>
      <c r="D319" s="240" t="s">
        <v>22</v>
      </c>
      <c r="E319" s="240" t="s">
        <v>21</v>
      </c>
      <c r="F319" s="240" t="s">
        <v>322</v>
      </c>
      <c r="G319" s="219">
        <v>69.2</v>
      </c>
      <c r="H319" s="220"/>
      <c r="I319" s="240" t="str">
        <f t="shared" si="20"/>
        <v>Monatslohn fehlt</v>
      </c>
      <c r="J319" s="255" t="str">
        <f t="shared" si="21"/>
        <v/>
      </c>
    </row>
    <row r="320" spans="1:10" ht="24" customHeight="1">
      <c r="A320" s="247" t="s">
        <v>329</v>
      </c>
      <c r="B320" s="239">
        <v>46143</v>
      </c>
      <c r="C320" s="239">
        <v>46507</v>
      </c>
      <c r="D320" s="240" t="s">
        <v>22</v>
      </c>
      <c r="E320" s="240" t="s">
        <v>21</v>
      </c>
      <c r="F320" s="240" t="s">
        <v>322</v>
      </c>
      <c r="G320" s="219">
        <v>51.9</v>
      </c>
      <c r="H320" s="220"/>
      <c r="I320" s="240" t="str">
        <f t="shared" si="20"/>
        <v>Monatslohn fehlt</v>
      </c>
      <c r="J320" s="255" t="str">
        <f t="shared" si="21"/>
        <v/>
      </c>
    </row>
    <row r="321" spans="1:10" ht="24" customHeight="1">
      <c r="A321" s="247" t="s">
        <v>329</v>
      </c>
      <c r="B321" s="239">
        <v>46143</v>
      </c>
      <c r="C321" s="239">
        <v>46507</v>
      </c>
      <c r="D321" s="240" t="s">
        <v>22</v>
      </c>
      <c r="E321" s="240" t="s">
        <v>21</v>
      </c>
      <c r="F321" s="240" t="s">
        <v>322</v>
      </c>
      <c r="G321" s="219">
        <v>47.58</v>
      </c>
      <c r="H321" s="220"/>
      <c r="I321" s="240" t="str">
        <f t="shared" si="20"/>
        <v>Monatslohn fehlt</v>
      </c>
      <c r="J321" s="255" t="str">
        <f t="shared" si="21"/>
        <v/>
      </c>
    </row>
    <row r="322" spans="1:10" ht="24" customHeight="1">
      <c r="A322" s="247" t="s">
        <v>329</v>
      </c>
      <c r="B322" s="239">
        <v>46143</v>
      </c>
      <c r="C322" s="239">
        <v>46507</v>
      </c>
      <c r="D322" s="240" t="s">
        <v>22</v>
      </c>
      <c r="E322" s="240" t="s">
        <v>21</v>
      </c>
      <c r="F322" s="240" t="s">
        <v>322</v>
      </c>
      <c r="G322" s="219">
        <v>43.25</v>
      </c>
      <c r="H322" s="220"/>
      <c r="I322" s="240" t="str">
        <f t="shared" si="20"/>
        <v>Monatslohn fehlt</v>
      </c>
      <c r="J322" s="255" t="str">
        <f t="shared" si="21"/>
        <v/>
      </c>
    </row>
    <row r="323" spans="1:10" ht="24" customHeight="1">
      <c r="A323" s="247" t="s">
        <v>329</v>
      </c>
      <c r="B323" s="239">
        <v>46143</v>
      </c>
      <c r="C323" s="239">
        <v>46507</v>
      </c>
      <c r="D323" s="240" t="s">
        <v>22</v>
      </c>
      <c r="E323" s="240" t="s">
        <v>21</v>
      </c>
      <c r="F323" s="240" t="s">
        <v>322</v>
      </c>
      <c r="G323" s="219">
        <v>34.6</v>
      </c>
      <c r="H323" s="220"/>
      <c r="I323" s="240" t="str">
        <f t="shared" si="20"/>
        <v>Monatslohn fehlt</v>
      </c>
      <c r="J323" s="255" t="str">
        <f t="shared" si="21"/>
        <v/>
      </c>
    </row>
    <row r="324" spans="1:10" ht="24" customHeight="1">
      <c r="A324" s="247" t="s">
        <v>329</v>
      </c>
      <c r="B324" s="239">
        <v>46143</v>
      </c>
      <c r="C324" s="239">
        <v>46507</v>
      </c>
      <c r="D324" s="240" t="s">
        <v>22</v>
      </c>
      <c r="E324" s="240" t="s">
        <v>21</v>
      </c>
      <c r="F324" s="240" t="s">
        <v>322</v>
      </c>
      <c r="G324" s="219">
        <v>32.01</v>
      </c>
      <c r="H324" s="220"/>
      <c r="I324" s="240" t="str">
        <f t="shared" si="20"/>
        <v>Monatslohn fehlt</v>
      </c>
      <c r="J324" s="255" t="str">
        <f t="shared" si="21"/>
        <v/>
      </c>
    </row>
    <row r="325" spans="1:10" ht="24" customHeight="1" thickBot="1">
      <c r="A325" s="247" t="s">
        <v>329</v>
      </c>
      <c r="B325" s="239">
        <v>46143</v>
      </c>
      <c r="C325" s="239">
        <v>46507</v>
      </c>
      <c r="D325" s="240" t="s">
        <v>22</v>
      </c>
      <c r="E325" s="240" t="s">
        <v>21</v>
      </c>
      <c r="F325" s="240" t="s">
        <v>322</v>
      </c>
      <c r="G325" s="219"/>
      <c r="H325" s="220"/>
      <c r="I325" s="240" t="str">
        <f t="shared" si="20"/>
        <v>Werte fehlen</v>
      </c>
      <c r="J325" s="255" t="str">
        <f t="shared" si="21"/>
        <v/>
      </c>
    </row>
    <row r="326" spans="1:10" ht="24" customHeight="1">
      <c r="A326" s="246" t="s">
        <v>329</v>
      </c>
      <c r="B326" s="237">
        <v>46143</v>
      </c>
      <c r="C326" s="237">
        <v>46507</v>
      </c>
      <c r="D326" s="238" t="s">
        <v>23</v>
      </c>
      <c r="E326" s="238" t="s">
        <v>21</v>
      </c>
      <c r="F326" s="238" t="s">
        <v>323</v>
      </c>
      <c r="G326" s="217">
        <v>173</v>
      </c>
      <c r="H326" s="218"/>
      <c r="I326" s="238" t="str">
        <f t="shared" si="20"/>
        <v>Monatslohn fehlt</v>
      </c>
      <c r="J326" s="254" t="str">
        <f t="shared" si="21"/>
        <v/>
      </c>
    </row>
    <row r="327" spans="1:10" ht="24" customHeight="1">
      <c r="A327" s="247" t="s">
        <v>329</v>
      </c>
      <c r="B327" s="239">
        <v>46143</v>
      </c>
      <c r="C327" s="239">
        <v>46507</v>
      </c>
      <c r="D327" s="240" t="s">
        <v>23</v>
      </c>
      <c r="E327" s="240" t="s">
        <v>21</v>
      </c>
      <c r="F327" s="240" t="s">
        <v>323</v>
      </c>
      <c r="G327" s="219">
        <v>151.38</v>
      </c>
      <c r="H327" s="220"/>
      <c r="I327" s="240" t="str">
        <f t="shared" si="20"/>
        <v>Monatslohn fehlt</v>
      </c>
      <c r="J327" s="255" t="str">
        <f t="shared" si="21"/>
        <v/>
      </c>
    </row>
    <row r="328" spans="1:10" ht="24" customHeight="1">
      <c r="A328" s="247" t="s">
        <v>329</v>
      </c>
      <c r="B328" s="239">
        <v>46143</v>
      </c>
      <c r="C328" s="239">
        <v>46507</v>
      </c>
      <c r="D328" s="240" t="s">
        <v>23</v>
      </c>
      <c r="E328" s="240" t="s">
        <v>21</v>
      </c>
      <c r="F328" s="240" t="s">
        <v>323</v>
      </c>
      <c r="G328" s="219">
        <v>138.4</v>
      </c>
      <c r="H328" s="220"/>
      <c r="I328" s="240" t="str">
        <f t="shared" si="20"/>
        <v>Monatslohn fehlt</v>
      </c>
      <c r="J328" s="255" t="str">
        <f t="shared" si="21"/>
        <v/>
      </c>
    </row>
    <row r="329" spans="1:10" ht="24" customHeight="1">
      <c r="A329" s="247" t="s">
        <v>329</v>
      </c>
      <c r="B329" s="239">
        <v>46143</v>
      </c>
      <c r="C329" s="239">
        <v>46507</v>
      </c>
      <c r="D329" s="240" t="s">
        <v>23</v>
      </c>
      <c r="E329" s="240" t="s">
        <v>21</v>
      </c>
      <c r="F329" s="240" t="s">
        <v>323</v>
      </c>
      <c r="G329" s="219">
        <v>129.75</v>
      </c>
      <c r="H329" s="220"/>
      <c r="I329" s="240" t="str">
        <f t="shared" si="20"/>
        <v>Monatslohn fehlt</v>
      </c>
      <c r="J329" s="255" t="str">
        <f t="shared" si="21"/>
        <v/>
      </c>
    </row>
    <row r="330" spans="1:10" ht="24" customHeight="1">
      <c r="A330" s="247" t="s">
        <v>329</v>
      </c>
      <c r="B330" s="239">
        <v>46143</v>
      </c>
      <c r="C330" s="239">
        <v>46507</v>
      </c>
      <c r="D330" s="240" t="s">
        <v>23</v>
      </c>
      <c r="E330" s="240" t="s">
        <v>21</v>
      </c>
      <c r="F330" s="240" t="s">
        <v>323</v>
      </c>
      <c r="G330" s="219">
        <v>108.13</v>
      </c>
      <c r="H330" s="220"/>
      <c r="I330" s="240" t="str">
        <f t="shared" si="20"/>
        <v>Monatslohn fehlt</v>
      </c>
      <c r="J330" s="255" t="str">
        <f t="shared" si="21"/>
        <v/>
      </c>
    </row>
    <row r="331" spans="1:10" ht="24" customHeight="1">
      <c r="A331" s="247" t="s">
        <v>329</v>
      </c>
      <c r="B331" s="239">
        <v>46143</v>
      </c>
      <c r="C331" s="239">
        <v>46507</v>
      </c>
      <c r="D331" s="240" t="s">
        <v>23</v>
      </c>
      <c r="E331" s="240" t="s">
        <v>21</v>
      </c>
      <c r="F331" s="240" t="s">
        <v>323</v>
      </c>
      <c r="G331" s="219">
        <v>103.8</v>
      </c>
      <c r="H331" s="220"/>
      <c r="I331" s="240" t="str">
        <f t="shared" si="20"/>
        <v>Monatslohn fehlt</v>
      </c>
      <c r="J331" s="255" t="str">
        <f t="shared" si="21"/>
        <v/>
      </c>
    </row>
    <row r="332" spans="1:10" ht="24" customHeight="1">
      <c r="A332" s="247" t="s">
        <v>329</v>
      </c>
      <c r="B332" s="239">
        <v>46143</v>
      </c>
      <c r="C332" s="239">
        <v>46507</v>
      </c>
      <c r="D332" s="240" t="s">
        <v>23</v>
      </c>
      <c r="E332" s="240" t="s">
        <v>21</v>
      </c>
      <c r="F332" s="240" t="s">
        <v>323</v>
      </c>
      <c r="G332" s="219">
        <v>86.5</v>
      </c>
      <c r="H332" s="220"/>
      <c r="I332" s="240" t="str">
        <f t="shared" si="20"/>
        <v>Monatslohn fehlt</v>
      </c>
      <c r="J332" s="255" t="str">
        <f t="shared" si="21"/>
        <v/>
      </c>
    </row>
    <row r="333" spans="1:10" ht="24" customHeight="1">
      <c r="A333" s="247" t="s">
        <v>329</v>
      </c>
      <c r="B333" s="239">
        <v>46143</v>
      </c>
      <c r="C333" s="239">
        <v>46507</v>
      </c>
      <c r="D333" s="240" t="s">
        <v>23</v>
      </c>
      <c r="E333" s="240" t="s">
        <v>21</v>
      </c>
      <c r="F333" s="240" t="s">
        <v>323</v>
      </c>
      <c r="G333" s="219">
        <v>69.2</v>
      </c>
      <c r="H333" s="220"/>
      <c r="I333" s="240" t="str">
        <f t="shared" si="20"/>
        <v>Monatslohn fehlt</v>
      </c>
      <c r="J333" s="255" t="str">
        <f t="shared" si="21"/>
        <v/>
      </c>
    </row>
    <row r="334" spans="1:10" ht="24" customHeight="1">
      <c r="A334" s="247" t="s">
        <v>329</v>
      </c>
      <c r="B334" s="239">
        <v>46143</v>
      </c>
      <c r="C334" s="239">
        <v>46507</v>
      </c>
      <c r="D334" s="240" t="s">
        <v>23</v>
      </c>
      <c r="E334" s="240" t="s">
        <v>21</v>
      </c>
      <c r="F334" s="240" t="s">
        <v>323</v>
      </c>
      <c r="G334" s="219">
        <v>51.9</v>
      </c>
      <c r="H334" s="220"/>
      <c r="I334" s="240" t="str">
        <f t="shared" si="20"/>
        <v>Monatslohn fehlt</v>
      </c>
      <c r="J334" s="255" t="str">
        <f t="shared" si="21"/>
        <v/>
      </c>
    </row>
    <row r="335" spans="1:10" ht="24" customHeight="1">
      <c r="A335" s="247" t="s">
        <v>329</v>
      </c>
      <c r="B335" s="239">
        <v>46143</v>
      </c>
      <c r="C335" s="239">
        <v>46507</v>
      </c>
      <c r="D335" s="240" t="s">
        <v>23</v>
      </c>
      <c r="E335" s="240" t="s">
        <v>21</v>
      </c>
      <c r="F335" s="240" t="s">
        <v>323</v>
      </c>
      <c r="G335" s="219">
        <v>47.58</v>
      </c>
      <c r="H335" s="220"/>
      <c r="I335" s="240" t="str">
        <f t="shared" si="20"/>
        <v>Monatslohn fehlt</v>
      </c>
      <c r="J335" s="255" t="str">
        <f t="shared" si="21"/>
        <v/>
      </c>
    </row>
    <row r="336" spans="1:10" ht="24" customHeight="1">
      <c r="A336" s="247" t="s">
        <v>329</v>
      </c>
      <c r="B336" s="239">
        <v>46143</v>
      </c>
      <c r="C336" s="239">
        <v>46507</v>
      </c>
      <c r="D336" s="240" t="s">
        <v>23</v>
      </c>
      <c r="E336" s="240" t="s">
        <v>21</v>
      </c>
      <c r="F336" s="240" t="s">
        <v>323</v>
      </c>
      <c r="G336" s="219">
        <v>43.25</v>
      </c>
      <c r="H336" s="220"/>
      <c r="I336" s="240" t="str">
        <f t="shared" si="20"/>
        <v>Monatslohn fehlt</v>
      </c>
      <c r="J336" s="255" t="str">
        <f t="shared" si="21"/>
        <v/>
      </c>
    </row>
    <row r="337" spans="1:10" ht="24" customHeight="1">
      <c r="A337" s="247" t="s">
        <v>329</v>
      </c>
      <c r="B337" s="239">
        <v>46143</v>
      </c>
      <c r="C337" s="239">
        <v>46507</v>
      </c>
      <c r="D337" s="240" t="s">
        <v>23</v>
      </c>
      <c r="E337" s="240" t="s">
        <v>21</v>
      </c>
      <c r="F337" s="240" t="s">
        <v>323</v>
      </c>
      <c r="G337" s="219">
        <v>34.6</v>
      </c>
      <c r="H337" s="220"/>
      <c r="I337" s="240" t="str">
        <f t="shared" si="20"/>
        <v>Monatslohn fehlt</v>
      </c>
      <c r="J337" s="255" t="str">
        <f t="shared" si="21"/>
        <v/>
      </c>
    </row>
    <row r="338" spans="1:10" ht="24" customHeight="1">
      <c r="A338" s="247" t="s">
        <v>329</v>
      </c>
      <c r="B338" s="239">
        <v>46143</v>
      </c>
      <c r="C338" s="239">
        <v>46507</v>
      </c>
      <c r="D338" s="240" t="s">
        <v>23</v>
      </c>
      <c r="E338" s="240" t="s">
        <v>21</v>
      </c>
      <c r="F338" s="240" t="s">
        <v>323</v>
      </c>
      <c r="G338" s="219">
        <v>32.01</v>
      </c>
      <c r="H338" s="220"/>
      <c r="I338" s="240" t="str">
        <f t="shared" si="20"/>
        <v>Monatslohn fehlt</v>
      </c>
      <c r="J338" s="255" t="str">
        <f t="shared" si="21"/>
        <v/>
      </c>
    </row>
    <row r="339" spans="1:10" ht="24" customHeight="1" thickBot="1">
      <c r="A339" s="247" t="s">
        <v>329</v>
      </c>
      <c r="B339" s="239">
        <v>46143</v>
      </c>
      <c r="C339" s="239">
        <v>46507</v>
      </c>
      <c r="D339" s="240" t="s">
        <v>23</v>
      </c>
      <c r="E339" s="240" t="s">
        <v>21</v>
      </c>
      <c r="F339" s="240" t="s">
        <v>323</v>
      </c>
      <c r="G339" s="219"/>
      <c r="H339" s="220"/>
      <c r="I339" s="240" t="str">
        <f t="shared" si="20"/>
        <v>Werte fehlen</v>
      </c>
      <c r="J339" s="255" t="str">
        <f t="shared" si="21"/>
        <v/>
      </c>
    </row>
    <row r="340" spans="1:10" ht="24" customHeight="1">
      <c r="A340" s="246" t="s">
        <v>329</v>
      </c>
      <c r="B340" s="237">
        <v>46143</v>
      </c>
      <c r="C340" s="237">
        <v>46507</v>
      </c>
      <c r="D340" s="238" t="s">
        <v>24</v>
      </c>
      <c r="E340" s="238" t="s">
        <v>21</v>
      </c>
      <c r="F340" s="238" t="s">
        <v>324</v>
      </c>
      <c r="G340" s="217">
        <v>173</v>
      </c>
      <c r="H340" s="218"/>
      <c r="I340" s="238" t="str">
        <f t="shared" si="20"/>
        <v>Monatslohn fehlt</v>
      </c>
      <c r="J340" s="254" t="str">
        <f t="shared" si="21"/>
        <v/>
      </c>
    </row>
    <row r="341" spans="1:10" ht="24" customHeight="1">
      <c r="A341" s="247" t="s">
        <v>329</v>
      </c>
      <c r="B341" s="239">
        <v>46143</v>
      </c>
      <c r="C341" s="239">
        <v>46507</v>
      </c>
      <c r="D341" s="240" t="s">
        <v>24</v>
      </c>
      <c r="E341" s="240" t="s">
        <v>21</v>
      </c>
      <c r="F341" s="240" t="s">
        <v>324</v>
      </c>
      <c r="G341" s="219">
        <v>151.38</v>
      </c>
      <c r="H341" s="220"/>
      <c r="I341" s="240" t="str">
        <f t="shared" si="20"/>
        <v>Monatslohn fehlt</v>
      </c>
      <c r="J341" s="255" t="str">
        <f t="shared" si="21"/>
        <v/>
      </c>
    </row>
    <row r="342" spans="1:10" ht="24" customHeight="1">
      <c r="A342" s="247" t="s">
        <v>329</v>
      </c>
      <c r="B342" s="239">
        <v>46143</v>
      </c>
      <c r="C342" s="239">
        <v>46507</v>
      </c>
      <c r="D342" s="240" t="s">
        <v>24</v>
      </c>
      <c r="E342" s="240" t="s">
        <v>21</v>
      </c>
      <c r="F342" s="240" t="s">
        <v>324</v>
      </c>
      <c r="G342" s="219">
        <v>138.4</v>
      </c>
      <c r="H342" s="220"/>
      <c r="I342" s="240" t="str">
        <f t="shared" si="20"/>
        <v>Monatslohn fehlt</v>
      </c>
      <c r="J342" s="255" t="str">
        <f t="shared" si="21"/>
        <v/>
      </c>
    </row>
    <row r="343" spans="1:10" ht="24" customHeight="1">
      <c r="A343" s="247" t="s">
        <v>329</v>
      </c>
      <c r="B343" s="239">
        <v>46143</v>
      </c>
      <c r="C343" s="239">
        <v>46507</v>
      </c>
      <c r="D343" s="240" t="s">
        <v>24</v>
      </c>
      <c r="E343" s="240" t="s">
        <v>21</v>
      </c>
      <c r="F343" s="240" t="s">
        <v>324</v>
      </c>
      <c r="G343" s="219">
        <v>129.75</v>
      </c>
      <c r="H343" s="220"/>
      <c r="I343" s="240" t="str">
        <f t="shared" si="20"/>
        <v>Monatslohn fehlt</v>
      </c>
      <c r="J343" s="255" t="str">
        <f t="shared" si="21"/>
        <v/>
      </c>
    </row>
    <row r="344" spans="1:10" ht="24" customHeight="1">
      <c r="A344" s="247" t="s">
        <v>329</v>
      </c>
      <c r="B344" s="239">
        <v>46143</v>
      </c>
      <c r="C344" s="239">
        <v>46507</v>
      </c>
      <c r="D344" s="240" t="s">
        <v>24</v>
      </c>
      <c r="E344" s="240" t="s">
        <v>21</v>
      </c>
      <c r="F344" s="240" t="s">
        <v>324</v>
      </c>
      <c r="G344" s="219">
        <v>108.13</v>
      </c>
      <c r="H344" s="220"/>
      <c r="I344" s="240" t="str">
        <f t="shared" si="20"/>
        <v>Monatslohn fehlt</v>
      </c>
      <c r="J344" s="255" t="str">
        <f t="shared" si="21"/>
        <v/>
      </c>
    </row>
    <row r="345" spans="1:10" ht="24" customHeight="1">
      <c r="A345" s="247" t="s">
        <v>329</v>
      </c>
      <c r="B345" s="239">
        <v>46143</v>
      </c>
      <c r="C345" s="239">
        <v>46507</v>
      </c>
      <c r="D345" s="240" t="s">
        <v>24</v>
      </c>
      <c r="E345" s="240" t="s">
        <v>21</v>
      </c>
      <c r="F345" s="240" t="s">
        <v>324</v>
      </c>
      <c r="G345" s="219">
        <v>103.8</v>
      </c>
      <c r="H345" s="220"/>
      <c r="I345" s="240" t="str">
        <f t="shared" si="20"/>
        <v>Monatslohn fehlt</v>
      </c>
      <c r="J345" s="255" t="str">
        <f t="shared" si="21"/>
        <v/>
      </c>
    </row>
    <row r="346" spans="1:10" ht="24" customHeight="1">
      <c r="A346" s="247" t="s">
        <v>329</v>
      </c>
      <c r="B346" s="239">
        <v>46143</v>
      </c>
      <c r="C346" s="239">
        <v>46507</v>
      </c>
      <c r="D346" s="240" t="s">
        <v>24</v>
      </c>
      <c r="E346" s="240" t="s">
        <v>21</v>
      </c>
      <c r="F346" s="240" t="s">
        <v>324</v>
      </c>
      <c r="G346" s="219">
        <v>86.5</v>
      </c>
      <c r="H346" s="220"/>
      <c r="I346" s="240" t="str">
        <f t="shared" ref="I346:I353" si="22">IF($A346="","",IF(OR($B346="",$C346="",$D346="",$E346="",$F346=""),"Stammdaten fehlen",IF(AND($G346="",$H346=""),"Werte fehlen",IF($G346="","Monatsstunden fehlen",IF($H346="","Monatslohn fehlt","OK")))))</f>
        <v>Monatslohn fehlt</v>
      </c>
      <c r="J346" s="255" t="str">
        <f t="shared" ref="J346:J353" si="23">IF($G346="","",IF(COUNTIFS($A:$A,$A346,$D:$D,$D346,$G:$G,$G346)&gt;1,"Doppelte Monatsstunden",""))</f>
        <v/>
      </c>
    </row>
    <row r="347" spans="1:10" ht="24" customHeight="1">
      <c r="A347" s="247" t="s">
        <v>329</v>
      </c>
      <c r="B347" s="239">
        <v>46143</v>
      </c>
      <c r="C347" s="239">
        <v>46507</v>
      </c>
      <c r="D347" s="240" t="s">
        <v>24</v>
      </c>
      <c r="E347" s="240" t="s">
        <v>21</v>
      </c>
      <c r="F347" s="240" t="s">
        <v>324</v>
      </c>
      <c r="G347" s="219">
        <v>69.2</v>
      </c>
      <c r="H347" s="220"/>
      <c r="I347" s="240" t="str">
        <f t="shared" si="22"/>
        <v>Monatslohn fehlt</v>
      </c>
      <c r="J347" s="255" t="str">
        <f t="shared" si="23"/>
        <v/>
      </c>
    </row>
    <row r="348" spans="1:10" ht="24" customHeight="1">
      <c r="A348" s="247" t="s">
        <v>329</v>
      </c>
      <c r="B348" s="239">
        <v>46143</v>
      </c>
      <c r="C348" s="239">
        <v>46507</v>
      </c>
      <c r="D348" s="240" t="s">
        <v>24</v>
      </c>
      <c r="E348" s="240" t="s">
        <v>21</v>
      </c>
      <c r="F348" s="240" t="s">
        <v>324</v>
      </c>
      <c r="G348" s="219">
        <v>51.9</v>
      </c>
      <c r="H348" s="220"/>
      <c r="I348" s="240" t="str">
        <f t="shared" si="22"/>
        <v>Monatslohn fehlt</v>
      </c>
      <c r="J348" s="255" t="str">
        <f t="shared" si="23"/>
        <v/>
      </c>
    </row>
    <row r="349" spans="1:10" ht="24" customHeight="1">
      <c r="A349" s="247" t="s">
        <v>329</v>
      </c>
      <c r="B349" s="239">
        <v>46143</v>
      </c>
      <c r="C349" s="239">
        <v>46507</v>
      </c>
      <c r="D349" s="240" t="s">
        <v>24</v>
      </c>
      <c r="E349" s="240" t="s">
        <v>21</v>
      </c>
      <c r="F349" s="240" t="s">
        <v>324</v>
      </c>
      <c r="G349" s="219">
        <v>47.58</v>
      </c>
      <c r="H349" s="220"/>
      <c r="I349" s="240" t="str">
        <f t="shared" si="22"/>
        <v>Monatslohn fehlt</v>
      </c>
      <c r="J349" s="255" t="str">
        <f t="shared" si="23"/>
        <v/>
      </c>
    </row>
    <row r="350" spans="1:10" ht="24" customHeight="1">
      <c r="A350" s="247" t="s">
        <v>329</v>
      </c>
      <c r="B350" s="239">
        <v>46143</v>
      </c>
      <c r="C350" s="239">
        <v>46507</v>
      </c>
      <c r="D350" s="240" t="s">
        <v>24</v>
      </c>
      <c r="E350" s="240" t="s">
        <v>21</v>
      </c>
      <c r="F350" s="240" t="s">
        <v>324</v>
      </c>
      <c r="G350" s="219">
        <v>43.25</v>
      </c>
      <c r="H350" s="220"/>
      <c r="I350" s="240" t="str">
        <f t="shared" si="22"/>
        <v>Monatslohn fehlt</v>
      </c>
      <c r="J350" s="255" t="str">
        <f t="shared" si="23"/>
        <v/>
      </c>
    </row>
    <row r="351" spans="1:10" ht="24" customHeight="1">
      <c r="A351" s="247" t="s">
        <v>329</v>
      </c>
      <c r="B351" s="239">
        <v>46143</v>
      </c>
      <c r="C351" s="239">
        <v>46507</v>
      </c>
      <c r="D351" s="240" t="s">
        <v>24</v>
      </c>
      <c r="E351" s="240" t="s">
        <v>21</v>
      </c>
      <c r="F351" s="240" t="s">
        <v>324</v>
      </c>
      <c r="G351" s="219">
        <v>34.6</v>
      </c>
      <c r="H351" s="220"/>
      <c r="I351" s="240" t="str">
        <f t="shared" si="22"/>
        <v>Monatslohn fehlt</v>
      </c>
      <c r="J351" s="255" t="str">
        <f t="shared" si="23"/>
        <v/>
      </c>
    </row>
    <row r="352" spans="1:10" ht="24" customHeight="1">
      <c r="A352" s="247" t="s">
        <v>329</v>
      </c>
      <c r="B352" s="239">
        <v>46143</v>
      </c>
      <c r="C352" s="239">
        <v>46507</v>
      </c>
      <c r="D352" s="240" t="s">
        <v>24</v>
      </c>
      <c r="E352" s="240" t="s">
        <v>21</v>
      </c>
      <c r="F352" s="240" t="s">
        <v>324</v>
      </c>
      <c r="G352" s="219">
        <v>32.01</v>
      </c>
      <c r="H352" s="220"/>
      <c r="I352" s="240" t="str">
        <f t="shared" si="22"/>
        <v>Monatslohn fehlt</v>
      </c>
      <c r="J352" s="255" t="str">
        <f t="shared" si="23"/>
        <v/>
      </c>
    </row>
    <row r="353" spans="1:10" ht="24" customHeight="1">
      <c r="A353" s="248" t="s">
        <v>329</v>
      </c>
      <c r="B353" s="235">
        <v>46143</v>
      </c>
      <c r="C353" s="235">
        <v>46507</v>
      </c>
      <c r="D353" s="236" t="s">
        <v>24</v>
      </c>
      <c r="E353" s="236" t="s">
        <v>21</v>
      </c>
      <c r="F353" s="236" t="s">
        <v>324</v>
      </c>
      <c r="G353" s="221"/>
      <c r="H353" s="222"/>
      <c r="I353" s="236" t="str">
        <f t="shared" si="22"/>
        <v>Werte fehlen</v>
      </c>
      <c r="J353" s="256" t="str">
        <f t="shared" si="23"/>
        <v/>
      </c>
    </row>
    <row r="354" spans="1:10" ht="24" customHeight="1" thickBot="1">
      <c r="A354" s="380" t="s">
        <v>418</v>
      </c>
      <c r="B354" s="381"/>
      <c r="C354" s="381"/>
      <c r="D354" s="382"/>
      <c r="E354" s="382"/>
      <c r="F354" s="382"/>
      <c r="G354" s="383"/>
      <c r="H354" s="384"/>
      <c r="I354" s="382"/>
      <c r="J354" s="385"/>
    </row>
    <row r="355" spans="1:10" ht="24" customHeight="1">
      <c r="A355" s="241" t="s">
        <v>334</v>
      </c>
      <c r="B355" s="225">
        <v>45778</v>
      </c>
      <c r="C355" s="225">
        <v>46142</v>
      </c>
      <c r="D355" s="226" t="s">
        <v>331</v>
      </c>
      <c r="E355" s="226" t="s">
        <v>4</v>
      </c>
      <c r="F355" s="226" t="s">
        <v>321</v>
      </c>
      <c r="G355" s="207">
        <v>173</v>
      </c>
      <c r="H355" s="208">
        <v>2021</v>
      </c>
      <c r="I355" s="226" t="str">
        <f t="shared" ref="I355:I386" si="24">IF($A355="","",IF(OR($B355="",$C355="",$D355="",$E355="",$F355=""),"Stammdaten fehlen",IF(AND($G355="",$H355=""),"Werte fehlen",IF($G355="","Monatsstunden fehlen",IF($H355="","Monatslohn fehlt","OK")))))</f>
        <v>OK</v>
      </c>
      <c r="J355" s="249" t="str">
        <f t="shared" ref="J355:J386" si="25">IF($G355="","",IF(COUNTIFS($A:$A,$A355,$D:$D,$D355,$G:$G,$G355)&gt;1,"Doppelte Monatsstunden",""))</f>
        <v/>
      </c>
    </row>
    <row r="356" spans="1:10" ht="24" customHeight="1">
      <c r="A356" s="242" t="s">
        <v>334</v>
      </c>
      <c r="B356" s="227">
        <v>45778</v>
      </c>
      <c r="C356" s="227">
        <v>46142</v>
      </c>
      <c r="D356" s="228" t="s">
        <v>331</v>
      </c>
      <c r="E356" s="228" t="s">
        <v>4</v>
      </c>
      <c r="F356" s="228" t="s">
        <v>321</v>
      </c>
      <c r="G356" s="209">
        <v>151.38</v>
      </c>
      <c r="H356" s="210">
        <v>1768.38</v>
      </c>
      <c r="I356" s="228" t="str">
        <f t="shared" si="24"/>
        <v>OK</v>
      </c>
      <c r="J356" s="250" t="str">
        <f t="shared" si="25"/>
        <v/>
      </c>
    </row>
    <row r="357" spans="1:10" ht="24" customHeight="1">
      <c r="A357" s="242" t="s">
        <v>334</v>
      </c>
      <c r="B357" s="227">
        <v>45778</v>
      </c>
      <c r="C357" s="227">
        <v>46142</v>
      </c>
      <c r="D357" s="228" t="s">
        <v>331</v>
      </c>
      <c r="E357" s="228" t="s">
        <v>4</v>
      </c>
      <c r="F357" s="228" t="s">
        <v>321</v>
      </c>
      <c r="G357" s="209">
        <v>138.4</v>
      </c>
      <c r="H357" s="210">
        <v>1616.8</v>
      </c>
      <c r="I357" s="228" t="str">
        <f t="shared" si="24"/>
        <v>OK</v>
      </c>
      <c r="J357" s="250" t="str">
        <f t="shared" si="25"/>
        <v/>
      </c>
    </row>
    <row r="358" spans="1:10" ht="24" customHeight="1">
      <c r="A358" s="242" t="s">
        <v>334</v>
      </c>
      <c r="B358" s="227">
        <v>45778</v>
      </c>
      <c r="C358" s="227">
        <v>46142</v>
      </c>
      <c r="D358" s="228" t="s">
        <v>331</v>
      </c>
      <c r="E358" s="228" t="s">
        <v>4</v>
      </c>
      <c r="F358" s="228" t="s">
        <v>321</v>
      </c>
      <c r="G358" s="209">
        <v>129.75</v>
      </c>
      <c r="H358" s="210">
        <v>1515.75</v>
      </c>
      <c r="I358" s="228" t="str">
        <f t="shared" si="24"/>
        <v>OK</v>
      </c>
      <c r="J358" s="250" t="str">
        <f t="shared" si="25"/>
        <v/>
      </c>
    </row>
    <row r="359" spans="1:10" ht="24" customHeight="1">
      <c r="A359" s="242" t="s">
        <v>334</v>
      </c>
      <c r="B359" s="227">
        <v>45778</v>
      </c>
      <c r="C359" s="227">
        <v>46142</v>
      </c>
      <c r="D359" s="228" t="s">
        <v>331</v>
      </c>
      <c r="E359" s="228" t="s">
        <v>4</v>
      </c>
      <c r="F359" s="228" t="s">
        <v>321</v>
      </c>
      <c r="G359" s="209">
        <v>108.13</v>
      </c>
      <c r="H359" s="210">
        <v>1263.1300000000001</v>
      </c>
      <c r="I359" s="228" t="str">
        <f t="shared" si="24"/>
        <v>OK</v>
      </c>
      <c r="J359" s="250" t="str">
        <f t="shared" si="25"/>
        <v/>
      </c>
    </row>
    <row r="360" spans="1:10" ht="24" customHeight="1">
      <c r="A360" s="242" t="s">
        <v>334</v>
      </c>
      <c r="B360" s="227">
        <v>45778</v>
      </c>
      <c r="C360" s="227">
        <v>46142</v>
      </c>
      <c r="D360" s="228" t="s">
        <v>331</v>
      </c>
      <c r="E360" s="228" t="s">
        <v>4</v>
      </c>
      <c r="F360" s="228" t="s">
        <v>321</v>
      </c>
      <c r="G360" s="209">
        <v>103.8</v>
      </c>
      <c r="H360" s="210">
        <v>1212.5999999999999</v>
      </c>
      <c r="I360" s="228" t="str">
        <f t="shared" si="24"/>
        <v>OK</v>
      </c>
      <c r="J360" s="250" t="str">
        <f t="shared" si="25"/>
        <v/>
      </c>
    </row>
    <row r="361" spans="1:10" ht="24" customHeight="1">
      <c r="A361" s="242" t="s">
        <v>334</v>
      </c>
      <c r="B361" s="227">
        <v>45778</v>
      </c>
      <c r="C361" s="227">
        <v>46142</v>
      </c>
      <c r="D361" s="228" t="s">
        <v>331</v>
      </c>
      <c r="E361" s="228" t="s">
        <v>4</v>
      </c>
      <c r="F361" s="228" t="s">
        <v>321</v>
      </c>
      <c r="G361" s="209">
        <v>86.5</v>
      </c>
      <c r="H361" s="210">
        <v>1010.5</v>
      </c>
      <c r="I361" s="228" t="str">
        <f t="shared" si="24"/>
        <v>OK</v>
      </c>
      <c r="J361" s="250" t="str">
        <f t="shared" si="25"/>
        <v/>
      </c>
    </row>
    <row r="362" spans="1:10" ht="24" customHeight="1">
      <c r="A362" s="242" t="s">
        <v>334</v>
      </c>
      <c r="B362" s="227">
        <v>45778</v>
      </c>
      <c r="C362" s="227">
        <v>46142</v>
      </c>
      <c r="D362" s="228" t="s">
        <v>331</v>
      </c>
      <c r="E362" s="228" t="s">
        <v>4</v>
      </c>
      <c r="F362" s="228" t="s">
        <v>321</v>
      </c>
      <c r="G362" s="209">
        <v>69.2</v>
      </c>
      <c r="H362" s="210">
        <v>808.4</v>
      </c>
      <c r="I362" s="228" t="str">
        <f t="shared" si="24"/>
        <v>OK</v>
      </c>
      <c r="J362" s="250" t="str">
        <f t="shared" si="25"/>
        <v/>
      </c>
    </row>
    <row r="363" spans="1:10" ht="24" customHeight="1">
      <c r="A363" s="242" t="s">
        <v>334</v>
      </c>
      <c r="B363" s="227">
        <v>45778</v>
      </c>
      <c r="C363" s="227">
        <v>46142</v>
      </c>
      <c r="D363" s="228" t="s">
        <v>331</v>
      </c>
      <c r="E363" s="228" t="s">
        <v>4</v>
      </c>
      <c r="F363" s="228" t="s">
        <v>321</v>
      </c>
      <c r="G363" s="209">
        <v>51.9</v>
      </c>
      <c r="H363" s="210">
        <v>606.29999999999995</v>
      </c>
      <c r="I363" s="228" t="str">
        <f t="shared" si="24"/>
        <v>OK</v>
      </c>
      <c r="J363" s="250" t="str">
        <f t="shared" si="25"/>
        <v/>
      </c>
    </row>
    <row r="364" spans="1:10" ht="24" customHeight="1">
      <c r="A364" s="242" t="s">
        <v>334</v>
      </c>
      <c r="B364" s="227">
        <v>45778</v>
      </c>
      <c r="C364" s="227">
        <v>46142</v>
      </c>
      <c r="D364" s="228" t="s">
        <v>331</v>
      </c>
      <c r="E364" s="228" t="s">
        <v>4</v>
      </c>
      <c r="F364" s="228" t="s">
        <v>321</v>
      </c>
      <c r="G364" s="209">
        <v>47.58</v>
      </c>
      <c r="H364" s="210">
        <v>555.78</v>
      </c>
      <c r="I364" s="228" t="str">
        <f t="shared" si="24"/>
        <v>OK</v>
      </c>
      <c r="J364" s="250" t="str">
        <f t="shared" si="25"/>
        <v/>
      </c>
    </row>
    <row r="365" spans="1:10" ht="24" customHeight="1">
      <c r="A365" s="242" t="s">
        <v>334</v>
      </c>
      <c r="B365" s="227">
        <v>45778</v>
      </c>
      <c r="C365" s="227">
        <v>46142</v>
      </c>
      <c r="D365" s="228" t="s">
        <v>331</v>
      </c>
      <c r="E365" s="228" t="s">
        <v>4</v>
      </c>
      <c r="F365" s="228" t="s">
        <v>321</v>
      </c>
      <c r="G365" s="209">
        <v>43.25</v>
      </c>
      <c r="H365" s="210">
        <v>505.25</v>
      </c>
      <c r="I365" s="228" t="str">
        <f t="shared" si="24"/>
        <v>OK</v>
      </c>
      <c r="J365" s="250" t="str">
        <f t="shared" si="25"/>
        <v/>
      </c>
    </row>
    <row r="366" spans="1:10" ht="24" customHeight="1">
      <c r="A366" s="242" t="s">
        <v>334</v>
      </c>
      <c r="B366" s="227">
        <v>45778</v>
      </c>
      <c r="C366" s="227">
        <v>46142</v>
      </c>
      <c r="D366" s="228" t="s">
        <v>331</v>
      </c>
      <c r="E366" s="228" t="s">
        <v>4</v>
      </c>
      <c r="F366" s="228" t="s">
        <v>321</v>
      </c>
      <c r="G366" s="209">
        <v>34.6</v>
      </c>
      <c r="H366" s="210">
        <v>404.2</v>
      </c>
      <c r="I366" s="228" t="str">
        <f t="shared" si="24"/>
        <v>OK</v>
      </c>
      <c r="J366" s="250" t="str">
        <f t="shared" si="25"/>
        <v/>
      </c>
    </row>
    <row r="367" spans="1:10" ht="24" customHeight="1" thickBot="1">
      <c r="A367" s="242" t="s">
        <v>334</v>
      </c>
      <c r="B367" s="227">
        <v>45778</v>
      </c>
      <c r="C367" s="227">
        <v>46142</v>
      </c>
      <c r="D367" s="228" t="s">
        <v>331</v>
      </c>
      <c r="E367" s="228" t="s">
        <v>4</v>
      </c>
      <c r="F367" s="228" t="s">
        <v>321</v>
      </c>
      <c r="G367" s="209">
        <v>32.01</v>
      </c>
      <c r="H367" s="210">
        <v>373.89</v>
      </c>
      <c r="I367" s="228" t="str">
        <f t="shared" si="24"/>
        <v>OK</v>
      </c>
      <c r="J367" s="250" t="str">
        <f t="shared" si="25"/>
        <v/>
      </c>
    </row>
    <row r="368" spans="1:10" ht="24" customHeight="1">
      <c r="A368" s="243" t="s">
        <v>334</v>
      </c>
      <c r="B368" s="229">
        <v>45778</v>
      </c>
      <c r="C368" s="229">
        <v>46142</v>
      </c>
      <c r="D368" s="230" t="s">
        <v>8</v>
      </c>
      <c r="E368" s="230" t="s">
        <v>4</v>
      </c>
      <c r="F368" s="230" t="s">
        <v>322</v>
      </c>
      <c r="G368" s="211">
        <v>173</v>
      </c>
      <c r="H368" s="212">
        <v>2082</v>
      </c>
      <c r="I368" s="230" t="str">
        <f t="shared" si="24"/>
        <v>OK</v>
      </c>
      <c r="J368" s="251" t="str">
        <f t="shared" si="25"/>
        <v/>
      </c>
    </row>
    <row r="369" spans="1:10" ht="24" customHeight="1">
      <c r="A369" s="242" t="s">
        <v>334</v>
      </c>
      <c r="B369" s="227">
        <v>45778</v>
      </c>
      <c r="C369" s="227">
        <v>46142</v>
      </c>
      <c r="D369" s="228" t="s">
        <v>8</v>
      </c>
      <c r="E369" s="228" t="s">
        <v>4</v>
      </c>
      <c r="F369" s="228" t="s">
        <v>322</v>
      </c>
      <c r="G369" s="209">
        <v>151.38</v>
      </c>
      <c r="H369" s="210">
        <v>1821.75</v>
      </c>
      <c r="I369" s="228" t="str">
        <f t="shared" si="24"/>
        <v>OK</v>
      </c>
      <c r="J369" s="250" t="str">
        <f t="shared" si="25"/>
        <v/>
      </c>
    </row>
    <row r="370" spans="1:10" ht="24" customHeight="1">
      <c r="A370" s="242" t="s">
        <v>334</v>
      </c>
      <c r="B370" s="227">
        <v>45778</v>
      </c>
      <c r="C370" s="227">
        <v>46142</v>
      </c>
      <c r="D370" s="228" t="s">
        <v>8</v>
      </c>
      <c r="E370" s="228" t="s">
        <v>4</v>
      </c>
      <c r="F370" s="228" t="s">
        <v>322</v>
      </c>
      <c r="G370" s="209">
        <v>138.4</v>
      </c>
      <c r="H370" s="210">
        <v>1665.6</v>
      </c>
      <c r="I370" s="228" t="str">
        <f t="shared" si="24"/>
        <v>OK</v>
      </c>
      <c r="J370" s="250" t="str">
        <f t="shared" si="25"/>
        <v/>
      </c>
    </row>
    <row r="371" spans="1:10" ht="24" customHeight="1">
      <c r="A371" s="242" t="s">
        <v>334</v>
      </c>
      <c r="B371" s="227">
        <v>45778</v>
      </c>
      <c r="C371" s="227">
        <v>46142</v>
      </c>
      <c r="D371" s="228" t="s">
        <v>8</v>
      </c>
      <c r="E371" s="228" t="s">
        <v>4</v>
      </c>
      <c r="F371" s="228" t="s">
        <v>322</v>
      </c>
      <c r="G371" s="209">
        <v>129.75</v>
      </c>
      <c r="H371" s="210">
        <v>1561.5</v>
      </c>
      <c r="I371" s="228" t="str">
        <f t="shared" si="24"/>
        <v>OK</v>
      </c>
      <c r="J371" s="250" t="str">
        <f t="shared" si="25"/>
        <v/>
      </c>
    </row>
    <row r="372" spans="1:10" ht="24" customHeight="1">
      <c r="A372" s="242" t="s">
        <v>334</v>
      </c>
      <c r="B372" s="227">
        <v>45778</v>
      </c>
      <c r="C372" s="227">
        <v>46142</v>
      </c>
      <c r="D372" s="228" t="s">
        <v>8</v>
      </c>
      <c r="E372" s="228" t="s">
        <v>4</v>
      </c>
      <c r="F372" s="228" t="s">
        <v>322</v>
      </c>
      <c r="G372" s="209">
        <v>108.13</v>
      </c>
      <c r="H372" s="210">
        <v>1301.25</v>
      </c>
      <c r="I372" s="228" t="str">
        <f t="shared" si="24"/>
        <v>OK</v>
      </c>
      <c r="J372" s="250" t="str">
        <f t="shared" si="25"/>
        <v/>
      </c>
    </row>
    <row r="373" spans="1:10" ht="24" customHeight="1">
      <c r="A373" s="242" t="s">
        <v>334</v>
      </c>
      <c r="B373" s="227">
        <v>45778</v>
      </c>
      <c r="C373" s="227">
        <v>46142</v>
      </c>
      <c r="D373" s="228" t="s">
        <v>8</v>
      </c>
      <c r="E373" s="228" t="s">
        <v>4</v>
      </c>
      <c r="F373" s="228" t="s">
        <v>322</v>
      </c>
      <c r="G373" s="209">
        <v>103.8</v>
      </c>
      <c r="H373" s="210">
        <v>1249.2</v>
      </c>
      <c r="I373" s="228" t="str">
        <f t="shared" si="24"/>
        <v>OK</v>
      </c>
      <c r="J373" s="250" t="str">
        <f t="shared" si="25"/>
        <v/>
      </c>
    </row>
    <row r="374" spans="1:10" ht="24" customHeight="1">
      <c r="A374" s="242" t="s">
        <v>334</v>
      </c>
      <c r="B374" s="227">
        <v>45778</v>
      </c>
      <c r="C374" s="227">
        <v>46142</v>
      </c>
      <c r="D374" s="228" t="s">
        <v>8</v>
      </c>
      <c r="E374" s="228" t="s">
        <v>4</v>
      </c>
      <c r="F374" s="228" t="s">
        <v>322</v>
      </c>
      <c r="G374" s="209">
        <v>86.5</v>
      </c>
      <c r="H374" s="210">
        <v>1041.2</v>
      </c>
      <c r="I374" s="228" t="str">
        <f t="shared" si="24"/>
        <v>OK</v>
      </c>
      <c r="J374" s="250" t="str">
        <f t="shared" si="25"/>
        <v/>
      </c>
    </row>
    <row r="375" spans="1:10" ht="24" customHeight="1">
      <c r="A375" s="242" t="s">
        <v>334</v>
      </c>
      <c r="B375" s="227">
        <v>45778</v>
      </c>
      <c r="C375" s="227">
        <v>46142</v>
      </c>
      <c r="D375" s="228" t="s">
        <v>8</v>
      </c>
      <c r="E375" s="228" t="s">
        <v>4</v>
      </c>
      <c r="F375" s="228" t="s">
        <v>322</v>
      </c>
      <c r="G375" s="209">
        <v>69.2</v>
      </c>
      <c r="H375" s="210">
        <v>832.8</v>
      </c>
      <c r="I375" s="228" t="str">
        <f t="shared" si="24"/>
        <v>OK</v>
      </c>
      <c r="J375" s="250" t="str">
        <f t="shared" si="25"/>
        <v/>
      </c>
    </row>
    <row r="376" spans="1:10" ht="24" customHeight="1">
      <c r="A376" s="242" t="s">
        <v>334</v>
      </c>
      <c r="B376" s="227">
        <v>45778</v>
      </c>
      <c r="C376" s="227">
        <v>46142</v>
      </c>
      <c r="D376" s="228" t="s">
        <v>8</v>
      </c>
      <c r="E376" s="228" t="s">
        <v>4</v>
      </c>
      <c r="F376" s="228" t="s">
        <v>322</v>
      </c>
      <c r="G376" s="209">
        <v>51.9</v>
      </c>
      <c r="H376" s="210">
        <v>624.6</v>
      </c>
      <c r="I376" s="228" t="str">
        <f t="shared" si="24"/>
        <v>OK</v>
      </c>
      <c r="J376" s="250" t="str">
        <f t="shared" si="25"/>
        <v/>
      </c>
    </row>
    <row r="377" spans="1:10" ht="24" customHeight="1">
      <c r="A377" s="242" t="s">
        <v>334</v>
      </c>
      <c r="B377" s="227">
        <v>45778</v>
      </c>
      <c r="C377" s="227">
        <v>46142</v>
      </c>
      <c r="D377" s="228" t="s">
        <v>8</v>
      </c>
      <c r="E377" s="228" t="s">
        <v>4</v>
      </c>
      <c r="F377" s="228" t="s">
        <v>322</v>
      </c>
      <c r="G377" s="209">
        <v>47.58</v>
      </c>
      <c r="H377" s="210">
        <v>575.54999999999995</v>
      </c>
      <c r="I377" s="228" t="str">
        <f t="shared" si="24"/>
        <v>OK</v>
      </c>
      <c r="J377" s="250" t="str">
        <f t="shared" si="25"/>
        <v/>
      </c>
    </row>
    <row r="378" spans="1:10" ht="24" customHeight="1">
      <c r="A378" s="242" t="s">
        <v>334</v>
      </c>
      <c r="B378" s="227">
        <v>45778</v>
      </c>
      <c r="C378" s="227">
        <v>46142</v>
      </c>
      <c r="D378" s="228" t="s">
        <v>8</v>
      </c>
      <c r="E378" s="228" t="s">
        <v>4</v>
      </c>
      <c r="F378" s="228" t="s">
        <v>322</v>
      </c>
      <c r="G378" s="209">
        <v>43.25</v>
      </c>
      <c r="H378" s="210">
        <v>520.5</v>
      </c>
      <c r="I378" s="228" t="str">
        <f t="shared" si="24"/>
        <v>OK</v>
      </c>
      <c r="J378" s="250" t="str">
        <f t="shared" si="25"/>
        <v/>
      </c>
    </row>
    <row r="379" spans="1:10" ht="24" customHeight="1">
      <c r="A379" s="242" t="s">
        <v>334</v>
      </c>
      <c r="B379" s="227">
        <v>45778</v>
      </c>
      <c r="C379" s="227">
        <v>46142</v>
      </c>
      <c r="D379" s="228" t="s">
        <v>8</v>
      </c>
      <c r="E379" s="228" t="s">
        <v>4</v>
      </c>
      <c r="F379" s="228" t="s">
        <v>322</v>
      </c>
      <c r="G379" s="209">
        <v>34.6</v>
      </c>
      <c r="H379" s="210">
        <v>416.4</v>
      </c>
      <c r="I379" s="228" t="str">
        <f t="shared" si="24"/>
        <v>OK</v>
      </c>
      <c r="J379" s="250" t="str">
        <f t="shared" si="25"/>
        <v/>
      </c>
    </row>
    <row r="380" spans="1:10" ht="24" customHeight="1" thickBot="1">
      <c r="A380" s="242" t="s">
        <v>334</v>
      </c>
      <c r="B380" s="227">
        <v>45778</v>
      </c>
      <c r="C380" s="227">
        <v>46142</v>
      </c>
      <c r="D380" s="228" t="s">
        <v>8</v>
      </c>
      <c r="E380" s="228" t="s">
        <v>4</v>
      </c>
      <c r="F380" s="228" t="s">
        <v>322</v>
      </c>
      <c r="G380" s="209">
        <v>32.01</v>
      </c>
      <c r="H380" s="210">
        <v>385.17</v>
      </c>
      <c r="I380" s="228" t="str">
        <f t="shared" si="24"/>
        <v>OK</v>
      </c>
      <c r="J380" s="250" t="str">
        <f t="shared" si="25"/>
        <v/>
      </c>
    </row>
    <row r="381" spans="1:10" ht="24" customHeight="1">
      <c r="A381" s="243" t="s">
        <v>334</v>
      </c>
      <c r="B381" s="229">
        <v>45778</v>
      </c>
      <c r="C381" s="229">
        <v>46142</v>
      </c>
      <c r="D381" s="230" t="s">
        <v>10</v>
      </c>
      <c r="E381" s="230" t="s">
        <v>4</v>
      </c>
      <c r="F381" s="230" t="s">
        <v>323</v>
      </c>
      <c r="G381" s="211">
        <v>173</v>
      </c>
      <c r="H381" s="212">
        <v>2123</v>
      </c>
      <c r="I381" s="230" t="str">
        <f t="shared" si="24"/>
        <v>OK</v>
      </c>
      <c r="J381" s="251" t="str">
        <f t="shared" si="25"/>
        <v/>
      </c>
    </row>
    <row r="382" spans="1:10" ht="24" customHeight="1">
      <c r="A382" s="242" t="s">
        <v>334</v>
      </c>
      <c r="B382" s="227">
        <v>45778</v>
      </c>
      <c r="C382" s="227">
        <v>46142</v>
      </c>
      <c r="D382" s="228" t="s">
        <v>10</v>
      </c>
      <c r="E382" s="228" t="s">
        <v>4</v>
      </c>
      <c r="F382" s="228" t="s">
        <v>323</v>
      </c>
      <c r="G382" s="209">
        <v>151.38</v>
      </c>
      <c r="H382" s="210">
        <v>1857.63</v>
      </c>
      <c r="I382" s="228" t="str">
        <f t="shared" si="24"/>
        <v>OK</v>
      </c>
      <c r="J382" s="250" t="str">
        <f t="shared" si="25"/>
        <v/>
      </c>
    </row>
    <row r="383" spans="1:10" ht="24" customHeight="1">
      <c r="A383" s="242" t="s">
        <v>334</v>
      </c>
      <c r="B383" s="227">
        <v>45778</v>
      </c>
      <c r="C383" s="227">
        <v>46142</v>
      </c>
      <c r="D383" s="228" t="s">
        <v>10</v>
      </c>
      <c r="E383" s="228" t="s">
        <v>4</v>
      </c>
      <c r="F383" s="228" t="s">
        <v>323</v>
      </c>
      <c r="G383" s="209">
        <v>138.4</v>
      </c>
      <c r="H383" s="210">
        <v>1698.4</v>
      </c>
      <c r="I383" s="228" t="str">
        <f t="shared" si="24"/>
        <v>OK</v>
      </c>
      <c r="J383" s="250" t="str">
        <f t="shared" si="25"/>
        <v/>
      </c>
    </row>
    <row r="384" spans="1:10" ht="24" customHeight="1">
      <c r="A384" s="242" t="s">
        <v>334</v>
      </c>
      <c r="B384" s="227">
        <v>45778</v>
      </c>
      <c r="C384" s="227">
        <v>46142</v>
      </c>
      <c r="D384" s="228" t="s">
        <v>10</v>
      </c>
      <c r="E384" s="228" t="s">
        <v>4</v>
      </c>
      <c r="F384" s="228" t="s">
        <v>323</v>
      </c>
      <c r="G384" s="209">
        <v>129.75</v>
      </c>
      <c r="H384" s="210">
        <v>1592.25</v>
      </c>
      <c r="I384" s="228" t="str">
        <f t="shared" si="24"/>
        <v>OK</v>
      </c>
      <c r="J384" s="250" t="str">
        <f t="shared" si="25"/>
        <v/>
      </c>
    </row>
    <row r="385" spans="1:10" ht="24" customHeight="1">
      <c r="A385" s="242" t="s">
        <v>334</v>
      </c>
      <c r="B385" s="227">
        <v>45778</v>
      </c>
      <c r="C385" s="227">
        <v>46142</v>
      </c>
      <c r="D385" s="228" t="s">
        <v>10</v>
      </c>
      <c r="E385" s="228" t="s">
        <v>4</v>
      </c>
      <c r="F385" s="228" t="s">
        <v>323</v>
      </c>
      <c r="G385" s="209">
        <v>108.13</v>
      </c>
      <c r="H385" s="210">
        <v>1326.88</v>
      </c>
      <c r="I385" s="228" t="str">
        <f t="shared" si="24"/>
        <v>OK</v>
      </c>
      <c r="J385" s="250" t="str">
        <f t="shared" si="25"/>
        <v/>
      </c>
    </row>
    <row r="386" spans="1:10" ht="24" customHeight="1">
      <c r="A386" s="242" t="s">
        <v>334</v>
      </c>
      <c r="B386" s="227">
        <v>45778</v>
      </c>
      <c r="C386" s="227">
        <v>46142</v>
      </c>
      <c r="D386" s="228" t="s">
        <v>10</v>
      </c>
      <c r="E386" s="228" t="s">
        <v>4</v>
      </c>
      <c r="F386" s="228" t="s">
        <v>323</v>
      </c>
      <c r="G386" s="209">
        <v>103.8</v>
      </c>
      <c r="H386" s="210">
        <v>1273.8</v>
      </c>
      <c r="I386" s="228" t="str">
        <f t="shared" si="24"/>
        <v>OK</v>
      </c>
      <c r="J386" s="250" t="str">
        <f t="shared" si="25"/>
        <v/>
      </c>
    </row>
    <row r="387" spans="1:10" ht="24" customHeight="1">
      <c r="A387" s="242" t="s">
        <v>334</v>
      </c>
      <c r="B387" s="227">
        <v>45778</v>
      </c>
      <c r="C387" s="227">
        <v>46142</v>
      </c>
      <c r="D387" s="228" t="s">
        <v>10</v>
      </c>
      <c r="E387" s="228" t="s">
        <v>4</v>
      </c>
      <c r="F387" s="228" t="s">
        <v>323</v>
      </c>
      <c r="G387" s="209">
        <v>86.5</v>
      </c>
      <c r="H387" s="210">
        <v>1061.5</v>
      </c>
      <c r="I387" s="228" t="str">
        <f t="shared" ref="I387:I418" si="26">IF($A387="","",IF(OR($B387="",$C387="",$D387="",$E387="",$F387=""),"Stammdaten fehlen",IF(AND($G387="",$H387=""),"Werte fehlen",IF($G387="","Monatsstunden fehlen",IF($H387="","Monatslohn fehlt","OK")))))</f>
        <v>OK</v>
      </c>
      <c r="J387" s="250" t="str">
        <f t="shared" ref="J387:J418" si="27">IF($G387="","",IF(COUNTIFS($A:$A,$A387,$D:$D,$D387,$G:$G,$G387)&gt;1,"Doppelte Monatsstunden",""))</f>
        <v/>
      </c>
    </row>
    <row r="388" spans="1:10" ht="24" customHeight="1">
      <c r="A388" s="242" t="s">
        <v>334</v>
      </c>
      <c r="B388" s="227">
        <v>45778</v>
      </c>
      <c r="C388" s="227">
        <v>46142</v>
      </c>
      <c r="D388" s="228" t="s">
        <v>10</v>
      </c>
      <c r="E388" s="228" t="s">
        <v>4</v>
      </c>
      <c r="F388" s="228" t="s">
        <v>323</v>
      </c>
      <c r="G388" s="209">
        <v>69.2</v>
      </c>
      <c r="H388" s="210">
        <v>849.2</v>
      </c>
      <c r="I388" s="228" t="str">
        <f t="shared" si="26"/>
        <v>OK</v>
      </c>
      <c r="J388" s="250" t="str">
        <f t="shared" si="27"/>
        <v/>
      </c>
    </row>
    <row r="389" spans="1:10" ht="24" customHeight="1">
      <c r="A389" s="242" t="s">
        <v>334</v>
      </c>
      <c r="B389" s="227">
        <v>45778</v>
      </c>
      <c r="C389" s="227">
        <v>46142</v>
      </c>
      <c r="D389" s="228" t="s">
        <v>10</v>
      </c>
      <c r="E389" s="228" t="s">
        <v>4</v>
      </c>
      <c r="F389" s="228" t="s">
        <v>323</v>
      </c>
      <c r="G389" s="209">
        <v>51.9</v>
      </c>
      <c r="H389" s="210">
        <v>636.9</v>
      </c>
      <c r="I389" s="228" t="str">
        <f t="shared" si="26"/>
        <v>OK</v>
      </c>
      <c r="J389" s="250" t="str">
        <f t="shared" si="27"/>
        <v/>
      </c>
    </row>
    <row r="390" spans="1:10" ht="24" customHeight="1">
      <c r="A390" s="242" t="s">
        <v>334</v>
      </c>
      <c r="B390" s="227">
        <v>45778</v>
      </c>
      <c r="C390" s="227">
        <v>46142</v>
      </c>
      <c r="D390" s="228" t="s">
        <v>10</v>
      </c>
      <c r="E390" s="228" t="s">
        <v>4</v>
      </c>
      <c r="F390" s="228" t="s">
        <v>323</v>
      </c>
      <c r="G390" s="209">
        <v>47.58</v>
      </c>
      <c r="H390" s="210">
        <v>583.83000000000004</v>
      </c>
      <c r="I390" s="228" t="str">
        <f t="shared" si="26"/>
        <v>OK</v>
      </c>
      <c r="J390" s="250" t="str">
        <f t="shared" si="27"/>
        <v/>
      </c>
    </row>
    <row r="391" spans="1:10" ht="24" customHeight="1">
      <c r="A391" s="242" t="s">
        <v>334</v>
      </c>
      <c r="B391" s="227">
        <v>45778</v>
      </c>
      <c r="C391" s="227">
        <v>46142</v>
      </c>
      <c r="D391" s="228" t="s">
        <v>10</v>
      </c>
      <c r="E391" s="228" t="s">
        <v>4</v>
      </c>
      <c r="F391" s="228" t="s">
        <v>323</v>
      </c>
      <c r="G391" s="209">
        <v>43.25</v>
      </c>
      <c r="H391" s="210">
        <v>530.75</v>
      </c>
      <c r="I391" s="228" t="str">
        <f t="shared" si="26"/>
        <v>OK</v>
      </c>
      <c r="J391" s="250" t="str">
        <f t="shared" si="27"/>
        <v/>
      </c>
    </row>
    <row r="392" spans="1:10" ht="24" customHeight="1">
      <c r="A392" s="242" t="s">
        <v>334</v>
      </c>
      <c r="B392" s="227">
        <v>45778</v>
      </c>
      <c r="C392" s="227">
        <v>46142</v>
      </c>
      <c r="D392" s="228" t="s">
        <v>10</v>
      </c>
      <c r="E392" s="228" t="s">
        <v>4</v>
      </c>
      <c r="F392" s="228" t="s">
        <v>323</v>
      </c>
      <c r="G392" s="209">
        <v>34.6</v>
      </c>
      <c r="H392" s="210">
        <v>424.6</v>
      </c>
      <c r="I392" s="228" t="str">
        <f t="shared" si="26"/>
        <v>OK</v>
      </c>
      <c r="J392" s="250" t="str">
        <f t="shared" si="27"/>
        <v/>
      </c>
    </row>
    <row r="393" spans="1:10" ht="24" customHeight="1" thickBot="1">
      <c r="A393" s="242" t="s">
        <v>334</v>
      </c>
      <c r="B393" s="227">
        <v>45778</v>
      </c>
      <c r="C393" s="227">
        <v>46142</v>
      </c>
      <c r="D393" s="228" t="s">
        <v>10</v>
      </c>
      <c r="E393" s="228" t="s">
        <v>4</v>
      </c>
      <c r="F393" s="228" t="s">
        <v>323</v>
      </c>
      <c r="G393" s="209">
        <v>32.01</v>
      </c>
      <c r="H393" s="210">
        <v>392.76</v>
      </c>
      <c r="I393" s="228" t="str">
        <f t="shared" si="26"/>
        <v>OK</v>
      </c>
      <c r="J393" s="250" t="str">
        <f t="shared" si="27"/>
        <v/>
      </c>
    </row>
    <row r="394" spans="1:10" ht="24" customHeight="1">
      <c r="A394" s="243" t="s">
        <v>334</v>
      </c>
      <c r="B394" s="229">
        <v>45778</v>
      </c>
      <c r="C394" s="229">
        <v>46142</v>
      </c>
      <c r="D394" s="230" t="s">
        <v>12</v>
      </c>
      <c r="E394" s="230" t="s">
        <v>4</v>
      </c>
      <c r="F394" s="230" t="s">
        <v>324</v>
      </c>
      <c r="G394" s="211">
        <v>173</v>
      </c>
      <c r="H394" s="212">
        <v>2183</v>
      </c>
      <c r="I394" s="230" t="str">
        <f t="shared" si="26"/>
        <v>OK</v>
      </c>
      <c r="J394" s="251" t="str">
        <f t="shared" si="27"/>
        <v/>
      </c>
    </row>
    <row r="395" spans="1:10" ht="24" customHeight="1">
      <c r="A395" s="242" t="s">
        <v>334</v>
      </c>
      <c r="B395" s="227">
        <v>45778</v>
      </c>
      <c r="C395" s="227">
        <v>46142</v>
      </c>
      <c r="D395" s="228" t="s">
        <v>12</v>
      </c>
      <c r="E395" s="228" t="s">
        <v>4</v>
      </c>
      <c r="F395" s="228" t="s">
        <v>324</v>
      </c>
      <c r="G395" s="209">
        <v>151.38</v>
      </c>
      <c r="H395" s="210">
        <v>1910.13</v>
      </c>
      <c r="I395" s="228" t="str">
        <f t="shared" si="26"/>
        <v>OK</v>
      </c>
      <c r="J395" s="250" t="str">
        <f t="shared" si="27"/>
        <v/>
      </c>
    </row>
    <row r="396" spans="1:10" ht="24" customHeight="1">
      <c r="A396" s="242" t="s">
        <v>334</v>
      </c>
      <c r="B396" s="227">
        <v>45778</v>
      </c>
      <c r="C396" s="227">
        <v>46142</v>
      </c>
      <c r="D396" s="228" t="s">
        <v>12</v>
      </c>
      <c r="E396" s="228" t="s">
        <v>4</v>
      </c>
      <c r="F396" s="228" t="s">
        <v>324</v>
      </c>
      <c r="G396" s="209">
        <v>138.4</v>
      </c>
      <c r="H396" s="210">
        <v>1746.4</v>
      </c>
      <c r="I396" s="228" t="str">
        <f t="shared" si="26"/>
        <v>OK</v>
      </c>
      <c r="J396" s="250" t="str">
        <f t="shared" si="27"/>
        <v/>
      </c>
    </row>
    <row r="397" spans="1:10" ht="24" customHeight="1">
      <c r="A397" s="242" t="s">
        <v>334</v>
      </c>
      <c r="B397" s="227">
        <v>45778</v>
      </c>
      <c r="C397" s="227">
        <v>46142</v>
      </c>
      <c r="D397" s="228" t="s">
        <v>12</v>
      </c>
      <c r="E397" s="228" t="s">
        <v>4</v>
      </c>
      <c r="F397" s="228" t="s">
        <v>324</v>
      </c>
      <c r="G397" s="209">
        <v>129.75</v>
      </c>
      <c r="H397" s="210">
        <v>1637.25</v>
      </c>
      <c r="I397" s="228" t="str">
        <f t="shared" si="26"/>
        <v>OK</v>
      </c>
      <c r="J397" s="250" t="str">
        <f t="shared" si="27"/>
        <v/>
      </c>
    </row>
    <row r="398" spans="1:10" ht="24" customHeight="1">
      <c r="A398" s="242" t="s">
        <v>334</v>
      </c>
      <c r="B398" s="227">
        <v>45778</v>
      </c>
      <c r="C398" s="227">
        <v>46142</v>
      </c>
      <c r="D398" s="228" t="s">
        <v>12</v>
      </c>
      <c r="E398" s="228" t="s">
        <v>4</v>
      </c>
      <c r="F398" s="228" t="s">
        <v>324</v>
      </c>
      <c r="G398" s="209">
        <v>108.13</v>
      </c>
      <c r="H398" s="210">
        <v>1364.38</v>
      </c>
      <c r="I398" s="228" t="str">
        <f t="shared" si="26"/>
        <v>OK</v>
      </c>
      <c r="J398" s="250" t="str">
        <f t="shared" si="27"/>
        <v/>
      </c>
    </row>
    <row r="399" spans="1:10" ht="24" customHeight="1">
      <c r="A399" s="242" t="s">
        <v>334</v>
      </c>
      <c r="B399" s="227">
        <v>45778</v>
      </c>
      <c r="C399" s="227">
        <v>46142</v>
      </c>
      <c r="D399" s="228" t="s">
        <v>12</v>
      </c>
      <c r="E399" s="228" t="s">
        <v>4</v>
      </c>
      <c r="F399" s="228" t="s">
        <v>324</v>
      </c>
      <c r="G399" s="209">
        <v>103.8</v>
      </c>
      <c r="H399" s="210">
        <v>1309.8</v>
      </c>
      <c r="I399" s="228" t="str">
        <f t="shared" si="26"/>
        <v>OK</v>
      </c>
      <c r="J399" s="250" t="str">
        <f t="shared" si="27"/>
        <v/>
      </c>
    </row>
    <row r="400" spans="1:10" ht="24" customHeight="1">
      <c r="A400" s="242" t="s">
        <v>334</v>
      </c>
      <c r="B400" s="227">
        <v>45778</v>
      </c>
      <c r="C400" s="227">
        <v>46142</v>
      </c>
      <c r="D400" s="228" t="s">
        <v>12</v>
      </c>
      <c r="E400" s="228" t="s">
        <v>4</v>
      </c>
      <c r="F400" s="228" t="s">
        <v>324</v>
      </c>
      <c r="G400" s="209">
        <v>86.5</v>
      </c>
      <c r="H400" s="210">
        <v>1091.5</v>
      </c>
      <c r="I400" s="228" t="str">
        <f t="shared" si="26"/>
        <v>OK</v>
      </c>
      <c r="J400" s="250" t="str">
        <f t="shared" si="27"/>
        <v/>
      </c>
    </row>
    <row r="401" spans="1:10" ht="24" customHeight="1">
      <c r="A401" s="242" t="s">
        <v>334</v>
      </c>
      <c r="B401" s="227">
        <v>45778</v>
      </c>
      <c r="C401" s="227">
        <v>46142</v>
      </c>
      <c r="D401" s="228" t="s">
        <v>12</v>
      </c>
      <c r="E401" s="228" t="s">
        <v>4</v>
      </c>
      <c r="F401" s="228" t="s">
        <v>324</v>
      </c>
      <c r="G401" s="209">
        <v>69.2</v>
      </c>
      <c r="H401" s="210">
        <v>873.2</v>
      </c>
      <c r="I401" s="228" t="str">
        <f t="shared" si="26"/>
        <v>OK</v>
      </c>
      <c r="J401" s="250" t="str">
        <f t="shared" si="27"/>
        <v/>
      </c>
    </row>
    <row r="402" spans="1:10" ht="24" customHeight="1">
      <c r="A402" s="242" t="s">
        <v>334</v>
      </c>
      <c r="B402" s="227">
        <v>45778</v>
      </c>
      <c r="C402" s="227">
        <v>46142</v>
      </c>
      <c r="D402" s="228" t="s">
        <v>12</v>
      </c>
      <c r="E402" s="228" t="s">
        <v>4</v>
      </c>
      <c r="F402" s="228" t="s">
        <v>324</v>
      </c>
      <c r="G402" s="209">
        <v>51.9</v>
      </c>
      <c r="H402" s="210">
        <v>654.9</v>
      </c>
      <c r="I402" s="228" t="str">
        <f t="shared" si="26"/>
        <v>OK</v>
      </c>
      <c r="J402" s="250" t="str">
        <f t="shared" si="27"/>
        <v/>
      </c>
    </row>
    <row r="403" spans="1:10" ht="24" customHeight="1">
      <c r="A403" s="242" t="s">
        <v>334</v>
      </c>
      <c r="B403" s="227">
        <v>45778</v>
      </c>
      <c r="C403" s="227">
        <v>46142</v>
      </c>
      <c r="D403" s="228" t="s">
        <v>12</v>
      </c>
      <c r="E403" s="228" t="s">
        <v>4</v>
      </c>
      <c r="F403" s="228" t="s">
        <v>324</v>
      </c>
      <c r="G403" s="209">
        <v>47.58</v>
      </c>
      <c r="H403" s="210">
        <v>600.33000000000004</v>
      </c>
      <c r="I403" s="228" t="str">
        <f t="shared" si="26"/>
        <v>OK</v>
      </c>
      <c r="J403" s="250" t="str">
        <f t="shared" si="27"/>
        <v/>
      </c>
    </row>
    <row r="404" spans="1:10" ht="24" customHeight="1">
      <c r="A404" s="242" t="s">
        <v>334</v>
      </c>
      <c r="B404" s="227">
        <v>45778</v>
      </c>
      <c r="C404" s="227">
        <v>46142</v>
      </c>
      <c r="D404" s="228" t="s">
        <v>12</v>
      </c>
      <c r="E404" s="228" t="s">
        <v>4</v>
      </c>
      <c r="F404" s="228" t="s">
        <v>324</v>
      </c>
      <c r="G404" s="209">
        <v>43.25</v>
      </c>
      <c r="H404" s="210">
        <v>545.75</v>
      </c>
      <c r="I404" s="228" t="str">
        <f t="shared" si="26"/>
        <v>OK</v>
      </c>
      <c r="J404" s="250" t="str">
        <f t="shared" si="27"/>
        <v/>
      </c>
    </row>
    <row r="405" spans="1:10" ht="24" customHeight="1">
      <c r="A405" s="242" t="s">
        <v>334</v>
      </c>
      <c r="B405" s="227">
        <v>45778</v>
      </c>
      <c r="C405" s="227">
        <v>46142</v>
      </c>
      <c r="D405" s="228" t="s">
        <v>12</v>
      </c>
      <c r="E405" s="228" t="s">
        <v>4</v>
      </c>
      <c r="F405" s="228" t="s">
        <v>324</v>
      </c>
      <c r="G405" s="209">
        <v>34.6</v>
      </c>
      <c r="H405" s="210">
        <v>436.6</v>
      </c>
      <c r="I405" s="228" t="str">
        <f t="shared" si="26"/>
        <v>OK</v>
      </c>
      <c r="J405" s="250" t="str">
        <f t="shared" si="27"/>
        <v/>
      </c>
    </row>
    <row r="406" spans="1:10" ht="24" customHeight="1" thickBot="1">
      <c r="A406" s="242" t="s">
        <v>334</v>
      </c>
      <c r="B406" s="227">
        <v>45778</v>
      </c>
      <c r="C406" s="227">
        <v>46142</v>
      </c>
      <c r="D406" s="228" t="s">
        <v>12</v>
      </c>
      <c r="E406" s="228" t="s">
        <v>4</v>
      </c>
      <c r="F406" s="228" t="s">
        <v>324</v>
      </c>
      <c r="G406" s="209">
        <v>32.01</v>
      </c>
      <c r="H406" s="210">
        <v>403.86</v>
      </c>
      <c r="I406" s="228" t="str">
        <f t="shared" si="26"/>
        <v>OK</v>
      </c>
      <c r="J406" s="250" t="str">
        <f t="shared" si="27"/>
        <v/>
      </c>
    </row>
    <row r="407" spans="1:10" ht="24" customHeight="1">
      <c r="A407" s="244" t="s">
        <v>334</v>
      </c>
      <c r="B407" s="231">
        <v>45778</v>
      </c>
      <c r="C407" s="231">
        <v>46142</v>
      </c>
      <c r="D407" s="232" t="s">
        <v>332</v>
      </c>
      <c r="E407" s="232" t="s">
        <v>13</v>
      </c>
      <c r="F407" s="232" t="s">
        <v>321</v>
      </c>
      <c r="G407" s="213">
        <v>173</v>
      </c>
      <c r="H407" s="214">
        <v>2160</v>
      </c>
      <c r="I407" s="232" t="str">
        <f t="shared" si="26"/>
        <v>OK</v>
      </c>
      <c r="J407" s="252" t="str">
        <f t="shared" si="27"/>
        <v/>
      </c>
    </row>
    <row r="408" spans="1:10" ht="24" customHeight="1">
      <c r="A408" s="245" t="s">
        <v>334</v>
      </c>
      <c r="B408" s="233">
        <v>45778</v>
      </c>
      <c r="C408" s="233">
        <v>46142</v>
      </c>
      <c r="D408" s="234" t="s">
        <v>332</v>
      </c>
      <c r="E408" s="234" t="s">
        <v>13</v>
      </c>
      <c r="F408" s="234" t="s">
        <v>321</v>
      </c>
      <c r="G408" s="215">
        <v>151.38</v>
      </c>
      <c r="H408" s="216">
        <v>1890</v>
      </c>
      <c r="I408" s="234" t="str">
        <f t="shared" si="26"/>
        <v>OK</v>
      </c>
      <c r="J408" s="253" t="str">
        <f t="shared" si="27"/>
        <v/>
      </c>
    </row>
    <row r="409" spans="1:10" ht="24" customHeight="1">
      <c r="A409" s="245" t="s">
        <v>334</v>
      </c>
      <c r="B409" s="233">
        <v>45778</v>
      </c>
      <c r="C409" s="233">
        <v>46142</v>
      </c>
      <c r="D409" s="234" t="s">
        <v>332</v>
      </c>
      <c r="E409" s="234" t="s">
        <v>13</v>
      </c>
      <c r="F409" s="234" t="s">
        <v>321</v>
      </c>
      <c r="G409" s="215">
        <v>138.4</v>
      </c>
      <c r="H409" s="216">
        <v>1728</v>
      </c>
      <c r="I409" s="234" t="str">
        <f t="shared" si="26"/>
        <v>OK</v>
      </c>
      <c r="J409" s="253" t="str">
        <f t="shared" si="27"/>
        <v/>
      </c>
    </row>
    <row r="410" spans="1:10" ht="24" customHeight="1">
      <c r="A410" s="245" t="s">
        <v>334</v>
      </c>
      <c r="B410" s="233">
        <v>45778</v>
      </c>
      <c r="C410" s="233">
        <v>46142</v>
      </c>
      <c r="D410" s="234" t="s">
        <v>332</v>
      </c>
      <c r="E410" s="234" t="s">
        <v>13</v>
      </c>
      <c r="F410" s="234" t="s">
        <v>321</v>
      </c>
      <c r="G410" s="215">
        <v>129.75</v>
      </c>
      <c r="H410" s="216">
        <v>1620</v>
      </c>
      <c r="I410" s="234" t="str">
        <f t="shared" si="26"/>
        <v>OK</v>
      </c>
      <c r="J410" s="253" t="str">
        <f t="shared" si="27"/>
        <v/>
      </c>
    </row>
    <row r="411" spans="1:10" ht="24" customHeight="1">
      <c r="A411" s="245" t="s">
        <v>334</v>
      </c>
      <c r="B411" s="233">
        <v>45778</v>
      </c>
      <c r="C411" s="233">
        <v>46142</v>
      </c>
      <c r="D411" s="234" t="s">
        <v>332</v>
      </c>
      <c r="E411" s="234" t="s">
        <v>13</v>
      </c>
      <c r="F411" s="234" t="s">
        <v>321</v>
      </c>
      <c r="G411" s="215">
        <v>108.13</v>
      </c>
      <c r="H411" s="216">
        <v>1350</v>
      </c>
      <c r="I411" s="234" t="str">
        <f t="shared" si="26"/>
        <v>OK</v>
      </c>
      <c r="J411" s="253" t="str">
        <f t="shared" si="27"/>
        <v/>
      </c>
    </row>
    <row r="412" spans="1:10" ht="24" customHeight="1">
      <c r="A412" s="245" t="s">
        <v>334</v>
      </c>
      <c r="B412" s="233">
        <v>45778</v>
      </c>
      <c r="C412" s="233">
        <v>46142</v>
      </c>
      <c r="D412" s="234" t="s">
        <v>332</v>
      </c>
      <c r="E412" s="234" t="s">
        <v>13</v>
      </c>
      <c r="F412" s="234" t="s">
        <v>321</v>
      </c>
      <c r="G412" s="215">
        <v>103.8</v>
      </c>
      <c r="H412" s="216">
        <v>1296</v>
      </c>
      <c r="I412" s="234" t="str">
        <f t="shared" si="26"/>
        <v>OK</v>
      </c>
      <c r="J412" s="253" t="str">
        <f t="shared" si="27"/>
        <v/>
      </c>
    </row>
    <row r="413" spans="1:10" ht="24" customHeight="1">
      <c r="A413" s="245" t="s">
        <v>334</v>
      </c>
      <c r="B413" s="233">
        <v>45778</v>
      </c>
      <c r="C413" s="233">
        <v>46142</v>
      </c>
      <c r="D413" s="234" t="s">
        <v>332</v>
      </c>
      <c r="E413" s="234" t="s">
        <v>13</v>
      </c>
      <c r="F413" s="234" t="s">
        <v>321</v>
      </c>
      <c r="G413" s="215">
        <v>86.5</v>
      </c>
      <c r="H413" s="216">
        <v>1080</v>
      </c>
      <c r="I413" s="234" t="str">
        <f t="shared" si="26"/>
        <v>OK</v>
      </c>
      <c r="J413" s="253" t="str">
        <f t="shared" si="27"/>
        <v/>
      </c>
    </row>
    <row r="414" spans="1:10" ht="24" customHeight="1">
      <c r="A414" s="245" t="s">
        <v>334</v>
      </c>
      <c r="B414" s="233">
        <v>45778</v>
      </c>
      <c r="C414" s="233">
        <v>46142</v>
      </c>
      <c r="D414" s="234" t="s">
        <v>332</v>
      </c>
      <c r="E414" s="234" t="s">
        <v>13</v>
      </c>
      <c r="F414" s="234" t="s">
        <v>321</v>
      </c>
      <c r="G414" s="215">
        <v>69.2</v>
      </c>
      <c r="H414" s="216">
        <v>864</v>
      </c>
      <c r="I414" s="234" t="str">
        <f t="shared" si="26"/>
        <v>OK</v>
      </c>
      <c r="J414" s="253" t="str">
        <f t="shared" si="27"/>
        <v/>
      </c>
    </row>
    <row r="415" spans="1:10" ht="24" customHeight="1">
      <c r="A415" s="245" t="s">
        <v>334</v>
      </c>
      <c r="B415" s="233">
        <v>45778</v>
      </c>
      <c r="C415" s="233">
        <v>46142</v>
      </c>
      <c r="D415" s="234" t="s">
        <v>332</v>
      </c>
      <c r="E415" s="234" t="s">
        <v>13</v>
      </c>
      <c r="F415" s="234" t="s">
        <v>321</v>
      </c>
      <c r="G415" s="215">
        <v>51.9</v>
      </c>
      <c r="H415" s="216">
        <v>648</v>
      </c>
      <c r="I415" s="234" t="str">
        <f t="shared" si="26"/>
        <v>OK</v>
      </c>
      <c r="J415" s="253" t="str">
        <f t="shared" si="27"/>
        <v/>
      </c>
    </row>
    <row r="416" spans="1:10" ht="24" customHeight="1">
      <c r="A416" s="245" t="s">
        <v>334</v>
      </c>
      <c r="B416" s="233">
        <v>45778</v>
      </c>
      <c r="C416" s="233">
        <v>46142</v>
      </c>
      <c r="D416" s="234" t="s">
        <v>332</v>
      </c>
      <c r="E416" s="234" t="s">
        <v>13</v>
      </c>
      <c r="F416" s="234" t="s">
        <v>321</v>
      </c>
      <c r="G416" s="215">
        <v>47.58</v>
      </c>
      <c r="H416" s="216">
        <v>594</v>
      </c>
      <c r="I416" s="234" t="str">
        <f t="shared" si="26"/>
        <v>OK</v>
      </c>
      <c r="J416" s="253" t="str">
        <f t="shared" si="27"/>
        <v/>
      </c>
    </row>
    <row r="417" spans="1:10" ht="24" customHeight="1">
      <c r="A417" s="245" t="s">
        <v>334</v>
      </c>
      <c r="B417" s="233">
        <v>45778</v>
      </c>
      <c r="C417" s="233">
        <v>46142</v>
      </c>
      <c r="D417" s="234" t="s">
        <v>332</v>
      </c>
      <c r="E417" s="234" t="s">
        <v>13</v>
      </c>
      <c r="F417" s="234" t="s">
        <v>321</v>
      </c>
      <c r="G417" s="215">
        <v>43.25</v>
      </c>
      <c r="H417" s="216">
        <v>540</v>
      </c>
      <c r="I417" s="234" t="str">
        <f t="shared" si="26"/>
        <v>OK</v>
      </c>
      <c r="J417" s="253" t="str">
        <f t="shared" si="27"/>
        <v/>
      </c>
    </row>
    <row r="418" spans="1:10" ht="24" customHeight="1">
      <c r="A418" s="245" t="s">
        <v>334</v>
      </c>
      <c r="B418" s="233">
        <v>45778</v>
      </c>
      <c r="C418" s="233">
        <v>46142</v>
      </c>
      <c r="D418" s="234" t="s">
        <v>332</v>
      </c>
      <c r="E418" s="234" t="s">
        <v>13</v>
      </c>
      <c r="F418" s="234" t="s">
        <v>321</v>
      </c>
      <c r="G418" s="215">
        <v>34.6</v>
      </c>
      <c r="H418" s="216">
        <v>432</v>
      </c>
      <c r="I418" s="234" t="str">
        <f t="shared" si="26"/>
        <v>OK</v>
      </c>
      <c r="J418" s="253" t="str">
        <f t="shared" si="27"/>
        <v/>
      </c>
    </row>
    <row r="419" spans="1:10" ht="24" customHeight="1" thickBot="1">
      <c r="A419" s="245" t="s">
        <v>334</v>
      </c>
      <c r="B419" s="233">
        <v>45778</v>
      </c>
      <c r="C419" s="233">
        <v>46142</v>
      </c>
      <c r="D419" s="234" t="s">
        <v>332</v>
      </c>
      <c r="E419" s="234" t="s">
        <v>13</v>
      </c>
      <c r="F419" s="234" t="s">
        <v>321</v>
      </c>
      <c r="G419" s="215">
        <v>32.01</v>
      </c>
      <c r="H419" s="216">
        <v>399.6</v>
      </c>
      <c r="I419" s="234" t="str">
        <f t="shared" ref="I419:I450" si="28">IF($A419="","",IF(OR($B419="",$C419="",$D419="",$E419="",$F419=""),"Stammdaten fehlen",IF(AND($G419="",$H419=""),"Werte fehlen",IF($G419="","Monatsstunden fehlen",IF($H419="","Monatslohn fehlt","OK")))))</f>
        <v>OK</v>
      </c>
      <c r="J419" s="253" t="str">
        <f t="shared" ref="J419:J450" si="29">IF($G419="","",IF(COUNTIFS($A:$A,$A419,$D:$D,$D419,$G:$G,$G419)&gt;1,"Doppelte Monatsstunden",""))</f>
        <v/>
      </c>
    </row>
    <row r="420" spans="1:10" ht="24" customHeight="1">
      <c r="A420" s="244" t="s">
        <v>334</v>
      </c>
      <c r="B420" s="231">
        <v>45778</v>
      </c>
      <c r="C420" s="231">
        <v>46142</v>
      </c>
      <c r="D420" s="232" t="s">
        <v>15</v>
      </c>
      <c r="E420" s="232" t="s">
        <v>13</v>
      </c>
      <c r="F420" s="232" t="s">
        <v>322</v>
      </c>
      <c r="G420" s="213">
        <v>173</v>
      </c>
      <c r="H420" s="214">
        <v>2160</v>
      </c>
      <c r="I420" s="232" t="str">
        <f t="shared" si="28"/>
        <v>OK</v>
      </c>
      <c r="J420" s="252" t="str">
        <f t="shared" si="29"/>
        <v/>
      </c>
    </row>
    <row r="421" spans="1:10" ht="24" customHeight="1">
      <c r="A421" s="245" t="s">
        <v>334</v>
      </c>
      <c r="B421" s="233">
        <v>45778</v>
      </c>
      <c r="C421" s="233">
        <v>46142</v>
      </c>
      <c r="D421" s="234" t="s">
        <v>15</v>
      </c>
      <c r="E421" s="234" t="s">
        <v>13</v>
      </c>
      <c r="F421" s="234" t="s">
        <v>322</v>
      </c>
      <c r="G421" s="215">
        <v>151.38</v>
      </c>
      <c r="H421" s="216">
        <v>1890</v>
      </c>
      <c r="I421" s="234" t="str">
        <f t="shared" si="28"/>
        <v>OK</v>
      </c>
      <c r="J421" s="253" t="str">
        <f t="shared" si="29"/>
        <v/>
      </c>
    </row>
    <row r="422" spans="1:10" ht="24" customHeight="1">
      <c r="A422" s="245" t="s">
        <v>334</v>
      </c>
      <c r="B422" s="233">
        <v>45778</v>
      </c>
      <c r="C422" s="233">
        <v>46142</v>
      </c>
      <c r="D422" s="234" t="s">
        <v>15</v>
      </c>
      <c r="E422" s="234" t="s">
        <v>13</v>
      </c>
      <c r="F422" s="234" t="s">
        <v>322</v>
      </c>
      <c r="G422" s="215">
        <v>138.4</v>
      </c>
      <c r="H422" s="216">
        <v>1728</v>
      </c>
      <c r="I422" s="234" t="str">
        <f t="shared" si="28"/>
        <v>OK</v>
      </c>
      <c r="J422" s="253" t="str">
        <f t="shared" si="29"/>
        <v/>
      </c>
    </row>
    <row r="423" spans="1:10" ht="24" customHeight="1">
      <c r="A423" s="245" t="s">
        <v>334</v>
      </c>
      <c r="B423" s="233">
        <v>45778</v>
      </c>
      <c r="C423" s="233">
        <v>46142</v>
      </c>
      <c r="D423" s="234" t="s">
        <v>15</v>
      </c>
      <c r="E423" s="234" t="s">
        <v>13</v>
      </c>
      <c r="F423" s="234" t="s">
        <v>322</v>
      </c>
      <c r="G423" s="215">
        <v>129.75</v>
      </c>
      <c r="H423" s="216">
        <v>1620</v>
      </c>
      <c r="I423" s="234" t="str">
        <f t="shared" si="28"/>
        <v>OK</v>
      </c>
      <c r="J423" s="253" t="str">
        <f t="shared" si="29"/>
        <v/>
      </c>
    </row>
    <row r="424" spans="1:10" ht="24" customHeight="1">
      <c r="A424" s="245" t="s">
        <v>334</v>
      </c>
      <c r="B424" s="233">
        <v>45778</v>
      </c>
      <c r="C424" s="233">
        <v>46142</v>
      </c>
      <c r="D424" s="234" t="s">
        <v>15</v>
      </c>
      <c r="E424" s="234" t="s">
        <v>13</v>
      </c>
      <c r="F424" s="234" t="s">
        <v>322</v>
      </c>
      <c r="G424" s="215">
        <v>108.13</v>
      </c>
      <c r="H424" s="216">
        <v>1350</v>
      </c>
      <c r="I424" s="234" t="str">
        <f t="shared" si="28"/>
        <v>OK</v>
      </c>
      <c r="J424" s="253" t="str">
        <f t="shared" si="29"/>
        <v/>
      </c>
    </row>
    <row r="425" spans="1:10" ht="24" customHeight="1">
      <c r="A425" s="245" t="s">
        <v>334</v>
      </c>
      <c r="B425" s="233">
        <v>45778</v>
      </c>
      <c r="C425" s="233">
        <v>46142</v>
      </c>
      <c r="D425" s="234" t="s">
        <v>15</v>
      </c>
      <c r="E425" s="234" t="s">
        <v>13</v>
      </c>
      <c r="F425" s="234" t="s">
        <v>322</v>
      </c>
      <c r="G425" s="215">
        <v>103.8</v>
      </c>
      <c r="H425" s="216">
        <v>1296</v>
      </c>
      <c r="I425" s="234" t="str">
        <f t="shared" si="28"/>
        <v>OK</v>
      </c>
      <c r="J425" s="253" t="str">
        <f t="shared" si="29"/>
        <v/>
      </c>
    </row>
    <row r="426" spans="1:10" ht="24" customHeight="1">
      <c r="A426" s="245" t="s">
        <v>334</v>
      </c>
      <c r="B426" s="233">
        <v>45778</v>
      </c>
      <c r="C426" s="233">
        <v>46142</v>
      </c>
      <c r="D426" s="234" t="s">
        <v>15</v>
      </c>
      <c r="E426" s="234" t="s">
        <v>13</v>
      </c>
      <c r="F426" s="234" t="s">
        <v>322</v>
      </c>
      <c r="G426" s="215">
        <v>86.5</v>
      </c>
      <c r="H426" s="216">
        <v>1080</v>
      </c>
      <c r="I426" s="234" t="str">
        <f t="shared" si="28"/>
        <v>OK</v>
      </c>
      <c r="J426" s="253" t="str">
        <f t="shared" si="29"/>
        <v/>
      </c>
    </row>
    <row r="427" spans="1:10" ht="24" customHeight="1">
      <c r="A427" s="245" t="s">
        <v>334</v>
      </c>
      <c r="B427" s="233">
        <v>45778</v>
      </c>
      <c r="C427" s="233">
        <v>46142</v>
      </c>
      <c r="D427" s="234" t="s">
        <v>15</v>
      </c>
      <c r="E427" s="234" t="s">
        <v>13</v>
      </c>
      <c r="F427" s="234" t="s">
        <v>322</v>
      </c>
      <c r="G427" s="215">
        <v>69.2</v>
      </c>
      <c r="H427" s="216">
        <v>864</v>
      </c>
      <c r="I427" s="234" t="str">
        <f t="shared" si="28"/>
        <v>OK</v>
      </c>
      <c r="J427" s="253" t="str">
        <f t="shared" si="29"/>
        <v/>
      </c>
    </row>
    <row r="428" spans="1:10" ht="24" customHeight="1">
      <c r="A428" s="245" t="s">
        <v>334</v>
      </c>
      <c r="B428" s="233">
        <v>45778</v>
      </c>
      <c r="C428" s="233">
        <v>46142</v>
      </c>
      <c r="D428" s="234" t="s">
        <v>15</v>
      </c>
      <c r="E428" s="234" t="s">
        <v>13</v>
      </c>
      <c r="F428" s="234" t="s">
        <v>322</v>
      </c>
      <c r="G428" s="215">
        <v>51.9</v>
      </c>
      <c r="H428" s="216">
        <v>648</v>
      </c>
      <c r="I428" s="234" t="str">
        <f t="shared" si="28"/>
        <v>OK</v>
      </c>
      <c r="J428" s="253" t="str">
        <f t="shared" si="29"/>
        <v/>
      </c>
    </row>
    <row r="429" spans="1:10" ht="24" customHeight="1">
      <c r="A429" s="245" t="s">
        <v>334</v>
      </c>
      <c r="B429" s="233">
        <v>45778</v>
      </c>
      <c r="C429" s="233">
        <v>46142</v>
      </c>
      <c r="D429" s="234" t="s">
        <v>15</v>
      </c>
      <c r="E429" s="234" t="s">
        <v>13</v>
      </c>
      <c r="F429" s="234" t="s">
        <v>322</v>
      </c>
      <c r="G429" s="215">
        <v>47.58</v>
      </c>
      <c r="H429" s="216">
        <v>594</v>
      </c>
      <c r="I429" s="234" t="str">
        <f t="shared" si="28"/>
        <v>OK</v>
      </c>
      <c r="J429" s="253" t="str">
        <f t="shared" si="29"/>
        <v/>
      </c>
    </row>
    <row r="430" spans="1:10" ht="24" customHeight="1">
      <c r="A430" s="245" t="s">
        <v>334</v>
      </c>
      <c r="B430" s="233">
        <v>45778</v>
      </c>
      <c r="C430" s="233">
        <v>46142</v>
      </c>
      <c r="D430" s="234" t="s">
        <v>15</v>
      </c>
      <c r="E430" s="234" t="s">
        <v>13</v>
      </c>
      <c r="F430" s="234" t="s">
        <v>322</v>
      </c>
      <c r="G430" s="215">
        <v>43.25</v>
      </c>
      <c r="H430" s="216">
        <v>540</v>
      </c>
      <c r="I430" s="234" t="str">
        <f t="shared" si="28"/>
        <v>OK</v>
      </c>
      <c r="J430" s="253" t="str">
        <f t="shared" si="29"/>
        <v/>
      </c>
    </row>
    <row r="431" spans="1:10" ht="24" customHeight="1">
      <c r="A431" s="245" t="s">
        <v>334</v>
      </c>
      <c r="B431" s="233">
        <v>45778</v>
      </c>
      <c r="C431" s="233">
        <v>46142</v>
      </c>
      <c r="D431" s="234" t="s">
        <v>15</v>
      </c>
      <c r="E431" s="234" t="s">
        <v>13</v>
      </c>
      <c r="F431" s="234" t="s">
        <v>322</v>
      </c>
      <c r="G431" s="215">
        <v>34.6</v>
      </c>
      <c r="H431" s="216">
        <v>432</v>
      </c>
      <c r="I431" s="234" t="str">
        <f t="shared" si="28"/>
        <v>OK</v>
      </c>
      <c r="J431" s="253" t="str">
        <f t="shared" si="29"/>
        <v/>
      </c>
    </row>
    <row r="432" spans="1:10" ht="24" customHeight="1" thickBot="1">
      <c r="A432" s="245" t="s">
        <v>334</v>
      </c>
      <c r="B432" s="233">
        <v>45778</v>
      </c>
      <c r="C432" s="233">
        <v>46142</v>
      </c>
      <c r="D432" s="234" t="s">
        <v>15</v>
      </c>
      <c r="E432" s="234" t="s">
        <v>13</v>
      </c>
      <c r="F432" s="234" t="s">
        <v>322</v>
      </c>
      <c r="G432" s="215">
        <v>32.01</v>
      </c>
      <c r="H432" s="216">
        <v>399.6</v>
      </c>
      <c r="I432" s="234" t="str">
        <f t="shared" si="28"/>
        <v>OK</v>
      </c>
      <c r="J432" s="253" t="str">
        <f t="shared" si="29"/>
        <v/>
      </c>
    </row>
    <row r="433" spans="1:10" ht="24" customHeight="1">
      <c r="A433" s="244" t="s">
        <v>334</v>
      </c>
      <c r="B433" s="231">
        <v>45778</v>
      </c>
      <c r="C433" s="231">
        <v>46142</v>
      </c>
      <c r="D433" s="232" t="s">
        <v>17</v>
      </c>
      <c r="E433" s="232" t="s">
        <v>13</v>
      </c>
      <c r="F433" s="232" t="s">
        <v>323</v>
      </c>
      <c r="G433" s="213">
        <v>173</v>
      </c>
      <c r="H433" s="214">
        <v>2163</v>
      </c>
      <c r="I433" s="232" t="str">
        <f t="shared" si="28"/>
        <v>OK</v>
      </c>
      <c r="J433" s="252" t="str">
        <f t="shared" si="29"/>
        <v/>
      </c>
    </row>
    <row r="434" spans="1:10" ht="24" customHeight="1">
      <c r="A434" s="245" t="s">
        <v>334</v>
      </c>
      <c r="B434" s="233">
        <v>45778</v>
      </c>
      <c r="C434" s="233">
        <v>46142</v>
      </c>
      <c r="D434" s="234" t="s">
        <v>17</v>
      </c>
      <c r="E434" s="234" t="s">
        <v>13</v>
      </c>
      <c r="F434" s="234" t="s">
        <v>323</v>
      </c>
      <c r="G434" s="215">
        <v>151.38</v>
      </c>
      <c r="H434" s="216">
        <v>1892.63</v>
      </c>
      <c r="I434" s="234" t="str">
        <f t="shared" si="28"/>
        <v>OK</v>
      </c>
      <c r="J434" s="253" t="str">
        <f t="shared" si="29"/>
        <v/>
      </c>
    </row>
    <row r="435" spans="1:10" ht="24" customHeight="1">
      <c r="A435" s="245" t="s">
        <v>334</v>
      </c>
      <c r="B435" s="233">
        <v>45778</v>
      </c>
      <c r="C435" s="233">
        <v>46142</v>
      </c>
      <c r="D435" s="234" t="s">
        <v>17</v>
      </c>
      <c r="E435" s="234" t="s">
        <v>13</v>
      </c>
      <c r="F435" s="234" t="s">
        <v>323</v>
      </c>
      <c r="G435" s="215">
        <v>138.4</v>
      </c>
      <c r="H435" s="216">
        <v>1730.4</v>
      </c>
      <c r="I435" s="234" t="str">
        <f t="shared" si="28"/>
        <v>OK</v>
      </c>
      <c r="J435" s="253" t="str">
        <f t="shared" si="29"/>
        <v/>
      </c>
    </row>
    <row r="436" spans="1:10" ht="24" customHeight="1">
      <c r="A436" s="245" t="s">
        <v>334</v>
      </c>
      <c r="B436" s="233">
        <v>45778</v>
      </c>
      <c r="C436" s="233">
        <v>46142</v>
      </c>
      <c r="D436" s="234" t="s">
        <v>17</v>
      </c>
      <c r="E436" s="234" t="s">
        <v>13</v>
      </c>
      <c r="F436" s="234" t="s">
        <v>323</v>
      </c>
      <c r="G436" s="215">
        <v>129.75</v>
      </c>
      <c r="H436" s="216">
        <v>1622.25</v>
      </c>
      <c r="I436" s="234" t="str">
        <f t="shared" si="28"/>
        <v>OK</v>
      </c>
      <c r="J436" s="253" t="str">
        <f t="shared" si="29"/>
        <v/>
      </c>
    </row>
    <row r="437" spans="1:10" ht="24" customHeight="1">
      <c r="A437" s="245" t="s">
        <v>334</v>
      </c>
      <c r="B437" s="233">
        <v>45778</v>
      </c>
      <c r="C437" s="233">
        <v>46142</v>
      </c>
      <c r="D437" s="234" t="s">
        <v>17</v>
      </c>
      <c r="E437" s="234" t="s">
        <v>13</v>
      </c>
      <c r="F437" s="234" t="s">
        <v>323</v>
      </c>
      <c r="G437" s="215">
        <v>108.13</v>
      </c>
      <c r="H437" s="216">
        <v>1351.88</v>
      </c>
      <c r="I437" s="234" t="str">
        <f t="shared" si="28"/>
        <v>OK</v>
      </c>
      <c r="J437" s="253" t="str">
        <f t="shared" si="29"/>
        <v/>
      </c>
    </row>
    <row r="438" spans="1:10" ht="24" customHeight="1">
      <c r="A438" s="245" t="s">
        <v>334</v>
      </c>
      <c r="B438" s="233">
        <v>45778</v>
      </c>
      <c r="C438" s="233">
        <v>46142</v>
      </c>
      <c r="D438" s="234" t="s">
        <v>17</v>
      </c>
      <c r="E438" s="234" t="s">
        <v>13</v>
      </c>
      <c r="F438" s="234" t="s">
        <v>323</v>
      </c>
      <c r="G438" s="215">
        <v>103.8</v>
      </c>
      <c r="H438" s="216">
        <v>1297.8</v>
      </c>
      <c r="I438" s="234" t="str">
        <f t="shared" si="28"/>
        <v>OK</v>
      </c>
      <c r="J438" s="253" t="str">
        <f t="shared" si="29"/>
        <v/>
      </c>
    </row>
    <row r="439" spans="1:10" ht="24" customHeight="1">
      <c r="A439" s="245" t="s">
        <v>334</v>
      </c>
      <c r="B439" s="233">
        <v>45778</v>
      </c>
      <c r="C439" s="233">
        <v>46142</v>
      </c>
      <c r="D439" s="234" t="s">
        <v>17</v>
      </c>
      <c r="E439" s="234" t="s">
        <v>13</v>
      </c>
      <c r="F439" s="234" t="s">
        <v>323</v>
      </c>
      <c r="G439" s="215">
        <v>86.5</v>
      </c>
      <c r="H439" s="216">
        <v>1081.5</v>
      </c>
      <c r="I439" s="234" t="str">
        <f t="shared" si="28"/>
        <v>OK</v>
      </c>
      <c r="J439" s="253" t="str">
        <f t="shared" si="29"/>
        <v/>
      </c>
    </row>
    <row r="440" spans="1:10" ht="24" customHeight="1">
      <c r="A440" s="245" t="s">
        <v>334</v>
      </c>
      <c r="B440" s="233">
        <v>45778</v>
      </c>
      <c r="C440" s="233">
        <v>46142</v>
      </c>
      <c r="D440" s="234" t="s">
        <v>17</v>
      </c>
      <c r="E440" s="234" t="s">
        <v>13</v>
      </c>
      <c r="F440" s="234" t="s">
        <v>323</v>
      </c>
      <c r="G440" s="215">
        <v>69.2</v>
      </c>
      <c r="H440" s="216">
        <v>865.2</v>
      </c>
      <c r="I440" s="234" t="str">
        <f t="shared" si="28"/>
        <v>OK</v>
      </c>
      <c r="J440" s="253" t="str">
        <f t="shared" si="29"/>
        <v/>
      </c>
    </row>
    <row r="441" spans="1:10" ht="24" customHeight="1">
      <c r="A441" s="245" t="s">
        <v>334</v>
      </c>
      <c r="B441" s="233">
        <v>45778</v>
      </c>
      <c r="C441" s="233">
        <v>46142</v>
      </c>
      <c r="D441" s="234" t="s">
        <v>17</v>
      </c>
      <c r="E441" s="234" t="s">
        <v>13</v>
      </c>
      <c r="F441" s="234" t="s">
        <v>323</v>
      </c>
      <c r="G441" s="215">
        <v>51.9</v>
      </c>
      <c r="H441" s="216">
        <v>648.9</v>
      </c>
      <c r="I441" s="234" t="str">
        <f t="shared" si="28"/>
        <v>OK</v>
      </c>
      <c r="J441" s="253" t="str">
        <f t="shared" si="29"/>
        <v/>
      </c>
    </row>
    <row r="442" spans="1:10" ht="24" customHeight="1">
      <c r="A442" s="245" t="s">
        <v>334</v>
      </c>
      <c r="B442" s="233">
        <v>45778</v>
      </c>
      <c r="C442" s="233">
        <v>46142</v>
      </c>
      <c r="D442" s="234" t="s">
        <v>17</v>
      </c>
      <c r="E442" s="234" t="s">
        <v>13</v>
      </c>
      <c r="F442" s="234" t="s">
        <v>323</v>
      </c>
      <c r="G442" s="215">
        <v>47.58</v>
      </c>
      <c r="H442" s="216">
        <v>594.83000000000004</v>
      </c>
      <c r="I442" s="234" t="str">
        <f t="shared" si="28"/>
        <v>OK</v>
      </c>
      <c r="J442" s="253" t="str">
        <f t="shared" si="29"/>
        <v/>
      </c>
    </row>
    <row r="443" spans="1:10" ht="24" customHeight="1">
      <c r="A443" s="245" t="s">
        <v>334</v>
      </c>
      <c r="B443" s="233">
        <v>45778</v>
      </c>
      <c r="C443" s="233">
        <v>46142</v>
      </c>
      <c r="D443" s="234" t="s">
        <v>17</v>
      </c>
      <c r="E443" s="234" t="s">
        <v>13</v>
      </c>
      <c r="F443" s="234" t="s">
        <v>323</v>
      </c>
      <c r="G443" s="215">
        <v>43.25</v>
      </c>
      <c r="H443" s="216">
        <v>540.75</v>
      </c>
      <c r="I443" s="234" t="str">
        <f t="shared" si="28"/>
        <v>OK</v>
      </c>
      <c r="J443" s="253" t="str">
        <f t="shared" si="29"/>
        <v/>
      </c>
    </row>
    <row r="444" spans="1:10" ht="24" customHeight="1">
      <c r="A444" s="245" t="s">
        <v>334</v>
      </c>
      <c r="B444" s="233">
        <v>45778</v>
      </c>
      <c r="C444" s="233">
        <v>46142</v>
      </c>
      <c r="D444" s="234" t="s">
        <v>17</v>
      </c>
      <c r="E444" s="234" t="s">
        <v>13</v>
      </c>
      <c r="F444" s="234" t="s">
        <v>323</v>
      </c>
      <c r="G444" s="215">
        <v>34.6</v>
      </c>
      <c r="H444" s="216">
        <v>432.6</v>
      </c>
      <c r="I444" s="234" t="str">
        <f t="shared" si="28"/>
        <v>OK</v>
      </c>
      <c r="J444" s="253" t="str">
        <f t="shared" si="29"/>
        <v/>
      </c>
    </row>
    <row r="445" spans="1:10" ht="24" customHeight="1" thickBot="1">
      <c r="A445" s="245" t="s">
        <v>334</v>
      </c>
      <c r="B445" s="233">
        <v>45778</v>
      </c>
      <c r="C445" s="233">
        <v>46142</v>
      </c>
      <c r="D445" s="234" t="s">
        <v>17</v>
      </c>
      <c r="E445" s="234" t="s">
        <v>13</v>
      </c>
      <c r="F445" s="234" t="s">
        <v>323</v>
      </c>
      <c r="G445" s="215">
        <v>32.01</v>
      </c>
      <c r="H445" s="216">
        <v>400.16</v>
      </c>
      <c r="I445" s="234" t="str">
        <f t="shared" si="28"/>
        <v>OK</v>
      </c>
      <c r="J445" s="253" t="str">
        <f t="shared" si="29"/>
        <v/>
      </c>
    </row>
    <row r="446" spans="1:10" ht="24" customHeight="1">
      <c r="A446" s="244" t="s">
        <v>334</v>
      </c>
      <c r="B446" s="231">
        <v>45778</v>
      </c>
      <c r="C446" s="231">
        <v>46142</v>
      </c>
      <c r="D446" s="232" t="s">
        <v>19</v>
      </c>
      <c r="E446" s="232" t="s">
        <v>13</v>
      </c>
      <c r="F446" s="232" t="s">
        <v>324</v>
      </c>
      <c r="G446" s="213">
        <v>173</v>
      </c>
      <c r="H446" s="214">
        <v>2225</v>
      </c>
      <c r="I446" s="232" t="str">
        <f t="shared" si="28"/>
        <v>OK</v>
      </c>
      <c r="J446" s="252" t="str">
        <f t="shared" si="29"/>
        <v/>
      </c>
    </row>
    <row r="447" spans="1:10" ht="24" customHeight="1">
      <c r="A447" s="245" t="s">
        <v>334</v>
      </c>
      <c r="B447" s="233">
        <v>45778</v>
      </c>
      <c r="C447" s="233">
        <v>46142</v>
      </c>
      <c r="D447" s="234" t="s">
        <v>19</v>
      </c>
      <c r="E447" s="234" t="s">
        <v>13</v>
      </c>
      <c r="F447" s="234" t="s">
        <v>324</v>
      </c>
      <c r="G447" s="215">
        <v>151.38</v>
      </c>
      <c r="H447" s="216">
        <v>1946.88</v>
      </c>
      <c r="I447" s="234" t="str">
        <f t="shared" si="28"/>
        <v>OK</v>
      </c>
      <c r="J447" s="253" t="str">
        <f t="shared" si="29"/>
        <v/>
      </c>
    </row>
    <row r="448" spans="1:10" ht="24" customHeight="1">
      <c r="A448" s="245" t="s">
        <v>334</v>
      </c>
      <c r="B448" s="233">
        <v>45778</v>
      </c>
      <c r="C448" s="233">
        <v>46142</v>
      </c>
      <c r="D448" s="234" t="s">
        <v>19</v>
      </c>
      <c r="E448" s="234" t="s">
        <v>13</v>
      </c>
      <c r="F448" s="234" t="s">
        <v>324</v>
      </c>
      <c r="G448" s="215">
        <v>138.4</v>
      </c>
      <c r="H448" s="216">
        <v>1780</v>
      </c>
      <c r="I448" s="234" t="str">
        <f t="shared" si="28"/>
        <v>OK</v>
      </c>
      <c r="J448" s="253" t="str">
        <f t="shared" si="29"/>
        <v/>
      </c>
    </row>
    <row r="449" spans="1:10" ht="24" customHeight="1">
      <c r="A449" s="245" t="s">
        <v>334</v>
      </c>
      <c r="B449" s="233">
        <v>45778</v>
      </c>
      <c r="C449" s="233">
        <v>46142</v>
      </c>
      <c r="D449" s="234" t="s">
        <v>19</v>
      </c>
      <c r="E449" s="234" t="s">
        <v>13</v>
      </c>
      <c r="F449" s="234" t="s">
        <v>324</v>
      </c>
      <c r="G449" s="215">
        <v>129.75</v>
      </c>
      <c r="H449" s="216">
        <v>1668.75</v>
      </c>
      <c r="I449" s="234" t="str">
        <f t="shared" si="28"/>
        <v>OK</v>
      </c>
      <c r="J449" s="253" t="str">
        <f t="shared" si="29"/>
        <v/>
      </c>
    </row>
    <row r="450" spans="1:10" ht="24" customHeight="1">
      <c r="A450" s="245" t="s">
        <v>334</v>
      </c>
      <c r="B450" s="233">
        <v>45778</v>
      </c>
      <c r="C450" s="233">
        <v>46142</v>
      </c>
      <c r="D450" s="234" t="s">
        <v>19</v>
      </c>
      <c r="E450" s="234" t="s">
        <v>13</v>
      </c>
      <c r="F450" s="234" t="s">
        <v>324</v>
      </c>
      <c r="G450" s="215">
        <v>108.13</v>
      </c>
      <c r="H450" s="216">
        <v>1390.63</v>
      </c>
      <c r="I450" s="234" t="str">
        <f t="shared" si="28"/>
        <v>OK</v>
      </c>
      <c r="J450" s="253" t="str">
        <f t="shared" si="29"/>
        <v/>
      </c>
    </row>
    <row r="451" spans="1:10" ht="24" customHeight="1">
      <c r="A451" s="245" t="s">
        <v>334</v>
      </c>
      <c r="B451" s="233">
        <v>45778</v>
      </c>
      <c r="C451" s="233">
        <v>46142</v>
      </c>
      <c r="D451" s="234" t="s">
        <v>19</v>
      </c>
      <c r="E451" s="234" t="s">
        <v>13</v>
      </c>
      <c r="F451" s="234" t="s">
        <v>324</v>
      </c>
      <c r="G451" s="215">
        <v>103.8</v>
      </c>
      <c r="H451" s="216">
        <v>1335</v>
      </c>
      <c r="I451" s="234" t="str">
        <f t="shared" ref="I451:I482" si="30">IF($A451="","",IF(OR($B451="",$C451="",$D451="",$E451="",$F451=""),"Stammdaten fehlen",IF(AND($G451="",$H451=""),"Werte fehlen",IF($G451="","Monatsstunden fehlen",IF($H451="","Monatslohn fehlt","OK")))))</f>
        <v>OK</v>
      </c>
      <c r="J451" s="253" t="str">
        <f t="shared" ref="J451:J482" si="31">IF($G451="","",IF(COUNTIFS($A:$A,$A451,$D:$D,$D451,$G:$G,$G451)&gt;1,"Doppelte Monatsstunden",""))</f>
        <v/>
      </c>
    </row>
    <row r="452" spans="1:10" ht="24" customHeight="1">
      <c r="A452" s="245" t="s">
        <v>334</v>
      </c>
      <c r="B452" s="233">
        <v>45778</v>
      </c>
      <c r="C452" s="233">
        <v>46142</v>
      </c>
      <c r="D452" s="234" t="s">
        <v>19</v>
      </c>
      <c r="E452" s="234" t="s">
        <v>13</v>
      </c>
      <c r="F452" s="234" t="s">
        <v>324</v>
      </c>
      <c r="G452" s="215">
        <v>86.5</v>
      </c>
      <c r="H452" s="216">
        <v>1112.5</v>
      </c>
      <c r="I452" s="234" t="str">
        <f t="shared" si="30"/>
        <v>OK</v>
      </c>
      <c r="J452" s="253" t="str">
        <f t="shared" si="31"/>
        <v/>
      </c>
    </row>
    <row r="453" spans="1:10" ht="24" customHeight="1">
      <c r="A453" s="245" t="s">
        <v>334</v>
      </c>
      <c r="B453" s="233">
        <v>45778</v>
      </c>
      <c r="C453" s="233">
        <v>46142</v>
      </c>
      <c r="D453" s="234" t="s">
        <v>19</v>
      </c>
      <c r="E453" s="234" t="s">
        <v>13</v>
      </c>
      <c r="F453" s="234" t="s">
        <v>324</v>
      </c>
      <c r="G453" s="215">
        <v>69.2</v>
      </c>
      <c r="H453" s="216">
        <v>890</v>
      </c>
      <c r="I453" s="234" t="str">
        <f t="shared" si="30"/>
        <v>OK</v>
      </c>
      <c r="J453" s="253" t="str">
        <f t="shared" si="31"/>
        <v/>
      </c>
    </row>
    <row r="454" spans="1:10" ht="24" customHeight="1">
      <c r="A454" s="245" t="s">
        <v>334</v>
      </c>
      <c r="B454" s="233">
        <v>45778</v>
      </c>
      <c r="C454" s="233">
        <v>46142</v>
      </c>
      <c r="D454" s="234" t="s">
        <v>19</v>
      </c>
      <c r="E454" s="234" t="s">
        <v>13</v>
      </c>
      <c r="F454" s="234" t="s">
        <v>324</v>
      </c>
      <c r="G454" s="215">
        <v>51.9</v>
      </c>
      <c r="H454" s="216">
        <v>667.5</v>
      </c>
      <c r="I454" s="234" t="str">
        <f t="shared" si="30"/>
        <v>OK</v>
      </c>
      <c r="J454" s="253" t="str">
        <f t="shared" si="31"/>
        <v/>
      </c>
    </row>
    <row r="455" spans="1:10" ht="24" customHeight="1">
      <c r="A455" s="245" t="s">
        <v>334</v>
      </c>
      <c r="B455" s="233">
        <v>45778</v>
      </c>
      <c r="C455" s="233">
        <v>46142</v>
      </c>
      <c r="D455" s="234" t="s">
        <v>19</v>
      </c>
      <c r="E455" s="234" t="s">
        <v>13</v>
      </c>
      <c r="F455" s="234" t="s">
        <v>324</v>
      </c>
      <c r="G455" s="215">
        <v>47.58</v>
      </c>
      <c r="H455" s="216">
        <v>611.88</v>
      </c>
      <c r="I455" s="234" t="str">
        <f t="shared" si="30"/>
        <v>OK</v>
      </c>
      <c r="J455" s="253" t="str">
        <f t="shared" si="31"/>
        <v/>
      </c>
    </row>
    <row r="456" spans="1:10" ht="24" customHeight="1">
      <c r="A456" s="245" t="s">
        <v>334</v>
      </c>
      <c r="B456" s="233">
        <v>45778</v>
      </c>
      <c r="C456" s="233">
        <v>46142</v>
      </c>
      <c r="D456" s="234" t="s">
        <v>19</v>
      </c>
      <c r="E456" s="234" t="s">
        <v>13</v>
      </c>
      <c r="F456" s="234" t="s">
        <v>324</v>
      </c>
      <c r="G456" s="215">
        <v>43.25</v>
      </c>
      <c r="H456" s="216">
        <v>556.25</v>
      </c>
      <c r="I456" s="234" t="str">
        <f t="shared" si="30"/>
        <v>OK</v>
      </c>
      <c r="J456" s="253" t="str">
        <f t="shared" si="31"/>
        <v/>
      </c>
    </row>
    <row r="457" spans="1:10" ht="24" customHeight="1">
      <c r="A457" s="245" t="s">
        <v>334</v>
      </c>
      <c r="B457" s="233">
        <v>45778</v>
      </c>
      <c r="C457" s="233">
        <v>46142</v>
      </c>
      <c r="D457" s="234" t="s">
        <v>19</v>
      </c>
      <c r="E457" s="234" t="s">
        <v>13</v>
      </c>
      <c r="F457" s="234" t="s">
        <v>324</v>
      </c>
      <c r="G457" s="215">
        <v>34.6</v>
      </c>
      <c r="H457" s="216">
        <v>445</v>
      </c>
      <c r="I457" s="234" t="str">
        <f t="shared" si="30"/>
        <v>OK</v>
      </c>
      <c r="J457" s="253" t="str">
        <f t="shared" si="31"/>
        <v/>
      </c>
    </row>
    <row r="458" spans="1:10" ht="24" customHeight="1" thickBot="1">
      <c r="A458" s="245" t="s">
        <v>334</v>
      </c>
      <c r="B458" s="233">
        <v>45778</v>
      </c>
      <c r="C458" s="233">
        <v>46142</v>
      </c>
      <c r="D458" s="234" t="s">
        <v>19</v>
      </c>
      <c r="E458" s="234" t="s">
        <v>13</v>
      </c>
      <c r="F458" s="234" t="s">
        <v>324</v>
      </c>
      <c r="G458" s="215">
        <v>32.01</v>
      </c>
      <c r="H458" s="216">
        <v>411.63</v>
      </c>
      <c r="I458" s="234" t="str">
        <f t="shared" si="30"/>
        <v>OK</v>
      </c>
      <c r="J458" s="253" t="str">
        <f t="shared" si="31"/>
        <v/>
      </c>
    </row>
    <row r="459" spans="1:10" ht="24" customHeight="1">
      <c r="A459" s="246" t="s">
        <v>334</v>
      </c>
      <c r="B459" s="237">
        <v>45778</v>
      </c>
      <c r="C459" s="237">
        <v>46142</v>
      </c>
      <c r="D459" s="238" t="s">
        <v>333</v>
      </c>
      <c r="E459" s="238" t="s">
        <v>21</v>
      </c>
      <c r="F459" s="238" t="s">
        <v>321</v>
      </c>
      <c r="G459" s="217">
        <v>173</v>
      </c>
      <c r="H459" s="218">
        <v>2300</v>
      </c>
      <c r="I459" s="238" t="str">
        <f t="shared" si="30"/>
        <v>OK</v>
      </c>
      <c r="J459" s="254" t="str">
        <f t="shared" si="31"/>
        <v/>
      </c>
    </row>
    <row r="460" spans="1:10" ht="24" customHeight="1">
      <c r="A460" s="247" t="s">
        <v>334</v>
      </c>
      <c r="B460" s="239">
        <v>45778</v>
      </c>
      <c r="C460" s="239">
        <v>46142</v>
      </c>
      <c r="D460" s="240" t="s">
        <v>333</v>
      </c>
      <c r="E460" s="240" t="s">
        <v>21</v>
      </c>
      <c r="F460" s="240" t="s">
        <v>321</v>
      </c>
      <c r="G460" s="219">
        <v>151.38</v>
      </c>
      <c r="H460" s="220">
        <v>2012.5</v>
      </c>
      <c r="I460" s="240" t="str">
        <f t="shared" si="30"/>
        <v>OK</v>
      </c>
      <c r="J460" s="255" t="str">
        <f t="shared" si="31"/>
        <v/>
      </c>
    </row>
    <row r="461" spans="1:10" ht="24" customHeight="1">
      <c r="A461" s="247" t="s">
        <v>334</v>
      </c>
      <c r="B461" s="239">
        <v>45778</v>
      </c>
      <c r="C461" s="239">
        <v>46142</v>
      </c>
      <c r="D461" s="240" t="s">
        <v>333</v>
      </c>
      <c r="E461" s="240" t="s">
        <v>21</v>
      </c>
      <c r="F461" s="240" t="s">
        <v>321</v>
      </c>
      <c r="G461" s="219">
        <v>138.4</v>
      </c>
      <c r="H461" s="220">
        <v>1840</v>
      </c>
      <c r="I461" s="240" t="str">
        <f t="shared" si="30"/>
        <v>OK</v>
      </c>
      <c r="J461" s="255" t="str">
        <f t="shared" si="31"/>
        <v/>
      </c>
    </row>
    <row r="462" spans="1:10" ht="24" customHeight="1">
      <c r="A462" s="247" t="s">
        <v>334</v>
      </c>
      <c r="B462" s="239">
        <v>45778</v>
      </c>
      <c r="C462" s="239">
        <v>46142</v>
      </c>
      <c r="D462" s="240" t="s">
        <v>333</v>
      </c>
      <c r="E462" s="240" t="s">
        <v>21</v>
      </c>
      <c r="F462" s="240" t="s">
        <v>321</v>
      </c>
      <c r="G462" s="219">
        <v>129.75</v>
      </c>
      <c r="H462" s="220">
        <v>1725</v>
      </c>
      <c r="I462" s="240" t="str">
        <f t="shared" si="30"/>
        <v>OK</v>
      </c>
      <c r="J462" s="255" t="str">
        <f t="shared" si="31"/>
        <v/>
      </c>
    </row>
    <row r="463" spans="1:10" ht="24" customHeight="1">
      <c r="A463" s="247" t="s">
        <v>334</v>
      </c>
      <c r="B463" s="239">
        <v>45778</v>
      </c>
      <c r="C463" s="239">
        <v>46142</v>
      </c>
      <c r="D463" s="240" t="s">
        <v>333</v>
      </c>
      <c r="E463" s="240" t="s">
        <v>21</v>
      </c>
      <c r="F463" s="240" t="s">
        <v>321</v>
      </c>
      <c r="G463" s="219">
        <v>108.13</v>
      </c>
      <c r="H463" s="220">
        <v>1437.5</v>
      </c>
      <c r="I463" s="240" t="str">
        <f t="shared" si="30"/>
        <v>OK</v>
      </c>
      <c r="J463" s="255" t="str">
        <f t="shared" si="31"/>
        <v/>
      </c>
    </row>
    <row r="464" spans="1:10" ht="24" customHeight="1">
      <c r="A464" s="247" t="s">
        <v>334</v>
      </c>
      <c r="B464" s="239">
        <v>45778</v>
      </c>
      <c r="C464" s="239">
        <v>46142</v>
      </c>
      <c r="D464" s="240" t="s">
        <v>333</v>
      </c>
      <c r="E464" s="240" t="s">
        <v>21</v>
      </c>
      <c r="F464" s="240" t="s">
        <v>321</v>
      </c>
      <c r="G464" s="219">
        <v>103.8</v>
      </c>
      <c r="H464" s="220">
        <v>1380</v>
      </c>
      <c r="I464" s="240" t="str">
        <f t="shared" si="30"/>
        <v>OK</v>
      </c>
      <c r="J464" s="255" t="str">
        <f t="shared" si="31"/>
        <v/>
      </c>
    </row>
    <row r="465" spans="1:10" ht="24" customHeight="1">
      <c r="A465" s="247" t="s">
        <v>334</v>
      </c>
      <c r="B465" s="239">
        <v>45778</v>
      </c>
      <c r="C465" s="239">
        <v>46142</v>
      </c>
      <c r="D465" s="240" t="s">
        <v>333</v>
      </c>
      <c r="E465" s="240" t="s">
        <v>21</v>
      </c>
      <c r="F465" s="240" t="s">
        <v>321</v>
      </c>
      <c r="G465" s="219">
        <v>86.5</v>
      </c>
      <c r="H465" s="220">
        <v>1150</v>
      </c>
      <c r="I465" s="240" t="str">
        <f t="shared" si="30"/>
        <v>OK</v>
      </c>
      <c r="J465" s="255" t="str">
        <f t="shared" si="31"/>
        <v/>
      </c>
    </row>
    <row r="466" spans="1:10" ht="24" customHeight="1">
      <c r="A466" s="247" t="s">
        <v>334</v>
      </c>
      <c r="B466" s="239">
        <v>45778</v>
      </c>
      <c r="C466" s="239">
        <v>46142</v>
      </c>
      <c r="D466" s="240" t="s">
        <v>333</v>
      </c>
      <c r="E466" s="240" t="s">
        <v>21</v>
      </c>
      <c r="F466" s="240" t="s">
        <v>321</v>
      </c>
      <c r="G466" s="219">
        <v>69.2</v>
      </c>
      <c r="H466" s="220">
        <v>920</v>
      </c>
      <c r="I466" s="240" t="str">
        <f t="shared" si="30"/>
        <v>OK</v>
      </c>
      <c r="J466" s="255" t="str">
        <f t="shared" si="31"/>
        <v/>
      </c>
    </row>
    <row r="467" spans="1:10" ht="24" customHeight="1">
      <c r="A467" s="247" t="s">
        <v>334</v>
      </c>
      <c r="B467" s="239">
        <v>45778</v>
      </c>
      <c r="C467" s="239">
        <v>46142</v>
      </c>
      <c r="D467" s="240" t="s">
        <v>333</v>
      </c>
      <c r="E467" s="240" t="s">
        <v>21</v>
      </c>
      <c r="F467" s="240" t="s">
        <v>321</v>
      </c>
      <c r="G467" s="219">
        <v>51.9</v>
      </c>
      <c r="H467" s="220">
        <v>690</v>
      </c>
      <c r="I467" s="240" t="str">
        <f t="shared" si="30"/>
        <v>OK</v>
      </c>
      <c r="J467" s="255" t="str">
        <f t="shared" si="31"/>
        <v/>
      </c>
    </row>
    <row r="468" spans="1:10" ht="24" customHeight="1">
      <c r="A468" s="247" t="s">
        <v>334</v>
      </c>
      <c r="B468" s="239">
        <v>45778</v>
      </c>
      <c r="C468" s="239">
        <v>46142</v>
      </c>
      <c r="D468" s="240" t="s">
        <v>333</v>
      </c>
      <c r="E468" s="240" t="s">
        <v>21</v>
      </c>
      <c r="F468" s="240" t="s">
        <v>321</v>
      </c>
      <c r="G468" s="219">
        <v>47.58</v>
      </c>
      <c r="H468" s="220">
        <v>632.5</v>
      </c>
      <c r="I468" s="240" t="str">
        <f t="shared" si="30"/>
        <v>OK</v>
      </c>
      <c r="J468" s="255" t="str">
        <f t="shared" si="31"/>
        <v/>
      </c>
    </row>
    <row r="469" spans="1:10" ht="24" customHeight="1">
      <c r="A469" s="247" t="s">
        <v>334</v>
      </c>
      <c r="B469" s="239">
        <v>45778</v>
      </c>
      <c r="C469" s="239">
        <v>46142</v>
      </c>
      <c r="D469" s="240" t="s">
        <v>333</v>
      </c>
      <c r="E469" s="240" t="s">
        <v>21</v>
      </c>
      <c r="F469" s="240" t="s">
        <v>321</v>
      </c>
      <c r="G469" s="219">
        <v>43.25</v>
      </c>
      <c r="H469" s="220">
        <v>575</v>
      </c>
      <c r="I469" s="240" t="str">
        <f t="shared" si="30"/>
        <v>OK</v>
      </c>
      <c r="J469" s="255" t="str">
        <f t="shared" si="31"/>
        <v/>
      </c>
    </row>
    <row r="470" spans="1:10" ht="24" customHeight="1">
      <c r="A470" s="247" t="s">
        <v>334</v>
      </c>
      <c r="B470" s="239">
        <v>45778</v>
      </c>
      <c r="C470" s="239">
        <v>46142</v>
      </c>
      <c r="D470" s="240" t="s">
        <v>333</v>
      </c>
      <c r="E470" s="240" t="s">
        <v>21</v>
      </c>
      <c r="F470" s="240" t="s">
        <v>321</v>
      </c>
      <c r="G470" s="219">
        <v>34.6</v>
      </c>
      <c r="H470" s="220">
        <v>460</v>
      </c>
      <c r="I470" s="240" t="str">
        <f t="shared" si="30"/>
        <v>OK</v>
      </c>
      <c r="J470" s="255" t="str">
        <f t="shared" si="31"/>
        <v/>
      </c>
    </row>
    <row r="471" spans="1:10" ht="24" customHeight="1" thickBot="1">
      <c r="A471" s="247" t="s">
        <v>334</v>
      </c>
      <c r="B471" s="239">
        <v>45778</v>
      </c>
      <c r="C471" s="239">
        <v>46142</v>
      </c>
      <c r="D471" s="240" t="s">
        <v>333</v>
      </c>
      <c r="E471" s="240" t="s">
        <v>21</v>
      </c>
      <c r="F471" s="240" t="s">
        <v>321</v>
      </c>
      <c r="G471" s="219">
        <v>32.01</v>
      </c>
      <c r="H471" s="220">
        <v>425.5</v>
      </c>
      <c r="I471" s="240" t="str">
        <f t="shared" si="30"/>
        <v>OK</v>
      </c>
      <c r="J471" s="255" t="str">
        <f t="shared" si="31"/>
        <v/>
      </c>
    </row>
    <row r="472" spans="1:10" ht="24" customHeight="1">
      <c r="A472" s="246" t="s">
        <v>334</v>
      </c>
      <c r="B472" s="237">
        <v>45778</v>
      </c>
      <c r="C472" s="237">
        <v>46142</v>
      </c>
      <c r="D472" s="238" t="s">
        <v>22</v>
      </c>
      <c r="E472" s="238" t="s">
        <v>21</v>
      </c>
      <c r="F472" s="238" t="s">
        <v>322</v>
      </c>
      <c r="G472" s="217">
        <v>173</v>
      </c>
      <c r="H472" s="218">
        <v>2300</v>
      </c>
      <c r="I472" s="238" t="str">
        <f t="shared" si="30"/>
        <v>OK</v>
      </c>
      <c r="J472" s="254" t="str">
        <f t="shared" si="31"/>
        <v/>
      </c>
    </row>
    <row r="473" spans="1:10" ht="24" customHeight="1">
      <c r="A473" s="247" t="s">
        <v>334</v>
      </c>
      <c r="B473" s="239">
        <v>45778</v>
      </c>
      <c r="C473" s="239">
        <v>46142</v>
      </c>
      <c r="D473" s="240" t="s">
        <v>22</v>
      </c>
      <c r="E473" s="240" t="s">
        <v>21</v>
      </c>
      <c r="F473" s="240" t="s">
        <v>322</v>
      </c>
      <c r="G473" s="219">
        <v>151.38</v>
      </c>
      <c r="H473" s="220">
        <v>2012.5</v>
      </c>
      <c r="I473" s="240" t="str">
        <f t="shared" si="30"/>
        <v>OK</v>
      </c>
      <c r="J473" s="255" t="str">
        <f t="shared" si="31"/>
        <v/>
      </c>
    </row>
    <row r="474" spans="1:10" ht="24" customHeight="1">
      <c r="A474" s="247" t="s">
        <v>334</v>
      </c>
      <c r="B474" s="239">
        <v>45778</v>
      </c>
      <c r="C474" s="239">
        <v>46142</v>
      </c>
      <c r="D474" s="240" t="s">
        <v>22</v>
      </c>
      <c r="E474" s="240" t="s">
        <v>21</v>
      </c>
      <c r="F474" s="240" t="s">
        <v>322</v>
      </c>
      <c r="G474" s="219">
        <v>138.4</v>
      </c>
      <c r="H474" s="220">
        <v>1840</v>
      </c>
      <c r="I474" s="240" t="str">
        <f t="shared" si="30"/>
        <v>OK</v>
      </c>
      <c r="J474" s="255" t="str">
        <f t="shared" si="31"/>
        <v/>
      </c>
    </row>
    <row r="475" spans="1:10" ht="24" customHeight="1">
      <c r="A475" s="247" t="s">
        <v>334</v>
      </c>
      <c r="B475" s="239">
        <v>45778</v>
      </c>
      <c r="C475" s="239">
        <v>46142</v>
      </c>
      <c r="D475" s="240" t="s">
        <v>22</v>
      </c>
      <c r="E475" s="240" t="s">
        <v>21</v>
      </c>
      <c r="F475" s="240" t="s">
        <v>322</v>
      </c>
      <c r="G475" s="219">
        <v>129.75</v>
      </c>
      <c r="H475" s="220">
        <v>1725</v>
      </c>
      <c r="I475" s="240" t="str">
        <f t="shared" si="30"/>
        <v>OK</v>
      </c>
      <c r="J475" s="255" t="str">
        <f t="shared" si="31"/>
        <v/>
      </c>
    </row>
    <row r="476" spans="1:10" ht="24" customHeight="1">
      <c r="A476" s="247" t="s">
        <v>334</v>
      </c>
      <c r="B476" s="239">
        <v>45778</v>
      </c>
      <c r="C476" s="239">
        <v>46142</v>
      </c>
      <c r="D476" s="240" t="s">
        <v>22</v>
      </c>
      <c r="E476" s="240" t="s">
        <v>21</v>
      </c>
      <c r="F476" s="240" t="s">
        <v>322</v>
      </c>
      <c r="G476" s="219">
        <v>108.13</v>
      </c>
      <c r="H476" s="220">
        <v>1437.5</v>
      </c>
      <c r="I476" s="240" t="str">
        <f t="shared" si="30"/>
        <v>OK</v>
      </c>
      <c r="J476" s="255" t="str">
        <f t="shared" si="31"/>
        <v/>
      </c>
    </row>
    <row r="477" spans="1:10" ht="24" customHeight="1">
      <c r="A477" s="247" t="s">
        <v>334</v>
      </c>
      <c r="B477" s="239">
        <v>45778</v>
      </c>
      <c r="C477" s="239">
        <v>46142</v>
      </c>
      <c r="D477" s="240" t="s">
        <v>22</v>
      </c>
      <c r="E477" s="240" t="s">
        <v>21</v>
      </c>
      <c r="F477" s="240" t="s">
        <v>322</v>
      </c>
      <c r="G477" s="219">
        <v>103.8</v>
      </c>
      <c r="H477" s="220">
        <v>1380</v>
      </c>
      <c r="I477" s="240" t="str">
        <f t="shared" si="30"/>
        <v>OK</v>
      </c>
      <c r="J477" s="255" t="str">
        <f t="shared" si="31"/>
        <v/>
      </c>
    </row>
    <row r="478" spans="1:10" ht="24" customHeight="1">
      <c r="A478" s="247" t="s">
        <v>334</v>
      </c>
      <c r="B478" s="239">
        <v>45778</v>
      </c>
      <c r="C478" s="239">
        <v>46142</v>
      </c>
      <c r="D478" s="240" t="s">
        <v>22</v>
      </c>
      <c r="E478" s="240" t="s">
        <v>21</v>
      </c>
      <c r="F478" s="240" t="s">
        <v>322</v>
      </c>
      <c r="G478" s="219">
        <v>86.5</v>
      </c>
      <c r="H478" s="220">
        <v>1150</v>
      </c>
      <c r="I478" s="240" t="str">
        <f t="shared" si="30"/>
        <v>OK</v>
      </c>
      <c r="J478" s="255" t="str">
        <f t="shared" si="31"/>
        <v/>
      </c>
    </row>
    <row r="479" spans="1:10" ht="24" customHeight="1">
      <c r="A479" s="247" t="s">
        <v>334</v>
      </c>
      <c r="B479" s="239">
        <v>45778</v>
      </c>
      <c r="C479" s="239">
        <v>46142</v>
      </c>
      <c r="D479" s="240" t="s">
        <v>22</v>
      </c>
      <c r="E479" s="240" t="s">
        <v>21</v>
      </c>
      <c r="F479" s="240" t="s">
        <v>322</v>
      </c>
      <c r="G479" s="219">
        <v>69.2</v>
      </c>
      <c r="H479" s="220">
        <v>920</v>
      </c>
      <c r="I479" s="240" t="str">
        <f t="shared" si="30"/>
        <v>OK</v>
      </c>
      <c r="J479" s="255" t="str">
        <f t="shared" si="31"/>
        <v/>
      </c>
    </row>
    <row r="480" spans="1:10" ht="24" customHeight="1">
      <c r="A480" s="247" t="s">
        <v>334</v>
      </c>
      <c r="B480" s="239">
        <v>45778</v>
      </c>
      <c r="C480" s="239">
        <v>46142</v>
      </c>
      <c r="D480" s="240" t="s">
        <v>22</v>
      </c>
      <c r="E480" s="240" t="s">
        <v>21</v>
      </c>
      <c r="F480" s="240" t="s">
        <v>322</v>
      </c>
      <c r="G480" s="219">
        <v>51.9</v>
      </c>
      <c r="H480" s="220">
        <v>690</v>
      </c>
      <c r="I480" s="240" t="str">
        <f t="shared" si="30"/>
        <v>OK</v>
      </c>
      <c r="J480" s="255" t="str">
        <f t="shared" si="31"/>
        <v/>
      </c>
    </row>
    <row r="481" spans="1:10" ht="24" customHeight="1">
      <c r="A481" s="247" t="s">
        <v>334</v>
      </c>
      <c r="B481" s="239">
        <v>45778</v>
      </c>
      <c r="C481" s="239">
        <v>46142</v>
      </c>
      <c r="D481" s="240" t="s">
        <v>22</v>
      </c>
      <c r="E481" s="240" t="s">
        <v>21</v>
      </c>
      <c r="F481" s="240" t="s">
        <v>322</v>
      </c>
      <c r="G481" s="219">
        <v>47.58</v>
      </c>
      <c r="H481" s="220">
        <v>632.5</v>
      </c>
      <c r="I481" s="240" t="str">
        <f t="shared" si="30"/>
        <v>OK</v>
      </c>
      <c r="J481" s="255" t="str">
        <f t="shared" si="31"/>
        <v/>
      </c>
    </row>
    <row r="482" spans="1:10" ht="24" customHeight="1">
      <c r="A482" s="247" t="s">
        <v>334</v>
      </c>
      <c r="B482" s="239">
        <v>45778</v>
      </c>
      <c r="C482" s="239">
        <v>46142</v>
      </c>
      <c r="D482" s="240" t="s">
        <v>22</v>
      </c>
      <c r="E482" s="240" t="s">
        <v>21</v>
      </c>
      <c r="F482" s="240" t="s">
        <v>322</v>
      </c>
      <c r="G482" s="219">
        <v>43.25</v>
      </c>
      <c r="H482" s="220">
        <v>575</v>
      </c>
      <c r="I482" s="240" t="str">
        <f t="shared" si="30"/>
        <v>OK</v>
      </c>
      <c r="J482" s="255" t="str">
        <f t="shared" si="31"/>
        <v/>
      </c>
    </row>
    <row r="483" spans="1:10" ht="24" customHeight="1">
      <c r="A483" s="247" t="s">
        <v>334</v>
      </c>
      <c r="B483" s="239">
        <v>45778</v>
      </c>
      <c r="C483" s="239">
        <v>46142</v>
      </c>
      <c r="D483" s="240" t="s">
        <v>22</v>
      </c>
      <c r="E483" s="240" t="s">
        <v>21</v>
      </c>
      <c r="F483" s="240" t="s">
        <v>322</v>
      </c>
      <c r="G483" s="219">
        <v>34.6</v>
      </c>
      <c r="H483" s="220">
        <v>460</v>
      </c>
      <c r="I483" s="240" t="str">
        <f t="shared" ref="I483:I510" si="32">IF($A483="","",IF(OR($B483="",$C483="",$D483="",$E483="",$F483=""),"Stammdaten fehlen",IF(AND($G483="",$H483=""),"Werte fehlen",IF($G483="","Monatsstunden fehlen",IF($H483="","Monatslohn fehlt","OK")))))</f>
        <v>OK</v>
      </c>
      <c r="J483" s="255" t="str">
        <f t="shared" ref="J483:J510" si="33">IF($G483="","",IF(COUNTIFS($A:$A,$A483,$D:$D,$D483,$G:$G,$G483)&gt;1,"Doppelte Monatsstunden",""))</f>
        <v/>
      </c>
    </row>
    <row r="484" spans="1:10" ht="24" customHeight="1" thickBot="1">
      <c r="A484" s="247" t="s">
        <v>334</v>
      </c>
      <c r="B484" s="239">
        <v>45778</v>
      </c>
      <c r="C484" s="239">
        <v>46142</v>
      </c>
      <c r="D484" s="240" t="s">
        <v>22</v>
      </c>
      <c r="E484" s="240" t="s">
        <v>21</v>
      </c>
      <c r="F484" s="240" t="s">
        <v>322</v>
      </c>
      <c r="G484" s="219">
        <v>32.01</v>
      </c>
      <c r="H484" s="220">
        <v>425.5</v>
      </c>
      <c r="I484" s="240" t="str">
        <f t="shared" si="32"/>
        <v>OK</v>
      </c>
      <c r="J484" s="255" t="str">
        <f t="shared" si="33"/>
        <v/>
      </c>
    </row>
    <row r="485" spans="1:10" ht="24" customHeight="1">
      <c r="A485" s="246" t="s">
        <v>334</v>
      </c>
      <c r="B485" s="237">
        <v>45778</v>
      </c>
      <c r="C485" s="237">
        <v>46142</v>
      </c>
      <c r="D485" s="238" t="s">
        <v>23</v>
      </c>
      <c r="E485" s="238" t="s">
        <v>21</v>
      </c>
      <c r="F485" s="238" t="s">
        <v>323</v>
      </c>
      <c r="G485" s="217">
        <v>173</v>
      </c>
      <c r="H485" s="218">
        <v>2300</v>
      </c>
      <c r="I485" s="238" t="str">
        <f t="shared" si="32"/>
        <v>OK</v>
      </c>
      <c r="J485" s="254" t="str">
        <f t="shared" si="33"/>
        <v/>
      </c>
    </row>
    <row r="486" spans="1:10" ht="24" customHeight="1">
      <c r="A486" s="247" t="s">
        <v>334</v>
      </c>
      <c r="B486" s="239">
        <v>45778</v>
      </c>
      <c r="C486" s="239">
        <v>46142</v>
      </c>
      <c r="D486" s="240" t="s">
        <v>23</v>
      </c>
      <c r="E486" s="240" t="s">
        <v>21</v>
      </c>
      <c r="F486" s="240" t="s">
        <v>323</v>
      </c>
      <c r="G486" s="219">
        <v>151.38</v>
      </c>
      <c r="H486" s="220">
        <v>2012.5</v>
      </c>
      <c r="I486" s="240" t="str">
        <f t="shared" si="32"/>
        <v>OK</v>
      </c>
      <c r="J486" s="255" t="str">
        <f t="shared" si="33"/>
        <v/>
      </c>
    </row>
    <row r="487" spans="1:10" ht="24" customHeight="1">
      <c r="A487" s="247" t="s">
        <v>334</v>
      </c>
      <c r="B487" s="239">
        <v>45778</v>
      </c>
      <c r="C487" s="239">
        <v>46142</v>
      </c>
      <c r="D487" s="240" t="s">
        <v>23</v>
      </c>
      <c r="E487" s="240" t="s">
        <v>21</v>
      </c>
      <c r="F487" s="240" t="s">
        <v>323</v>
      </c>
      <c r="G487" s="219">
        <v>138.4</v>
      </c>
      <c r="H487" s="220">
        <v>1840</v>
      </c>
      <c r="I487" s="240" t="str">
        <f t="shared" si="32"/>
        <v>OK</v>
      </c>
      <c r="J487" s="255" t="str">
        <f t="shared" si="33"/>
        <v/>
      </c>
    </row>
    <row r="488" spans="1:10" ht="24" customHeight="1">
      <c r="A488" s="247" t="s">
        <v>334</v>
      </c>
      <c r="B488" s="239">
        <v>45778</v>
      </c>
      <c r="C488" s="239">
        <v>46142</v>
      </c>
      <c r="D488" s="240" t="s">
        <v>23</v>
      </c>
      <c r="E488" s="240" t="s">
        <v>21</v>
      </c>
      <c r="F488" s="240" t="s">
        <v>323</v>
      </c>
      <c r="G488" s="219">
        <v>129.75</v>
      </c>
      <c r="H488" s="220">
        <v>1725</v>
      </c>
      <c r="I488" s="240" t="str">
        <f t="shared" si="32"/>
        <v>OK</v>
      </c>
      <c r="J488" s="255" t="str">
        <f t="shared" si="33"/>
        <v/>
      </c>
    </row>
    <row r="489" spans="1:10" ht="24" customHeight="1">
      <c r="A489" s="247" t="s">
        <v>334</v>
      </c>
      <c r="B489" s="239">
        <v>45778</v>
      </c>
      <c r="C489" s="239">
        <v>46142</v>
      </c>
      <c r="D489" s="240" t="s">
        <v>23</v>
      </c>
      <c r="E489" s="240" t="s">
        <v>21</v>
      </c>
      <c r="F489" s="240" t="s">
        <v>323</v>
      </c>
      <c r="G489" s="219">
        <v>108.13</v>
      </c>
      <c r="H489" s="220">
        <v>1437.5</v>
      </c>
      <c r="I489" s="240" t="str">
        <f t="shared" si="32"/>
        <v>OK</v>
      </c>
      <c r="J489" s="255" t="str">
        <f t="shared" si="33"/>
        <v/>
      </c>
    </row>
    <row r="490" spans="1:10" ht="24" customHeight="1">
      <c r="A490" s="247" t="s">
        <v>334</v>
      </c>
      <c r="B490" s="239">
        <v>45778</v>
      </c>
      <c r="C490" s="239">
        <v>46142</v>
      </c>
      <c r="D490" s="240" t="s">
        <v>23</v>
      </c>
      <c r="E490" s="240" t="s">
        <v>21</v>
      </c>
      <c r="F490" s="240" t="s">
        <v>323</v>
      </c>
      <c r="G490" s="219">
        <v>103.8</v>
      </c>
      <c r="H490" s="220">
        <v>1380</v>
      </c>
      <c r="I490" s="240" t="str">
        <f t="shared" si="32"/>
        <v>OK</v>
      </c>
      <c r="J490" s="255" t="str">
        <f t="shared" si="33"/>
        <v/>
      </c>
    </row>
    <row r="491" spans="1:10" ht="24" customHeight="1">
      <c r="A491" s="247" t="s">
        <v>334</v>
      </c>
      <c r="B491" s="239">
        <v>45778</v>
      </c>
      <c r="C491" s="239">
        <v>46142</v>
      </c>
      <c r="D491" s="240" t="s">
        <v>23</v>
      </c>
      <c r="E491" s="240" t="s">
        <v>21</v>
      </c>
      <c r="F491" s="240" t="s">
        <v>323</v>
      </c>
      <c r="G491" s="219">
        <v>86.5</v>
      </c>
      <c r="H491" s="220">
        <v>1150</v>
      </c>
      <c r="I491" s="240" t="str">
        <f t="shared" si="32"/>
        <v>OK</v>
      </c>
      <c r="J491" s="255" t="str">
        <f t="shared" si="33"/>
        <v/>
      </c>
    </row>
    <row r="492" spans="1:10" ht="24" customHeight="1">
      <c r="A492" s="247" t="s">
        <v>334</v>
      </c>
      <c r="B492" s="239">
        <v>45778</v>
      </c>
      <c r="C492" s="239">
        <v>46142</v>
      </c>
      <c r="D492" s="240" t="s">
        <v>23</v>
      </c>
      <c r="E492" s="240" t="s">
        <v>21</v>
      </c>
      <c r="F492" s="240" t="s">
        <v>323</v>
      </c>
      <c r="G492" s="219">
        <v>69.2</v>
      </c>
      <c r="H492" s="220">
        <v>920</v>
      </c>
      <c r="I492" s="240" t="str">
        <f t="shared" si="32"/>
        <v>OK</v>
      </c>
      <c r="J492" s="255" t="str">
        <f t="shared" si="33"/>
        <v/>
      </c>
    </row>
    <row r="493" spans="1:10" ht="24" customHeight="1">
      <c r="A493" s="247" t="s">
        <v>334</v>
      </c>
      <c r="B493" s="239">
        <v>45778</v>
      </c>
      <c r="C493" s="239">
        <v>46142</v>
      </c>
      <c r="D493" s="240" t="s">
        <v>23</v>
      </c>
      <c r="E493" s="240" t="s">
        <v>21</v>
      </c>
      <c r="F493" s="240" t="s">
        <v>323</v>
      </c>
      <c r="G493" s="219">
        <v>51.9</v>
      </c>
      <c r="H493" s="220">
        <v>690</v>
      </c>
      <c r="I493" s="240" t="str">
        <f t="shared" si="32"/>
        <v>OK</v>
      </c>
      <c r="J493" s="255" t="str">
        <f t="shared" si="33"/>
        <v/>
      </c>
    </row>
    <row r="494" spans="1:10" ht="24" customHeight="1">
      <c r="A494" s="247" t="s">
        <v>334</v>
      </c>
      <c r="B494" s="239">
        <v>45778</v>
      </c>
      <c r="C494" s="239">
        <v>46142</v>
      </c>
      <c r="D494" s="240" t="s">
        <v>23</v>
      </c>
      <c r="E494" s="240" t="s">
        <v>21</v>
      </c>
      <c r="F494" s="240" t="s">
        <v>323</v>
      </c>
      <c r="G494" s="219">
        <v>47.58</v>
      </c>
      <c r="H494" s="220">
        <v>632.5</v>
      </c>
      <c r="I494" s="240" t="str">
        <f t="shared" si="32"/>
        <v>OK</v>
      </c>
      <c r="J494" s="255" t="str">
        <f t="shared" si="33"/>
        <v/>
      </c>
    </row>
    <row r="495" spans="1:10" ht="24" customHeight="1">
      <c r="A495" s="247" t="s">
        <v>334</v>
      </c>
      <c r="B495" s="239">
        <v>45778</v>
      </c>
      <c r="C495" s="239">
        <v>46142</v>
      </c>
      <c r="D495" s="240" t="s">
        <v>23</v>
      </c>
      <c r="E495" s="240" t="s">
        <v>21</v>
      </c>
      <c r="F495" s="240" t="s">
        <v>323</v>
      </c>
      <c r="G495" s="219">
        <v>43.25</v>
      </c>
      <c r="H495" s="220">
        <v>575</v>
      </c>
      <c r="I495" s="240" t="str">
        <f t="shared" si="32"/>
        <v>OK</v>
      </c>
      <c r="J495" s="255" t="str">
        <f t="shared" si="33"/>
        <v/>
      </c>
    </row>
    <row r="496" spans="1:10" ht="24" customHeight="1">
      <c r="A496" s="247" t="s">
        <v>334</v>
      </c>
      <c r="B496" s="239">
        <v>45778</v>
      </c>
      <c r="C496" s="239">
        <v>46142</v>
      </c>
      <c r="D496" s="240" t="s">
        <v>23</v>
      </c>
      <c r="E496" s="240" t="s">
        <v>21</v>
      </c>
      <c r="F496" s="240" t="s">
        <v>323</v>
      </c>
      <c r="G496" s="219">
        <v>34.6</v>
      </c>
      <c r="H496" s="220">
        <v>460</v>
      </c>
      <c r="I496" s="240" t="str">
        <f t="shared" si="32"/>
        <v>OK</v>
      </c>
      <c r="J496" s="255" t="str">
        <f t="shared" si="33"/>
        <v/>
      </c>
    </row>
    <row r="497" spans="1:10" ht="24" customHeight="1" thickBot="1">
      <c r="A497" s="247" t="s">
        <v>334</v>
      </c>
      <c r="B497" s="239">
        <v>45778</v>
      </c>
      <c r="C497" s="239">
        <v>46142</v>
      </c>
      <c r="D497" s="240" t="s">
        <v>23</v>
      </c>
      <c r="E497" s="240" t="s">
        <v>21</v>
      </c>
      <c r="F497" s="240" t="s">
        <v>323</v>
      </c>
      <c r="G497" s="219">
        <v>32.01</v>
      </c>
      <c r="H497" s="220">
        <v>425.5</v>
      </c>
      <c r="I497" s="240" t="str">
        <f t="shared" si="32"/>
        <v>OK</v>
      </c>
      <c r="J497" s="255" t="str">
        <f t="shared" si="33"/>
        <v/>
      </c>
    </row>
    <row r="498" spans="1:10" ht="24" customHeight="1">
      <c r="A498" s="246" t="s">
        <v>334</v>
      </c>
      <c r="B498" s="237">
        <v>45778</v>
      </c>
      <c r="C498" s="237">
        <v>46142</v>
      </c>
      <c r="D498" s="238" t="s">
        <v>24</v>
      </c>
      <c r="E498" s="238" t="s">
        <v>21</v>
      </c>
      <c r="F498" s="238" t="s">
        <v>324</v>
      </c>
      <c r="G498" s="217">
        <v>173</v>
      </c>
      <c r="H498" s="218">
        <v>2328</v>
      </c>
      <c r="I498" s="238" t="str">
        <f t="shared" si="32"/>
        <v>OK</v>
      </c>
      <c r="J498" s="254" t="str">
        <f t="shared" si="33"/>
        <v/>
      </c>
    </row>
    <row r="499" spans="1:10" ht="24" customHeight="1">
      <c r="A499" s="247" t="s">
        <v>334</v>
      </c>
      <c r="B499" s="239">
        <v>45778</v>
      </c>
      <c r="C499" s="239">
        <v>46142</v>
      </c>
      <c r="D499" s="240" t="s">
        <v>24</v>
      </c>
      <c r="E499" s="240" t="s">
        <v>21</v>
      </c>
      <c r="F499" s="240" t="s">
        <v>324</v>
      </c>
      <c r="G499" s="219">
        <v>151.38</v>
      </c>
      <c r="H499" s="220">
        <v>2037</v>
      </c>
      <c r="I499" s="240" t="str">
        <f t="shared" si="32"/>
        <v>OK</v>
      </c>
      <c r="J499" s="255" t="str">
        <f t="shared" si="33"/>
        <v/>
      </c>
    </row>
    <row r="500" spans="1:10" ht="24" customHeight="1">
      <c r="A500" s="247" t="s">
        <v>334</v>
      </c>
      <c r="B500" s="239">
        <v>45778</v>
      </c>
      <c r="C500" s="239">
        <v>46142</v>
      </c>
      <c r="D500" s="240" t="s">
        <v>24</v>
      </c>
      <c r="E500" s="240" t="s">
        <v>21</v>
      </c>
      <c r="F500" s="240" t="s">
        <v>324</v>
      </c>
      <c r="G500" s="219">
        <v>138.4</v>
      </c>
      <c r="H500" s="220">
        <v>1862.4</v>
      </c>
      <c r="I500" s="240" t="str">
        <f t="shared" si="32"/>
        <v>OK</v>
      </c>
      <c r="J500" s="255" t="str">
        <f t="shared" si="33"/>
        <v/>
      </c>
    </row>
    <row r="501" spans="1:10" ht="24" customHeight="1">
      <c r="A501" s="247" t="s">
        <v>334</v>
      </c>
      <c r="B501" s="239">
        <v>45778</v>
      </c>
      <c r="C501" s="239">
        <v>46142</v>
      </c>
      <c r="D501" s="240" t="s">
        <v>24</v>
      </c>
      <c r="E501" s="240" t="s">
        <v>21</v>
      </c>
      <c r="F501" s="240" t="s">
        <v>324</v>
      </c>
      <c r="G501" s="219">
        <v>129.75</v>
      </c>
      <c r="H501" s="220">
        <v>1476</v>
      </c>
      <c r="I501" s="240" t="str">
        <f t="shared" si="32"/>
        <v>OK</v>
      </c>
      <c r="J501" s="255" t="str">
        <f t="shared" si="33"/>
        <v/>
      </c>
    </row>
    <row r="502" spans="1:10" ht="24" customHeight="1">
      <c r="A502" s="247" t="s">
        <v>334</v>
      </c>
      <c r="B502" s="239">
        <v>45778</v>
      </c>
      <c r="C502" s="239">
        <v>46142</v>
      </c>
      <c r="D502" s="240" t="s">
        <v>24</v>
      </c>
      <c r="E502" s="240" t="s">
        <v>21</v>
      </c>
      <c r="F502" s="240" t="s">
        <v>324</v>
      </c>
      <c r="G502" s="219">
        <v>108.13</v>
      </c>
      <c r="H502" s="220">
        <v>1455</v>
      </c>
      <c r="I502" s="240" t="str">
        <f t="shared" si="32"/>
        <v>OK</v>
      </c>
      <c r="J502" s="255" t="str">
        <f t="shared" si="33"/>
        <v/>
      </c>
    </row>
    <row r="503" spans="1:10" ht="24" customHeight="1">
      <c r="A503" s="247" t="s">
        <v>334</v>
      </c>
      <c r="B503" s="239">
        <v>45778</v>
      </c>
      <c r="C503" s="239">
        <v>46142</v>
      </c>
      <c r="D503" s="240" t="s">
        <v>24</v>
      </c>
      <c r="E503" s="240" t="s">
        <v>21</v>
      </c>
      <c r="F503" s="240" t="s">
        <v>324</v>
      </c>
      <c r="G503" s="219">
        <v>103.8</v>
      </c>
      <c r="H503" s="220">
        <v>1396.8</v>
      </c>
      <c r="I503" s="240" t="str">
        <f t="shared" si="32"/>
        <v>OK</v>
      </c>
      <c r="J503" s="255" t="str">
        <f t="shared" si="33"/>
        <v/>
      </c>
    </row>
    <row r="504" spans="1:10" ht="24" customHeight="1">
      <c r="A504" s="247" t="s">
        <v>334</v>
      </c>
      <c r="B504" s="239">
        <v>45778</v>
      </c>
      <c r="C504" s="239">
        <v>46142</v>
      </c>
      <c r="D504" s="240" t="s">
        <v>24</v>
      </c>
      <c r="E504" s="240" t="s">
        <v>21</v>
      </c>
      <c r="F504" s="240" t="s">
        <v>324</v>
      </c>
      <c r="G504" s="219">
        <v>86.5</v>
      </c>
      <c r="H504" s="220">
        <v>1164</v>
      </c>
      <c r="I504" s="240" t="str">
        <f t="shared" si="32"/>
        <v>OK</v>
      </c>
      <c r="J504" s="255" t="str">
        <f t="shared" si="33"/>
        <v/>
      </c>
    </row>
    <row r="505" spans="1:10" ht="24" customHeight="1">
      <c r="A505" s="247" t="s">
        <v>334</v>
      </c>
      <c r="B505" s="239">
        <v>45778</v>
      </c>
      <c r="C505" s="239">
        <v>46142</v>
      </c>
      <c r="D505" s="240" t="s">
        <v>24</v>
      </c>
      <c r="E505" s="240" t="s">
        <v>21</v>
      </c>
      <c r="F505" s="240" t="s">
        <v>324</v>
      </c>
      <c r="G505" s="219">
        <v>69.2</v>
      </c>
      <c r="H505" s="220">
        <v>931.2</v>
      </c>
      <c r="I505" s="240" t="str">
        <f t="shared" si="32"/>
        <v>OK</v>
      </c>
      <c r="J505" s="255" t="str">
        <f t="shared" si="33"/>
        <v/>
      </c>
    </row>
    <row r="506" spans="1:10" ht="24" customHeight="1">
      <c r="A506" s="247" t="s">
        <v>334</v>
      </c>
      <c r="B506" s="239">
        <v>45778</v>
      </c>
      <c r="C506" s="239">
        <v>46142</v>
      </c>
      <c r="D506" s="240" t="s">
        <v>24</v>
      </c>
      <c r="E506" s="240" t="s">
        <v>21</v>
      </c>
      <c r="F506" s="240" t="s">
        <v>324</v>
      </c>
      <c r="G506" s="219">
        <v>51.9</v>
      </c>
      <c r="H506" s="220">
        <v>698.4</v>
      </c>
      <c r="I506" s="240" t="str">
        <f t="shared" si="32"/>
        <v>OK</v>
      </c>
      <c r="J506" s="255" t="str">
        <f t="shared" si="33"/>
        <v/>
      </c>
    </row>
    <row r="507" spans="1:10" ht="24" customHeight="1">
      <c r="A507" s="247" t="s">
        <v>334</v>
      </c>
      <c r="B507" s="239">
        <v>45778</v>
      </c>
      <c r="C507" s="239">
        <v>46142</v>
      </c>
      <c r="D507" s="240" t="s">
        <v>24</v>
      </c>
      <c r="E507" s="240" t="s">
        <v>21</v>
      </c>
      <c r="F507" s="240" t="s">
        <v>324</v>
      </c>
      <c r="G507" s="219">
        <v>47.58</v>
      </c>
      <c r="H507" s="220">
        <v>640</v>
      </c>
      <c r="I507" s="240" t="str">
        <f t="shared" si="32"/>
        <v>OK</v>
      </c>
      <c r="J507" s="255" t="str">
        <f t="shared" si="33"/>
        <v/>
      </c>
    </row>
    <row r="508" spans="1:10" ht="24" customHeight="1">
      <c r="A508" s="247" t="s">
        <v>334</v>
      </c>
      <c r="B508" s="239">
        <v>45778</v>
      </c>
      <c r="C508" s="239">
        <v>46142</v>
      </c>
      <c r="D508" s="240" t="s">
        <v>24</v>
      </c>
      <c r="E508" s="240" t="s">
        <v>21</v>
      </c>
      <c r="F508" s="240" t="s">
        <v>324</v>
      </c>
      <c r="G508" s="219">
        <v>43.25</v>
      </c>
      <c r="H508" s="220">
        <v>582</v>
      </c>
      <c r="I508" s="240" t="str">
        <f t="shared" si="32"/>
        <v>OK</v>
      </c>
      <c r="J508" s="255" t="str">
        <f t="shared" si="33"/>
        <v/>
      </c>
    </row>
    <row r="509" spans="1:10" ht="24" customHeight="1">
      <c r="A509" s="247" t="s">
        <v>334</v>
      </c>
      <c r="B509" s="239">
        <v>45778</v>
      </c>
      <c r="C509" s="239">
        <v>46142</v>
      </c>
      <c r="D509" s="240" t="s">
        <v>24</v>
      </c>
      <c r="E509" s="240" t="s">
        <v>21</v>
      </c>
      <c r="F509" s="240" t="s">
        <v>324</v>
      </c>
      <c r="G509" s="219">
        <v>34.6</v>
      </c>
      <c r="H509" s="220">
        <v>465.6</v>
      </c>
      <c r="I509" s="240" t="str">
        <f t="shared" si="32"/>
        <v>OK</v>
      </c>
      <c r="J509" s="255" t="str">
        <f t="shared" si="33"/>
        <v/>
      </c>
    </row>
    <row r="510" spans="1:10" ht="24" customHeight="1" thickBot="1">
      <c r="A510" s="257" t="s">
        <v>334</v>
      </c>
      <c r="B510" s="258">
        <v>45778</v>
      </c>
      <c r="C510" s="258">
        <v>46142</v>
      </c>
      <c r="D510" s="259" t="s">
        <v>24</v>
      </c>
      <c r="E510" s="259" t="s">
        <v>21</v>
      </c>
      <c r="F510" s="259" t="s">
        <v>324</v>
      </c>
      <c r="G510" s="223">
        <v>32.01</v>
      </c>
      <c r="H510" s="224">
        <v>430.68</v>
      </c>
      <c r="I510" s="259" t="str">
        <f t="shared" si="32"/>
        <v>OK</v>
      </c>
      <c r="J510" s="260" t="str">
        <f t="shared" si="33"/>
        <v/>
      </c>
    </row>
  </sheetData>
  <sheetProtection algorithmName="SHA-512" hashValue="/QDN32y29bDdHw9ePPi+INHviai2GiqM5WUL8V291qCa6ScsZ3flY6qNGc28c6XeyIEKrpIOINCIWrJwuL9XRQ==" saltValue="GlFphGzeYnWA4+cLNMt4Gw==" spinCount="100000" sheet="1" objects="1" scenarios="1" sort="0" autoFilter="0"/>
  <mergeCells count="5">
    <mergeCell ref="A1:J1"/>
    <mergeCell ref="A2:J2"/>
    <mergeCell ref="A354:J354"/>
    <mergeCell ref="A185:J185"/>
    <mergeCell ref="A4:J4"/>
  </mergeCells>
  <phoneticPr fontId="15" type="noConversion"/>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453125" defaultRowHeight="14.5"/>
  <cols>
    <col min="1" max="1" width="4" customWidth="1"/>
    <col min="2" max="2" width="12.453125"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15" ht="15" customHeight="1">
      <c r="B1" s="392" t="s">
        <v>25</v>
      </c>
      <c r="C1" s="392"/>
      <c r="D1" s="392"/>
      <c r="E1" s="392"/>
      <c r="F1" s="392"/>
      <c r="G1" s="392"/>
      <c r="H1" s="392"/>
      <c r="I1" s="392"/>
      <c r="J1" s="392"/>
      <c r="K1" s="392"/>
      <c r="L1" s="392"/>
      <c r="M1" s="392"/>
      <c r="N1" s="392"/>
      <c r="O1" s="392"/>
    </row>
    <row r="2" spans="2:15" ht="17.25" customHeight="1">
      <c r="B2" s="392"/>
      <c r="C2" s="392"/>
      <c r="D2" s="392"/>
      <c r="E2" s="392"/>
      <c r="F2" s="392"/>
      <c r="G2" s="392"/>
      <c r="H2" s="392"/>
      <c r="I2" s="392"/>
      <c r="J2" s="392"/>
      <c r="K2" s="392"/>
      <c r="L2" s="392"/>
      <c r="M2" s="392"/>
      <c r="N2" s="392"/>
      <c r="O2" s="392"/>
    </row>
    <row r="3" spans="2:15" ht="18" customHeight="1">
      <c r="B3" s="397" t="s">
        <v>26</v>
      </c>
      <c r="C3" s="397"/>
      <c r="D3" s="397"/>
      <c r="E3" s="397"/>
      <c r="F3" s="397"/>
      <c r="H3" s="394" t="s">
        <v>27</v>
      </c>
      <c r="I3" s="394"/>
      <c r="K3" s="396" t="s">
        <v>28</v>
      </c>
      <c r="L3" s="396"/>
      <c r="N3" s="394" t="s">
        <v>29</v>
      </c>
      <c r="O3" s="394"/>
    </row>
    <row r="4" spans="2:15" ht="15" customHeight="1">
      <c r="B4" s="397"/>
      <c r="C4" s="397"/>
      <c r="D4" s="397"/>
      <c r="E4" s="397"/>
      <c r="F4" s="397"/>
      <c r="H4" s="394"/>
      <c r="I4" s="394"/>
      <c r="K4" s="396"/>
      <c r="L4" s="396"/>
      <c r="N4" s="394"/>
      <c r="O4" s="394"/>
    </row>
    <row r="5" spans="2:15">
      <c r="B5" s="56"/>
      <c r="C5" s="56" t="s">
        <v>30</v>
      </c>
      <c r="D5" s="56" t="s">
        <v>31</v>
      </c>
      <c r="E5" s="56" t="s">
        <v>32</v>
      </c>
      <c r="F5" s="56" t="s">
        <v>33</v>
      </c>
      <c r="H5" s="395" t="s">
        <v>34</v>
      </c>
      <c r="I5" s="395"/>
      <c r="K5" s="395" t="s">
        <v>34</v>
      </c>
      <c r="L5" s="395"/>
      <c r="N5" s="395" t="s">
        <v>35</v>
      </c>
      <c r="O5" s="395"/>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393" t="s">
        <v>49</v>
      </c>
      <c r="C19" s="393"/>
      <c r="D19" s="393"/>
      <c r="E19" s="393"/>
      <c r="F19" s="393"/>
      <c r="H19" s="394" t="s">
        <v>50</v>
      </c>
      <c r="I19" s="394"/>
      <c r="K19" s="396" t="s">
        <v>51</v>
      </c>
      <c r="L19" s="396"/>
      <c r="N19" s="398" t="s">
        <v>203</v>
      </c>
      <c r="O19" s="398"/>
      <c r="P19" s="398"/>
      <c r="Q19" s="398"/>
      <c r="R19" s="398"/>
      <c r="S19" s="398"/>
      <c r="T19" s="398"/>
      <c r="U19" s="398"/>
    </row>
    <row r="20" spans="2:21">
      <c r="B20" s="393"/>
      <c r="C20" s="393"/>
      <c r="D20" s="393"/>
      <c r="E20" s="393"/>
      <c r="F20" s="393"/>
      <c r="H20" s="394"/>
      <c r="I20" s="394"/>
      <c r="K20" s="396"/>
      <c r="L20" s="396"/>
      <c r="N20" s="398"/>
      <c r="O20" s="398"/>
      <c r="P20" s="398"/>
      <c r="Q20" s="398"/>
      <c r="R20" s="398"/>
      <c r="S20" s="398"/>
      <c r="T20" s="398"/>
      <c r="U20" s="398"/>
    </row>
    <row r="21" spans="2:21">
      <c r="B21" s="56"/>
      <c r="C21" s="56" t="s">
        <v>30</v>
      </c>
      <c r="D21" s="56" t="s">
        <v>31</v>
      </c>
      <c r="E21" s="56" t="s">
        <v>32</v>
      </c>
      <c r="F21" s="56" t="s">
        <v>33</v>
      </c>
      <c r="H21" s="395" t="s">
        <v>34</v>
      </c>
      <c r="I21" s="395"/>
      <c r="K21" s="395" t="s">
        <v>34</v>
      </c>
      <c r="L21" s="395"/>
      <c r="N21" s="398"/>
      <c r="O21" s="398"/>
      <c r="P21" s="398"/>
      <c r="Q21" s="398"/>
      <c r="R21" s="398"/>
      <c r="S21" s="398"/>
      <c r="T21" s="398"/>
      <c r="U21" s="398"/>
    </row>
    <row r="22" spans="2:21">
      <c r="B22" s="57" t="s">
        <v>36</v>
      </c>
      <c r="C22" s="3">
        <v>1</v>
      </c>
      <c r="D22" s="87">
        <f>UBERSICHT!G7</f>
        <v>0</v>
      </c>
      <c r="E22" s="58">
        <f>Januar!$S$37</f>
        <v>0</v>
      </c>
      <c r="F22" s="50">
        <v>1</v>
      </c>
      <c r="H22" s="59" t="s">
        <v>36</v>
      </c>
      <c r="I22" s="51">
        <v>1</v>
      </c>
      <c r="K22" s="59" t="s">
        <v>36</v>
      </c>
      <c r="L22" s="51">
        <v>1</v>
      </c>
      <c r="N22" s="398"/>
      <c r="O22" s="398"/>
      <c r="P22" s="398"/>
      <c r="Q22" s="398"/>
      <c r="R22" s="398"/>
      <c r="S22" s="398"/>
      <c r="T22" s="398"/>
      <c r="U22" s="398"/>
    </row>
    <row r="23" spans="2:21">
      <c r="B23" s="57" t="s">
        <v>37</v>
      </c>
      <c r="C23" s="3">
        <v>2</v>
      </c>
      <c r="D23" s="87">
        <f>UBERSICHT!G8</f>
        <v>0</v>
      </c>
      <c r="E23" s="58">
        <f>Februar!$S$37</f>
        <v>0</v>
      </c>
      <c r="F23" s="50">
        <v>2</v>
      </c>
      <c r="H23" s="59" t="s">
        <v>38</v>
      </c>
      <c r="I23" s="51">
        <v>2</v>
      </c>
      <c r="K23" s="59" t="s">
        <v>38</v>
      </c>
      <c r="L23" s="51">
        <v>2</v>
      </c>
      <c r="N23" s="398"/>
      <c r="O23" s="398"/>
      <c r="P23" s="398"/>
      <c r="Q23" s="398"/>
      <c r="R23" s="398"/>
      <c r="S23" s="398"/>
      <c r="T23" s="398"/>
      <c r="U23" s="398"/>
    </row>
    <row r="24" spans="2:21">
      <c r="B24" s="57" t="s">
        <v>39</v>
      </c>
      <c r="C24" s="3">
        <v>3</v>
      </c>
      <c r="D24" s="87">
        <f>UBERSICHT!G9</f>
        <v>0</v>
      </c>
      <c r="E24" s="58">
        <f>Marz!$S$37</f>
        <v>0</v>
      </c>
      <c r="F24" s="50">
        <v>3</v>
      </c>
      <c r="H24" s="59" t="s">
        <v>39</v>
      </c>
      <c r="I24" s="51">
        <v>3</v>
      </c>
      <c r="K24" s="59" t="s">
        <v>39</v>
      </c>
      <c r="L24" s="51">
        <v>3</v>
      </c>
      <c r="N24" s="398"/>
      <c r="O24" s="398"/>
      <c r="P24" s="398"/>
      <c r="Q24" s="398"/>
      <c r="R24" s="398"/>
      <c r="S24" s="398"/>
      <c r="T24" s="398"/>
      <c r="U24" s="398"/>
    </row>
    <row r="25" spans="2:21">
      <c r="B25" s="57" t="s">
        <v>40</v>
      </c>
      <c r="C25" s="3">
        <v>4</v>
      </c>
      <c r="D25" s="87">
        <f>UBERSICHT!G11</f>
        <v>0</v>
      </c>
      <c r="E25" s="58">
        <f>April!$S$37</f>
        <v>0</v>
      </c>
      <c r="F25" s="50">
        <v>4</v>
      </c>
      <c r="H25" s="59" t="s">
        <v>40</v>
      </c>
      <c r="I25" s="51">
        <v>4</v>
      </c>
      <c r="K25" s="59" t="s">
        <v>40</v>
      </c>
      <c r="L25" s="51">
        <v>4</v>
      </c>
      <c r="N25" s="398"/>
      <c r="O25" s="398"/>
      <c r="P25" s="398"/>
      <c r="Q25" s="398"/>
      <c r="R25" s="398"/>
      <c r="S25" s="398"/>
      <c r="T25" s="398"/>
      <c r="U25" s="398"/>
    </row>
    <row r="26" spans="2:21">
      <c r="B26" s="57" t="s">
        <v>41</v>
      </c>
      <c r="C26" s="3">
        <v>5</v>
      </c>
      <c r="D26" s="87">
        <f>UBERSICHT!G12</f>
        <v>0</v>
      </c>
      <c r="E26" s="58">
        <f>Mai!$S$37</f>
        <v>0</v>
      </c>
      <c r="F26" s="50">
        <v>5</v>
      </c>
      <c r="H26" s="59" t="s">
        <v>41</v>
      </c>
      <c r="I26" s="51">
        <v>5</v>
      </c>
      <c r="K26" s="59" t="s">
        <v>41</v>
      </c>
      <c r="L26" s="51">
        <v>5</v>
      </c>
      <c r="M26" s="77"/>
      <c r="N26" s="398"/>
      <c r="O26" s="398"/>
      <c r="P26" s="398"/>
      <c r="Q26" s="398"/>
      <c r="R26" s="398"/>
      <c r="S26" s="398"/>
      <c r="T26" s="398"/>
      <c r="U26" s="398"/>
    </row>
    <row r="27" spans="2:21">
      <c r="B27" s="57" t="s">
        <v>42</v>
      </c>
      <c r="C27" s="3">
        <v>6</v>
      </c>
      <c r="D27" s="87">
        <f>UBERSICHT!G13</f>
        <v>0</v>
      </c>
      <c r="E27" s="58">
        <f>Juni!$S$37</f>
        <v>0</v>
      </c>
      <c r="F27" s="50">
        <v>6</v>
      </c>
      <c r="H27" s="59" t="s">
        <v>42</v>
      </c>
      <c r="I27" s="51">
        <v>6</v>
      </c>
      <c r="K27" s="59" t="s">
        <v>42</v>
      </c>
      <c r="L27" s="51">
        <v>6</v>
      </c>
      <c r="M27" s="77"/>
      <c r="N27" s="398"/>
      <c r="O27" s="398"/>
      <c r="P27" s="398"/>
      <c r="Q27" s="398"/>
      <c r="R27" s="398"/>
      <c r="S27" s="398"/>
      <c r="T27" s="398"/>
      <c r="U27" s="398"/>
    </row>
    <row r="28" spans="2:21">
      <c r="B28" s="57" t="s">
        <v>43</v>
      </c>
      <c r="C28" s="3">
        <v>7</v>
      </c>
      <c r="D28" s="87">
        <f>UBERSICHT!G15</f>
        <v>0</v>
      </c>
      <c r="E28" s="58">
        <f>Juli!$S$37</f>
        <v>0</v>
      </c>
      <c r="F28" s="50">
        <v>7</v>
      </c>
      <c r="H28" s="59" t="s">
        <v>43</v>
      </c>
      <c r="I28" s="51">
        <v>7</v>
      </c>
      <c r="K28" s="59" t="s">
        <v>43</v>
      </c>
      <c r="L28" s="51">
        <v>7</v>
      </c>
      <c r="M28" s="77"/>
      <c r="N28" s="398"/>
      <c r="O28" s="398"/>
      <c r="P28" s="398"/>
      <c r="Q28" s="398"/>
      <c r="R28" s="398"/>
      <c r="S28" s="398"/>
      <c r="T28" s="398"/>
      <c r="U28" s="398"/>
    </row>
    <row r="29" spans="2:21">
      <c r="B29" s="57" t="s">
        <v>44</v>
      </c>
      <c r="C29" s="3">
        <v>8</v>
      </c>
      <c r="D29" s="87">
        <f>UBERSICHT!G16</f>
        <v>0</v>
      </c>
      <c r="E29" s="58">
        <f>August!$S$37</f>
        <v>0</v>
      </c>
      <c r="F29" s="50">
        <v>8</v>
      </c>
      <c r="H29" s="59" t="s">
        <v>44</v>
      </c>
      <c r="I29" s="51">
        <v>8</v>
      </c>
      <c r="K29" s="59" t="s">
        <v>44</v>
      </c>
      <c r="L29" s="51">
        <v>8</v>
      </c>
      <c r="M29" s="77"/>
      <c r="N29" s="398"/>
      <c r="O29" s="398"/>
      <c r="P29" s="398"/>
      <c r="Q29" s="398"/>
      <c r="R29" s="398"/>
      <c r="S29" s="398"/>
      <c r="T29" s="398"/>
      <c r="U29" s="398"/>
    </row>
    <row r="30" spans="2:21">
      <c r="B30" s="57" t="s">
        <v>45</v>
      </c>
      <c r="C30" s="3">
        <v>9</v>
      </c>
      <c r="D30" s="87">
        <f>UBERSICHT!G17</f>
        <v>0</v>
      </c>
      <c r="E30" s="58">
        <f>September!$S$37</f>
        <v>0</v>
      </c>
      <c r="F30" s="50">
        <v>9</v>
      </c>
      <c r="H30" s="59" t="s">
        <v>45</v>
      </c>
      <c r="I30" s="51">
        <v>9</v>
      </c>
      <c r="K30" s="59" t="s">
        <v>45</v>
      </c>
      <c r="L30" s="51">
        <v>9</v>
      </c>
      <c r="N30" s="398"/>
      <c r="O30" s="398"/>
      <c r="P30" s="398"/>
      <c r="Q30" s="398"/>
      <c r="R30" s="398"/>
      <c r="S30" s="398"/>
      <c r="T30" s="398"/>
      <c r="U30" s="398"/>
    </row>
    <row r="31" spans="2:21">
      <c r="B31" s="57" t="s">
        <v>46</v>
      </c>
      <c r="C31" s="3">
        <v>10</v>
      </c>
      <c r="D31" s="87">
        <f>UBERSICHT!G19</f>
        <v>0</v>
      </c>
      <c r="E31" s="58">
        <f>Oktober!$S$37</f>
        <v>0</v>
      </c>
      <c r="F31" s="50">
        <v>10</v>
      </c>
      <c r="H31" s="59" t="s">
        <v>46</v>
      </c>
      <c r="I31" s="51">
        <v>10</v>
      </c>
      <c r="K31" s="59" t="s">
        <v>46</v>
      </c>
      <c r="L31" s="51">
        <v>10</v>
      </c>
      <c r="N31" s="398"/>
      <c r="O31" s="398"/>
      <c r="P31" s="398"/>
      <c r="Q31" s="398"/>
      <c r="R31" s="398"/>
      <c r="S31" s="398"/>
      <c r="T31" s="398"/>
      <c r="U31" s="398"/>
    </row>
    <row r="32" spans="2:21">
      <c r="B32" s="57" t="s">
        <v>47</v>
      </c>
      <c r="C32" s="3">
        <v>11</v>
      </c>
      <c r="D32" s="87">
        <f>UBERSICHT!G20</f>
        <v>0</v>
      </c>
      <c r="E32" s="58">
        <f>November!$S$37</f>
        <v>0</v>
      </c>
      <c r="F32" s="50">
        <v>11</v>
      </c>
      <c r="H32" s="59" t="s">
        <v>47</v>
      </c>
      <c r="I32" s="51">
        <v>11</v>
      </c>
      <c r="K32" s="59" t="s">
        <v>47</v>
      </c>
      <c r="L32" s="51">
        <v>11</v>
      </c>
      <c r="N32" s="398"/>
      <c r="O32" s="398"/>
      <c r="P32" s="398"/>
      <c r="Q32" s="398"/>
      <c r="R32" s="398"/>
      <c r="S32" s="398"/>
      <c r="T32" s="398"/>
      <c r="U32" s="398"/>
    </row>
    <row r="33" spans="2:21">
      <c r="B33" s="57" t="s">
        <v>48</v>
      </c>
      <c r="C33" s="3">
        <v>12</v>
      </c>
      <c r="D33" s="87">
        <f>UBERSICHT!G21</f>
        <v>0</v>
      </c>
      <c r="E33" s="58">
        <f>Dezember!$S$37</f>
        <v>0</v>
      </c>
      <c r="F33" s="50">
        <v>12</v>
      </c>
      <c r="H33" s="59" t="s">
        <v>48</v>
      </c>
      <c r="I33" s="51">
        <v>12</v>
      </c>
      <c r="K33" s="59" t="s">
        <v>48</v>
      </c>
      <c r="L33" s="51">
        <v>12</v>
      </c>
      <c r="N33" s="398"/>
      <c r="O33" s="398"/>
      <c r="P33" s="398"/>
      <c r="Q33" s="398"/>
      <c r="R33" s="398"/>
      <c r="S33" s="398"/>
      <c r="T33" s="398"/>
      <c r="U33" s="398"/>
    </row>
    <row r="34" spans="2:21">
      <c r="N34" s="398"/>
      <c r="O34" s="398"/>
      <c r="P34" s="398"/>
      <c r="Q34" s="398"/>
      <c r="R34" s="398"/>
      <c r="S34" s="398"/>
      <c r="T34" s="398"/>
      <c r="U34" s="398"/>
    </row>
    <row r="35" spans="2:21" ht="14.5" customHeight="1">
      <c r="B35" s="376" t="s">
        <v>204</v>
      </c>
      <c r="C35" s="376"/>
      <c r="D35" s="376"/>
      <c r="E35" s="126"/>
      <c r="N35" s="398"/>
      <c r="O35" s="398"/>
      <c r="P35" s="398"/>
      <c r="Q35" s="398"/>
      <c r="R35" s="398"/>
      <c r="S35" s="398"/>
      <c r="T35" s="398"/>
      <c r="U35" s="398"/>
    </row>
    <row r="36" spans="2:21">
      <c r="B36" s="376"/>
      <c r="C36" s="376"/>
      <c r="D36" s="376"/>
      <c r="N36" s="398"/>
      <c r="O36" s="398"/>
      <c r="P36" s="398"/>
      <c r="Q36" s="398"/>
      <c r="R36" s="398"/>
      <c r="S36" s="398"/>
      <c r="T36" s="398"/>
      <c r="U36" s="398"/>
    </row>
    <row r="37" spans="2:21">
      <c r="N37" s="398"/>
      <c r="O37" s="398"/>
      <c r="P37" s="398"/>
      <c r="Q37" s="398"/>
      <c r="R37" s="398"/>
      <c r="S37" s="398"/>
      <c r="T37" s="398"/>
      <c r="U37" s="398"/>
    </row>
    <row r="38" spans="2:21">
      <c r="N38" s="398"/>
      <c r="O38" s="398"/>
      <c r="P38" s="398"/>
      <c r="Q38" s="398"/>
      <c r="R38" s="398"/>
      <c r="S38" s="398"/>
      <c r="T38" s="398"/>
      <c r="U38" s="398"/>
    </row>
    <row r="39" spans="2:21">
      <c r="N39" s="398"/>
      <c r="O39" s="398"/>
      <c r="P39" s="398"/>
      <c r="Q39" s="398"/>
      <c r="R39" s="398"/>
      <c r="S39" s="398"/>
      <c r="T39" s="398"/>
      <c r="U39" s="398"/>
    </row>
    <row r="40" spans="2:21">
      <c r="N40" s="398"/>
      <c r="O40" s="398"/>
      <c r="P40" s="398"/>
      <c r="Q40" s="398"/>
      <c r="R40" s="398"/>
      <c r="S40" s="398"/>
      <c r="T40" s="398"/>
      <c r="U40" s="398"/>
    </row>
    <row r="41" spans="2:21">
      <c r="N41" s="398"/>
      <c r="O41" s="398"/>
      <c r="P41" s="398"/>
      <c r="Q41" s="398"/>
      <c r="R41" s="398"/>
      <c r="S41" s="398"/>
      <c r="T41" s="398"/>
      <c r="U41" s="398"/>
    </row>
    <row r="42" spans="2:21">
      <c r="N42" s="398"/>
      <c r="O42" s="398"/>
      <c r="P42" s="398"/>
      <c r="Q42" s="398"/>
      <c r="R42" s="398"/>
      <c r="S42" s="398"/>
      <c r="T42" s="398"/>
      <c r="U42" s="398"/>
    </row>
  </sheetData>
  <sheetProtection algorithmName="SHA-512" hashValue="rekURoIvQNvCklzsSq4r/Vw8B/x6vDHNHhlRTyeCQ2uIBvkNWNpsoQYq9UYledF2bzOxoew//+/Ug3zdLpY7tQ==" saltValue="wJeIfTxHnCUbBQ3tbrADsA=="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27" activePane="bottomLeft" state="frozen"/>
      <selection activeCell="T24" sqref="T24"/>
      <selection pane="bottomLeft"/>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6" customHeight="1">
      <c r="A1" s="128">
        <v>1</v>
      </c>
      <c r="B1" s="348" t="s">
        <v>205</v>
      </c>
      <c r="C1" s="342" t="s">
        <v>52</v>
      </c>
      <c r="D1" s="344" t="s">
        <v>206</v>
      </c>
      <c r="E1" s="344" t="s">
        <v>0</v>
      </c>
      <c r="F1" s="344" t="s">
        <v>53</v>
      </c>
      <c r="G1" s="346" t="s">
        <v>54</v>
      </c>
      <c r="H1" s="351" t="s">
        <v>55</v>
      </c>
      <c r="I1" s="356" t="s">
        <v>207</v>
      </c>
      <c r="J1" s="358" t="s">
        <v>56</v>
      </c>
      <c r="K1" s="360" t="s">
        <v>57</v>
      </c>
      <c r="L1" s="362" t="s">
        <v>58</v>
      </c>
      <c r="M1" s="364" t="s">
        <v>59</v>
      </c>
      <c r="N1" s="349" t="s">
        <v>208</v>
      </c>
      <c r="AB1" s="41">
        <f>DATE(LOHNTABELLE!$G$3, $A$1, 1)</f>
        <v>46023</v>
      </c>
    </row>
    <row r="2" spans="1:28" ht="16" customHeight="1" thickBot="1">
      <c r="A2" s="129"/>
      <c r="B2" s="348"/>
      <c r="C2" s="343"/>
      <c r="D2" s="345"/>
      <c r="E2" s="345"/>
      <c r="F2" s="345"/>
      <c r="G2" s="347"/>
      <c r="H2" s="352"/>
      <c r="I2" s="357"/>
      <c r="J2" s="359"/>
      <c r="K2" s="361"/>
      <c r="L2" s="363"/>
      <c r="M2" s="365"/>
      <c r="N2" s="349"/>
      <c r="AB2" s="41">
        <f>EOMONTH(DATE(LOHNTABELLE!$G$3, $A$1, 1), 0)</f>
        <v>46053</v>
      </c>
    </row>
    <row r="3" spans="1:28" ht="16" customHeight="1">
      <c r="A3" s="130" t="s">
        <v>60</v>
      </c>
      <c r="B3" s="169">
        <v>401006</v>
      </c>
      <c r="C3" s="140" t="s">
        <v>262</v>
      </c>
      <c r="D3" s="141">
        <v>38188</v>
      </c>
      <c r="E3" s="142" t="s">
        <v>24</v>
      </c>
      <c r="F3" s="143">
        <v>173</v>
      </c>
      <c r="G3" s="184">
        <v>2328</v>
      </c>
      <c r="H3" s="157">
        <f>IF(AND(ISNUMBER(D3), ISNUMBER(F3)),
    ROUNDDOWN(
        MIN(
            IF(OR(ISBLANK(I3), I3=""),
                EOMONTH(DATE(LOHNTABELLE!$G$3, $A$1, 1), 0), I3)
            - MAX(D3, DATE(LOHNTABELLE!$G$3, $A$1, 1)) + 1)
        / DAY(EOMONTH(DATE(LOHNTABELLE!$G$3, $A$1, 1), 0)) * F3,
        2
    ),
    ""
)</f>
        <v>173</v>
      </c>
      <c r="I3" s="154"/>
      <c r="J3" s="187"/>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340" t="s">
        <v>61</v>
      </c>
      <c r="P3" s="340" t="s">
        <v>62</v>
      </c>
      <c r="Q3" s="366" t="s">
        <v>63</v>
      </c>
      <c r="R3" s="353" t="s">
        <v>64</v>
      </c>
      <c r="AB3" s="43"/>
    </row>
    <row r="4" spans="1:28" ht="16" customHeight="1">
      <c r="A4" s="130" t="s">
        <v>65</v>
      </c>
      <c r="B4" s="170">
        <v>401010</v>
      </c>
      <c r="C4" s="132" t="s">
        <v>263</v>
      </c>
      <c r="D4" s="133">
        <v>39388</v>
      </c>
      <c r="E4" s="134" t="s">
        <v>12</v>
      </c>
      <c r="F4" s="136">
        <v>173</v>
      </c>
      <c r="G4" s="185">
        <v>2183</v>
      </c>
      <c r="H4" s="158">
        <f>IF(AND(ISNUMBER(D4), ISNUMBER(F4)),
    ROUNDDOWN(
        MIN(
            IF(OR(ISBLANK(I4), I4=""),
                EOMONTH(DATE(LOHNTABELLE!$G$3, $A$1, 1), 0), I4)
            - MAX(D4, DATE(LOHNTABELLE!$G$3, $A$1, 1)) + 1)
        / DAY(EOMONTH(DATE(LOHNTABELLE!$G$3, $A$1, 1), 0)) * F4,
        2
    ),
    ""
)</f>
        <v>173</v>
      </c>
      <c r="I4" s="155"/>
      <c r="J4" s="188"/>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341"/>
      <c r="P4" s="341"/>
      <c r="Q4" s="367"/>
      <c r="R4" s="354"/>
    </row>
    <row r="5" spans="1:28" ht="16" customHeight="1">
      <c r="A5" s="131" t="s">
        <v>66</v>
      </c>
      <c r="B5" s="170">
        <v>401049</v>
      </c>
      <c r="C5" s="132" t="s">
        <v>264</v>
      </c>
      <c r="D5" s="133">
        <v>41130</v>
      </c>
      <c r="E5" s="134" t="s">
        <v>10</v>
      </c>
      <c r="F5" s="136">
        <v>173</v>
      </c>
      <c r="G5" s="185">
        <v>2123</v>
      </c>
      <c r="H5" s="158">
        <f>IF(AND(ISNUMBER(D5), ISNUMBER(F5)),
    ROUNDDOWN(
        MIN(
            IF(OR(ISBLANK(I5), I5=""),
                EOMONTH(DATE(LOHNTABELLE!$G$3, $A$1, 1), 0), I5)
            - MAX(D5, DATE(LOHNTABELLE!$G$3, $A$1, 1)) + 1)
        / DAY(EOMONTH(DATE(LOHNTABELLE!$G$3, $A$1, 1), 0)) * F5,
        2
    ),
    ""
)</f>
        <v>173</v>
      </c>
      <c r="I5" s="155"/>
      <c r="J5" s="188"/>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85">
        <v>2123</v>
      </c>
      <c r="H6" s="158">
        <f>IF(AND(ISNUMBER(D6), ISNUMBER(F6)),
    ROUNDDOWN(
        MIN(
            IF(OR(ISBLANK(I6), I6=""),
                EOMONTH(DATE(LOHNTABELLE!$G$3, $A$1, 1), 0), I6)
            - MAX(D6, DATE(LOHNTABELLE!$G$3, $A$1, 1)) + 1)
        / DAY(EOMONTH(DATE(LOHNTABELLE!$G$3, $A$1, 1), 0)) * F6,
        2
    ),
    ""
)</f>
        <v>173</v>
      </c>
      <c r="I6" s="155"/>
      <c r="J6" s="188"/>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99" t="str">
        <f>IF(Q5&lt;0, "Schlecht! Zu wenig Urlaub abgebaut.", IF(Q5&gt;0, "Gut! Mehr Urlaub abgebaut als aufgebaut.", ""))</f>
        <v>Schlecht! Zu wenig Urlaub abgebaut.</v>
      </c>
      <c r="P6" s="400"/>
      <c r="Q6" s="400"/>
      <c r="R6" s="401"/>
    </row>
    <row r="7" spans="1:28" ht="16" customHeight="1">
      <c r="A7" s="130" t="s">
        <v>68</v>
      </c>
      <c r="B7" s="170">
        <v>401051</v>
      </c>
      <c r="C7" s="132" t="s">
        <v>266</v>
      </c>
      <c r="D7" s="133">
        <v>41176</v>
      </c>
      <c r="E7" s="134" t="s">
        <v>10</v>
      </c>
      <c r="F7" s="136">
        <v>173</v>
      </c>
      <c r="G7" s="185">
        <v>2123</v>
      </c>
      <c r="H7" s="158">
        <f>IF(AND(ISNUMBER(D7), ISNUMBER(F7)),
    ROUNDDOWN(
        MIN(
            IF(OR(ISBLANK(I7), I7=""),
                EOMONTH(DATE(LOHNTABELLE!$G$3, $A$1, 1), 0), I7)
            - MAX(D7, DATE(LOHNTABELLE!$G$3, $A$1, 1)) + 1)
        / DAY(EOMONTH(DATE(LOHNTABELLE!$G$3, $A$1, 1), 0)) * F7,
        2
    ),
    ""
)</f>
        <v>173</v>
      </c>
      <c r="I7" s="155"/>
      <c r="J7" s="188"/>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85">
        <v>2123</v>
      </c>
      <c r="H8" s="158">
        <f>IF(AND(ISNUMBER(D8), ISNUMBER(F8)),
    ROUNDDOWN(
        MIN(
            IF(OR(ISBLANK(I8), I8=""),
                EOMONTH(DATE(LOHNTABELLE!$G$3, $A$1, 1), 0), I8)
            - MAX(D8, DATE(LOHNTABELLE!$G$3, $A$1, 1)) + 1)
        / DAY(EOMONTH(DATE(LOHNTABELLE!$G$3, $A$1, 1), 0)) * F8,
        2
    ),
    ""
)</f>
        <v>173</v>
      </c>
      <c r="I8" s="155"/>
      <c r="J8" s="188"/>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339" t="s">
        <v>70</v>
      </c>
      <c r="P8" s="403"/>
      <c r="Q8" s="404">
        <f>SUM(H3:H82)</f>
        <v>7494.8</v>
      </c>
      <c r="R8" s="404"/>
    </row>
    <row r="9" spans="1:28" ht="16" customHeight="1">
      <c r="A9" s="131" t="s">
        <v>71</v>
      </c>
      <c r="B9" s="170">
        <v>401197</v>
      </c>
      <c r="C9" s="132" t="s">
        <v>268</v>
      </c>
      <c r="D9" s="133">
        <v>42644</v>
      </c>
      <c r="E9" s="134" t="s">
        <v>8</v>
      </c>
      <c r="F9" s="136">
        <v>173</v>
      </c>
      <c r="G9" s="185">
        <v>2082</v>
      </c>
      <c r="H9" s="158">
        <f>IF(AND(ISNUMBER(D9), ISNUMBER(F9)),
    ROUNDDOWN(
        MIN(
            IF(OR(ISBLANK(I9), I9=""),
                EOMONTH(DATE(LOHNTABELLE!$G$3, $A$1, 1), 0), I9)
            - MAX(D9, DATE(LOHNTABELLE!$G$3, $A$1, 1)) + 1)
        / DAY(EOMONTH(DATE(LOHNTABELLE!$G$3, $A$1, 1), 0)) * F9,
        2
    ),
    ""
)</f>
        <v>173</v>
      </c>
      <c r="I9" s="155"/>
      <c r="J9" s="188"/>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339" t="s">
        <v>72</v>
      </c>
      <c r="P9" s="403"/>
      <c r="Q9" s="404">
        <f>EINSTELLUNG!L22</f>
        <v>1</v>
      </c>
      <c r="R9" s="404"/>
      <c r="S9" s="53">
        <f>IFERROR(Q9/Q8, 0)</f>
        <v>1.3342584191706249E-4</v>
      </c>
    </row>
    <row r="10" spans="1:28" ht="16" customHeight="1">
      <c r="A10" s="130" t="s">
        <v>73</v>
      </c>
      <c r="B10" s="170">
        <v>401276</v>
      </c>
      <c r="C10" s="132" t="s">
        <v>269</v>
      </c>
      <c r="D10" s="133">
        <v>43252</v>
      </c>
      <c r="E10" s="134" t="s">
        <v>8</v>
      </c>
      <c r="F10" s="136">
        <v>173</v>
      </c>
      <c r="G10" s="185">
        <v>2082</v>
      </c>
      <c r="H10" s="158">
        <f>IF(AND(ISNUMBER(D10), ISNUMBER(F10)),
    ROUNDDOWN(
        MIN(
            IF(OR(ISBLANK(I10), I10=""),
                EOMONTH(DATE(LOHNTABELLE!$G$3, $A$1, 1), 0), I10)
            - MAX(D10, DATE(LOHNTABELLE!$G$3, $A$1, 1)) + 1)
        / DAY(EOMONTH(DATE(LOHNTABELLE!$G$3, $A$1, 1), 0)) * F10,
        2
    ),
    ""
)</f>
        <v>173</v>
      </c>
      <c r="I10" s="155"/>
      <c r="J10" s="188"/>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39" t="s">
        <v>74</v>
      </c>
      <c r="P10" s="403"/>
      <c r="Q10" s="404">
        <f>EINSTELLUNG!I22</f>
        <v>1</v>
      </c>
      <c r="R10" s="404"/>
    </row>
    <row r="11" spans="1:28" ht="16" customHeight="1">
      <c r="A11" s="130" t="s">
        <v>75</v>
      </c>
      <c r="B11" s="170">
        <v>401307</v>
      </c>
      <c r="C11" s="132" t="s">
        <v>270</v>
      </c>
      <c r="D11" s="133">
        <v>43571</v>
      </c>
      <c r="E11" s="134" t="s">
        <v>8</v>
      </c>
      <c r="F11" s="136">
        <v>173</v>
      </c>
      <c r="G11" s="185">
        <v>2082</v>
      </c>
      <c r="H11" s="158">
        <f>IF(AND(ISNUMBER(D11), ISNUMBER(F11)),
    ROUNDDOWN(
        MIN(
            IF(OR(ISBLANK(I11), I11=""),
                EOMONTH(DATE(LOHNTABELLE!$G$3, $A$1, 1), 0), I11)
            - MAX(D11, DATE(LOHNTABELLE!$G$3, $A$1, 1)) + 1)
        / DAY(EOMONTH(DATE(LOHNTABELLE!$G$3, $A$1, 1), 0)) * F11,
        2
    ),
    ""
)</f>
        <v>173</v>
      </c>
      <c r="I11" s="155"/>
      <c r="J11" s="188"/>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39" t="s">
        <v>76</v>
      </c>
      <c r="P11" s="403"/>
      <c r="Q11" s="404">
        <f>P5</f>
        <v>1</v>
      </c>
      <c r="R11" s="404"/>
    </row>
    <row r="12" spans="1:28" ht="16" customHeight="1">
      <c r="A12" s="130" t="s">
        <v>77</v>
      </c>
      <c r="B12" s="170">
        <v>401308</v>
      </c>
      <c r="C12" s="132" t="s">
        <v>271</v>
      </c>
      <c r="D12" s="133">
        <v>43579</v>
      </c>
      <c r="E12" s="134" t="s">
        <v>8</v>
      </c>
      <c r="F12" s="136">
        <v>173</v>
      </c>
      <c r="G12" s="185">
        <v>2082</v>
      </c>
      <c r="H12" s="158">
        <f>IF(AND(ISNUMBER(D12), ISNUMBER(F12)),
    ROUNDDOWN(
        MIN(
            IF(OR(ISBLANK(I12), I12=""),
                EOMONTH(DATE(LOHNTABELLE!$G$3, $A$1, 1), 0), I12)
            - MAX(D12, DATE(LOHNTABELLE!$G$3, $A$1, 1)) + 1)
        / DAY(EOMONTH(DATE(LOHNTABELLE!$G$3, $A$1, 1), 0)) * F12,
        2
    ),
    ""
)</f>
        <v>173</v>
      </c>
      <c r="I12" s="155"/>
      <c r="J12" s="188"/>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39" t="s">
        <v>78</v>
      </c>
      <c r="P12" s="403"/>
      <c r="Q12" s="411"/>
      <c r="R12" s="411"/>
    </row>
    <row r="13" spans="1:28" ht="16" customHeight="1">
      <c r="A13" s="131" t="s">
        <v>79</v>
      </c>
      <c r="B13" s="170">
        <v>401394</v>
      </c>
      <c r="C13" s="132" t="s">
        <v>272</v>
      </c>
      <c r="D13" s="133">
        <v>44379</v>
      </c>
      <c r="E13" s="134" t="s">
        <v>4</v>
      </c>
      <c r="F13" s="136">
        <v>173</v>
      </c>
      <c r="G13" s="185">
        <v>2021</v>
      </c>
      <c r="H13" s="158">
        <f>IF(AND(ISNUMBER(D13), ISNUMBER(F13)),
    ROUNDDOWN(
        MIN(
            IF(OR(ISBLANK(I13), I13=""),
                EOMONTH(DATE(LOHNTABELLE!$G$3, $A$1, 1), 0), I13)
            - MAX(D13, DATE(LOHNTABELLE!$G$3, $A$1, 1)) + 1)
        / DAY(EOMONTH(DATE(LOHNTABELLE!$G$3, $A$1, 1), 0)) * F13,
        2
    ),
    ""
)</f>
        <v>173</v>
      </c>
      <c r="I13" s="155"/>
      <c r="J13" s="188"/>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339" t="s">
        <v>80</v>
      </c>
      <c r="P13" s="403"/>
      <c r="Q13" s="404">
        <f>Q8-Q9-Q10-Q11-Q12</f>
        <v>7491.8</v>
      </c>
      <c r="R13" s="404"/>
    </row>
    <row r="14" spans="1:28" ht="16" customHeight="1">
      <c r="A14" s="130" t="s">
        <v>81</v>
      </c>
      <c r="B14" s="170">
        <v>401389</v>
      </c>
      <c r="C14" s="132" t="s">
        <v>273</v>
      </c>
      <c r="D14" s="133">
        <v>44384</v>
      </c>
      <c r="E14" s="134" t="s">
        <v>22</v>
      </c>
      <c r="F14" s="136">
        <v>173</v>
      </c>
      <c r="G14" s="185">
        <v>2300</v>
      </c>
      <c r="H14" s="158">
        <f>IF(AND(ISNUMBER(D14), ISNUMBER(F14)),
    ROUNDDOWN(
        MIN(
            IF(OR(ISBLANK(I14), I14=""),
                EOMONTH(DATE(LOHNTABELLE!$G$3, $A$1, 1), 0), I14)
            - MAX(D14, DATE(LOHNTABELLE!$G$3, $A$1, 1)) + 1)
        / DAY(EOMONTH(DATE(LOHNTABELLE!$G$3, $A$1, 1), 0)) * F14,
        2
    ),
    ""
)</f>
        <v>173</v>
      </c>
      <c r="I14" s="155"/>
      <c r="J14" s="188"/>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339" t="s">
        <v>82</v>
      </c>
      <c r="P14" s="403"/>
      <c r="Q14" s="404">
        <f>EINSTELLUNG!L6</f>
        <v>1</v>
      </c>
      <c r="R14" s="404"/>
    </row>
    <row r="15" spans="1:28" ht="16" customHeight="1">
      <c r="A15" s="130" t="s">
        <v>83</v>
      </c>
      <c r="B15" s="170">
        <v>401432</v>
      </c>
      <c r="C15" s="132" t="s">
        <v>274</v>
      </c>
      <c r="D15" s="133">
        <v>44441</v>
      </c>
      <c r="E15" s="134" t="s">
        <v>4</v>
      </c>
      <c r="F15" s="136">
        <v>173</v>
      </c>
      <c r="G15" s="185">
        <v>2021</v>
      </c>
      <c r="H15" s="158">
        <f>IF(AND(ISNUMBER(D15), ISNUMBER(F15)),
    ROUNDDOWN(
        MIN(
            IF(OR(ISBLANK(I15), I15=""),
                EOMONTH(DATE(LOHNTABELLE!$G$3, $A$1, 1), 0), I15)
            - MAX(D15, DATE(LOHNTABELLE!$G$3, $A$1, 1)) + 1)
        / DAY(EOMONTH(DATE(LOHNTABELLE!$G$3, $A$1, 1), 0)) * F15,
        2
    ),
    ""
)</f>
        <v>173</v>
      </c>
      <c r="I15" s="155"/>
      <c r="J15" s="188"/>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339" t="s">
        <v>84</v>
      </c>
      <c r="P15" s="403"/>
      <c r="Q15" s="404">
        <f>Q13-Q14</f>
        <v>7490.8</v>
      </c>
      <c r="R15" s="404"/>
      <c r="S15" s="100"/>
      <c r="T15" s="100"/>
      <c r="U15" s="100"/>
    </row>
    <row r="16" spans="1:28" ht="16" customHeight="1">
      <c r="A16" s="130" t="s">
        <v>85</v>
      </c>
      <c r="B16" s="170">
        <v>401558</v>
      </c>
      <c r="C16" s="132" t="s">
        <v>275</v>
      </c>
      <c r="D16" s="133">
        <v>44460</v>
      </c>
      <c r="E16" s="134" t="s">
        <v>4</v>
      </c>
      <c r="F16" s="136">
        <v>173</v>
      </c>
      <c r="G16" s="185">
        <v>2021</v>
      </c>
      <c r="H16" s="158">
        <f>IF(AND(ISNUMBER(D16), ISNUMBER(F16)),
    ROUNDDOWN(
        MIN(
            IF(OR(ISBLANK(I16), I16=""),
                EOMONTH(DATE(LOHNTABELLE!$G$3, $A$1, 1), 0), I16)
            - MAX(D16, DATE(LOHNTABELLE!$G$3, $A$1, 1)) + 1)
        / DAY(EOMONTH(DATE(LOHNTABELLE!$G$3, $A$1, 1), 0)) * F16,
        2
    ),
    ""
)</f>
        <v>173</v>
      </c>
      <c r="I16" s="155"/>
      <c r="J16" s="188"/>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405" t="str">
        <f>IF(Q15&lt;0, "Schlecht! Zu wenig Stunden für Dienstplan.", IF(Q15&gt;0, "Du hast mehr als genug Stunden für Dienstplan.", ""))</f>
        <v>Du hast mehr als genug Stunden für Dienstplan.</v>
      </c>
      <c r="P16" s="405"/>
      <c r="Q16" s="405"/>
      <c r="R16" s="405"/>
      <c r="W16" s="45"/>
    </row>
    <row r="17" spans="1:29" ht="16" customHeight="1">
      <c r="A17" s="131" t="s">
        <v>86</v>
      </c>
      <c r="B17" s="170">
        <v>401476</v>
      </c>
      <c r="C17" s="132" t="s">
        <v>276</v>
      </c>
      <c r="D17" s="133">
        <v>44504</v>
      </c>
      <c r="E17" s="134" t="s">
        <v>4</v>
      </c>
      <c r="F17" s="136">
        <v>173</v>
      </c>
      <c r="G17" s="185">
        <v>2021</v>
      </c>
      <c r="H17" s="158">
        <f>IF(AND(ISNUMBER(D17), ISNUMBER(F17)),
    ROUNDDOWN(
        MIN(
            IF(OR(ISBLANK(I17), I17=""),
                EOMONTH(DATE(LOHNTABELLE!$G$3, $A$1, 1), 0), I17)
            - MAX(D17, DATE(LOHNTABELLE!$G$3, $A$1, 1)) + 1)
        / DAY(EOMONTH(DATE(LOHNTABELLE!$G$3, $A$1, 1), 0)) * F17,
        2
    ),
    ""
)</f>
        <v>173</v>
      </c>
      <c r="I17" s="155"/>
      <c r="J17" s="188"/>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33" t="s">
        <v>87</v>
      </c>
      <c r="P17" s="407"/>
      <c r="Q17" s="412">
        <f>SUM(L3:L82)</f>
        <v>90106.82881720431</v>
      </c>
      <c r="R17" s="412"/>
      <c r="W17" s="45"/>
    </row>
    <row r="18" spans="1:29" ht="16" customHeight="1">
      <c r="A18" s="130" t="s">
        <v>88</v>
      </c>
      <c r="B18" s="170">
        <v>401479</v>
      </c>
      <c r="C18" s="132" t="s">
        <v>277</v>
      </c>
      <c r="D18" s="133">
        <v>44511</v>
      </c>
      <c r="E18" s="134" t="s">
        <v>13</v>
      </c>
      <c r="F18" s="136">
        <v>173</v>
      </c>
      <c r="G18" s="185">
        <v>2160</v>
      </c>
      <c r="H18" s="158">
        <f>IF(AND(ISNUMBER(D18), ISNUMBER(F18)),
    ROUNDDOWN(
        MIN(
            IF(OR(ISBLANK(I18), I18=""),
                EOMONTH(DATE(LOHNTABELLE!$G$3, $A$1, 1), 0), I18)
            - MAX(D18, DATE(LOHNTABELLE!$G$3, $A$1, 1)) + 1)
        / DAY(EOMONTH(DATE(LOHNTABELLE!$G$3, $A$1, 1), 0)) * F18,
        2
    ),
    ""
)</f>
        <v>173</v>
      </c>
      <c r="I18" s="155"/>
      <c r="J18" s="188"/>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319"/>
      <c r="P18" s="406"/>
      <c r="Q18" s="402"/>
      <c r="R18" s="402"/>
    </row>
    <row r="19" spans="1:29" ht="16" customHeight="1">
      <c r="A19" s="130" t="s">
        <v>89</v>
      </c>
      <c r="B19" s="170">
        <v>401481</v>
      </c>
      <c r="C19" s="132" t="s">
        <v>278</v>
      </c>
      <c r="D19" s="133">
        <v>44531</v>
      </c>
      <c r="E19" s="134" t="s">
        <v>4</v>
      </c>
      <c r="F19" s="136">
        <v>173</v>
      </c>
      <c r="G19" s="185">
        <v>2021</v>
      </c>
      <c r="H19" s="158">
        <f>IF(AND(ISNUMBER(D19), ISNUMBER(F19)),
    ROUNDDOWN(
        MIN(
            IF(OR(ISBLANK(I19), I19=""),
                EOMONTH(DATE(LOHNTABELLE!$G$3, $A$1, 1), 0), I19)
            - MAX(D19, DATE(LOHNTABELLE!$G$3, $A$1, 1)) + 1)
        / DAY(EOMONTH(DATE(LOHNTABELLE!$G$3, $A$1, 1), 0)) * F19,
        2
    ),
    ""
)</f>
        <v>173</v>
      </c>
      <c r="I19" s="155"/>
      <c r="J19" s="188"/>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19"/>
      <c r="P19" s="406"/>
      <c r="Q19" s="402"/>
      <c r="R19" s="402"/>
    </row>
    <row r="20" spans="1:29" ht="16" customHeight="1">
      <c r="A20" s="130" t="s">
        <v>90</v>
      </c>
      <c r="B20" s="170">
        <v>401564</v>
      </c>
      <c r="C20" s="132" t="s">
        <v>279</v>
      </c>
      <c r="D20" s="133">
        <v>44824</v>
      </c>
      <c r="E20" s="134" t="s">
        <v>4</v>
      </c>
      <c r="F20" s="136">
        <v>173</v>
      </c>
      <c r="G20" s="185">
        <v>2021</v>
      </c>
      <c r="H20" s="158">
        <f>IF(AND(ISNUMBER(D20), ISNUMBER(F20)),
    ROUNDDOWN(
        MIN(
            IF(OR(ISBLANK(I20), I20=""),
                EOMONTH(DATE(LOHNTABELLE!$G$3, $A$1, 1), 0), I20)
            - MAX(D20, DATE(LOHNTABELLE!$G$3, $A$1, 1)) + 1)
        / DAY(EOMONTH(DATE(LOHNTABELLE!$G$3, $A$1, 1), 0)) * F20,
        2
    ),
    ""
)</f>
        <v>173</v>
      </c>
      <c r="I20" s="155"/>
      <c r="J20" s="188"/>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19"/>
      <c r="P20" s="406"/>
      <c r="Q20" s="402"/>
      <c r="R20" s="402"/>
    </row>
    <row r="21" spans="1:29" ht="16" customHeight="1">
      <c r="A21" s="131" t="s">
        <v>92</v>
      </c>
      <c r="B21" s="170">
        <v>401089</v>
      </c>
      <c r="C21" s="132" t="s">
        <v>280</v>
      </c>
      <c r="D21" s="133">
        <v>44868</v>
      </c>
      <c r="E21" s="134" t="s">
        <v>8</v>
      </c>
      <c r="F21" s="136">
        <v>173</v>
      </c>
      <c r="G21" s="185">
        <v>2082</v>
      </c>
      <c r="H21" s="158">
        <f>IF(AND(ISNUMBER(D21), ISNUMBER(F21)),
    ROUNDDOWN(
        MIN(
            IF(OR(ISBLANK(I21), I21=""),
                EOMONTH(DATE(LOHNTABELLE!$G$3, $A$1, 1), 0), I21)
            - MAX(D21, DATE(LOHNTABELLE!$G$3, $A$1, 1)) + 1)
        / DAY(EOMONTH(DATE(LOHNTABELLE!$G$3, $A$1, 1), 0)) * F21,
        2
    ),
    ""
)</f>
        <v>173</v>
      </c>
      <c r="I21" s="155"/>
      <c r="J21" s="188"/>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319" t="s">
        <v>357</v>
      </c>
      <c r="P21" s="406"/>
      <c r="Q21" s="402">
        <v>5000</v>
      </c>
      <c r="R21" s="402"/>
    </row>
    <row r="22" spans="1:29" ht="16" customHeight="1">
      <c r="A22" s="130" t="s">
        <v>93</v>
      </c>
      <c r="B22" s="170">
        <v>401583</v>
      </c>
      <c r="C22" s="132" t="s">
        <v>281</v>
      </c>
      <c r="D22" s="133">
        <v>44900</v>
      </c>
      <c r="E22" s="134" t="s">
        <v>21</v>
      </c>
      <c r="F22" s="136">
        <v>173</v>
      </c>
      <c r="G22" s="185">
        <v>2300</v>
      </c>
      <c r="H22" s="158">
        <f>IF(AND(ISNUMBER(D22), ISNUMBER(F22)),
    ROUNDDOWN(
        MIN(
            IF(OR(ISBLANK(I22), I22=""),
                EOMONTH(DATE(LOHNTABELLE!$G$3, $A$1, 1), 0), I22)
            - MAX(D22, DATE(LOHNTABELLE!$G$3, $A$1, 1)) + 1)
        / DAY(EOMONTH(DATE(LOHNTABELLE!$G$3, $A$1, 1), 0)) * F22,
        2
    ),
    ""
)</f>
        <v>173</v>
      </c>
      <c r="I22" s="155"/>
      <c r="J22" s="188"/>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319"/>
      <c r="P22" s="406"/>
      <c r="Q22" s="402"/>
      <c r="R22" s="402"/>
    </row>
    <row r="23" spans="1:29" ht="16" customHeight="1">
      <c r="A23" s="130" t="s">
        <v>94</v>
      </c>
      <c r="B23" s="170">
        <v>401589</v>
      </c>
      <c r="C23" s="132" t="s">
        <v>282</v>
      </c>
      <c r="D23" s="133">
        <v>44926</v>
      </c>
      <c r="E23" s="134" t="s">
        <v>21</v>
      </c>
      <c r="F23" s="136">
        <v>173</v>
      </c>
      <c r="G23" s="185">
        <v>2300</v>
      </c>
      <c r="H23" s="158">
        <f>IF(AND(ISNUMBER(D23), ISNUMBER(F23)),
    ROUNDDOWN(
        MIN(
            IF(OR(ISBLANK(I23), I23=""),
                EOMONTH(DATE(LOHNTABELLE!$G$3, $A$1, 1), 0), I23)
            - MAX(D23, DATE(LOHNTABELLE!$G$3, $A$1, 1)) + 1)
        / DAY(EOMONTH(DATE(LOHNTABELLE!$G$3, $A$1, 1), 0)) * F23,
        2
    ),
    ""
)</f>
        <v>173</v>
      </c>
      <c r="I23" s="155"/>
      <c r="J23" s="188"/>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19"/>
      <c r="P23" s="406"/>
      <c r="Q23" s="402"/>
      <c r="R23" s="402"/>
      <c r="W23" s="45"/>
    </row>
    <row r="24" spans="1:29" ht="16" customHeight="1">
      <c r="A24" s="130" t="s">
        <v>95</v>
      </c>
      <c r="B24" s="170">
        <v>401602</v>
      </c>
      <c r="C24" s="132" t="s">
        <v>283</v>
      </c>
      <c r="D24" s="133">
        <v>45975</v>
      </c>
      <c r="E24" s="134" t="s">
        <v>4</v>
      </c>
      <c r="F24" s="136">
        <v>173</v>
      </c>
      <c r="G24" s="185">
        <v>2021</v>
      </c>
      <c r="H24" s="158">
        <f>IF(AND(ISNUMBER(D24), ISNUMBER(F24)),
    ROUNDDOWN(
        MIN(
            IF(OR(ISBLANK(I24), I24=""),
                EOMONTH(DATE(LOHNTABELLE!$G$3, $A$1, 1), 0), I24)
            - MAX(D24, DATE(LOHNTABELLE!$G$3, $A$1, 1)) + 1)
        / DAY(EOMONTH(DATE(LOHNTABELLE!$G$3, $A$1, 1), 0)) * F24,
        2
    ),
    ""
)</f>
        <v>173</v>
      </c>
      <c r="I24" s="155"/>
      <c r="J24" s="188"/>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319"/>
      <c r="P24" s="406"/>
      <c r="Q24" s="402"/>
      <c r="R24" s="402"/>
      <c r="W24" s="45"/>
    </row>
    <row r="25" spans="1:29" ht="16" customHeight="1" thickBot="1">
      <c r="A25" s="131" t="s">
        <v>96</v>
      </c>
      <c r="B25" s="170">
        <v>401605</v>
      </c>
      <c r="C25" s="132" t="s">
        <v>284</v>
      </c>
      <c r="D25" s="133">
        <v>44986</v>
      </c>
      <c r="E25" s="134" t="s">
        <v>4</v>
      </c>
      <c r="F25" s="136">
        <v>173</v>
      </c>
      <c r="G25" s="185">
        <v>2021</v>
      </c>
      <c r="H25" s="158">
        <f>IF(AND(ISNUMBER(D25), ISNUMBER(F25)),
    ROUNDDOWN(
        MIN(
            IF(OR(ISBLANK(I25), I25=""),
                EOMONTH(DATE(LOHNTABELLE!$G$3, $A$1, 1), 0), I25)
            - MAX(D25, DATE(LOHNTABELLE!$G$3, $A$1, 1)) + 1)
        / DAY(EOMONTH(DATE(LOHNTABELLE!$G$3, $A$1, 1), 0)) * F25,
        2
    ),
    ""
)</f>
        <v>173</v>
      </c>
      <c r="I25" s="155"/>
      <c r="J25" s="188"/>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425"/>
      <c r="P25" s="426"/>
      <c r="Q25" s="418"/>
      <c r="R25" s="418"/>
    </row>
    <row r="26" spans="1:29" ht="16" customHeight="1">
      <c r="A26" s="130" t="s">
        <v>97</v>
      </c>
      <c r="B26" s="170">
        <v>401626</v>
      </c>
      <c r="C26" s="132" t="s">
        <v>285</v>
      </c>
      <c r="D26" s="133">
        <v>45063</v>
      </c>
      <c r="E26" s="134" t="s">
        <v>4</v>
      </c>
      <c r="F26" s="136">
        <v>173</v>
      </c>
      <c r="G26" s="185">
        <v>2021</v>
      </c>
      <c r="H26" s="158">
        <f>IF(AND(ISNUMBER(D26), ISNUMBER(F26)),
    ROUNDDOWN(
        MIN(
            IF(OR(ISBLANK(I26), I26=""),
                EOMONTH(DATE(LOHNTABELLE!$G$3, $A$1, 1), 0), I26)
            - MAX(D26, DATE(LOHNTABELLE!$G$3, $A$1, 1)) + 1)
        / DAY(EOMONTH(DATE(LOHNTABELLE!$G$3, $A$1, 1), 0)) * F26,
        2
    ),
    ""
)</f>
        <v>173</v>
      </c>
      <c r="I26" s="155"/>
      <c r="J26" s="188"/>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29"/>
      <c r="P26" s="427"/>
      <c r="Q26" s="419"/>
      <c r="R26" s="420"/>
    </row>
    <row r="27" spans="1:29" ht="16" customHeight="1">
      <c r="A27" s="130" t="s">
        <v>98</v>
      </c>
      <c r="B27" s="170">
        <v>401633</v>
      </c>
      <c r="C27" s="132" t="s">
        <v>286</v>
      </c>
      <c r="D27" s="133">
        <v>45089</v>
      </c>
      <c r="E27" s="134" t="s">
        <v>21</v>
      </c>
      <c r="F27" s="136">
        <v>173</v>
      </c>
      <c r="G27" s="185">
        <v>2300</v>
      </c>
      <c r="H27" s="158">
        <f>IF(AND(ISNUMBER(D27), ISNUMBER(F27)),
    ROUNDDOWN(
        MIN(
            IF(OR(ISBLANK(I27), I27=""),
                EOMONTH(DATE(LOHNTABELLE!$G$3, $A$1, 1), 0), I27)
            - MAX(D27, DATE(LOHNTABELLE!$G$3, $A$1, 1)) + 1)
        / DAY(EOMONTH(DATE(LOHNTABELLE!$G$3, $A$1, 1), 0)) * F27,
        2
    ),
    ""
)</f>
        <v>173</v>
      </c>
      <c r="I27" s="155"/>
      <c r="J27" s="188"/>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319"/>
      <c r="P27" s="406"/>
      <c r="Q27" s="402"/>
      <c r="R27" s="421"/>
      <c r="S27" s="299" t="s">
        <v>99</v>
      </c>
      <c r="T27" s="300"/>
      <c r="U27" s="300"/>
      <c r="V27" s="300"/>
    </row>
    <row r="28" spans="1:29" ht="16" customHeight="1" thickBot="1">
      <c r="A28" s="130" t="s">
        <v>100</v>
      </c>
      <c r="B28" s="170">
        <v>401647</v>
      </c>
      <c r="C28" s="132" t="s">
        <v>287</v>
      </c>
      <c r="D28" s="133">
        <v>45182</v>
      </c>
      <c r="E28" s="134" t="s">
        <v>4</v>
      </c>
      <c r="F28" s="136">
        <v>173</v>
      </c>
      <c r="G28" s="185">
        <v>2021</v>
      </c>
      <c r="H28" s="158">
        <f>IF(AND(ISNUMBER(D28), ISNUMBER(F28)),
    ROUNDDOWN(
        MIN(
            IF(OR(ISBLANK(I28), I28=""),
                EOMONTH(DATE(LOHNTABELLE!$G$3, $A$1, 1), 0), I28)
            - MAX(D28, DATE(LOHNTABELLE!$G$3, $A$1, 1)) + 1)
        / DAY(EOMONTH(DATE(LOHNTABELLE!$G$3, $A$1, 1), 0)) * F28,
        2
    ),
    ""
)</f>
        <v>173</v>
      </c>
      <c r="I28" s="155"/>
      <c r="J28" s="188"/>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323"/>
      <c r="P28" s="422"/>
      <c r="Q28" s="423"/>
      <c r="R28" s="424"/>
    </row>
    <row r="29" spans="1:29" ht="16" customHeight="1" thickBot="1">
      <c r="A29" s="131" t="s">
        <v>101</v>
      </c>
      <c r="B29" s="170">
        <v>401661</v>
      </c>
      <c r="C29" s="132" t="s">
        <v>288</v>
      </c>
      <c r="D29" s="133">
        <v>45261</v>
      </c>
      <c r="E29" s="134" t="s">
        <v>4</v>
      </c>
      <c r="F29" s="136">
        <v>173</v>
      </c>
      <c r="G29" s="185">
        <v>2021</v>
      </c>
      <c r="H29" s="158">
        <f>IF(AND(ISNUMBER(D29), ISNUMBER(F29)),
    ROUNDDOWN(
        MIN(
            IF(OR(ISBLANK(I29), I29=""),
                EOMONTH(DATE(LOHNTABELLE!$G$3, $A$1, 1), 0), I29)
            - MAX(D29, DATE(LOHNTABELLE!$G$3, $A$1, 1)) + 1)
        / DAY(EOMONTH(DATE(LOHNTABELLE!$G$3, $A$1, 1), 0)) * F29,
        2
    ),
    ""
)</f>
        <v>173</v>
      </c>
      <c r="I29" s="155"/>
      <c r="J29" s="188"/>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91" t="s">
        <v>102</v>
      </c>
      <c r="P29" s="415"/>
      <c r="Q29" s="416">
        <f>EINSTELLUNG!O6</f>
        <v>1</v>
      </c>
      <c r="R29" s="417"/>
    </row>
    <row r="30" spans="1:29" ht="16" customHeight="1">
      <c r="A30" s="130" t="s">
        <v>103</v>
      </c>
      <c r="B30" s="170">
        <v>401670</v>
      </c>
      <c r="C30" s="132" t="s">
        <v>289</v>
      </c>
      <c r="D30" s="133">
        <v>45358</v>
      </c>
      <c r="E30" s="134" t="s">
        <v>4</v>
      </c>
      <c r="F30" s="136">
        <v>173</v>
      </c>
      <c r="G30" s="185">
        <v>2021</v>
      </c>
      <c r="H30" s="158">
        <f>IF(AND(ISNUMBER(D30), ISNUMBER(F30)),
    ROUNDDOWN(
        MIN(
            IF(OR(ISBLANK(I30), I30=""),
                EOMONTH(DATE(LOHNTABELLE!$G$3, $A$1, 1), 0), I30)
            - MAX(D30, DATE(LOHNTABELLE!$G$3, $A$1, 1)) + 1)
        / DAY(EOMONTH(DATE(LOHNTABELLE!$G$3, $A$1, 1), 0)) * F30,
        2
    ),
    ""
)</f>
        <v>173</v>
      </c>
      <c r="I30" s="155"/>
      <c r="J30" s="188"/>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85">
        <v>2021</v>
      </c>
      <c r="H31" s="158">
        <f>IF(AND(ISNUMBER(D31), ISNUMBER(F31)),
    ROUNDDOWN(
        MIN(
            IF(OR(ISBLANK(I31), I31=""),
                EOMONTH(DATE(LOHNTABELLE!$G$3, $A$1, 1), 0), I31)
            - MAX(D31, DATE(LOHNTABELLE!$G$3, $A$1, 1)) + 1)
        / DAY(EOMONTH(DATE(LOHNTABELLE!$G$3, $A$1, 1), 0)) * F31,
        2
    ),
    ""
)</f>
        <v>173</v>
      </c>
      <c r="I31" s="155"/>
      <c r="J31" s="188"/>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09">
        <v>0</v>
      </c>
      <c r="P31" s="428"/>
      <c r="Q31" s="429">
        <v>1.9607843137254902E-2</v>
      </c>
      <c r="R31" s="430"/>
    </row>
    <row r="32" spans="1:29" ht="16" customHeight="1">
      <c r="A32" s="130" t="s">
        <v>106</v>
      </c>
      <c r="B32" s="170">
        <v>401691</v>
      </c>
      <c r="C32" s="132" t="s">
        <v>291</v>
      </c>
      <c r="D32" s="133">
        <v>45539</v>
      </c>
      <c r="E32" s="134" t="s">
        <v>4</v>
      </c>
      <c r="F32" s="136">
        <v>69.2</v>
      </c>
      <c r="G32" s="185">
        <v>808.4</v>
      </c>
      <c r="H32" s="158">
        <f>IF(AND(ISNUMBER(D32), ISNUMBER(F32)),
    ROUNDDOWN(
        MIN(
            IF(OR(ISBLANK(I32), I32=""),
                EOMONTH(DATE(LOHNTABELLE!$G$3, $A$1, 1), 0), I32)
            - MAX(D32, DATE(LOHNTABELLE!$G$3, $A$1, 1)) + 1)
        / DAY(EOMONTH(DATE(LOHNTABELLE!$G$3, $A$1, 1), 0)) * F32,
        2
    ),
    ""
)</f>
        <v>55.8</v>
      </c>
      <c r="I32" s="155">
        <v>46047</v>
      </c>
      <c r="J32" s="188">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85">
        <v>2021</v>
      </c>
      <c r="H33" s="158">
        <f>IF(AND(ISNUMBER(D33), ISNUMBER(F33)),
    ROUNDDOWN(
        MIN(
            IF(OR(ISBLANK(I33), I33=""),
                EOMONTH(DATE(LOHNTABELLE!$G$3, $A$1, 1), 0), I33)
            - MAX(D33, DATE(LOHNTABELLE!$G$3, $A$1, 1)) + 1)
        / DAY(EOMONTH(DATE(LOHNTABELLE!$G$3, $A$1, 1), 0)) * F33,
        2
    ),
    ""
)</f>
        <v>173</v>
      </c>
      <c r="I33" s="155"/>
      <c r="J33" s="188"/>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409"/>
      <c r="P33" s="410"/>
      <c r="Q33" s="314" t="s">
        <v>108</v>
      </c>
      <c r="R33" s="315"/>
      <c r="S33" s="277" t="s">
        <v>109</v>
      </c>
      <c r="T33" s="278"/>
      <c r="U33" s="277" t="s">
        <v>110</v>
      </c>
      <c r="V33" s="278"/>
    </row>
    <row r="34" spans="1:24" ht="16" customHeight="1">
      <c r="A34" s="130" t="s">
        <v>111</v>
      </c>
      <c r="B34" s="170">
        <v>401703</v>
      </c>
      <c r="C34" s="132" t="s">
        <v>293</v>
      </c>
      <c r="D34" s="133">
        <v>45616</v>
      </c>
      <c r="E34" s="134" t="s">
        <v>4</v>
      </c>
      <c r="F34" s="136">
        <v>173</v>
      </c>
      <c r="G34" s="185">
        <v>2021</v>
      </c>
      <c r="H34" s="158">
        <f>IF(AND(ISNUMBER(D34), ISNUMBER(F34)),
    ROUNDDOWN(
        MIN(
            IF(OR(ISBLANK(I34), I34=""),
                EOMONTH(DATE(LOHNTABELLE!$G$3, $A$1, 1), 0), I34)
            - MAX(D34, DATE(LOHNTABELLE!$G$3, $A$1, 1)) + 1)
        / DAY(EOMONTH(DATE(LOHNTABELLE!$G$3, $A$1, 1), 0)) * F34,
        2
    ),
    ""
)</f>
        <v>173</v>
      </c>
      <c r="I34" s="155"/>
      <c r="J34" s="188"/>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409"/>
      <c r="P34" s="410"/>
      <c r="Q34" s="316"/>
      <c r="R34" s="317"/>
      <c r="S34" s="279"/>
      <c r="T34" s="280"/>
      <c r="U34" s="279"/>
      <c r="V34" s="280"/>
    </row>
    <row r="35" spans="1:24" ht="16" customHeight="1">
      <c r="A35" s="130" t="s">
        <v>112</v>
      </c>
      <c r="B35" s="170">
        <v>401214</v>
      </c>
      <c r="C35" s="132" t="s">
        <v>294</v>
      </c>
      <c r="D35" s="133">
        <v>45636</v>
      </c>
      <c r="E35" s="134" t="s">
        <v>8</v>
      </c>
      <c r="F35" s="136">
        <v>173</v>
      </c>
      <c r="G35" s="185">
        <v>2082</v>
      </c>
      <c r="H35" s="158">
        <f>IF(AND(ISNUMBER(D35), ISNUMBER(F35)),
    ROUNDDOWN(
        MIN(
            IF(OR(ISBLANK(I35), I35=""),
                EOMONTH(DATE(LOHNTABELLE!$G$3, $A$1, 1), 0), I35)
            - MAX(D35, DATE(LOHNTABELLE!$G$3, $A$1, 1)) + 1)
        / DAY(EOMONTH(DATE(LOHNTABELLE!$G$3, $A$1, 1), 0)) * F35,
        2
    ),
    ""
)</f>
        <v>173</v>
      </c>
      <c r="I35" s="155"/>
      <c r="J35" s="188"/>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94" t="s">
        <v>113</v>
      </c>
      <c r="P35" s="295"/>
      <c r="Q35" s="285">
        <f>EINSTELLUNG!C6</f>
        <v>1</v>
      </c>
      <c r="R35" s="285"/>
      <c r="S35" s="285">
        <f>EINSTELLUNG!C22</f>
        <v>1</v>
      </c>
      <c r="T35" s="285"/>
      <c r="U35" s="284">
        <f>S35-Q35</f>
        <v>0</v>
      </c>
      <c r="V35" s="284"/>
    </row>
    <row r="36" spans="1:24" ht="16" customHeight="1">
      <c r="A36" s="130" t="s">
        <v>114</v>
      </c>
      <c r="B36" s="170">
        <v>401715</v>
      </c>
      <c r="C36" s="132" t="s">
        <v>295</v>
      </c>
      <c r="D36" s="13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55"/>
      <c r="J36" s="188"/>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94" t="s">
        <v>115</v>
      </c>
      <c r="P36" s="295"/>
      <c r="Q36" s="285">
        <f>EINSTELLUNG!D6</f>
        <v>1</v>
      </c>
      <c r="R36" s="285"/>
      <c r="S36" s="285" cm="1">
        <f t="array" ref="S36">SumMergedCells(Q17:R29)</f>
        <v>0</v>
      </c>
      <c r="T36" s="285"/>
      <c r="U36" s="284">
        <f t="shared" ref="U36:U41" si="2">S36-Q36</f>
        <v>-1</v>
      </c>
      <c r="V36" s="284"/>
    </row>
    <row r="37" spans="1:24" ht="16" customHeight="1">
      <c r="A37" s="131" t="s">
        <v>116</v>
      </c>
      <c r="B37" s="170">
        <v>401716</v>
      </c>
      <c r="C37" s="132" t="s">
        <v>296</v>
      </c>
      <c r="D37" s="13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55"/>
      <c r="J37" s="188"/>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94" t="s">
        <v>117</v>
      </c>
      <c r="P37" s="295"/>
      <c r="Q37" s="408">
        <f>IF(ISERROR(Q36/Q35), 0, Q36/Q35)</f>
        <v>1</v>
      </c>
      <c r="R37" s="408"/>
      <c r="S37" s="408">
        <f>IF(ISERROR(S36/S35), 0, S36/S35)</f>
        <v>0</v>
      </c>
      <c r="T37" s="408"/>
      <c r="U37" s="281">
        <f t="shared" si="2"/>
        <v>-1</v>
      </c>
      <c r="V37" s="281"/>
    </row>
    <row r="38" spans="1:24" ht="16" customHeight="1">
      <c r="A38" s="130" t="s">
        <v>118</v>
      </c>
      <c r="B38" s="170">
        <v>401717</v>
      </c>
      <c r="C38" s="132" t="s">
        <v>297</v>
      </c>
      <c r="D38" s="13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55"/>
      <c r="J38" s="188"/>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94" t="s">
        <v>119</v>
      </c>
      <c r="P38" s="295"/>
      <c r="Q38" s="297">
        <f>EINSTELLUNG!F6</f>
        <v>1</v>
      </c>
      <c r="R38" s="297"/>
      <c r="S38" s="297">
        <f>EINSTELLUNG!F22</f>
        <v>1</v>
      </c>
      <c r="T38" s="297"/>
      <c r="U38" s="298">
        <f t="shared" si="2"/>
        <v>0</v>
      </c>
      <c r="V38" s="298"/>
    </row>
    <row r="39" spans="1:24" ht="16" customHeight="1">
      <c r="A39" s="130" t="s">
        <v>120</v>
      </c>
      <c r="B39" s="170">
        <v>401722</v>
      </c>
      <c r="C39" s="132" t="s">
        <v>298</v>
      </c>
      <c r="D39" s="13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55"/>
      <c r="J39" s="188"/>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94" t="s">
        <v>121</v>
      </c>
      <c r="P39" s="295"/>
      <c r="Q39" s="285">
        <f>IF(Q38=0, 0, Q35/Q38)</f>
        <v>1</v>
      </c>
      <c r="R39" s="285"/>
      <c r="S39" s="285">
        <f>IF(S38=0, 0, S35/S38)</f>
        <v>1</v>
      </c>
      <c r="T39" s="285"/>
      <c r="U39" s="284">
        <f t="shared" si="2"/>
        <v>0</v>
      </c>
      <c r="V39" s="284"/>
    </row>
    <row r="40" spans="1:24" ht="16" customHeight="1">
      <c r="A40" s="130" t="s">
        <v>122</v>
      </c>
      <c r="B40" s="170">
        <v>401723</v>
      </c>
      <c r="C40" s="132" t="s">
        <v>299</v>
      </c>
      <c r="D40" s="13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55"/>
      <c r="J40" s="188"/>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94" t="s">
        <v>123</v>
      </c>
      <c r="P40" s="295"/>
      <c r="Q40" s="285">
        <f>IF(Q13=0, 0, Q35/Q13)</f>
        <v>1.3347927066926506E-4</v>
      </c>
      <c r="R40" s="285"/>
      <c r="S40" s="285">
        <f>IF(Q13=0, 0, S35/Q13)</f>
        <v>1.3347927066926506E-4</v>
      </c>
      <c r="T40" s="285"/>
      <c r="U40" s="284">
        <f t="shared" si="2"/>
        <v>0</v>
      </c>
      <c r="V40" s="284"/>
    </row>
    <row r="41" spans="1:24" ht="16" customHeight="1">
      <c r="A41" s="131" t="s">
        <v>124</v>
      </c>
      <c r="B41" s="170">
        <v>401726</v>
      </c>
      <c r="C41" s="132" t="s">
        <v>300</v>
      </c>
      <c r="D41" s="13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55"/>
      <c r="J41" s="188"/>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94" t="s">
        <v>125</v>
      </c>
      <c r="P41" s="295"/>
      <c r="Q41" s="297">
        <f>IF(Q13=0, 0, Q38/Q13)</f>
        <v>1.3347927066926506E-4</v>
      </c>
      <c r="R41" s="297"/>
      <c r="S41" s="297">
        <f>IF(Q13=0, 0, S38/Q13)</f>
        <v>1.3347927066926506E-4</v>
      </c>
      <c r="T41" s="297"/>
      <c r="U41" s="298">
        <f t="shared" si="2"/>
        <v>0</v>
      </c>
      <c r="V41" s="298"/>
    </row>
    <row r="42" spans="1:24" ht="16" customHeight="1">
      <c r="A42" s="130" t="s">
        <v>126</v>
      </c>
      <c r="B42" s="170">
        <v>401731</v>
      </c>
      <c r="C42" s="132" t="s">
        <v>301</v>
      </c>
      <c r="D42" s="133">
        <v>45899</v>
      </c>
      <c r="E42" s="134" t="s">
        <v>4</v>
      </c>
      <c r="F42" s="136">
        <v>86.5</v>
      </c>
      <c r="G42" s="185">
        <v>1010.5</v>
      </c>
      <c r="H42" s="158">
        <f>IF(AND(ISNUMBER(D42), ISNUMBER(F42)),
    ROUNDDOWN(
        MIN(
            IF(OR(ISBLANK(I42), I42=""),
                EOMONTH(DATE(LOHNTABELLE!$G$3, $A$1, 1), 0), I42)
            - MAX(D42, DATE(LOHNTABELLE!$G$3, $A$1, 1)) + 1)
        / DAY(EOMONTH(DATE(LOHNTABELLE!$G$3, $A$1, 1), 0)) * F42,
        2
    ),
    ""
)</f>
        <v>86.5</v>
      </c>
      <c r="I42" s="155"/>
      <c r="J42" s="188"/>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94" t="s">
        <v>127</v>
      </c>
      <c r="P42" s="295"/>
      <c r="Q42" s="282">
        <f>IFERROR(Q17/Q8, 0)</f>
        <v>12.022579497412114</v>
      </c>
      <c r="R42" s="296"/>
      <c r="S42" s="296"/>
      <c r="T42" s="296"/>
      <c r="U42" s="296"/>
      <c r="V42" s="283"/>
    </row>
    <row r="43" spans="1:24" ht="16" customHeight="1">
      <c r="A43" s="130" t="s">
        <v>128</v>
      </c>
      <c r="B43" s="170">
        <v>401730</v>
      </c>
      <c r="C43" s="132" t="s">
        <v>302</v>
      </c>
      <c r="D43" s="133">
        <v>45895</v>
      </c>
      <c r="E43" s="134" t="s">
        <v>4</v>
      </c>
      <c r="F43" s="136">
        <v>86.5</v>
      </c>
      <c r="G43" s="185">
        <v>1010.5</v>
      </c>
      <c r="H43" s="158">
        <f>IF(AND(ISNUMBER(D43), ISNUMBER(F43)),
    ROUNDDOWN(
        MIN(
            IF(OR(ISBLANK(I43), I43=""),
                EOMONTH(DATE(LOHNTABELLE!$G$3, $A$1, 1), 0), I43)
            - MAX(D43, DATE(LOHNTABELLE!$G$3, $A$1, 1)) + 1)
        / DAY(EOMONTH(DATE(LOHNTABELLE!$G$3, $A$1, 1), 0)) * F43,
        2
    ),
    ""
)</f>
        <v>86.5</v>
      </c>
      <c r="I43" s="155"/>
      <c r="J43" s="188"/>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55"/>
      <c r="J44" s="188"/>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55"/>
      <c r="J45" s="188"/>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55"/>
      <c r="J46" s="188"/>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55"/>
      <c r="J47" s="188"/>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85">
        <v>1010.5</v>
      </c>
      <c r="H48" s="158">
        <f>IF(AND(ISNUMBER(D48), ISNUMBER(F48)),
    ROUNDDOWN(
        MIN(
            IF(OR(ISBLANK(I48), I48=""),
                EOMONTH(DATE(LOHNTABELLE!$G$3, $A$1, 1), 0), I48)
            - MAX(D48, DATE(LOHNTABELLE!$G$3, $A$1, 1)) + 1)
        / DAY(EOMONTH(DATE(LOHNTABELLE!$G$3, $A$1, 1), 0)) * F48,
        2
    ),
    ""
)</f>
        <v>86.5</v>
      </c>
      <c r="I48" s="155"/>
      <c r="J48" s="188"/>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55"/>
      <c r="J49" s="188"/>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55"/>
      <c r="J50" s="188"/>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85">
        <v>1010.5</v>
      </c>
      <c r="H51" s="158">
        <f>IF(AND(ISNUMBER(D51), ISNUMBER(F51)),
    ROUNDDOWN(
        MIN(
            IF(OR(ISBLANK(I51), I51=""),
                EOMONTH(DATE(LOHNTABELLE!$G$3, $A$1, 1), 0), I51)
            - MAX(D51, DATE(LOHNTABELLE!$G$3, $A$1, 1)) + 1)
        / DAY(EOMONTH(DATE(LOHNTABELLE!$G$3, $A$1, 1), 0)) * F51,
        2
    ),
    ""
)</f>
        <v>86.5</v>
      </c>
      <c r="I51" s="155"/>
      <c r="J51" s="188"/>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55"/>
      <c r="J52" s="188"/>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55"/>
      <c r="J53" s="188"/>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85">
        <v>1010.5</v>
      </c>
      <c r="H54" s="158">
        <f>IF(AND(ISNUMBER(D54), ISNUMBER(F54)),
    ROUNDDOWN(
        MIN(
            IF(OR(ISBLANK(I54), I54=""),
                EOMONTH(DATE(LOHNTABELLE!$G$3, $A$1, 1), 0), I54)
            - MAX(D54, DATE(LOHNTABELLE!$G$3, $A$1, 1)) + 1)
        / DAY(EOMONTH(DATE(LOHNTABELLE!$G$3, $A$1, 1), 0)) * F54,
        2
    ),
    ""
)</f>
        <v>86.5</v>
      </c>
      <c r="I54" s="155"/>
      <c r="J54" s="188"/>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85"/>
      <c r="H55" s="158" t="str">
        <f>IF(AND(ISNUMBER(D55), ISNUMBER(F55)),
    ROUNDDOWN(
        MIN(
            IF(OR(ISBLANK(I55), I55=""),
                EOMONTH(DATE(LOHNTABELLE!$G$3, $A$1, 1), 0), I55)
            - MAX(D55, DATE(LOHNTABELLE!$G$3, $A$1, 1)) + 1)
        / DAY(EOMONTH(DATE(LOHNTABELLE!$G$3, $A$1, 1), 0)) * F55,
        2
    ),
    ""
)</f>
        <v/>
      </c>
      <c r="I55" s="155"/>
      <c r="J55" s="188"/>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85"/>
      <c r="H56" s="158" t="str">
        <f>IF(AND(ISNUMBER(D56), ISNUMBER(F56)),
    ROUNDDOWN(
        MIN(
            IF(OR(ISBLANK(I56), I56=""),
                EOMONTH(DATE(LOHNTABELLE!$G$3, $A$1, 1), 0), I56)
            - MAX(D56, DATE(LOHNTABELLE!$G$3, $A$1, 1)) + 1)
        / DAY(EOMONTH(DATE(LOHNTABELLE!$G$3, $A$1, 1), 0)) * F56,
        2
    ),
    ""
)</f>
        <v/>
      </c>
      <c r="I56" s="155"/>
      <c r="J56" s="188"/>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85"/>
      <c r="H57" s="158" t="str">
        <f>IF(AND(ISNUMBER(D57), ISNUMBER(F57)),
    ROUNDDOWN(
        MIN(
            IF(OR(ISBLANK(I57), I57=""),
                EOMONTH(DATE(LOHNTABELLE!$G$3, $A$1, 1), 0), I57)
            - MAX(D57, DATE(LOHNTABELLE!$G$3, $A$1, 1)) + 1)
        / DAY(EOMONTH(DATE(LOHNTABELLE!$G$3, $A$1, 1), 0)) * F57,
        2
    ),
    ""
)</f>
        <v/>
      </c>
      <c r="I57" s="155"/>
      <c r="J57" s="188"/>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85"/>
      <c r="H58" s="158" t="str">
        <f>IF(AND(ISNUMBER(D58), ISNUMBER(F58)),
    ROUNDDOWN(
        MIN(
            IF(OR(ISBLANK(I58), I58=""),
                EOMONTH(DATE(LOHNTABELLE!$G$3, $A$1, 1), 0), I58)
            - MAX(D58, DATE(LOHNTABELLE!$G$3, $A$1, 1)) + 1)
        / DAY(EOMONTH(DATE(LOHNTABELLE!$G$3, $A$1, 1), 0)) * F58,
        2
    ),
    ""
)</f>
        <v/>
      </c>
      <c r="I58" s="155"/>
      <c r="J58" s="188"/>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85"/>
      <c r="H59" s="158" t="str">
        <f>IF(AND(ISNUMBER(D59), ISNUMBER(F59)),
    ROUNDDOWN(
        MIN(
            IF(OR(ISBLANK(I59), I59=""),
                EOMONTH(DATE(LOHNTABELLE!$G$3, $A$1, 1), 0), I59)
            - MAX(D59, DATE(LOHNTABELLE!$G$3, $A$1, 1)) + 1)
        / DAY(EOMONTH(DATE(LOHNTABELLE!$G$3, $A$1, 1), 0)) * F59,
        2
    ),
    ""
)</f>
        <v/>
      </c>
      <c r="I59" s="155"/>
      <c r="J59" s="188"/>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85"/>
      <c r="H60" s="158" t="str">
        <f>IF(AND(ISNUMBER(D60), ISNUMBER(F60)),
    ROUNDDOWN(
        MIN(
            IF(OR(ISBLANK(I60), I60=""),
                EOMONTH(DATE(LOHNTABELLE!$G$3, $A$1, 1), 0), I60)
            - MAX(D60, DATE(LOHNTABELLE!$G$3, $A$1, 1)) + 1)
        / DAY(EOMONTH(DATE(LOHNTABELLE!$G$3, $A$1, 1), 0)) * F60,
        2
    ),
    ""
)</f>
        <v/>
      </c>
      <c r="I60" s="155"/>
      <c r="J60" s="188"/>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85"/>
      <c r="H61" s="158" t="str">
        <f>IF(AND(ISNUMBER(D61), ISNUMBER(F61)),
    ROUNDDOWN(
        MIN(
            IF(OR(ISBLANK(I61), I61=""),
                EOMONTH(DATE(LOHNTABELLE!$G$3, $A$1, 1), 0), I61)
            - MAX(D61, DATE(LOHNTABELLE!$G$3, $A$1, 1)) + 1)
        / DAY(EOMONTH(DATE(LOHNTABELLE!$G$3, $A$1, 1), 0)) * F61,
        2
    ),
    ""
)</f>
        <v/>
      </c>
      <c r="I61" s="155"/>
      <c r="J61" s="188"/>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85"/>
      <c r="H62" s="158" t="str">
        <f>IF(AND(ISNUMBER(D62), ISNUMBER(F62)),
    ROUNDDOWN(
        MIN(
            IF(OR(ISBLANK(I62), I62=""),
                EOMONTH(DATE(LOHNTABELLE!$G$3, $A$1, 1), 0), I62)
            - MAX(D62, DATE(LOHNTABELLE!$G$3, $A$1, 1)) + 1)
        / DAY(EOMONTH(DATE(LOHNTABELLE!$G$3, $A$1, 1), 0)) * F62,
        2
    ),
    ""
)</f>
        <v/>
      </c>
      <c r="I62" s="155"/>
      <c r="J62" s="188"/>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85"/>
      <c r="H63" s="158" t="str">
        <f>IF(AND(ISNUMBER(D63), ISNUMBER(F63)),
    ROUNDDOWN(
        MIN(
            IF(OR(ISBLANK(I63), I63=""),
                EOMONTH(DATE(LOHNTABELLE!$G$3, $A$1, 1), 0), I63)
            - MAX(D63, DATE(LOHNTABELLE!$G$3, $A$1, 1)) + 1)
        / DAY(EOMONTH(DATE(LOHNTABELLE!$G$3, $A$1, 1), 0)) * F63,
        2
    ),
    ""
)</f>
        <v/>
      </c>
      <c r="I63" s="155"/>
      <c r="J63" s="188"/>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85"/>
      <c r="H64" s="158" t="str">
        <f>IF(AND(ISNUMBER(D64), ISNUMBER(F64)),
    ROUNDDOWN(
        MIN(
            IF(OR(ISBLANK(I64), I64=""),
                EOMONTH(DATE(LOHNTABELLE!$G$3, $A$1, 1), 0), I64)
            - MAX(D64, DATE(LOHNTABELLE!$G$3, $A$1, 1)) + 1)
        / DAY(EOMONTH(DATE(LOHNTABELLE!$G$3, $A$1, 1), 0)) * F64,
        2
    ),
    ""
)</f>
        <v/>
      </c>
      <c r="I64" s="155"/>
      <c r="J64" s="188"/>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85"/>
      <c r="H65" s="158" t="str">
        <f>IF(AND(ISNUMBER(D65), ISNUMBER(F65)),
    ROUNDDOWN(
        MIN(
            IF(OR(ISBLANK(I65), I65=""),
                EOMONTH(DATE(LOHNTABELLE!$G$3, $A$1, 1), 0), I65)
            - MAX(D65, DATE(LOHNTABELLE!$G$3, $A$1, 1)) + 1)
        / DAY(EOMONTH(DATE(LOHNTABELLE!$G$3, $A$1, 1), 0)) * F65,
        2
    ),
    ""
)</f>
        <v/>
      </c>
      <c r="I65" s="155"/>
      <c r="J65" s="188"/>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85"/>
      <c r="H66" s="158" t="str">
        <f>IF(AND(ISNUMBER(D66), ISNUMBER(F66)),
    ROUNDDOWN(
        MIN(
            IF(OR(ISBLANK(I66), I66=""),
                EOMONTH(DATE(LOHNTABELLE!$G$3, $A$1, 1), 0), I66)
            - MAX(D66, DATE(LOHNTABELLE!$G$3, $A$1, 1)) + 1)
        / DAY(EOMONTH(DATE(LOHNTABELLE!$G$3, $A$1, 1), 0)) * F66,
        2
    ),
    ""
)</f>
        <v/>
      </c>
      <c r="I66" s="155"/>
      <c r="J66" s="188"/>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85"/>
      <c r="H67" s="158" t="str">
        <f>IF(AND(ISNUMBER(D67), ISNUMBER(F67)),
    ROUNDDOWN(
        MIN(
            IF(OR(ISBLANK(I67), I67=""),
                EOMONTH(DATE(LOHNTABELLE!$G$3, $A$1, 1), 0), I67)
            - MAX(D67, DATE(LOHNTABELLE!$G$3, $A$1, 1)) + 1)
        / DAY(EOMONTH(DATE(LOHNTABELLE!$G$3, $A$1, 1), 0)) * F67,
        2
    ),
    ""
)</f>
        <v/>
      </c>
      <c r="I67" s="155"/>
      <c r="J67" s="188"/>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85"/>
      <c r="H68" s="158" t="str">
        <f>IF(AND(ISNUMBER(D68), ISNUMBER(F68)),
    ROUNDDOWN(
        MIN(
            IF(OR(ISBLANK(I68), I68=""),
                EOMONTH(DATE(LOHNTABELLE!$G$3, $A$1, 1), 0), I68)
            - MAX(D68, DATE(LOHNTABELLE!$G$3, $A$1, 1)) + 1)
        / DAY(EOMONTH(DATE(LOHNTABELLE!$G$3, $A$1, 1), 0)) * F68,
        2
    ),
    ""
)</f>
        <v/>
      </c>
      <c r="I68" s="155"/>
      <c r="J68" s="188"/>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85"/>
      <c r="H69" s="158" t="str">
        <f>IF(AND(ISNUMBER(D69), ISNUMBER(F69)),
    ROUNDDOWN(
        MIN(
            IF(OR(ISBLANK(I69), I69=""),
                EOMONTH(DATE(LOHNTABELLE!$G$3, $A$1, 1), 0), I69)
            - MAX(D69, DATE(LOHNTABELLE!$G$3, $A$1, 1)) + 1)
        / DAY(EOMONTH(DATE(LOHNTABELLE!$G$3, $A$1, 1), 0)) * F69,
        2
    ),
    ""
)</f>
        <v/>
      </c>
      <c r="I69" s="155"/>
      <c r="J69" s="188"/>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85"/>
      <c r="H70" s="158" t="str">
        <f>IF(AND(ISNUMBER(D70), ISNUMBER(F70)),
    ROUNDDOWN(
        MIN(
            IF(OR(ISBLANK(I70), I70=""),
                EOMONTH(DATE(LOHNTABELLE!$G$3, $A$1, 1), 0), I70)
            - MAX(D70, DATE(LOHNTABELLE!$G$3, $A$1, 1)) + 1)
        / DAY(EOMONTH(DATE(LOHNTABELLE!$G$3, $A$1, 1), 0)) * F70,
        2
    ),
    ""
)</f>
        <v/>
      </c>
      <c r="I70" s="155"/>
      <c r="J70" s="188"/>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85"/>
      <c r="H71" s="158" t="str">
        <f>IF(AND(ISNUMBER(D71), ISNUMBER(F71)),
    ROUNDDOWN(
        MIN(
            IF(OR(ISBLANK(I71), I71=""),
                EOMONTH(DATE(LOHNTABELLE!$G$3, $A$1, 1), 0), I71)
            - MAX(D71, DATE(LOHNTABELLE!$G$3, $A$1, 1)) + 1)
        / DAY(EOMONTH(DATE(LOHNTABELLE!$G$3, $A$1, 1), 0)) * F71,
        2
    ),
    ""
)</f>
        <v/>
      </c>
      <c r="I71" s="155"/>
      <c r="J71" s="188"/>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85"/>
      <c r="H72" s="158" t="str">
        <f>IF(AND(ISNUMBER(D72), ISNUMBER(F72)),
    ROUNDDOWN(
        MIN(
            IF(OR(ISBLANK(I72), I72=""),
                EOMONTH(DATE(LOHNTABELLE!$G$3, $A$1, 1), 0), I72)
            - MAX(D72, DATE(LOHNTABELLE!$G$3, $A$1, 1)) + 1)
        / DAY(EOMONTH(DATE(LOHNTABELLE!$G$3, $A$1, 1), 0)) * F72,
        2
    ),
    ""
)</f>
        <v/>
      </c>
      <c r="I72" s="155"/>
      <c r="J72" s="188"/>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85"/>
      <c r="H73" s="158" t="str">
        <f>IF(AND(ISNUMBER(D73), ISNUMBER(F73)),
    ROUNDDOWN(
        MIN(
            IF(OR(ISBLANK(I73), I73=""),
                EOMONTH(DATE(LOHNTABELLE!$G$3, $A$1, 1), 0), I73)
            - MAX(D73, DATE(LOHNTABELLE!$G$3, $A$1, 1)) + 1)
        / DAY(EOMONTH(DATE(LOHNTABELLE!$G$3, $A$1, 1), 0)) * F73,
        2
    ),
    ""
)</f>
        <v/>
      </c>
      <c r="I73" s="155"/>
      <c r="J73" s="188"/>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85"/>
      <c r="H74" s="158" t="str">
        <f>IF(AND(ISNUMBER(D74), ISNUMBER(F74)),
    ROUNDDOWN(
        MIN(
            IF(OR(ISBLANK(I74), I74=""),
                EOMONTH(DATE(LOHNTABELLE!$G$3, $A$1, 1), 0), I74)
            - MAX(D74, DATE(LOHNTABELLE!$G$3, $A$1, 1)) + 1)
        / DAY(EOMONTH(DATE(LOHNTABELLE!$G$3, $A$1, 1), 0)) * F74,
        2
    ),
    ""
)</f>
        <v/>
      </c>
      <c r="I74" s="155"/>
      <c r="J74" s="188"/>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85"/>
      <c r="H75" s="158" t="str">
        <f>IF(AND(ISNUMBER(D75), ISNUMBER(F75)),
    ROUNDDOWN(
        MIN(
            IF(OR(ISBLANK(I75), I75=""),
                EOMONTH(DATE(LOHNTABELLE!$G$3, $A$1, 1), 0), I75)
            - MAX(D75, DATE(LOHNTABELLE!$G$3, $A$1, 1)) + 1)
        / DAY(EOMONTH(DATE(LOHNTABELLE!$G$3, $A$1, 1), 0)) * F75,
        2
    ),
    ""
)</f>
        <v/>
      </c>
      <c r="I75" s="155"/>
      <c r="J75" s="188"/>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85"/>
      <c r="H76" s="158" t="str">
        <f>IF(AND(ISNUMBER(D76), ISNUMBER(F76)),
    ROUNDDOWN(
        MIN(
            IF(OR(ISBLANK(I76), I76=""),
                EOMONTH(DATE(LOHNTABELLE!$G$3, $A$1, 1), 0), I76)
            - MAX(D76, DATE(LOHNTABELLE!$G$3, $A$1, 1)) + 1)
        / DAY(EOMONTH(DATE(LOHNTABELLE!$G$3, $A$1, 1), 0)) * F76,
        2
    ),
    ""
)</f>
        <v/>
      </c>
      <c r="I76" s="155"/>
      <c r="J76" s="188"/>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85"/>
      <c r="H77" s="158" t="str">
        <f>IF(AND(ISNUMBER(D77), ISNUMBER(F77)),
    ROUNDDOWN(
        MIN(
            IF(OR(ISBLANK(I77), I77=""),
                EOMONTH(DATE(LOHNTABELLE!$G$3, $A$1, 1), 0), I77)
            - MAX(D77, DATE(LOHNTABELLE!$G$3, $A$1, 1)) + 1)
        / DAY(EOMONTH(DATE(LOHNTABELLE!$G$3, $A$1, 1), 0)) * F77,
        2
    ),
    ""
)</f>
        <v/>
      </c>
      <c r="I77" s="155"/>
      <c r="J77" s="188"/>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85"/>
      <c r="H78" s="158" t="str">
        <f>IF(AND(ISNUMBER(D78), ISNUMBER(F78)),
    ROUNDDOWN(
        MIN(
            IF(OR(ISBLANK(I78), I78=""),
                EOMONTH(DATE(LOHNTABELLE!$G$3, $A$1, 1), 0), I78)
            - MAX(D78, DATE(LOHNTABELLE!$G$3, $A$1, 1)) + 1)
        / DAY(EOMONTH(DATE(LOHNTABELLE!$G$3, $A$1, 1), 0)) * F78,
        2
    ),
    ""
)</f>
        <v/>
      </c>
      <c r="I78" s="155"/>
      <c r="J78" s="188"/>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85"/>
      <c r="H79" s="158" t="str">
        <f>IF(AND(ISNUMBER(D79), ISNUMBER(F79)),
    ROUNDDOWN(
        MIN(
            IF(OR(ISBLANK(I79), I79=""),
                EOMONTH(DATE(LOHNTABELLE!$G$3, $A$1, 1), 0), I79)
            - MAX(D79, DATE(LOHNTABELLE!$G$3, $A$1, 1)) + 1)
        / DAY(EOMONTH(DATE(LOHNTABELLE!$G$3, $A$1, 1), 0)) * F79,
        2
    ),
    ""
)</f>
        <v/>
      </c>
      <c r="I79" s="155"/>
      <c r="J79" s="188"/>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85"/>
      <c r="H80" s="158" t="str">
        <f>IF(AND(ISNUMBER(D80), ISNUMBER(F80)),
    ROUNDDOWN(
        MIN(
            IF(OR(ISBLANK(I80), I80=""),
                EOMONTH(DATE(LOHNTABELLE!$G$3, $A$1, 1), 0), I80)
            - MAX(D80, DATE(LOHNTABELLE!$G$3, $A$1, 1)) + 1)
        / DAY(EOMONTH(DATE(LOHNTABELLE!$G$3, $A$1, 1), 0)) * F80,
        2
    ),
    ""
)</f>
        <v/>
      </c>
      <c r="I80" s="155"/>
      <c r="J80" s="188"/>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85"/>
      <c r="H81" s="158" t="str">
        <f>IF(AND(ISNUMBER(D81), ISNUMBER(F81)),
    ROUNDDOWN(
        MIN(
            IF(OR(ISBLANK(I81), I81=""),
                EOMONTH(DATE(LOHNTABELLE!$G$3, $A$1, 1), 0), I81)
            - MAX(D81, DATE(LOHNTABELLE!$G$3, $A$1, 1)) + 1)
        / DAY(EOMONTH(DATE(LOHNTABELLE!$G$3, $A$1, 1), 0)) * F81,
        2
    ),
    ""
)</f>
        <v/>
      </c>
      <c r="I81" s="155"/>
      <c r="J81" s="188"/>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86"/>
      <c r="H82" s="159" t="str">
        <f>IF(AND(ISNUMBER(D82), ISNUMBER(F82)),
    ROUNDDOWN(
        MIN(
            IF(OR(ISBLANK(I82), I82=""),
                EOMONTH(DATE(LOHNTABELLE!$G$3, $A$1, 1), 0), I82)
            - MAX(D82, DATE(LOHNTABELLE!$G$3, $A$1, 1)) + 1)
        / DAY(EOMONTH(DATE(LOHNTABELLE!$G$3, $A$1, 1), 0)) * F82,
        2
    ),
    ""
)</f>
        <v/>
      </c>
      <c r="I82" s="156"/>
      <c r="J82" s="189"/>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431"/>
      <c r="L114" s="431"/>
      <c r="M114" s="431"/>
      <c r="N114" s="127"/>
    </row>
    <row r="115" spans="11:14" ht="16" customHeight="1">
      <c r="K115" s="431"/>
      <c r="L115" s="431"/>
      <c r="M115" s="431"/>
      <c r="N115" s="127"/>
    </row>
    <row r="116" spans="11:14" ht="16" customHeight="1">
      <c r="K116" s="413"/>
      <c r="L116" s="413"/>
      <c r="M116" s="78"/>
      <c r="N116" s="78"/>
    </row>
    <row r="117" spans="11:14" ht="16" customHeight="1">
      <c r="K117" s="413"/>
      <c r="L117" s="413"/>
      <c r="M117" s="78"/>
      <c r="N117" s="78"/>
    </row>
    <row r="118" spans="11:14" ht="16" customHeight="1">
      <c r="K118" s="432"/>
      <c r="L118" s="432"/>
      <c r="M118" s="79"/>
      <c r="N118" s="79"/>
    </row>
    <row r="119" spans="11:14" ht="16" customHeight="1">
      <c r="K119" s="414"/>
      <c r="L119" s="414"/>
      <c r="M119" s="80"/>
      <c r="N119" s="80"/>
    </row>
    <row r="120" spans="11:14" ht="16" customHeight="1">
      <c r="K120" s="413"/>
      <c r="L120" s="413"/>
      <c r="M120" s="78"/>
      <c r="N120" s="78"/>
    </row>
    <row r="121" spans="11:14" ht="16" customHeight="1">
      <c r="K121" s="413"/>
      <c r="L121" s="413"/>
      <c r="M121" s="78"/>
      <c r="N121" s="78"/>
    </row>
    <row r="122" spans="11:14" ht="16" customHeight="1">
      <c r="K122" s="414"/>
      <c r="L122" s="414"/>
      <c r="M122" s="80"/>
      <c r="N122" s="80"/>
    </row>
    <row r="123" spans="11:14" ht="16" customHeight="1">
      <c r="K123" s="81"/>
      <c r="L123" s="81"/>
      <c r="M123" s="81"/>
      <c r="N123" s="81"/>
    </row>
  </sheetData>
  <sheetProtection algorithmName="SHA-512" hashValue="ejvdXW7GypIR8hJSFijurn793wQKv6QPuDRoQg3XSTF2SVWU47B2i06ef56+T9tn09KgeNUgDQoIVfROA/IKhw==" saltValue="kjT/EpuagVfdXL/c0pHSYQ==" spinCount="100000" sheet="1" objects="1" scenarios="1" sort="0" autoFilter="0"/>
  <mergeCells count="107">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O39:P39"/>
    <mergeCell ref="Q39:R39"/>
    <mergeCell ref="S39:T39"/>
    <mergeCell ref="U39:V39"/>
    <mergeCell ref="Q37:R37"/>
    <mergeCell ref="S37:T37"/>
    <mergeCell ref="U37:V37"/>
    <mergeCell ref="O38:P38"/>
    <mergeCell ref="Q38:R38"/>
    <mergeCell ref="S38:T38"/>
    <mergeCell ref="U38:V38"/>
    <mergeCell ref="O37:P37"/>
    <mergeCell ref="O40:P40"/>
    <mergeCell ref="Q40:R40"/>
    <mergeCell ref="S40:T40"/>
    <mergeCell ref="U40:V40"/>
    <mergeCell ref="O41:P41"/>
    <mergeCell ref="Q41:R41"/>
    <mergeCell ref="S41:T41"/>
    <mergeCell ref="U41:V41"/>
    <mergeCell ref="O42:P42"/>
    <mergeCell ref="Q42:V42"/>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453125" defaultRowHeight="14.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02D22du+6INhkz3tm9klJtQb2/Nm73ia5fpQViNceo4JiNIM77STfc+FnFwezKz4eIvnCbalz2D6ZmKg1wYRVw==" saltValue="R+TOn9RonlWazOqo8U2RnA=="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6" activePane="bottomLeft" state="frozen"/>
      <selection activeCell="T24" sqref="T24"/>
      <selection pane="bottomLeft" activeCell="D11" sqref="D11"/>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6" customHeight="1">
      <c r="A1" s="128">
        <v>2</v>
      </c>
      <c r="B1" s="348" t="s">
        <v>205</v>
      </c>
      <c r="C1" s="342" t="s">
        <v>52</v>
      </c>
      <c r="D1" s="344" t="s">
        <v>206</v>
      </c>
      <c r="E1" s="344" t="s">
        <v>0</v>
      </c>
      <c r="F1" s="344" t="s">
        <v>53</v>
      </c>
      <c r="G1" s="346" t="s">
        <v>54</v>
      </c>
      <c r="H1" s="351" t="s">
        <v>55</v>
      </c>
      <c r="I1" s="356" t="s">
        <v>207</v>
      </c>
      <c r="J1" s="358" t="s">
        <v>56</v>
      </c>
      <c r="K1" s="360" t="s">
        <v>57</v>
      </c>
      <c r="L1" s="362" t="s">
        <v>58</v>
      </c>
      <c r="M1" s="364" t="s">
        <v>59</v>
      </c>
      <c r="N1" s="349" t="s">
        <v>208</v>
      </c>
      <c r="AB1" s="41">
        <f>DATE(LOHNTABELLE!$G$3, $A$1, 1)</f>
        <v>46054</v>
      </c>
    </row>
    <row r="2" spans="1:28" ht="16" customHeight="1" thickBot="1">
      <c r="A2" s="129"/>
      <c r="B2" s="348"/>
      <c r="C2" s="343"/>
      <c r="D2" s="345"/>
      <c r="E2" s="345"/>
      <c r="F2" s="345"/>
      <c r="G2" s="347"/>
      <c r="H2" s="352"/>
      <c r="I2" s="357"/>
      <c r="J2" s="359"/>
      <c r="K2" s="361"/>
      <c r="L2" s="363"/>
      <c r="M2" s="365"/>
      <c r="N2" s="349"/>
      <c r="AB2" s="41">
        <f>EOMONTH(DATE(LOHNTABELLE!$G$3, $A$1, 1), 0)</f>
        <v>46081</v>
      </c>
    </row>
    <row r="3" spans="1:28" ht="16" customHeight="1">
      <c r="A3" s="130" t="s">
        <v>60</v>
      </c>
      <c r="B3" s="169">
        <v>401006</v>
      </c>
      <c r="C3" s="166" t="s">
        <v>262</v>
      </c>
      <c r="D3" s="192">
        <v>38188</v>
      </c>
      <c r="E3" s="142" t="s">
        <v>24</v>
      </c>
      <c r="F3" s="167">
        <v>173</v>
      </c>
      <c r="G3" s="184">
        <v>2328</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340" t="s">
        <v>61</v>
      </c>
      <c r="P3" s="340" t="s">
        <v>62</v>
      </c>
      <c r="Q3" s="366" t="s">
        <v>63</v>
      </c>
      <c r="R3" s="353" t="s">
        <v>64</v>
      </c>
      <c r="AB3" s="43"/>
    </row>
    <row r="4" spans="1:28" ht="16" customHeight="1">
      <c r="A4" s="130" t="s">
        <v>65</v>
      </c>
      <c r="B4" s="170">
        <v>401010</v>
      </c>
      <c r="C4" s="137" t="s">
        <v>263</v>
      </c>
      <c r="D4" s="193">
        <v>39388</v>
      </c>
      <c r="E4" s="134" t="s">
        <v>12</v>
      </c>
      <c r="F4" s="136">
        <v>173</v>
      </c>
      <c r="G4" s="185">
        <v>2183</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341"/>
      <c r="P4" s="341"/>
      <c r="Q4" s="367"/>
      <c r="R4" s="354"/>
    </row>
    <row r="5" spans="1:28" ht="16" customHeight="1">
      <c r="A5" s="131" t="s">
        <v>66</v>
      </c>
      <c r="B5" s="170">
        <v>401047</v>
      </c>
      <c r="C5" s="137" t="s">
        <v>265</v>
      </c>
      <c r="D5" s="193">
        <v>41154</v>
      </c>
      <c r="E5" s="134" t="s">
        <v>10</v>
      </c>
      <c r="F5" s="136">
        <v>173</v>
      </c>
      <c r="G5" s="185">
        <v>2123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842.66960625479021</v>
      </c>
      <c r="P5" s="49">
        <f>EINSTELLUNG!I7</f>
        <v>2</v>
      </c>
      <c r="Q5" s="48">
        <f>P5-O5</f>
        <v>-840.66960625479021</v>
      </c>
      <c r="R5" s="52">
        <f>IFERROR(Q5*Q42, 0)</f>
        <v>-10069.9718836678</v>
      </c>
    </row>
    <row r="6" spans="1:28" ht="16" customHeight="1">
      <c r="A6" s="130" t="s">
        <v>67</v>
      </c>
      <c r="B6" s="170">
        <v>401049</v>
      </c>
      <c r="C6" s="139" t="s">
        <v>264</v>
      </c>
      <c r="D6" s="193">
        <v>41130</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5" t="str">
        <f>IF(Q5&lt;0, "Schlecht! Zu wenig Urlaub abgebaut.", IF(Q5&gt;0, "Gut! Mehr Urlaub abgebaut als aufgebaut.", ""))</f>
        <v>Schlecht! Zu wenig Urlaub abgebaut.</v>
      </c>
      <c r="P6" s="355"/>
      <c r="Q6" s="355"/>
      <c r="R6" s="355"/>
    </row>
    <row r="7" spans="1:28" ht="16" customHeight="1">
      <c r="A7" s="130" t="s">
        <v>68</v>
      </c>
      <c r="B7" s="170">
        <v>401051</v>
      </c>
      <c r="C7" s="137" t="s">
        <v>266</v>
      </c>
      <c r="D7" s="193">
        <v>41176</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193">
        <v>44868</v>
      </c>
      <c r="E8" s="134" t="s">
        <v>8</v>
      </c>
      <c r="F8" s="136">
        <v>173</v>
      </c>
      <c r="G8" s="185">
        <v>2082</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38" t="s">
        <v>70</v>
      </c>
      <c r="P8" s="339"/>
      <c r="Q8" s="336">
        <f>SUM(H3:H82)</f>
        <v>8591.6099999999988</v>
      </c>
      <c r="R8" s="337"/>
    </row>
    <row r="9" spans="1:28" ht="16" customHeight="1">
      <c r="A9" s="131" t="s">
        <v>71</v>
      </c>
      <c r="B9" s="170">
        <v>401138</v>
      </c>
      <c r="C9" s="137" t="s">
        <v>267</v>
      </c>
      <c r="D9" s="193">
        <v>42006</v>
      </c>
      <c r="E9" s="134" t="s">
        <v>10</v>
      </c>
      <c r="F9" s="136">
        <v>173</v>
      </c>
      <c r="G9" s="185">
        <v>2123</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38" t="s">
        <v>72</v>
      </c>
      <c r="P9" s="339"/>
      <c r="Q9" s="336">
        <f>EINSTELLUNG!L23</f>
        <v>2</v>
      </c>
      <c r="R9" s="337"/>
      <c r="S9" s="53">
        <f>IFERROR(Q9/Q8, 0)</f>
        <v>2.3278524048461234E-4</v>
      </c>
    </row>
    <row r="10" spans="1:28" ht="16" customHeight="1">
      <c r="A10" s="130" t="s">
        <v>73</v>
      </c>
      <c r="B10" s="170">
        <v>401197</v>
      </c>
      <c r="C10" s="137" t="s">
        <v>268</v>
      </c>
      <c r="D10" s="193">
        <v>42644</v>
      </c>
      <c r="E10" s="134" t="s">
        <v>8</v>
      </c>
      <c r="F10" s="136">
        <v>173</v>
      </c>
      <c r="G10" s="185">
        <v>2082</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38" t="s">
        <v>74</v>
      </c>
      <c r="P10" s="339"/>
      <c r="Q10" s="336">
        <f>EINSTELLUNG!I23</f>
        <v>2</v>
      </c>
      <c r="R10" s="337"/>
    </row>
    <row r="11" spans="1:28" ht="16" customHeight="1">
      <c r="A11" s="130" t="s">
        <v>75</v>
      </c>
      <c r="B11" s="170">
        <v>401214</v>
      </c>
      <c r="C11" s="137" t="s">
        <v>294</v>
      </c>
      <c r="D11" s="193">
        <v>45636</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38" t="s">
        <v>76</v>
      </c>
      <c r="P11" s="339"/>
      <c r="Q11" s="336">
        <f>P5</f>
        <v>2</v>
      </c>
      <c r="R11" s="337"/>
    </row>
    <row r="12" spans="1:28" ht="16" customHeight="1">
      <c r="A12" s="130" t="s">
        <v>77</v>
      </c>
      <c r="B12" s="170">
        <v>401276</v>
      </c>
      <c r="C12" s="137" t="s">
        <v>269</v>
      </c>
      <c r="D12" s="193">
        <v>43252</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38" t="s">
        <v>80</v>
      </c>
      <c r="P12" s="339"/>
      <c r="Q12" s="336">
        <f>Q8-Q9-Q10-Q11</f>
        <v>8585.6099999999988</v>
      </c>
      <c r="R12" s="337"/>
    </row>
    <row r="13" spans="1:28" ht="16" customHeight="1">
      <c r="A13" s="131" t="s">
        <v>79</v>
      </c>
      <c r="B13" s="170">
        <v>401307</v>
      </c>
      <c r="C13" s="137" t="s">
        <v>270</v>
      </c>
      <c r="D13" s="193">
        <v>43571</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38" t="s">
        <v>82</v>
      </c>
      <c r="P13" s="339"/>
      <c r="Q13" s="336">
        <f>EINSTELLUNG!L7</f>
        <v>2</v>
      </c>
      <c r="R13" s="337"/>
    </row>
    <row r="14" spans="1:28" ht="16" customHeight="1">
      <c r="A14" s="130" t="s">
        <v>81</v>
      </c>
      <c r="B14" s="170">
        <v>401308</v>
      </c>
      <c r="C14" s="137" t="s">
        <v>271</v>
      </c>
      <c r="D14" s="193">
        <v>43579</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38" t="s">
        <v>84</v>
      </c>
      <c r="P14" s="339"/>
      <c r="Q14" s="336">
        <f>Q12-Q13</f>
        <v>8583.6099999999988</v>
      </c>
      <c r="R14" s="337"/>
    </row>
    <row r="15" spans="1:28" ht="16" customHeight="1">
      <c r="A15" s="130" t="s">
        <v>83</v>
      </c>
      <c r="B15" s="170">
        <v>401389</v>
      </c>
      <c r="C15" s="137" t="s">
        <v>273</v>
      </c>
      <c r="D15" s="193">
        <v>44384</v>
      </c>
      <c r="E15" s="134" t="s">
        <v>22</v>
      </c>
      <c r="F15" s="136">
        <v>173</v>
      </c>
      <c r="G15" s="185">
        <v>2300</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50" t="str">
        <f>IF(Q14&lt;0, "Schlecht! Zu wenig Stunden für Dienstplan.", IF(Q14&gt;0, "Du hast mehr als genug Stunden für Dienstplan.", ""))</f>
        <v>Du hast mehr als genug Stunden für Dienstplan.</v>
      </c>
      <c r="P15" s="350"/>
      <c r="Q15" s="350"/>
      <c r="R15" s="350"/>
      <c r="S15" s="100"/>
      <c r="T15" s="100"/>
      <c r="U15" s="100"/>
    </row>
    <row r="16" spans="1:28" ht="16" customHeight="1">
      <c r="A16" s="130" t="s">
        <v>85</v>
      </c>
      <c r="B16" s="170">
        <v>401394</v>
      </c>
      <c r="C16" s="137" t="s">
        <v>272</v>
      </c>
      <c r="D16" s="193">
        <v>44379</v>
      </c>
      <c r="E16" s="134" t="s">
        <v>4</v>
      </c>
      <c r="F16" s="136">
        <v>173</v>
      </c>
      <c r="G16" s="185">
        <v>2021</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193">
        <v>44441</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32" t="s">
        <v>87</v>
      </c>
      <c r="P17" s="333"/>
      <c r="Q17" s="334">
        <f>SUM(L3:L82)</f>
        <v>102914.71285714286</v>
      </c>
      <c r="R17" s="335"/>
      <c r="W17" s="45"/>
    </row>
    <row r="18" spans="1:29" ht="16" customHeight="1">
      <c r="A18" s="130" t="s">
        <v>88</v>
      </c>
      <c r="B18" s="170">
        <v>401476</v>
      </c>
      <c r="C18" s="137" t="s">
        <v>276</v>
      </c>
      <c r="D18" s="193">
        <v>44504</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02"/>
      <c r="P18" s="303"/>
      <c r="Q18" s="304"/>
      <c r="R18" s="305"/>
    </row>
    <row r="19" spans="1:29" ht="16" customHeight="1">
      <c r="A19" s="130" t="s">
        <v>89</v>
      </c>
      <c r="B19" s="170">
        <v>401479</v>
      </c>
      <c r="C19" s="137" t="s">
        <v>277</v>
      </c>
      <c r="D19" s="193">
        <v>44511</v>
      </c>
      <c r="E19" s="134" t="s">
        <v>13</v>
      </c>
      <c r="F19" s="136">
        <v>173</v>
      </c>
      <c r="G19" s="185">
        <v>2160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02"/>
      <c r="P19" s="303"/>
      <c r="Q19" s="304"/>
      <c r="R19" s="305"/>
    </row>
    <row r="20" spans="1:29" ht="16" customHeight="1">
      <c r="A20" s="130" t="s">
        <v>90</v>
      </c>
      <c r="B20" s="170">
        <v>401481</v>
      </c>
      <c r="C20" s="137" t="s">
        <v>278</v>
      </c>
      <c r="D20" s="193">
        <v>44531</v>
      </c>
      <c r="E20" s="134" t="s">
        <v>4</v>
      </c>
      <c r="F20" s="136">
        <v>173</v>
      </c>
      <c r="G20" s="185">
        <v>2021</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02"/>
      <c r="P20" s="303"/>
      <c r="Q20" s="304"/>
      <c r="R20" s="305"/>
    </row>
    <row r="21" spans="1:29" ht="16" customHeight="1">
      <c r="A21" s="131" t="s">
        <v>92</v>
      </c>
      <c r="B21" s="170">
        <v>401558</v>
      </c>
      <c r="C21" s="137" t="s">
        <v>275</v>
      </c>
      <c r="D21" s="193">
        <v>44460</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02" t="s">
        <v>357</v>
      </c>
      <c r="P21" s="303"/>
      <c r="Q21" s="304">
        <v>5000</v>
      </c>
      <c r="R21" s="305"/>
    </row>
    <row r="22" spans="1:29" ht="16" customHeight="1">
      <c r="A22" s="130" t="s">
        <v>93</v>
      </c>
      <c r="B22" s="170">
        <v>401564</v>
      </c>
      <c r="C22" s="137" t="s">
        <v>279</v>
      </c>
      <c r="D22" s="193">
        <v>44824</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02"/>
      <c r="P22" s="303"/>
      <c r="Q22" s="304"/>
      <c r="R22" s="305"/>
    </row>
    <row r="23" spans="1:29" ht="16" customHeight="1">
      <c r="A23" s="130" t="s">
        <v>94</v>
      </c>
      <c r="B23" s="170">
        <v>401583</v>
      </c>
      <c r="C23" s="137" t="s">
        <v>281</v>
      </c>
      <c r="D23" s="193">
        <v>44900</v>
      </c>
      <c r="E23" s="134" t="s">
        <v>21</v>
      </c>
      <c r="F23" s="136">
        <v>173</v>
      </c>
      <c r="G23" s="185">
        <v>2300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02"/>
      <c r="P23" s="303"/>
      <c r="Q23" s="304"/>
      <c r="R23" s="305"/>
      <c r="W23" s="45"/>
    </row>
    <row r="24" spans="1:29" ht="16" customHeight="1">
      <c r="A24" s="130" t="s">
        <v>95</v>
      </c>
      <c r="B24" s="170">
        <v>401589</v>
      </c>
      <c r="C24" s="137" t="s">
        <v>282</v>
      </c>
      <c r="D24" s="193">
        <v>44926</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02"/>
      <c r="P24" s="303"/>
      <c r="Q24" s="304"/>
      <c r="R24" s="305"/>
      <c r="W24" s="45"/>
    </row>
    <row r="25" spans="1:29" ht="16" customHeight="1" thickBot="1">
      <c r="A25" s="131" t="s">
        <v>96</v>
      </c>
      <c r="B25" s="170">
        <v>401602</v>
      </c>
      <c r="C25" s="137" t="s">
        <v>283</v>
      </c>
      <c r="D25" s="193">
        <v>45975</v>
      </c>
      <c r="E25" s="134" t="s">
        <v>4</v>
      </c>
      <c r="F25" s="136">
        <v>173</v>
      </c>
      <c r="G25" s="185">
        <v>2021</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24"/>
      <c r="P25" s="325"/>
      <c r="Q25" s="326"/>
      <c r="R25" s="327"/>
    </row>
    <row r="26" spans="1:29" ht="16" customHeight="1">
      <c r="A26" s="130" t="s">
        <v>97</v>
      </c>
      <c r="B26" s="170">
        <v>401605</v>
      </c>
      <c r="C26" s="137" t="s">
        <v>284</v>
      </c>
      <c r="D26" s="193">
        <v>44986</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28"/>
      <c r="P26" s="329"/>
      <c r="Q26" s="330"/>
      <c r="R26" s="331"/>
    </row>
    <row r="27" spans="1:29" ht="16" customHeight="1">
      <c r="A27" s="130" t="s">
        <v>98</v>
      </c>
      <c r="B27" s="170">
        <v>401626</v>
      </c>
      <c r="C27" s="137" t="s">
        <v>285</v>
      </c>
      <c r="D27" s="193">
        <v>45063</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18"/>
      <c r="P27" s="319"/>
      <c r="Q27" s="320"/>
      <c r="R27" s="321"/>
      <c r="S27" s="299" t="s">
        <v>99</v>
      </c>
      <c r="T27" s="300"/>
      <c r="U27" s="300"/>
      <c r="V27" s="300"/>
    </row>
    <row r="28" spans="1:29" ht="16" customHeight="1" thickBot="1">
      <c r="A28" s="130" t="s">
        <v>100</v>
      </c>
      <c r="B28" s="170">
        <v>401633</v>
      </c>
      <c r="C28" s="137" t="s">
        <v>286</v>
      </c>
      <c r="D28" s="193">
        <v>45089</v>
      </c>
      <c r="E28" s="134" t="s">
        <v>21</v>
      </c>
      <c r="F28" s="136">
        <v>173</v>
      </c>
      <c r="G28" s="185">
        <v>2300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22"/>
      <c r="P28" s="323"/>
      <c r="Q28" s="288"/>
      <c r="R28" s="289"/>
    </row>
    <row r="29" spans="1:29" ht="16" customHeight="1" thickBot="1">
      <c r="A29" s="131" t="s">
        <v>101</v>
      </c>
      <c r="B29" s="170">
        <v>401647</v>
      </c>
      <c r="C29" s="137" t="s">
        <v>287</v>
      </c>
      <c r="D29" s="193">
        <v>45182</v>
      </c>
      <c r="E29" s="134" t="s">
        <v>4</v>
      </c>
      <c r="F29" s="136">
        <v>173</v>
      </c>
      <c r="G29" s="185">
        <v>2021</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90" t="s">
        <v>102</v>
      </c>
      <c r="P29" s="291"/>
      <c r="Q29" s="292">
        <f>EINSTELLUNG!O7</f>
        <v>2</v>
      </c>
      <c r="R29" s="293"/>
    </row>
    <row r="30" spans="1:29" ht="16" customHeight="1">
      <c r="A30" s="130" t="s">
        <v>103</v>
      </c>
      <c r="B30" s="170">
        <v>401661</v>
      </c>
      <c r="C30" s="137" t="s">
        <v>288</v>
      </c>
      <c r="D30" s="193">
        <v>45261</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193">
        <v>45358</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06">
        <v>0</v>
      </c>
      <c r="P31" s="307"/>
      <c r="Q31" s="308">
        <v>1.7241379310344827E-2</v>
      </c>
      <c r="R31" s="309"/>
    </row>
    <row r="32" spans="1:29" ht="16" customHeight="1">
      <c r="A32" s="130" t="s">
        <v>106</v>
      </c>
      <c r="B32" s="170">
        <v>401678</v>
      </c>
      <c r="C32" s="137" t="s">
        <v>290</v>
      </c>
      <c r="D32" s="193">
        <v>45414</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193">
        <v>45536</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10"/>
      <c r="P33" s="311"/>
      <c r="Q33" s="314" t="s">
        <v>108</v>
      </c>
      <c r="R33" s="315"/>
      <c r="S33" s="277" t="s">
        <v>109</v>
      </c>
      <c r="T33" s="278"/>
      <c r="U33" s="277" t="s">
        <v>110</v>
      </c>
      <c r="V33" s="278"/>
    </row>
    <row r="34" spans="1:24" ht="16" customHeight="1">
      <c r="A34" s="130" t="s">
        <v>111</v>
      </c>
      <c r="B34" s="170">
        <v>401703</v>
      </c>
      <c r="C34" s="137" t="s">
        <v>293</v>
      </c>
      <c r="D34" s="193">
        <v>45616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12"/>
      <c r="P34" s="313"/>
      <c r="Q34" s="316"/>
      <c r="R34" s="317"/>
      <c r="S34" s="279"/>
      <c r="T34" s="280"/>
      <c r="U34" s="279"/>
      <c r="V34" s="280"/>
    </row>
    <row r="35" spans="1:24" ht="16" customHeight="1">
      <c r="A35" s="130" t="s">
        <v>112</v>
      </c>
      <c r="B35" s="170">
        <v>401715</v>
      </c>
      <c r="C35" s="137" t="s">
        <v>295</v>
      </c>
      <c r="D35" s="193">
        <v>45755</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01" t="s">
        <v>113</v>
      </c>
      <c r="P35" s="294"/>
      <c r="Q35" s="282">
        <f>EINSTELLUNG!C7</f>
        <v>2</v>
      </c>
      <c r="R35" s="283"/>
      <c r="S35" s="282">
        <f>EINSTELLUNG!C23</f>
        <v>2</v>
      </c>
      <c r="T35" s="283"/>
      <c r="U35" s="284">
        <f>S35-Q35</f>
        <v>0</v>
      </c>
      <c r="V35" s="284"/>
    </row>
    <row r="36" spans="1:24" ht="16" customHeight="1">
      <c r="A36" s="130" t="s">
        <v>114</v>
      </c>
      <c r="B36" s="170">
        <v>401716</v>
      </c>
      <c r="C36" s="137" t="s">
        <v>296</v>
      </c>
      <c r="D36" s="193">
        <v>45800</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01" t="s">
        <v>115</v>
      </c>
      <c r="P36" s="294"/>
      <c r="Q36" s="282">
        <f>EINSTELLUNG!D7</f>
        <v>2</v>
      </c>
      <c r="R36" s="283"/>
      <c r="S36" s="285" cm="1">
        <f t="array" ref="S36">SumMergedCells(Q17:R29)</f>
        <v>0</v>
      </c>
      <c r="T36" s="285"/>
      <c r="U36" s="284">
        <f t="shared" ref="U36:U41" si="2">S36-Q36</f>
        <v>-2</v>
      </c>
      <c r="V36" s="284"/>
    </row>
    <row r="37" spans="1:24" ht="16" customHeight="1">
      <c r="A37" s="131" t="s">
        <v>116</v>
      </c>
      <c r="B37" s="170">
        <v>401717</v>
      </c>
      <c r="C37" s="137" t="s">
        <v>297</v>
      </c>
      <c r="D37" s="193">
        <v>45814</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01" t="s">
        <v>117</v>
      </c>
      <c r="P37" s="294"/>
      <c r="Q37" s="286">
        <f>IF(ISERROR(Q36/Q35), 0, Q36/Q35)</f>
        <v>1</v>
      </c>
      <c r="R37" s="287"/>
      <c r="S37" s="286">
        <f>IF(ISERROR(S36/S35), 0, S36/S35)</f>
        <v>0</v>
      </c>
      <c r="T37" s="287"/>
      <c r="U37" s="281">
        <f t="shared" si="2"/>
        <v>-1</v>
      </c>
      <c r="V37" s="281"/>
    </row>
    <row r="38" spans="1:24" ht="16" customHeight="1">
      <c r="A38" s="130" t="s">
        <v>118</v>
      </c>
      <c r="B38" s="170">
        <v>401722</v>
      </c>
      <c r="C38" s="137" t="s">
        <v>298</v>
      </c>
      <c r="D38" s="193">
        <v>45848</v>
      </c>
      <c r="E38" s="134" t="s">
        <v>4</v>
      </c>
      <c r="F38" s="136">
        <v>86.5</v>
      </c>
      <c r="G38" s="185">
        <v>1010.5</v>
      </c>
      <c r="H38" s="158">
        <f>IF(AND(ISNUMBER(D38), ISNUMBER(F38)),
    ROUNDDOWN(
        MIN(
            IF(OR(ISBLANK(I39), I39=""),
                EOMONTH(DATE(LOHNTABELLE!$G$3, $A$1, 1), 0), I39)
            - MAX(D38, DATE(LOHNTABELLE!$G$3, $A$1, 1)) + 1)
        / DAY(EOMONTH(DATE(LOHNTABELLE!$G$3, $A$1, 1), 0)) * F38,
        2
    ),
    ""
)</f>
        <v>86.5</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01" t="s">
        <v>119</v>
      </c>
      <c r="P38" s="294"/>
      <c r="Q38" s="275">
        <f>EINSTELLUNG!F7</f>
        <v>2</v>
      </c>
      <c r="R38" s="276"/>
      <c r="S38" s="275">
        <f>EINSTELLUNG!F23</f>
        <v>2</v>
      </c>
      <c r="T38" s="276"/>
      <c r="U38" s="298">
        <f t="shared" si="2"/>
        <v>0</v>
      </c>
      <c r="V38" s="298"/>
    </row>
    <row r="39" spans="1:24" ht="16" customHeight="1">
      <c r="A39" s="130" t="s">
        <v>120</v>
      </c>
      <c r="B39" s="170">
        <v>401723</v>
      </c>
      <c r="C39" s="137" t="s">
        <v>299</v>
      </c>
      <c r="D39" s="193">
        <v>45852</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01" t="s">
        <v>121</v>
      </c>
      <c r="P39" s="294"/>
      <c r="Q39" s="282">
        <f>IF(Q38=0, 0, Q35/Q38)</f>
        <v>1</v>
      </c>
      <c r="R39" s="283"/>
      <c r="S39" s="282">
        <f>IF(S38=0, 0, S35/S38)</f>
        <v>1</v>
      </c>
      <c r="T39" s="283"/>
      <c r="U39" s="284">
        <f t="shared" si="2"/>
        <v>0</v>
      </c>
      <c r="V39" s="284"/>
    </row>
    <row r="40" spans="1:24" ht="16" customHeight="1">
      <c r="A40" s="130" t="s">
        <v>122</v>
      </c>
      <c r="B40" s="170">
        <v>401726</v>
      </c>
      <c r="C40" s="137" t="s">
        <v>300</v>
      </c>
      <c r="D40" s="193">
        <v>45870</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94" t="s">
        <v>123</v>
      </c>
      <c r="P40" s="295"/>
      <c r="Q40" s="285">
        <f>IF(Q12=0, 0, Q35/Q12)</f>
        <v>2.329479209980421E-4</v>
      </c>
      <c r="R40" s="285"/>
      <c r="S40" s="285">
        <f>IF(Q12=0, 0, S35/Q12)</f>
        <v>2.329479209980421E-4</v>
      </c>
      <c r="T40" s="285"/>
      <c r="U40" s="284">
        <f t="shared" si="2"/>
        <v>0</v>
      </c>
      <c r="V40" s="284"/>
    </row>
    <row r="41" spans="1:24" ht="16" customHeight="1">
      <c r="A41" s="131" t="s">
        <v>124</v>
      </c>
      <c r="B41" s="170">
        <v>401730</v>
      </c>
      <c r="C41" s="137" t="s">
        <v>302</v>
      </c>
      <c r="D41" s="193">
        <v>45895</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94" t="s">
        <v>125</v>
      </c>
      <c r="P41" s="295"/>
      <c r="Q41" s="297">
        <f>IF(Q12=0, 0, Q38/Q12)</f>
        <v>2.329479209980421E-4</v>
      </c>
      <c r="R41" s="297"/>
      <c r="S41" s="297">
        <f>IF(Q12=0, 0, S38/Q12)</f>
        <v>2.329479209980421E-4</v>
      </c>
      <c r="T41" s="297"/>
      <c r="U41" s="298">
        <f t="shared" si="2"/>
        <v>0</v>
      </c>
      <c r="V41" s="298"/>
    </row>
    <row r="42" spans="1:24" ht="16" customHeight="1">
      <c r="A42" s="130" t="s">
        <v>126</v>
      </c>
      <c r="B42" s="170">
        <v>401731</v>
      </c>
      <c r="C42" s="137" t="s">
        <v>301</v>
      </c>
      <c r="D42" s="193">
        <v>45899</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94" t="s">
        <v>127</v>
      </c>
      <c r="P42" s="295"/>
      <c r="Q42" s="282">
        <f>IFERROR(Q17/Q8, 0)</f>
        <v>11.978513090927414</v>
      </c>
      <c r="R42" s="296"/>
      <c r="S42" s="296"/>
      <c r="T42" s="296"/>
      <c r="U42" s="296"/>
      <c r="V42" s="283"/>
    </row>
    <row r="43" spans="1:24" ht="16" customHeight="1">
      <c r="A43" s="130" t="s">
        <v>128</v>
      </c>
      <c r="B43" s="170">
        <v>401734</v>
      </c>
      <c r="C43" s="137" t="s">
        <v>303</v>
      </c>
      <c r="D43" s="193">
        <v>45904</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193">
        <v>45906</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t="s">
        <v>429</v>
      </c>
    </row>
    <row r="46" spans="1:24" ht="16" customHeight="1">
      <c r="A46" s="130" t="s">
        <v>132</v>
      </c>
      <c r="B46" s="170">
        <v>401738</v>
      </c>
      <c r="C46" s="137" t="s">
        <v>306</v>
      </c>
      <c r="D46" s="193">
        <v>45909</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193">
        <v>45934</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193">
        <v>45941</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193">
        <v>46014</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402405</v>
      </c>
      <c r="C54" s="137" t="s">
        <v>367</v>
      </c>
      <c r="D54" s="193">
        <v>46054</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55</v>
      </c>
      <c r="C55" s="137" t="s">
        <v>368</v>
      </c>
      <c r="D55" s="193">
        <v>46054</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503000</v>
      </c>
      <c r="C56" s="137" t="s">
        <v>369</v>
      </c>
      <c r="D56" s="193">
        <v>42401</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504000</v>
      </c>
      <c r="C57" s="137" t="s">
        <v>370</v>
      </c>
      <c r="D57" s="193">
        <v>46054</v>
      </c>
      <c r="E57" s="134" t="s">
        <v>8</v>
      </c>
      <c r="F57" s="136">
        <v>138.4</v>
      </c>
      <c r="G57" s="185">
        <v>1665.6</v>
      </c>
      <c r="H57" s="158">
        <f>IF(AND(ISNUMBER(D57), ISNUMBER(F57)),
    ROUNDDOWN(
        MIN(
            IF(OR(ISBLANK(I57), I57=""),
                EOMONTH(DATE(LOHNTABELLE!$G$3, $A$1, 1), 0), I57)
            - MAX(D57, DATE(LOHNTABELLE!$G$3, $A$1, 1)) + 1)
        / DAY(EOMONTH(DATE(LOHNTABELLE!$G$3, $A$1, 1), 0)) * F57,
        2
    ),
    ""
)</f>
        <v>138.4</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1665.6</v>
      </c>
      <c r="M57" s="164"/>
      <c r="N57" s="147"/>
    </row>
    <row r="58" spans="1:14" ht="16" customHeight="1">
      <c r="A58" s="130" t="s">
        <v>144</v>
      </c>
      <c r="B58" s="170">
        <v>505000</v>
      </c>
      <c r="C58" s="137" t="s">
        <v>371</v>
      </c>
      <c r="D58" s="193">
        <v>46054</v>
      </c>
      <c r="E58" s="134" t="s">
        <v>4</v>
      </c>
      <c r="F58" s="136">
        <v>138.4</v>
      </c>
      <c r="G58" s="185">
        <v>1616.8</v>
      </c>
      <c r="H58" s="158">
        <f>IF(AND(ISNUMBER(D58), ISNUMBER(F58)),
    ROUNDDOWN(
        MIN(
            IF(OR(ISBLANK(I58), I58=""),
                EOMONTH(DATE(LOHNTABELLE!$G$3, $A$1, 1), 0), I58)
            - MAX(D58, DATE(LOHNTABELLE!$G$3, $A$1, 1)) + 1)
        / DAY(EOMONTH(DATE(LOHNTABELLE!$G$3, $A$1, 1), 0)) * F58,
        2
    ),
    ""
)</f>
        <v>138.4</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1616.8</v>
      </c>
      <c r="M58" s="164"/>
      <c r="N58" s="147"/>
    </row>
    <row r="59" spans="1:14" ht="16" customHeight="1">
      <c r="A59" s="130" t="s">
        <v>145</v>
      </c>
      <c r="B59" s="170">
        <v>500600</v>
      </c>
      <c r="C59" s="137" t="s">
        <v>372</v>
      </c>
      <c r="D59" s="193">
        <v>46054</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600000</v>
      </c>
      <c r="C60" s="137" t="s">
        <v>373</v>
      </c>
      <c r="D60" s="193">
        <v>46054</v>
      </c>
      <c r="E60" s="134" t="s">
        <v>4</v>
      </c>
      <c r="F60" s="136">
        <v>151.38</v>
      </c>
      <c r="G60" s="185">
        <v>1768.38</v>
      </c>
      <c r="H60" s="158">
        <f>IF(AND(ISNUMBER(D60), ISNUMBER(F60)),
    ROUNDDOWN(
        MIN(
            IF(OR(ISBLANK(I60), I60=""),
                EOMONTH(DATE(LOHNTABELLE!$G$3, $A$1, 1), 0), I60)
            - MAX(D60, DATE(LOHNTABELLE!$G$3, $A$1, 1)) + 1)
        / DAY(EOMONTH(DATE(LOHNTABELLE!$G$3, $A$1, 1), 0)) * F60,
        2
    ),
    ""
)</f>
        <v>10.81</v>
      </c>
      <c r="I60" s="196">
        <v>46055</v>
      </c>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126.31285714285715</v>
      </c>
      <c r="M60" s="164"/>
      <c r="N60" s="147"/>
    </row>
    <row r="61" spans="1:14" ht="16" customHeight="1">
      <c r="A61" s="131" t="s">
        <v>147</v>
      </c>
      <c r="B61" s="170">
        <v>700000</v>
      </c>
      <c r="C61" s="137" t="s">
        <v>422</v>
      </c>
      <c r="D61" s="193">
        <v>46054</v>
      </c>
      <c r="E61" s="134" t="s">
        <v>4</v>
      </c>
      <c r="F61" s="136">
        <v>173</v>
      </c>
      <c r="G61" s="185">
        <v>2021</v>
      </c>
      <c r="H61" s="158">
        <f>IF(AND(ISNUMBER(D61), ISNUMBER(F61)),
    ROUNDDOWN(
        MIN(
            IF(OR(ISBLANK(I61), I61=""),
                EOMONTH(DATE(LOHNTABELLE!$G$3, $A$1, 1), 0), I61)
            - MAX(D61, DATE(LOHNTABELLE!$G$3, $A$1, 1)) + 1)
        / DAY(EOMONTH(DATE(LOHNTABELLE!$G$3, $A$1, 1), 0)) * F61,
        2
    ),
    ""
)</f>
        <v>173</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2021</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J8HnG0ye2jA8w3qSqSi86lwqtWkN0Q9qvSwc0+RkdpIB/306AtkYKmO9sa9R9O6LS/KojPJ7NMcNLsSg2FdJbA==" saltValue="1CogFx1f9Wd7RhoW8hLPlA==" spinCount="100000" sheet="1" objects="1" scenarios="1" sort="0" autoFilter="0"/>
  <sortState xmlns:xlrd2="http://schemas.microsoft.com/office/spreadsheetml/2017/richdata2" ref="B3:N82">
    <sortCondition ref="B3:B82"/>
    <sortCondition ref="C3:C82"/>
  </sortState>
  <mergeCells count="96">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Q12:R12"/>
    <mergeCell ref="O13:P13"/>
    <mergeCell ref="Q13:R13"/>
    <mergeCell ref="O3:O4"/>
    <mergeCell ref="C1:C2"/>
    <mergeCell ref="D1:D2"/>
    <mergeCell ref="E1:E2"/>
    <mergeCell ref="F1:F2"/>
    <mergeCell ref="G1:G2"/>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s>
  <dataValidations count="61">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 type="list" allowBlank="1" showInputMessage="1" showErrorMessage="1" sqref="F56" xr:uid="{9FB9A85B-1E93-4741-A715-D036190059DB}">
      <formula1>KV_DD_FEBRUAR_56</formula1>
    </dataValidation>
    <dataValidation type="list" allowBlank="1" showInputMessage="1" showErrorMessage="1" sqref="F57" xr:uid="{1EE6BA0D-DC24-6948-B15D-FD29EF087E6A}">
      <formula1>KV_DD_FEBRUAR_57</formula1>
    </dataValidation>
    <dataValidation type="list" allowBlank="1" showInputMessage="1" showErrorMessage="1" sqref="F58" xr:uid="{1E235BA7-9DDC-9242-82FC-2AF89E2FFD46}">
      <formula1>KV_DD_FEBRUAR_58</formula1>
    </dataValidation>
    <dataValidation type="list" allowBlank="1" showInputMessage="1" showErrorMessage="1" sqref="F59" xr:uid="{DD1BE7FF-459F-1348-9387-4AA57D44CD2E}">
      <formula1>KV_DD_FEBRUAR_59</formula1>
    </dataValidation>
    <dataValidation type="list" allowBlank="1" showInputMessage="1" showErrorMessage="1" sqref="F60" xr:uid="{B79E711E-1A67-D844-B724-242DC4A95F35}">
      <formula1>KV_DD_FEBRUAR_60</formula1>
    </dataValidation>
    <dataValidation type="list" allowBlank="1" showInputMessage="1" showErrorMessage="1" sqref="F61" xr:uid="{18BEE8DA-74CA-472A-AF4E-E99414C58015}">
      <formula1>KV_DD_FEBRUAR_61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18" activePane="bottomLeft" state="frozen"/>
      <selection activeCell="T24" sqref="T24"/>
      <selection pane="bottomLeft" activeCell="C62" sqref="C6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6" customHeight="1">
      <c r="A1" s="128">
        <v>3</v>
      </c>
      <c r="B1" s="348" t="s">
        <v>205</v>
      </c>
      <c r="C1" s="342" t="s">
        <v>52</v>
      </c>
      <c r="D1" s="344" t="s">
        <v>206</v>
      </c>
      <c r="E1" s="344" t="s">
        <v>0</v>
      </c>
      <c r="F1" s="344" t="s">
        <v>53</v>
      </c>
      <c r="G1" s="346" t="s">
        <v>54</v>
      </c>
      <c r="H1" s="351" t="s">
        <v>55</v>
      </c>
      <c r="I1" s="356" t="s">
        <v>207</v>
      </c>
      <c r="J1" s="358" t="s">
        <v>56</v>
      </c>
      <c r="K1" s="360" t="s">
        <v>57</v>
      </c>
      <c r="L1" s="362" t="s">
        <v>58</v>
      </c>
      <c r="M1" s="364" t="s">
        <v>59</v>
      </c>
      <c r="N1" s="349" t="s">
        <v>208</v>
      </c>
      <c r="AB1" s="41">
        <f>DATE(LOHNTABELLE!$G$3, $A$1, 1)</f>
        <v>46082</v>
      </c>
    </row>
    <row r="2" spans="1:28" ht="16" customHeight="1" thickBot="1">
      <c r="A2" s="129"/>
      <c r="B2" s="348"/>
      <c r="C2" s="343"/>
      <c r="D2" s="345"/>
      <c r="E2" s="345"/>
      <c r="F2" s="345"/>
      <c r="G2" s="347"/>
      <c r="H2" s="352"/>
      <c r="I2" s="357"/>
      <c r="J2" s="359"/>
      <c r="K2" s="361"/>
      <c r="L2" s="363"/>
      <c r="M2" s="365"/>
      <c r="N2" s="349"/>
      <c r="AB2" s="41">
        <f>EOMONTH(DATE(LOHNTABELLE!$G$3, $A$1, 1), 0)</f>
        <v>46112</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40" t="s">
        <v>61</v>
      </c>
      <c r="P3" s="340" t="s">
        <v>62</v>
      </c>
      <c r="Q3" s="366" t="s">
        <v>63</v>
      </c>
      <c r="R3" s="353"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41"/>
      <c r="P4" s="341"/>
      <c r="Q4" s="367"/>
      <c r="R4" s="354"/>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861.45075354782682</v>
      </c>
      <c r="P5" s="49">
        <f>EINSTELLUNG!I8</f>
        <v>3</v>
      </c>
      <c r="Q5" s="48">
        <f>P5-O5</f>
        <v>-858.45075354782682</v>
      </c>
      <c r="R5" s="52">
        <f>IFERROR(Q5*Q42, 0)</f>
        <v>-10299.845823236303</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99" t="str">
        <f>IF(Q5&lt;0, "Schlecht! Zu wenig Urlaub abgebaut.", IF(Q5&gt;0, "Gut! Mehr Urlaub abgebaut als aufgebaut.", ""))</f>
        <v>Schlecht! Zu wenig Urlaub abgebaut.</v>
      </c>
      <c r="P6" s="400"/>
      <c r="Q6" s="400"/>
      <c r="R6" s="401"/>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339" t="s">
        <v>70</v>
      </c>
      <c r="P8" s="403"/>
      <c r="Q8" s="404">
        <f>SUM(H3:H82)</f>
        <v>8882.15</v>
      </c>
      <c r="R8" s="404"/>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339" t="s">
        <v>72</v>
      </c>
      <c r="P9" s="403"/>
      <c r="Q9" s="404">
        <f>EINSTELLUNG!L24</f>
        <v>3</v>
      </c>
      <c r="R9" s="404"/>
      <c r="S9" s="53">
        <f>IFERROR(Q9/Q8, 0)</f>
        <v>3.3775606131398366E-4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339" t="s">
        <v>74</v>
      </c>
      <c r="P10" s="403"/>
      <c r="Q10" s="404">
        <f>EINSTELLUNG!I24</f>
        <v>3</v>
      </c>
      <c r="R10" s="404"/>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39" t="s">
        <v>76</v>
      </c>
      <c r="P11" s="403"/>
      <c r="Q11" s="404">
        <f>P5</f>
        <v>3</v>
      </c>
      <c r="R11" s="404"/>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39" t="s">
        <v>78</v>
      </c>
      <c r="P12" s="403"/>
      <c r="Q12" s="411">
        <v>-445</v>
      </c>
      <c r="R12" s="411"/>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39" t="s">
        <v>80</v>
      </c>
      <c r="P13" s="403"/>
      <c r="Q13" s="404">
        <f>Q8-Q9-Q10-Q11-Q12</f>
        <v>9318.15</v>
      </c>
      <c r="R13" s="404"/>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39" t="s">
        <v>82</v>
      </c>
      <c r="P14" s="403"/>
      <c r="Q14" s="404">
        <f>EINSTELLUNG!L8</f>
        <v>3</v>
      </c>
      <c r="R14" s="404"/>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39" t="s">
        <v>84</v>
      </c>
      <c r="P15" s="403"/>
      <c r="Q15" s="404">
        <f>Q13-Q14</f>
        <v>9315.15</v>
      </c>
      <c r="R15" s="404"/>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405" t="str">
        <f>IF(Q15&lt;0, "Schlecht! Zu wenig Stunden für Dienstplan.", IF(Q15&gt;0, "Du hast mehr als genug Stunden für Dienstplan.", ""))</f>
        <v>Du hast mehr als genug Stunden für Dienstplan.</v>
      </c>
      <c r="P16" s="405"/>
      <c r="Q16" s="405"/>
      <c r="R16" s="405"/>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33" t="s">
        <v>87</v>
      </c>
      <c r="P17" s="407"/>
      <c r="Q17" s="412">
        <f>SUM(L3:L82)</f>
        <v>106569.62580645162</v>
      </c>
      <c r="R17" s="41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03"/>
      <c r="P18" s="435"/>
      <c r="Q18" s="436"/>
      <c r="R18" s="402"/>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03"/>
      <c r="P19" s="435"/>
      <c r="Q19" s="436"/>
      <c r="R19" s="402"/>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03"/>
      <c r="P20" s="435"/>
      <c r="Q20" s="436"/>
      <c r="R20" s="402"/>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03" t="s">
        <v>357</v>
      </c>
      <c r="P21" s="435"/>
      <c r="Q21" s="436">
        <v>5000</v>
      </c>
      <c r="R21" s="402"/>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03"/>
      <c r="P22" s="435"/>
      <c r="Q22" s="436"/>
      <c r="R22" s="402"/>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03"/>
      <c r="P23" s="435"/>
      <c r="Q23" s="436"/>
      <c r="R23" s="402"/>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03"/>
      <c r="P24" s="435"/>
      <c r="Q24" s="436"/>
      <c r="R24" s="402"/>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25"/>
      <c r="P25" s="437"/>
      <c r="Q25" s="438"/>
      <c r="R25" s="418"/>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29"/>
      <c r="P26" s="427"/>
      <c r="Q26" s="419"/>
      <c r="R26" s="420"/>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19"/>
      <c r="P27" s="406"/>
      <c r="Q27" s="402"/>
      <c r="R27" s="421"/>
      <c r="S27" s="299" t="s">
        <v>99</v>
      </c>
      <c r="T27" s="300"/>
      <c r="U27" s="300"/>
      <c r="V27" s="300"/>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323"/>
      <c r="P28" s="422"/>
      <c r="Q28" s="423"/>
      <c r="R28" s="424"/>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91" t="s">
        <v>102</v>
      </c>
      <c r="P29" s="415"/>
      <c r="Q29" s="416">
        <f>EINSTELLUNG!O8</f>
        <v>3</v>
      </c>
      <c r="R29" s="417"/>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09">
        <v>0</v>
      </c>
      <c r="P31" s="428"/>
      <c r="Q31" s="429">
        <v>1.6666666666666666E-2</v>
      </c>
      <c r="R31" s="43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409"/>
      <c r="P33" s="410"/>
      <c r="Q33" s="433" t="str">
        <f>EINSTELLUNG!B3</f>
        <v>Budget Zahlen</v>
      </c>
      <c r="R33" s="433"/>
      <c r="S33" s="434" t="str">
        <f>EINSTELLUNG!B19</f>
        <v>Projection/Aktuell Zahlen</v>
      </c>
      <c r="T33" s="434"/>
      <c r="U33" s="434" t="s">
        <v>110</v>
      </c>
      <c r="V33" s="434"/>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409"/>
      <c r="P34" s="410"/>
      <c r="Q34" s="433"/>
      <c r="R34" s="433"/>
      <c r="S34" s="434"/>
      <c r="T34" s="434"/>
      <c r="U34" s="434"/>
      <c r="V34" s="434"/>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94" t="s">
        <v>113</v>
      </c>
      <c r="P35" s="295"/>
      <c r="Q35" s="285">
        <f>EINSTELLUNG!C8</f>
        <v>3</v>
      </c>
      <c r="R35" s="285"/>
      <c r="S35" s="285">
        <f>EINSTELLUNG!C24</f>
        <v>3</v>
      </c>
      <c r="T35" s="285"/>
      <c r="U35" s="284">
        <f>S35-Q35</f>
        <v>0</v>
      </c>
      <c r="V35" s="28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94" t="s">
        <v>115</v>
      </c>
      <c r="P36" s="295"/>
      <c r="Q36" s="285">
        <f>EINSTELLUNG!D8</f>
        <v>3</v>
      </c>
      <c r="R36" s="285"/>
      <c r="S36" s="285" cm="1">
        <f t="array" ref="S36">SumMergedCells(Q17:R29)</f>
        <v>0</v>
      </c>
      <c r="T36" s="285"/>
      <c r="U36" s="284">
        <f t="shared" ref="U36:U41" si="2">S36-Q36</f>
        <v>-3</v>
      </c>
      <c r="V36" s="28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94" t="s">
        <v>117</v>
      </c>
      <c r="P37" s="295"/>
      <c r="Q37" s="408">
        <f>IF(ISERROR(Q36/Q35), 0, Q36/Q35)</f>
        <v>1</v>
      </c>
      <c r="R37" s="408"/>
      <c r="S37" s="408">
        <f>IF(ISERROR(S36/S35), 0, S36/S35)</f>
        <v>0</v>
      </c>
      <c r="T37" s="408"/>
      <c r="U37" s="281">
        <f t="shared" si="2"/>
        <v>-1</v>
      </c>
      <c r="V37" s="281"/>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94" t="s">
        <v>119</v>
      </c>
      <c r="P38" s="295"/>
      <c r="Q38" s="297">
        <f>EINSTELLUNG!F8</f>
        <v>3</v>
      </c>
      <c r="R38" s="297"/>
      <c r="S38" s="297">
        <f>EINSTELLUNG!F24</f>
        <v>3</v>
      </c>
      <c r="T38" s="297"/>
      <c r="U38" s="298">
        <f t="shared" si="2"/>
        <v>0</v>
      </c>
      <c r="V38" s="298"/>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94" t="s">
        <v>121</v>
      </c>
      <c r="P39" s="295"/>
      <c r="Q39" s="285">
        <f>IF(Q38=0, 0, Q35/Q38)</f>
        <v>1</v>
      </c>
      <c r="R39" s="285"/>
      <c r="S39" s="285">
        <f>IF(S38=0, 0, S35/S38)</f>
        <v>1</v>
      </c>
      <c r="T39" s="285"/>
      <c r="U39" s="284">
        <f t="shared" si="2"/>
        <v>0</v>
      </c>
      <c r="V39" s="28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94" t="s">
        <v>123</v>
      </c>
      <c r="P40" s="295"/>
      <c r="Q40" s="285">
        <f>IF(Q13=0, 0, Q35/Q13)</f>
        <v>3.219523188615766E-4</v>
      </c>
      <c r="R40" s="285"/>
      <c r="S40" s="285">
        <f>IF(Q13=0, 0, S35/Q13)</f>
        <v>3.219523188615766E-4</v>
      </c>
      <c r="T40" s="285"/>
      <c r="U40" s="284">
        <f t="shared" si="2"/>
        <v>0</v>
      </c>
      <c r="V40" s="28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94" t="s">
        <v>125</v>
      </c>
      <c r="P41" s="295"/>
      <c r="Q41" s="297">
        <f>IF(Q13=0, 0, Q38/Q13)</f>
        <v>3.219523188615766E-4</v>
      </c>
      <c r="R41" s="297"/>
      <c r="S41" s="297">
        <f>IF(Q13=0, 0, S38/Q13)</f>
        <v>3.219523188615766E-4</v>
      </c>
      <c r="T41" s="297"/>
      <c r="U41" s="298">
        <f t="shared" si="2"/>
        <v>0</v>
      </c>
      <c r="V41" s="298"/>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94" t="s">
        <v>127</v>
      </c>
      <c r="P42" s="295"/>
      <c r="Q42" s="282">
        <f>IFERROR(Q17/Q8, 0)</f>
        <v>11.998179022697389</v>
      </c>
      <c r="R42" s="296"/>
      <c r="S42" s="296"/>
      <c r="T42" s="296"/>
      <c r="U42" s="296"/>
      <c r="V42" s="28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93">
        <v>46014</v>
      </c>
      <c r="E54" s="134" t="s">
        <v>4</v>
      </c>
      <c r="F54" s="136">
        <v>86.5</v>
      </c>
      <c r="G54" s="185">
        <v>1010.5</v>
      </c>
      <c r="H54" s="158">
        <f>IF(AND(ISNUMBER(D54), ISNUMBER(F54)),
    ROUNDDOWN(
        MIN(
            IF(OR(ISBLANK(I54), I54=""),
                EOMONTH(DATE(LOHNTABELLE!$G$3, $A$1, 1), 0), I54)
            - MAX(D54, DATE(LOHNTABELLE!$G$3, $A$1, 1)) + 1)
        / DAY(EOMONTH(DATE(LOHNTABELLE!$G$3, $A$1, 1), 0)) * F54,
        2
    ),
    ""
)</f>
        <v>41.85</v>
      </c>
      <c r="I54" s="196">
        <v>46096</v>
      </c>
      <c r="J54" s="135">
        <v>8</v>
      </c>
      <c r="K54" s="161">
        <f t="shared" si="1"/>
        <v>260.77419354838707</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749.72580645161281</v>
      </c>
      <c r="M54" s="164"/>
      <c r="N54" s="147" t="s">
        <v>219</v>
      </c>
    </row>
    <row r="55" spans="1:14" ht="16" customHeight="1">
      <c r="A55" s="130" t="s">
        <v>141</v>
      </c>
      <c r="B55" s="170">
        <v>401999</v>
      </c>
      <c r="C55" s="137" t="s">
        <v>356</v>
      </c>
      <c r="D55" s="193">
        <v>46082</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402405</v>
      </c>
      <c r="C56" s="137" t="s">
        <v>367</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9" t="s">
        <v>372</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369</v>
      </c>
      <c r="D58" s="193">
        <v>42401</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370</v>
      </c>
      <c r="D59" s="193">
        <v>46054</v>
      </c>
      <c r="E59" s="134" t="s">
        <v>8</v>
      </c>
      <c r="F59" s="136">
        <v>138.4</v>
      </c>
      <c r="G59" s="185">
        <v>1665.6</v>
      </c>
      <c r="H59" s="158">
        <f>IF(AND(ISNUMBER(D59), ISNUMBER(F59)),
    ROUNDDOWN(
        MIN(
            IF(OR(ISBLANK(I59), I59=""),
                EOMONTH(DATE(LOHNTABELLE!$G$3, $A$1, 1), 0), I59)
            - MAX(D59, DATE(LOHNTABELLE!$G$3, $A$1, 1)) + 1)
        / DAY(EOMONTH(DATE(LOHNTABELLE!$G$3, $A$1, 1), 0)) * F59,
        2
    ),
    ""
)</f>
        <v>138.4</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371</v>
      </c>
      <c r="D60" s="193">
        <v>46054</v>
      </c>
      <c r="E60" s="134" t="s">
        <v>4</v>
      </c>
      <c r="F60" s="136">
        <v>138.4</v>
      </c>
      <c r="G60" s="185">
        <v>1616.8</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700000</v>
      </c>
      <c r="C61" s="137" t="s">
        <v>422</v>
      </c>
      <c r="D61" s="193">
        <v>46054</v>
      </c>
      <c r="E61" s="134" t="s">
        <v>4</v>
      </c>
      <c r="F61" s="136">
        <v>173</v>
      </c>
      <c r="G61" s="185">
        <v>2021</v>
      </c>
      <c r="H61" s="158">
        <f>IF(AND(ISNUMBER(D61), ISNUMBER(F61)),
    ROUNDDOWN(
        MIN(
            IF(OR(ISBLANK(I61), I61=""),
                EOMONTH(DATE(LOHNTABELLE!$G$3, $A$1, 1), 0), I61)
            - MAX(D61, DATE(LOHNTABELLE!$G$3, $A$1, 1)) + 1)
        / DAY(EOMONTH(DATE(LOHNTABELLE!$G$3, $A$1, 1), 0)) * F61,
        2
    ),
    ""
)</f>
        <v>173</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2021</v>
      </c>
      <c r="M61" s="164"/>
      <c r="N61" s="147"/>
    </row>
    <row r="62" spans="1:14" ht="16" customHeight="1">
      <c r="A62" s="130" t="s">
        <v>148</v>
      </c>
      <c r="B62" s="170">
        <v>800000</v>
      </c>
      <c r="C62" s="137" t="s">
        <v>426</v>
      </c>
      <c r="D62" s="193">
        <v>46082</v>
      </c>
      <c r="E62" s="134" t="s">
        <v>4</v>
      </c>
      <c r="F62" s="136">
        <v>173</v>
      </c>
      <c r="G62" s="185">
        <v>2021</v>
      </c>
      <c r="H62" s="158">
        <f>IF(AND(ISNUMBER(D62), ISNUMBER(F62)),
    ROUNDDOWN(
        MIN(
            IF(OR(ISBLANK(I62), I62=""),
                EOMONTH(DATE(LOHNTABELLE!$G$3, $A$1, 1), 0), I62)
            - MAX(D62, DATE(LOHNTABELLE!$G$3, $A$1, 1)) + 1)
        / DAY(EOMONTH(DATE(LOHNTABELLE!$G$3, $A$1, 1), 0)) * F62,
        2
    ),
    ""
)</f>
        <v>173</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2020.9999999999998</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oZ0vCu7m7shP5DHJSmrP/FvhAKsqMiiemdLKu6+iRyeGIVi7NjWv6iJ21D+G2K5dQCx3wXgbAwX95rWw2x4qmw==" saltValue="oU+AgzjAJcPm3oMXKyNi5g==" spinCount="100000" sheet="1" objects="1" scenarios="1" sort="0" autoFilter="0"/>
  <sortState xmlns:xlrd2="http://schemas.microsoft.com/office/spreadsheetml/2017/richdata2" ref="B3:N82">
    <sortCondition ref="B3:B82"/>
    <sortCondition ref="C3:C82"/>
  </sortState>
  <mergeCells count="98">
    <mergeCell ref="B1:B2"/>
    <mergeCell ref="N1:N2"/>
    <mergeCell ref="H1:H2"/>
    <mergeCell ref="C1:C2"/>
    <mergeCell ref="D1:D2"/>
    <mergeCell ref="E1:E2"/>
    <mergeCell ref="F1:F2"/>
    <mergeCell ref="G1:G2"/>
    <mergeCell ref="O16:R16"/>
    <mergeCell ref="Q3:Q4"/>
    <mergeCell ref="R3:R4"/>
    <mergeCell ref="O6:R6"/>
    <mergeCell ref="O8:P8"/>
    <mergeCell ref="Q8:R8"/>
    <mergeCell ref="O12:P12"/>
    <mergeCell ref="Q12:R12"/>
    <mergeCell ref="Q9:R9"/>
    <mergeCell ref="O10:P10"/>
    <mergeCell ref="Q10:R10"/>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3">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 type="list" allowBlank="1" showInputMessage="1" showErrorMessage="1" sqref="F57" xr:uid="{E55816ED-1987-D34C-818E-348B3E9B06D2}">
      <formula1>KV_DD_MARZ_57</formula1>
    </dataValidation>
    <dataValidation type="list" allowBlank="1" showInputMessage="1" showErrorMessage="1" sqref="F58" xr:uid="{EA33CB3F-9AD4-A443-8A6A-49FFE12CDC74}">
      <formula1>KV_DD_MARZ_58</formula1>
    </dataValidation>
    <dataValidation type="list" allowBlank="1" showInputMessage="1" showErrorMessage="1" sqref="F59" xr:uid="{A10602DA-1074-2349-B684-1A60F243E693}">
      <formula1>KV_DD_MARZ_59</formula1>
    </dataValidation>
    <dataValidation type="list" allowBlank="1" showInputMessage="1" showErrorMessage="1" sqref="F60" xr:uid="{40E4C185-BFB5-1A49-81FE-833A47CBB682}">
      <formula1>KV_DD_MARZ_60</formula1>
    </dataValidation>
    <dataValidation type="list" allowBlank="1" showInputMessage="1" showErrorMessage="1" sqref="F61" xr:uid="{67B4AEB2-99C3-3943-AC3F-59F5EBAB1FBD}">
      <formula1>KV_DD_MARZ_61</formula1>
    </dataValidation>
    <dataValidation type="list" allowBlank="1" showInputMessage="1" showErrorMessage="1" sqref="F62" xr:uid="{780D753A-F4D1-4223-93AE-3EC07175CCE8}">
      <formula1>KV_DD_MARZ_62</formula1>
    </dataValidation>
    <dataValidation type="list" allowBlank="1" showInputMessage="1" showErrorMessage="1" sqref="F63" xr:uid="{A88436B0-AADA-4F69-A728-2B365E151102}">
      <formula1>KV_DD_MARZ_63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4</v>
      </c>
      <c r="B1" s="348" t="s">
        <v>205</v>
      </c>
      <c r="C1" s="342" t="s">
        <v>52</v>
      </c>
      <c r="D1" s="344" t="s">
        <v>206</v>
      </c>
      <c r="E1" s="344" t="s">
        <v>0</v>
      </c>
      <c r="F1" s="344" t="s">
        <v>53</v>
      </c>
      <c r="G1" s="346" t="s">
        <v>54</v>
      </c>
      <c r="H1" s="351" t="s">
        <v>55</v>
      </c>
      <c r="I1" s="356" t="s">
        <v>207</v>
      </c>
      <c r="J1" s="358" t="s">
        <v>56</v>
      </c>
      <c r="K1" s="360" t="s">
        <v>57</v>
      </c>
      <c r="L1" s="362" t="s">
        <v>58</v>
      </c>
      <c r="M1" s="364" t="s">
        <v>59</v>
      </c>
      <c r="N1" s="349" t="s">
        <v>208</v>
      </c>
      <c r="AB1" s="41">
        <f>DATE(LOHNTABELLE!$G$3, $A$1, 1)</f>
        <v>46113</v>
      </c>
    </row>
    <row r="2" spans="1:28" ht="16" customHeight="1" thickBot="1">
      <c r="A2" s="129"/>
      <c r="B2" s="348"/>
      <c r="C2" s="343"/>
      <c r="D2" s="345"/>
      <c r="E2" s="345"/>
      <c r="F2" s="345"/>
      <c r="G2" s="347"/>
      <c r="H2" s="352"/>
      <c r="I2" s="357"/>
      <c r="J2" s="359"/>
      <c r="K2" s="361"/>
      <c r="L2" s="363"/>
      <c r="M2" s="365"/>
      <c r="N2" s="349"/>
      <c r="AB2" s="41">
        <f>EOMONTH(DATE(LOHNTABELLE!$G$3, $A$1, 1), 0)</f>
        <v>46142</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40" t="s">
        <v>61</v>
      </c>
      <c r="P3" s="340" t="s">
        <v>62</v>
      </c>
      <c r="Q3" s="366" t="s">
        <v>63</v>
      </c>
      <c r="R3" s="353"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41"/>
      <c r="P4" s="341"/>
      <c r="Q4" s="367"/>
      <c r="R4" s="354"/>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869.79814457057716</v>
      </c>
      <c r="P5" s="49">
        <f>EINSTELLUNG!I9</f>
        <v>4</v>
      </c>
      <c r="Q5" s="48">
        <f>P5-O5</f>
        <v>-865.79814457057716</v>
      </c>
      <c r="R5" s="52">
        <f>IFERROR(Q5*Q42, 0)</f>
        <v>-10360.380935319037</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99" t="str">
        <f>IF(Q5&lt;0, "Schlecht! Zu wenig Urlaub abgebaut.", IF(Q5&gt;0, "Gut! Mehr Urlaub abgebaut als aufgebaut.", ""))</f>
        <v>Schlecht! Zu wenig Urlaub abgebaut.</v>
      </c>
      <c r="P6" s="400"/>
      <c r="Q6" s="400"/>
      <c r="R6" s="401"/>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339" t="s">
        <v>70</v>
      </c>
      <c r="P8" s="403"/>
      <c r="Q8" s="404">
        <f>SUM(H3:H82)</f>
        <v>8961.4</v>
      </c>
      <c r="R8" s="404"/>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339" t="s">
        <v>72</v>
      </c>
      <c r="P9" s="403"/>
      <c r="Q9" s="404">
        <f>EINSTELLUNG!L25</f>
        <v>4</v>
      </c>
      <c r="R9" s="404"/>
      <c r="S9" s="53">
        <f>IFERROR(Q9/Q8, 0)</f>
        <v>4.4635882786171803E-4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339" t="s">
        <v>74</v>
      </c>
      <c r="P10" s="403"/>
      <c r="Q10" s="404">
        <f>EINSTELLUNG!I25</f>
        <v>4</v>
      </c>
      <c r="R10" s="404"/>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39" t="s">
        <v>76</v>
      </c>
      <c r="P11" s="403"/>
      <c r="Q11" s="404">
        <f>P5</f>
        <v>4</v>
      </c>
      <c r="R11" s="404"/>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39" t="s">
        <v>78</v>
      </c>
      <c r="P12" s="403"/>
      <c r="Q12" s="411">
        <v>-255</v>
      </c>
      <c r="R12" s="411"/>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39" t="s">
        <v>80</v>
      </c>
      <c r="P13" s="403"/>
      <c r="Q13" s="404">
        <f>Q8-Q9-Q10-Q11-Q12</f>
        <v>9204.4</v>
      </c>
      <c r="R13" s="404"/>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39" t="s">
        <v>82</v>
      </c>
      <c r="P14" s="403"/>
      <c r="Q14" s="404">
        <f>EINSTELLUNG!L9</f>
        <v>4</v>
      </c>
      <c r="R14" s="404"/>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39" t="s">
        <v>84</v>
      </c>
      <c r="P15" s="403"/>
      <c r="Q15" s="404">
        <f>Q13-Q14</f>
        <v>9200.4</v>
      </c>
      <c r="R15" s="404"/>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405" t="str">
        <f>IF(Q15&lt;0, "Schlecht! Zu wenig Stunden für Dienstplan.", IF(Q15&gt;0, "Du hast mehr als genug Stunden für Dienstplan.", ""))</f>
        <v>Du hast mehr als genug Stunden für Dienstplan.</v>
      </c>
      <c r="P16" s="405"/>
      <c r="Q16" s="405"/>
      <c r="R16" s="405"/>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33" t="s">
        <v>87</v>
      </c>
      <c r="P17" s="407"/>
      <c r="Q17" s="412">
        <f>SUM(L3:L82)</f>
        <v>107234.6</v>
      </c>
      <c r="R17" s="41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03"/>
      <c r="P18" s="435"/>
      <c r="Q18" s="436"/>
      <c r="R18" s="402"/>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03"/>
      <c r="P19" s="435"/>
      <c r="Q19" s="436"/>
      <c r="R19" s="402"/>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03"/>
      <c r="P20" s="435"/>
      <c r="Q20" s="436"/>
      <c r="R20" s="402"/>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03" t="s">
        <v>357</v>
      </c>
      <c r="P21" s="435"/>
      <c r="Q21" s="436">
        <v>5000</v>
      </c>
      <c r="R21" s="402"/>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03"/>
      <c r="P22" s="435"/>
      <c r="Q22" s="436"/>
      <c r="R22" s="402"/>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03"/>
      <c r="P23" s="435"/>
      <c r="Q23" s="436"/>
      <c r="R23" s="402"/>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03"/>
      <c r="P24" s="435"/>
      <c r="Q24" s="436"/>
      <c r="R24" s="402"/>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25"/>
      <c r="P25" s="437"/>
      <c r="Q25" s="438"/>
      <c r="R25" s="418"/>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29"/>
      <c r="P26" s="427"/>
      <c r="Q26" s="419"/>
      <c r="R26" s="420"/>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19"/>
      <c r="P27" s="406"/>
      <c r="Q27" s="402"/>
      <c r="R27" s="421"/>
      <c r="S27" s="299" t="s">
        <v>99</v>
      </c>
      <c r="T27" s="300"/>
      <c r="U27" s="300"/>
      <c r="V27" s="300"/>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323"/>
      <c r="P28" s="422"/>
      <c r="Q28" s="423"/>
      <c r="R28" s="424"/>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91" t="s">
        <v>102</v>
      </c>
      <c r="P29" s="415"/>
      <c r="Q29" s="416">
        <f>EINSTELLUNG!O9</f>
        <v>4</v>
      </c>
      <c r="R29" s="417"/>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09">
        <v>0</v>
      </c>
      <c r="P31" s="428"/>
      <c r="Q31" s="429">
        <v>0</v>
      </c>
      <c r="R31" s="43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409"/>
      <c r="P33" s="410"/>
      <c r="Q33" s="433" t="str">
        <f>EINSTELLUNG!B3</f>
        <v>Budget Zahlen</v>
      </c>
      <c r="R33" s="433"/>
      <c r="S33" s="434" t="str">
        <f>EINSTELLUNG!B19</f>
        <v>Projection/Aktuell Zahlen</v>
      </c>
      <c r="T33" s="434"/>
      <c r="U33" s="434" t="s">
        <v>110</v>
      </c>
      <c r="V33" s="434"/>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409"/>
      <c r="P34" s="410"/>
      <c r="Q34" s="433"/>
      <c r="R34" s="433"/>
      <c r="S34" s="434"/>
      <c r="T34" s="434"/>
      <c r="U34" s="434"/>
      <c r="V34" s="434"/>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94" t="s">
        <v>113</v>
      </c>
      <c r="P35" s="295"/>
      <c r="Q35" s="285">
        <f>EINSTELLUNG!C9</f>
        <v>4</v>
      </c>
      <c r="R35" s="285"/>
      <c r="S35" s="285">
        <f>EINSTELLUNG!C25</f>
        <v>4</v>
      </c>
      <c r="T35" s="285"/>
      <c r="U35" s="284">
        <f>S35-Q35</f>
        <v>0</v>
      </c>
      <c r="V35" s="28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94" t="s">
        <v>115</v>
      </c>
      <c r="P36" s="295"/>
      <c r="Q36" s="285">
        <f>EINSTELLUNG!D9</f>
        <v>4</v>
      </c>
      <c r="R36" s="285"/>
      <c r="S36" s="285" cm="1">
        <f t="array" ref="S36">SumMergedCells(Q17:R29)</f>
        <v>0</v>
      </c>
      <c r="T36" s="285"/>
      <c r="U36" s="284">
        <f t="shared" ref="U36:U41" si="2">S36-Q36</f>
        <v>-4</v>
      </c>
      <c r="V36" s="28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94" t="s">
        <v>117</v>
      </c>
      <c r="P37" s="295"/>
      <c r="Q37" s="408">
        <f>IF(ISERROR(Q36/Q35), 0, Q36/Q35)</f>
        <v>1</v>
      </c>
      <c r="R37" s="408"/>
      <c r="S37" s="408">
        <f>IF(ISERROR(S36/S35), 0, S36/S35)</f>
        <v>0</v>
      </c>
      <c r="T37" s="408"/>
      <c r="U37" s="281">
        <f t="shared" si="2"/>
        <v>-1</v>
      </c>
      <c r="V37" s="281"/>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94" t="s">
        <v>119</v>
      </c>
      <c r="P38" s="295"/>
      <c r="Q38" s="297">
        <f>EINSTELLUNG!F9</f>
        <v>4</v>
      </c>
      <c r="R38" s="297"/>
      <c r="S38" s="297">
        <f>EINSTELLUNG!F25</f>
        <v>4</v>
      </c>
      <c r="T38" s="297"/>
      <c r="U38" s="298">
        <f t="shared" si="2"/>
        <v>0</v>
      </c>
      <c r="V38" s="298"/>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94" t="s">
        <v>121</v>
      </c>
      <c r="P39" s="295"/>
      <c r="Q39" s="285">
        <f>IF(Q38=0, 0, Q35/Q38)</f>
        <v>1</v>
      </c>
      <c r="R39" s="285"/>
      <c r="S39" s="285">
        <f>IF(S38=0, 0, S35/S38)</f>
        <v>1</v>
      </c>
      <c r="T39" s="285"/>
      <c r="U39" s="284">
        <f t="shared" si="2"/>
        <v>0</v>
      </c>
      <c r="V39" s="28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94" t="s">
        <v>123</v>
      </c>
      <c r="P40" s="295"/>
      <c r="Q40" s="285">
        <f>IF(Q13=0, 0, Q35/Q13)</f>
        <v>4.3457476858893573E-4</v>
      </c>
      <c r="R40" s="285"/>
      <c r="S40" s="285">
        <f>IF(Q13=0, 0, S35/Q13)</f>
        <v>4.3457476858893573E-4</v>
      </c>
      <c r="T40" s="285"/>
      <c r="U40" s="284">
        <f t="shared" si="2"/>
        <v>0</v>
      </c>
      <c r="V40" s="28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94" t="s">
        <v>125</v>
      </c>
      <c r="P41" s="295"/>
      <c r="Q41" s="297">
        <f>IF(Q13=0, 0, Q38/Q13)</f>
        <v>4.3457476858893573E-4</v>
      </c>
      <c r="R41" s="297"/>
      <c r="S41" s="297">
        <f>IF(Q13=0, 0, S38/Q13)</f>
        <v>4.3457476858893573E-4</v>
      </c>
      <c r="T41" s="297"/>
      <c r="U41" s="298">
        <f t="shared" si="2"/>
        <v>0</v>
      </c>
      <c r="V41" s="298"/>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94" t="s">
        <v>127</v>
      </c>
      <c r="P42" s="295"/>
      <c r="Q42" s="282">
        <f>IFERROR(Q17/Q8, 0)</f>
        <v>11.966277590555048</v>
      </c>
      <c r="R42" s="296"/>
      <c r="S42" s="296"/>
      <c r="T42" s="296"/>
      <c r="U42" s="296"/>
      <c r="V42" s="28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365</v>
      </c>
      <c r="D55" s="193">
        <v>46122</v>
      </c>
      <c r="E55" s="134" t="s">
        <v>4</v>
      </c>
      <c r="F55" s="136">
        <v>173</v>
      </c>
      <c r="G55" s="185">
        <v>2021</v>
      </c>
      <c r="H55" s="158">
        <f>IF(AND(ISNUMBER(D55), ISNUMBER(F55)),
    ROUNDDOWN(
        MIN(
            IF(OR(ISBLANK(I55), I55=""),
                EOMONTH(DATE(LOHNTABELLE!$G$3, $A$1, 1), 0), I55)
            - MAX(D55, DATE(LOHNTABELLE!$G$3, $A$1, 1)) + 1)
        / DAY(EOMONTH(DATE(LOHNTABELLE!$G$3, $A$1, 1), 0)) * F55,
        2
    ),
    ""
)</f>
        <v>121.1</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1414.6999999999998</v>
      </c>
      <c r="M55" s="164"/>
      <c r="N55" s="147"/>
    </row>
    <row r="56" spans="1:14" ht="16" customHeight="1">
      <c r="A56" s="130" t="s">
        <v>142</v>
      </c>
      <c r="B56" s="170">
        <v>402405</v>
      </c>
      <c r="C56" s="137" t="s">
        <v>367</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372</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369</v>
      </c>
      <c r="D58" s="193">
        <v>42401</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370</v>
      </c>
      <c r="D59" s="193">
        <v>46054</v>
      </c>
      <c r="E59" s="134" t="s">
        <v>8</v>
      </c>
      <c r="F59" s="136">
        <v>138.4</v>
      </c>
      <c r="G59" s="185">
        <v>1665.6</v>
      </c>
      <c r="H59" s="158">
        <f>IF(AND(ISNUMBER(D59), ISNUMBER(F59)),
    ROUNDDOWN(
        MIN(
            IF(OR(ISBLANK(I59), I59=""),
                EOMONTH(DATE(LOHNTABELLE!$G$3, $A$1, 1), 0), I59)
            - MAX(D59, DATE(LOHNTABELLE!$G$3, $A$1, 1)) + 1)
        / DAY(EOMONTH(DATE(LOHNTABELLE!$G$3, $A$1, 1), 0)) * F59,
        2
    ),
    ""
)</f>
        <v>138.4</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371</v>
      </c>
      <c r="D60" s="193">
        <v>46054</v>
      </c>
      <c r="E60" s="134" t="s">
        <v>4</v>
      </c>
      <c r="F60" s="136">
        <v>138.4</v>
      </c>
      <c r="G60" s="185">
        <v>1616.8</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700000</v>
      </c>
      <c r="C61" s="137" t="s">
        <v>422</v>
      </c>
      <c r="D61" s="193">
        <v>46054</v>
      </c>
      <c r="E61" s="134" t="s">
        <v>4</v>
      </c>
      <c r="F61" s="136">
        <v>173</v>
      </c>
      <c r="G61" s="185">
        <v>2021</v>
      </c>
      <c r="H61" s="158">
        <f>IF(AND(ISNUMBER(D61), ISNUMBER(F61)),
    ROUNDDOWN(
        MIN(
            IF(OR(ISBLANK(I61), I61=""),
                EOMONTH(DATE(LOHNTABELLE!$G$3, $A$1, 1), 0), I61)
            - MAX(D61, DATE(LOHNTABELLE!$G$3, $A$1, 1)) + 1)
        / DAY(EOMONTH(DATE(LOHNTABELLE!$G$3, $A$1, 1), 0)) * F61,
        2
    ),
    ""
)</f>
        <v>173</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2021</v>
      </c>
      <c r="M61" s="164"/>
      <c r="N61" s="147"/>
    </row>
    <row r="62" spans="1:14" ht="16" customHeight="1">
      <c r="A62" s="130" t="s">
        <v>148</v>
      </c>
      <c r="B62" s="170">
        <v>800000</v>
      </c>
      <c r="C62" s="137" t="s">
        <v>426</v>
      </c>
      <c r="D62" s="193">
        <v>46082</v>
      </c>
      <c r="E62" s="134" t="s">
        <v>4</v>
      </c>
      <c r="F62" s="136">
        <v>173</v>
      </c>
      <c r="G62" s="185">
        <v>2021</v>
      </c>
      <c r="H62" s="158">
        <f>IF(AND(ISNUMBER(D62), ISNUMBER(F62)),
    ROUNDDOWN(
        MIN(
            IF(OR(ISBLANK(I62), I62=""),
                EOMONTH(DATE(LOHNTABELLE!$G$3, $A$1, 1), 0), I62)
            - MAX(D62, DATE(LOHNTABELLE!$G$3, $A$1, 1)) + 1)
        / DAY(EOMONTH(DATE(LOHNTABELLE!$G$3, $A$1, 1), 0)) * F62,
        2
    ),
    ""
)</f>
        <v>173</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2021</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U+tK12WChiJ3yPjl++dUsUBxh77lKZ8UUwa29NrNAOMT1ulIL7RqtZi4iKVzRPjjnHXnHyX9vuVDzHkDtrgaLQ==" saltValue="hOQO77pvbmumv01rp7APCg=="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1">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 type="list" allowBlank="1" showInputMessage="1" showErrorMessage="1" sqref="F57" xr:uid="{06056554-8E2B-4C48-B0D4-893356C8910A}">
      <formula1>KV_DD_APRIL_57</formula1>
    </dataValidation>
    <dataValidation type="list" allowBlank="1" showInputMessage="1" showErrorMessage="1" sqref="F58" xr:uid="{9CA09149-3AC0-F447-9C53-A533AFB3EDF4}">
      <formula1>KV_DD_APRIL_58</formula1>
    </dataValidation>
    <dataValidation type="list" allowBlank="1" showInputMessage="1" showErrorMessage="1" sqref="F59" xr:uid="{27C0A78D-9E79-C845-B0CA-BA08072B2225}">
      <formula1>KV_DD_APRIL_59</formula1>
    </dataValidation>
    <dataValidation type="list" allowBlank="1" showInputMessage="1" showErrorMessage="1" sqref="F60" xr:uid="{FA70F3B6-4DA0-6949-AD36-4C99D3EF9400}">
      <formula1>KV_DD_APRIL_60</formula1>
    </dataValidation>
    <dataValidation type="list" allowBlank="1" showInputMessage="1" showErrorMessage="1" sqref="F61" xr:uid="{35449690-F847-41D9-9D0F-13D9FCBC46B5}">
      <formula1>KV_DD_APRIL_61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5</v>
      </c>
      <c r="B1" s="348" t="s">
        <v>205</v>
      </c>
      <c r="C1" s="342" t="s">
        <v>52</v>
      </c>
      <c r="D1" s="344" t="s">
        <v>206</v>
      </c>
      <c r="E1" s="344" t="s">
        <v>0</v>
      </c>
      <c r="F1" s="344" t="s">
        <v>53</v>
      </c>
      <c r="G1" s="346" t="s">
        <v>54</v>
      </c>
      <c r="H1" s="351" t="s">
        <v>55</v>
      </c>
      <c r="I1" s="356" t="s">
        <v>207</v>
      </c>
      <c r="J1" s="358" t="s">
        <v>56</v>
      </c>
      <c r="K1" s="360" t="s">
        <v>57</v>
      </c>
      <c r="L1" s="362" t="s">
        <v>58</v>
      </c>
      <c r="M1" s="364" t="s">
        <v>59</v>
      </c>
      <c r="N1" s="349" t="s">
        <v>208</v>
      </c>
      <c r="AB1" s="41">
        <f>DATE(LOHNTABELLE!$G$3, $A$1, 1)</f>
        <v>46143</v>
      </c>
    </row>
    <row r="2" spans="1:28" ht="16" customHeight="1" thickBot="1">
      <c r="A2" s="129"/>
      <c r="B2" s="348"/>
      <c r="C2" s="343"/>
      <c r="D2" s="345"/>
      <c r="E2" s="345"/>
      <c r="F2" s="345"/>
      <c r="G2" s="347"/>
      <c r="H2" s="352"/>
      <c r="I2" s="357"/>
      <c r="J2" s="359"/>
      <c r="K2" s="361"/>
      <c r="L2" s="363"/>
      <c r="M2" s="365"/>
      <c r="N2" s="349"/>
      <c r="AB2" s="41">
        <f>EOMONTH(DATE(LOHNTABELLE!$G$3, $A$1, 1), 0)</f>
        <v>46173</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40" t="s">
        <v>61</v>
      </c>
      <c r="P3" s="340" t="s">
        <v>62</v>
      </c>
      <c r="Q3" s="366" t="s">
        <v>63</v>
      </c>
      <c r="R3" s="353"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41"/>
      <c r="P4" s="341"/>
      <c r="Q4" s="367"/>
      <c r="R4" s="354"/>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903.18770866157831</v>
      </c>
      <c r="P5" s="49">
        <f>EINSTELLUNG!I10</f>
        <v>5</v>
      </c>
      <c r="Q5" s="48">
        <f>P5-O5</f>
        <v>-898.18770866157831</v>
      </c>
      <c r="R5" s="52">
        <f>IFERROR(Q5*Q42, 0)</f>
        <v>-10737.704138926354</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99" t="str">
        <f>IF(Q5&lt;0, "Schlecht! Zu wenig Urlaub abgebaut.", IF(Q5&gt;0, "Gut! Mehr Urlaub abgebaut als aufgebaut.", ""))</f>
        <v>Schlecht! Zu wenig Urlaub abgebaut.</v>
      </c>
      <c r="P6" s="400"/>
      <c r="Q6" s="400"/>
      <c r="R6" s="401"/>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339" t="s">
        <v>70</v>
      </c>
      <c r="P8" s="403"/>
      <c r="Q8" s="404">
        <f>SUM(H3:H82)</f>
        <v>9336.9699999999993</v>
      </c>
      <c r="R8" s="404"/>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339" t="s">
        <v>72</v>
      </c>
      <c r="P9" s="403"/>
      <c r="Q9" s="404">
        <f>EINSTELLUNG!L26</f>
        <v>5</v>
      </c>
      <c r="R9" s="404"/>
      <c r="S9" s="53">
        <f>IFERROR(Q9/Q8, 0)</f>
        <v>5.3550562977068583E-4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339" t="s">
        <v>74</v>
      </c>
      <c r="P10" s="403"/>
      <c r="Q10" s="404">
        <f>EINSTELLUNG!I26</f>
        <v>5</v>
      </c>
      <c r="R10" s="404"/>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39" t="s">
        <v>76</v>
      </c>
      <c r="P11" s="403"/>
      <c r="Q11" s="404">
        <f>P5</f>
        <v>5</v>
      </c>
      <c r="R11" s="404"/>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39" t="s">
        <v>80</v>
      </c>
      <c r="P12" s="403"/>
      <c r="Q12" s="404">
        <f>Q8-Q9-Q10-Q11</f>
        <v>9321.9699999999993</v>
      </c>
      <c r="R12" s="404"/>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39" t="s">
        <v>82</v>
      </c>
      <c r="P13" s="403"/>
      <c r="Q13" s="404">
        <f>EINSTELLUNG!L10</f>
        <v>5</v>
      </c>
      <c r="R13" s="404"/>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39" t="s">
        <v>84</v>
      </c>
      <c r="P14" s="403"/>
      <c r="Q14" s="404">
        <f>Q12-Q13</f>
        <v>9316.9699999999993</v>
      </c>
      <c r="R14" s="404"/>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439" t="str">
        <f>IF(Q14&lt;0, "Schlecht! Zu wenig Stunden für Dienstplan.", IF(Q14&gt;0, "Du hast mehr als genug Stunden für Dienstplan.", ""))</f>
        <v>Du hast mehr als genug Stunden für Dienstplan.</v>
      </c>
      <c r="P15" s="439"/>
      <c r="Q15" s="439"/>
      <c r="R15" s="439"/>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33" t="s">
        <v>87</v>
      </c>
      <c r="P17" s="407"/>
      <c r="Q17" s="412">
        <f>SUM(L3:L82)</f>
        <v>111622.12580645162</v>
      </c>
      <c r="R17" s="41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03"/>
      <c r="P18" s="435"/>
      <c r="Q18" s="436"/>
      <c r="R18" s="402"/>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03"/>
      <c r="P19" s="435"/>
      <c r="Q19" s="436"/>
      <c r="R19" s="402"/>
    </row>
    <row r="20" spans="1:29" ht="16" customHeight="1">
      <c r="A20" s="130" t="s">
        <v>90</v>
      </c>
      <c r="B20" s="170">
        <v>401479</v>
      </c>
      <c r="C20" s="139"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03"/>
      <c r="P20" s="435"/>
      <c r="Q20" s="436"/>
      <c r="R20" s="402"/>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03" t="s">
        <v>357</v>
      </c>
      <c r="P21" s="435"/>
      <c r="Q21" s="436">
        <v>5000</v>
      </c>
      <c r="R21" s="402"/>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03"/>
      <c r="P22" s="435"/>
      <c r="Q22" s="436"/>
      <c r="R22" s="402"/>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03"/>
      <c r="P23" s="435"/>
      <c r="Q23" s="436"/>
      <c r="R23" s="402"/>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03"/>
      <c r="P24" s="435"/>
      <c r="Q24" s="436"/>
      <c r="R24" s="402"/>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25"/>
      <c r="P25" s="437"/>
      <c r="Q25" s="438"/>
      <c r="R25" s="418"/>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29"/>
      <c r="P26" s="427"/>
      <c r="Q26" s="419"/>
      <c r="R26" s="420"/>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19"/>
      <c r="P27" s="406"/>
      <c r="Q27" s="402"/>
      <c r="R27" s="421"/>
      <c r="S27" s="299" t="s">
        <v>99</v>
      </c>
      <c r="T27" s="300"/>
      <c r="U27" s="300"/>
      <c r="V27" s="300"/>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323"/>
      <c r="P28" s="422"/>
      <c r="Q28" s="423"/>
      <c r="R28" s="424"/>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91" t="s">
        <v>102</v>
      </c>
      <c r="P29" s="415"/>
      <c r="Q29" s="416">
        <f>EINSTELLUNG!O10</f>
        <v>5</v>
      </c>
      <c r="R29" s="417"/>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09">
        <v>0</v>
      </c>
      <c r="P31" s="428"/>
      <c r="Q31" s="429">
        <v>0</v>
      </c>
      <c r="R31" s="43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409"/>
      <c r="P33" s="410"/>
      <c r="Q33" s="433" t="str">
        <f>EINSTELLUNG!B3</f>
        <v>Budget Zahlen</v>
      </c>
      <c r="R33" s="433"/>
      <c r="S33" s="434" t="str">
        <f>EINSTELLUNG!B19</f>
        <v>Projection/Aktuell Zahlen</v>
      </c>
      <c r="T33" s="434"/>
      <c r="U33" s="434" t="s">
        <v>110</v>
      </c>
      <c r="V33" s="434"/>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409"/>
      <c r="P34" s="410"/>
      <c r="Q34" s="433"/>
      <c r="R34" s="433"/>
      <c r="S34" s="434"/>
      <c r="T34" s="434"/>
      <c r="U34" s="434"/>
      <c r="V34" s="434"/>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94" t="s">
        <v>113</v>
      </c>
      <c r="P35" s="295"/>
      <c r="Q35" s="285">
        <f>EINSTELLUNG!C10</f>
        <v>5</v>
      </c>
      <c r="R35" s="285"/>
      <c r="S35" s="285">
        <f>EINSTELLUNG!C26</f>
        <v>5</v>
      </c>
      <c r="T35" s="285"/>
      <c r="U35" s="284">
        <f>S35-Q35</f>
        <v>0</v>
      </c>
      <c r="V35" s="28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94" t="s">
        <v>115</v>
      </c>
      <c r="P36" s="295"/>
      <c r="Q36" s="285">
        <f>EINSTELLUNG!D10</f>
        <v>5</v>
      </c>
      <c r="R36" s="285"/>
      <c r="S36" s="285" cm="1">
        <f t="array" ref="S36">SumMergedCells(Q17:R29)</f>
        <v>0</v>
      </c>
      <c r="T36" s="285"/>
      <c r="U36" s="284">
        <f t="shared" ref="U36:U41" si="2">S36-Q36</f>
        <v>-5</v>
      </c>
      <c r="V36" s="28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94" t="s">
        <v>117</v>
      </c>
      <c r="P37" s="295"/>
      <c r="Q37" s="408">
        <f>IF(ISERROR(Q36/Q35), 0, Q36/Q35)</f>
        <v>1</v>
      </c>
      <c r="R37" s="408"/>
      <c r="S37" s="408">
        <f>IF(ISERROR(S36/S35), 0, S36/S35)</f>
        <v>0</v>
      </c>
      <c r="T37" s="408"/>
      <c r="U37" s="281">
        <f t="shared" si="2"/>
        <v>-1</v>
      </c>
      <c r="V37" s="281"/>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94" t="s">
        <v>119</v>
      </c>
      <c r="P38" s="295"/>
      <c r="Q38" s="297">
        <f>EINSTELLUNG!F10</f>
        <v>5</v>
      </c>
      <c r="R38" s="297"/>
      <c r="S38" s="297">
        <f>EINSTELLUNG!F26</f>
        <v>5</v>
      </c>
      <c r="T38" s="297"/>
      <c r="U38" s="298">
        <f t="shared" si="2"/>
        <v>0</v>
      </c>
      <c r="V38" s="298"/>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94" t="s">
        <v>121</v>
      </c>
      <c r="P39" s="295"/>
      <c r="Q39" s="285">
        <f>IF(Q38=0, 0, Q35/Q38)</f>
        <v>1</v>
      </c>
      <c r="R39" s="285"/>
      <c r="S39" s="285">
        <f>IF(S38=0, 0, S35/S38)</f>
        <v>1</v>
      </c>
      <c r="T39" s="285"/>
      <c r="U39" s="284">
        <f t="shared" si="2"/>
        <v>0</v>
      </c>
      <c r="V39" s="28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94" t="s">
        <v>123</v>
      </c>
      <c r="P40" s="295"/>
      <c r="Q40" s="285">
        <f>IF(Q12=0, 0, Q35/Q12)</f>
        <v>5.3636731291776315E-4</v>
      </c>
      <c r="R40" s="285"/>
      <c r="S40" s="285">
        <f>IF(Q12=0, 0, S35/Q12)</f>
        <v>5.3636731291776315E-4</v>
      </c>
      <c r="T40" s="285"/>
      <c r="U40" s="284">
        <f t="shared" si="2"/>
        <v>0</v>
      </c>
      <c r="V40" s="28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94" t="s">
        <v>125</v>
      </c>
      <c r="P41" s="295"/>
      <c r="Q41" s="297">
        <f>IF(Q12=0, 0, Q38/Q12)</f>
        <v>5.3636731291776315E-4</v>
      </c>
      <c r="R41" s="297"/>
      <c r="S41" s="297">
        <f>IF(Q12=0, 0, S38/Q12)</f>
        <v>5.3636731291776315E-4</v>
      </c>
      <c r="T41" s="297"/>
      <c r="U41" s="298">
        <f t="shared" si="2"/>
        <v>0</v>
      </c>
      <c r="V41" s="298"/>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94" t="s">
        <v>127</v>
      </c>
      <c r="P42" s="295"/>
      <c r="Q42" s="282">
        <f>IFERROR(Q17/Q8, 0)</f>
        <v>11.954855355265318</v>
      </c>
      <c r="R42" s="296"/>
      <c r="S42" s="296"/>
      <c r="T42" s="296"/>
      <c r="U42" s="296"/>
      <c r="V42" s="28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402000</v>
      </c>
      <c r="C55" s="137" t="s">
        <v>363</v>
      </c>
      <c r="D55" s="193">
        <v>46143</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402004</v>
      </c>
      <c r="C56" s="137" t="s">
        <v>365</v>
      </c>
      <c r="D56" s="193">
        <v>46122</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402405</v>
      </c>
      <c r="C57" s="137" t="s">
        <v>367</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500600</v>
      </c>
      <c r="C58" s="137" t="s">
        <v>372</v>
      </c>
      <c r="D58" s="193">
        <v>46054</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502000</v>
      </c>
      <c r="C59" s="137" t="s">
        <v>366</v>
      </c>
      <c r="D59" s="193">
        <v>46147</v>
      </c>
      <c r="E59" s="134" t="s">
        <v>4</v>
      </c>
      <c r="F59" s="136">
        <v>173</v>
      </c>
      <c r="G59" s="185">
        <v>2021</v>
      </c>
      <c r="H59" s="158">
        <f>IF(AND(ISNUMBER(D59), ISNUMBER(F59)),
    ROUNDDOWN(
        MIN(
            IF(OR(ISBLANK(I59), I59=""),
                EOMONTH(DATE(LOHNTABELLE!$G$3, $A$1, 1), 0), I59)
            - MAX(D59, DATE(LOHNTABELLE!$G$3, $A$1, 1)) + 1)
        / DAY(EOMONTH(DATE(LOHNTABELLE!$G$3, $A$1, 1), 0)) * F59,
        2
    ),
    ""
)</f>
        <v>150.66999999999999</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1760.2258064516127</v>
      </c>
      <c r="M59" s="164"/>
      <c r="N59" s="147"/>
    </row>
    <row r="60" spans="1:14" ht="16" customHeight="1">
      <c r="A60" s="130" t="s">
        <v>146</v>
      </c>
      <c r="B60" s="170">
        <v>503000</v>
      </c>
      <c r="C60" s="137" t="s">
        <v>369</v>
      </c>
      <c r="D60" s="193">
        <v>42401</v>
      </c>
      <c r="E60" s="134" t="s">
        <v>4</v>
      </c>
      <c r="F60" s="136">
        <v>173</v>
      </c>
      <c r="G60" s="185">
        <v>2021</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v>504000</v>
      </c>
      <c r="C61" s="137" t="s">
        <v>370</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371</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700000</v>
      </c>
      <c r="C63" s="137" t="s">
        <v>422</v>
      </c>
      <c r="D63" s="193">
        <v>46054</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v>800000</v>
      </c>
      <c r="C64" s="137" t="s">
        <v>426</v>
      </c>
      <c r="D64" s="193">
        <v>46082</v>
      </c>
      <c r="E64" s="134" t="s">
        <v>4</v>
      </c>
      <c r="F64" s="136">
        <v>173</v>
      </c>
      <c r="G64" s="185">
        <v>2021</v>
      </c>
      <c r="H64" s="158">
        <f>IF(AND(ISNUMBER(D64), ISNUMBER(F64)),
    ROUNDDOWN(
        MIN(
            IF(OR(ISBLANK(I64), I64=""),
                EOMONTH(DATE(LOHNTABELLE!$G$3, $A$1, 1), 0), I64)
            - MAX(D64, DATE(LOHNTABELLE!$G$3, $A$1, 1)) + 1)
        / DAY(EOMONTH(DATE(LOHNTABELLE!$G$3, $A$1, 1), 0)) * F64,
        2
    ),
    ""
)</f>
        <v>173</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2021</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8mcH4SIFjWzGtEny3GnP9Wh8AeshfsNGzd3lovpJskhLudEXNuKMnYUMiHbi8y2Ne52SNAm5Z1qhNAlB6q4Otg==" saltValue="8wrPm6+rmM8mI8DcPhN1bw=="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dataValidations count="63">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 type="list" allowBlank="1" showInputMessage="1" showErrorMessage="1" sqref="F59" xr:uid="{AC6274FD-4CDA-4746-96AC-D0A2BC32F2AE}">
      <formula1>KV_DD_MAI_59</formula1>
    </dataValidation>
    <dataValidation type="list" allowBlank="1" showInputMessage="1" showErrorMessage="1" sqref="F60" xr:uid="{6442A6FE-86DA-ED4A-B43F-4AA539C05EA8}">
      <formula1>KV_DD_MAI_60</formula1>
    </dataValidation>
    <dataValidation type="list" allowBlank="1" showInputMessage="1" showErrorMessage="1" sqref="F61" xr:uid="{73E90480-5B52-594A-AFDD-120B67DACA68}">
      <formula1>KV_DD_MAI_61</formula1>
    </dataValidation>
    <dataValidation type="list" allowBlank="1" showInputMessage="1" showErrorMessage="1" sqref="F62" xr:uid="{562E69EF-4464-BE43-BF37-B49386710852}">
      <formula1>KV_DD_MAI_62</formula1>
    </dataValidation>
    <dataValidation type="list" allowBlank="1" showInputMessage="1" showErrorMessage="1" sqref="F63" xr:uid="{84C2C255-CC7E-3E44-94BA-D28068703D92}">
      <formula1>KV_DD_MAI_63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6</v>
      </c>
      <c r="B1" s="348" t="s">
        <v>205</v>
      </c>
      <c r="C1" s="342" t="s">
        <v>52</v>
      </c>
      <c r="D1" s="344" t="s">
        <v>206</v>
      </c>
      <c r="E1" s="344" t="s">
        <v>0</v>
      </c>
      <c r="F1" s="344" t="s">
        <v>53</v>
      </c>
      <c r="G1" s="346" t="s">
        <v>54</v>
      </c>
      <c r="H1" s="351" t="s">
        <v>55</v>
      </c>
      <c r="I1" s="356" t="s">
        <v>207</v>
      </c>
      <c r="J1" s="358" t="s">
        <v>56</v>
      </c>
      <c r="K1" s="360" t="s">
        <v>57</v>
      </c>
      <c r="L1" s="362" t="s">
        <v>58</v>
      </c>
      <c r="M1" s="364" t="s">
        <v>59</v>
      </c>
      <c r="N1" s="349" t="s">
        <v>208</v>
      </c>
      <c r="AB1" s="41">
        <f>DATE(LOHNTABELLE!$G$3, $A$1, 1)</f>
        <v>46174</v>
      </c>
    </row>
    <row r="2" spans="1:28" ht="16" customHeight="1" thickBot="1">
      <c r="A2" s="129"/>
      <c r="B2" s="348"/>
      <c r="C2" s="343"/>
      <c r="D2" s="345"/>
      <c r="E2" s="345"/>
      <c r="F2" s="345"/>
      <c r="G2" s="347"/>
      <c r="H2" s="352"/>
      <c r="I2" s="357"/>
      <c r="J2" s="359"/>
      <c r="K2" s="361"/>
      <c r="L2" s="363"/>
      <c r="M2" s="365"/>
      <c r="N2" s="349"/>
      <c r="AB2" s="41">
        <f>EOMONTH(DATE(LOHNTABELLE!$G$3, $A$1, 1), 0)</f>
        <v>46203</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40" t="s">
        <v>61</v>
      </c>
      <c r="P3" s="340" t="s">
        <v>62</v>
      </c>
      <c r="Q3" s="366" t="s">
        <v>63</v>
      </c>
      <c r="R3" s="353"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41"/>
      <c r="P4" s="341"/>
      <c r="Q4" s="367"/>
      <c r="R4" s="354"/>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903.18770866157831</v>
      </c>
      <c r="P5" s="49">
        <f>EINSTELLUNG!I11</f>
        <v>6</v>
      </c>
      <c r="Q5" s="48">
        <f>P5-O5</f>
        <v>-897.18770866157831</v>
      </c>
      <c r="R5" s="52">
        <f>IFERROR(Q5*Q42, 0)</f>
        <v>-10725.157083266111</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99" t="str">
        <f>IF(Q5&lt;0, "Schlecht! Zu wenig Urlaub abgebaut.", IF(Q5&gt;0, "Gut! Mehr Urlaub abgebaut als aufgebaut.", ""))</f>
        <v>Schlecht! Zu wenig Urlaub abgebaut.</v>
      </c>
      <c r="P6" s="400"/>
      <c r="Q6" s="400"/>
      <c r="R6" s="401"/>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339" t="s">
        <v>70</v>
      </c>
      <c r="P8" s="403"/>
      <c r="Q8" s="404">
        <f>SUM(H3:H82)</f>
        <v>9359.2999999999993</v>
      </c>
      <c r="R8" s="404"/>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339" t="s">
        <v>72</v>
      </c>
      <c r="P9" s="403"/>
      <c r="Q9" s="404">
        <f>EINSTELLUNG!L27</f>
        <v>6</v>
      </c>
      <c r="R9" s="404"/>
      <c r="S9" s="53">
        <f>IFERROR(Q9/Q8, 0)</f>
        <v>6.410735845629481E-4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339" t="s">
        <v>74</v>
      </c>
      <c r="P10" s="403"/>
      <c r="Q10" s="404">
        <f>EINSTELLUNG!I27</f>
        <v>6</v>
      </c>
      <c r="R10" s="404"/>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39" t="s">
        <v>76</v>
      </c>
      <c r="P11" s="403"/>
      <c r="Q11" s="404">
        <f>P5</f>
        <v>6</v>
      </c>
      <c r="R11" s="404"/>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39" t="s">
        <v>78</v>
      </c>
      <c r="P12" s="403"/>
      <c r="Q12" s="411">
        <v>442</v>
      </c>
      <c r="R12" s="411"/>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39" t="s">
        <v>80</v>
      </c>
      <c r="P13" s="403"/>
      <c r="Q13" s="404">
        <f>Q8-Q9-Q10-Q11-Q12</f>
        <v>8899.2999999999993</v>
      </c>
      <c r="R13" s="404"/>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39" t="s">
        <v>82</v>
      </c>
      <c r="P14" s="403"/>
      <c r="Q14" s="404">
        <f>EINSTELLUNG!L11</f>
        <v>6</v>
      </c>
      <c r="R14" s="404"/>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39" t="s">
        <v>84</v>
      </c>
      <c r="P15" s="403"/>
      <c r="Q15" s="404">
        <f>Q13-Q14</f>
        <v>8893.2999999999993</v>
      </c>
      <c r="R15" s="404"/>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405" t="str">
        <f>IF(Q15&lt;0, "Schlecht! Zu wenig Stunden für Dienstplan.", IF(Q15&gt;0, "Du hast mehr als genug Stunden für Dienstplan.", ""))</f>
        <v>Du hast mehr als genug Stunden für Dienstplan.</v>
      </c>
      <c r="P16" s="405"/>
      <c r="Q16" s="405"/>
      <c r="R16" s="405"/>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33" t="s">
        <v>87</v>
      </c>
      <c r="P17" s="407"/>
      <c r="Q17" s="412">
        <f>SUM(L3:L82)</f>
        <v>111882.90000000001</v>
      </c>
      <c r="R17" s="41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03"/>
      <c r="P18" s="435"/>
      <c r="Q18" s="436"/>
      <c r="R18" s="402"/>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03"/>
      <c r="P19" s="435"/>
      <c r="Q19" s="436"/>
      <c r="R19" s="402"/>
    </row>
    <row r="20" spans="1:29" ht="16" customHeight="1">
      <c r="A20" s="130" t="s">
        <v>90</v>
      </c>
      <c r="B20" s="170">
        <v>401479</v>
      </c>
      <c r="C20" s="139"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03"/>
      <c r="P20" s="435"/>
      <c r="Q20" s="436"/>
      <c r="R20" s="402"/>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03" t="s">
        <v>357</v>
      </c>
      <c r="P21" s="435"/>
      <c r="Q21" s="436">
        <v>5000</v>
      </c>
      <c r="R21" s="402"/>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03"/>
      <c r="P22" s="435"/>
      <c r="Q22" s="436"/>
      <c r="R22" s="402"/>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03"/>
      <c r="P23" s="435"/>
      <c r="Q23" s="436"/>
      <c r="R23" s="402"/>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03"/>
      <c r="P24" s="435"/>
      <c r="Q24" s="436"/>
      <c r="R24" s="402"/>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25"/>
      <c r="P25" s="437"/>
      <c r="Q25" s="438"/>
      <c r="R25" s="418"/>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29"/>
      <c r="P26" s="427"/>
      <c r="Q26" s="419"/>
      <c r="R26" s="420"/>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19"/>
      <c r="P27" s="406"/>
      <c r="Q27" s="402"/>
      <c r="R27" s="421"/>
      <c r="S27" s="299" t="s">
        <v>99</v>
      </c>
      <c r="T27" s="300"/>
      <c r="U27" s="300"/>
      <c r="V27" s="300"/>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323"/>
      <c r="P28" s="422"/>
      <c r="Q28" s="423"/>
      <c r="R28" s="424"/>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91" t="s">
        <v>102</v>
      </c>
      <c r="P29" s="415"/>
      <c r="Q29" s="416">
        <f>EINSTELLUNG!O11</f>
        <v>6</v>
      </c>
      <c r="R29" s="417"/>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09">
        <v>0</v>
      </c>
      <c r="P31" s="428"/>
      <c r="Q31" s="429">
        <v>1.6666666666666666E-2</v>
      </c>
      <c r="R31" s="43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409"/>
      <c r="P33" s="410"/>
      <c r="Q33" s="433" t="str">
        <f>EINSTELLUNG!B3</f>
        <v>Budget Zahlen</v>
      </c>
      <c r="R33" s="433"/>
      <c r="S33" s="434" t="str">
        <f>EINSTELLUNG!B19</f>
        <v>Projection/Aktuell Zahlen</v>
      </c>
      <c r="T33" s="434"/>
      <c r="U33" s="434" t="s">
        <v>110</v>
      </c>
      <c r="V33" s="434"/>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409"/>
      <c r="P34" s="410"/>
      <c r="Q34" s="433"/>
      <c r="R34" s="433"/>
      <c r="S34" s="434"/>
      <c r="T34" s="434"/>
      <c r="U34" s="434"/>
      <c r="V34" s="434"/>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94" t="s">
        <v>113</v>
      </c>
      <c r="P35" s="295"/>
      <c r="Q35" s="285">
        <f>EINSTELLUNG!C11</f>
        <v>6</v>
      </c>
      <c r="R35" s="285"/>
      <c r="S35" s="285">
        <f>EINSTELLUNG!C27</f>
        <v>6</v>
      </c>
      <c r="T35" s="285"/>
      <c r="U35" s="284">
        <f>S35-Q35</f>
        <v>0</v>
      </c>
      <c r="V35" s="28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94" t="s">
        <v>115</v>
      </c>
      <c r="P36" s="295"/>
      <c r="Q36" s="285">
        <f>EINSTELLUNG!D11</f>
        <v>6</v>
      </c>
      <c r="R36" s="285"/>
      <c r="S36" s="285" cm="1">
        <f t="array" ref="S36">SumMergedCells(Q17:R29)</f>
        <v>0</v>
      </c>
      <c r="T36" s="285"/>
      <c r="U36" s="284">
        <f t="shared" ref="U36:U41" si="2">S36-Q36</f>
        <v>-6</v>
      </c>
      <c r="V36" s="28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94" t="s">
        <v>117</v>
      </c>
      <c r="P37" s="295"/>
      <c r="Q37" s="408">
        <f>IF(ISERROR(Q36/Q35), 0, Q36/Q35)</f>
        <v>1</v>
      </c>
      <c r="R37" s="408"/>
      <c r="S37" s="408">
        <f>IF(ISERROR(S36/S35), 0, S36/S35)</f>
        <v>0</v>
      </c>
      <c r="T37" s="408"/>
      <c r="U37" s="281">
        <f t="shared" si="2"/>
        <v>-1</v>
      </c>
      <c r="V37" s="281"/>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94" t="s">
        <v>119</v>
      </c>
      <c r="P38" s="295"/>
      <c r="Q38" s="297">
        <f>EINSTELLUNG!F11</f>
        <v>6</v>
      </c>
      <c r="R38" s="297"/>
      <c r="S38" s="297">
        <f>EINSTELLUNG!F27</f>
        <v>6</v>
      </c>
      <c r="T38" s="297"/>
      <c r="U38" s="298">
        <f t="shared" si="2"/>
        <v>0</v>
      </c>
      <c r="V38" s="298"/>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94" t="s">
        <v>121</v>
      </c>
      <c r="P39" s="295"/>
      <c r="Q39" s="285">
        <f>IF(Q38=0, 0, Q35/Q38)</f>
        <v>1</v>
      </c>
      <c r="R39" s="285"/>
      <c r="S39" s="285">
        <f>IF(S38=0, 0, S35/S38)</f>
        <v>1</v>
      </c>
      <c r="T39" s="285"/>
      <c r="U39" s="284">
        <f t="shared" si="2"/>
        <v>0</v>
      </c>
      <c r="V39" s="28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94" t="s">
        <v>123</v>
      </c>
      <c r="P40" s="295"/>
      <c r="Q40" s="285">
        <f>IF(Q12=0, 0, Q35/Q12)</f>
        <v>1.3574660633484163E-2</v>
      </c>
      <c r="R40" s="285"/>
      <c r="S40" s="285">
        <f>IF(Q12=0, 0, S35/Q12)</f>
        <v>1.3574660633484163E-2</v>
      </c>
      <c r="T40" s="285"/>
      <c r="U40" s="284">
        <f t="shared" si="2"/>
        <v>0</v>
      </c>
      <c r="V40" s="28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94" t="s">
        <v>125</v>
      </c>
      <c r="P41" s="295"/>
      <c r="Q41" s="297">
        <f>IF(Q12=0, 0, Q38/Q12)</f>
        <v>1.3574660633484163E-2</v>
      </c>
      <c r="R41" s="297"/>
      <c r="S41" s="297">
        <f>IF(Q12=0, 0, S38/Q12)</f>
        <v>1.3574660633484163E-2</v>
      </c>
      <c r="T41" s="297"/>
      <c r="U41" s="298">
        <f t="shared" si="2"/>
        <v>0</v>
      </c>
      <c r="V41" s="298"/>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94" t="s">
        <v>127</v>
      </c>
      <c r="P42" s="295"/>
      <c r="Q42" s="282">
        <f>IFERROR(Q17/Q8, 0)</f>
        <v>11.954195292382979</v>
      </c>
      <c r="R42" s="296"/>
      <c r="S42" s="296"/>
      <c r="T42" s="296"/>
      <c r="U42" s="296"/>
      <c r="V42" s="28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402000</v>
      </c>
      <c r="C55" s="137" t="s">
        <v>363</v>
      </c>
      <c r="D55" s="193">
        <v>46143</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402004</v>
      </c>
      <c r="C56" s="137" t="s">
        <v>365</v>
      </c>
      <c r="D56" s="193">
        <v>46122</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402405</v>
      </c>
      <c r="C57" s="137" t="s">
        <v>367</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500600</v>
      </c>
      <c r="C58" s="137" t="s">
        <v>372</v>
      </c>
      <c r="D58" s="193">
        <v>46054</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502000</v>
      </c>
      <c r="C59" s="137" t="s">
        <v>366</v>
      </c>
      <c r="D59" s="193">
        <v>46147</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503000</v>
      </c>
      <c r="C60" s="137" t="s">
        <v>369</v>
      </c>
      <c r="D60" s="193">
        <v>42401</v>
      </c>
      <c r="E60" s="134" t="s">
        <v>4</v>
      </c>
      <c r="F60" s="136">
        <v>173</v>
      </c>
      <c r="G60" s="185">
        <v>2021</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v>504000</v>
      </c>
      <c r="C61" s="137" t="s">
        <v>370</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371</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700000</v>
      </c>
      <c r="C63" s="137" t="s">
        <v>422</v>
      </c>
      <c r="D63" s="193">
        <v>46054</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v>800000</v>
      </c>
      <c r="C64" s="137" t="s">
        <v>426</v>
      </c>
      <c r="D64" s="193">
        <v>46082</v>
      </c>
      <c r="E64" s="134" t="s">
        <v>4</v>
      </c>
      <c r="F64" s="136">
        <v>173</v>
      </c>
      <c r="G64" s="185">
        <v>2021</v>
      </c>
      <c r="H64" s="158">
        <f>IF(AND(ISNUMBER(D64), ISNUMBER(F64)),
    ROUNDDOWN(
        MIN(
            IF(OR(ISBLANK(I64), I64=""),
                EOMONTH(DATE(LOHNTABELLE!$G$3, $A$1, 1), 0), I64)
            - MAX(D64, DATE(LOHNTABELLE!$G$3, $A$1, 1)) + 1)
        / DAY(EOMONTH(DATE(LOHNTABELLE!$G$3, $A$1, 1), 0)) * F64,
        2
    ),
    ""
)</f>
        <v>173</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2021</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euaCcol3VesTW+Ucp47pHC5JgeERAUabdZlqiXIsjGGHl7SQxd8MXFx9UodNrv13AJtiiZ4f0W9Yd7Nf+tdkuw==" saltValue="u198mSbbLAB1zIcBirekog==" spinCount="100000" sheet="1" objects="1" scenarios="1" sort="0" autoFilter="0"/>
  <sortState xmlns:xlrd2="http://schemas.microsoft.com/office/spreadsheetml/2017/richdata2" ref="B3:N82">
    <sortCondition ref="B3:B82"/>
    <sortCondition ref="C3:C82"/>
  </sortState>
  <dataConsolidate/>
  <mergeCells count="98">
    <mergeCell ref="B1:B2"/>
    <mergeCell ref="N1:N2"/>
    <mergeCell ref="H1:H2"/>
    <mergeCell ref="C1:C2"/>
    <mergeCell ref="D1:D2"/>
    <mergeCell ref="E1:E2"/>
    <mergeCell ref="F1:F2"/>
    <mergeCell ref="G1:G2"/>
    <mergeCell ref="I1:I2"/>
    <mergeCell ref="J1:J2"/>
    <mergeCell ref="K1:K2"/>
    <mergeCell ref="L1:L2"/>
    <mergeCell ref="M1:M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U38:V38"/>
    <mergeCell ref="O39:P39"/>
    <mergeCell ref="Q39:R39"/>
    <mergeCell ref="S39:T39"/>
    <mergeCell ref="U39:V39"/>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63">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 type="list" allowBlank="1" showInputMessage="1" showErrorMessage="1" sqref="F59" xr:uid="{04CF9C55-840F-C441-95D1-E8452309BBD6}">
      <formula1>KV_DD_JUNI_59</formula1>
    </dataValidation>
    <dataValidation type="list" allowBlank="1" showInputMessage="1" showErrorMessage="1" sqref="F60" xr:uid="{5F5A703F-18F2-094C-96AC-FBC5F9A6E6FD}">
      <formula1>KV_DD_JUNI_60</formula1>
    </dataValidation>
    <dataValidation type="list" allowBlank="1" showInputMessage="1" showErrorMessage="1" sqref="F61" xr:uid="{F7D4EF37-9DF4-8E4A-812C-4B1FBA2F052F}">
      <formula1>KV_DD_JUNI_61</formula1>
    </dataValidation>
    <dataValidation type="list" allowBlank="1" showInputMessage="1" showErrorMessage="1" sqref="F62" xr:uid="{D83C6268-CD4D-564C-8953-79BCF82C9674}">
      <formula1>KV_DD_JUNI_62</formula1>
    </dataValidation>
    <dataValidation type="list" allowBlank="1" showInputMessage="1" showErrorMessage="1" sqref="F63" xr:uid="{D9157D04-DBE2-4591-8A50-5940E52A90C8}">
      <formula1>KV_DD_JUNI_63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7</v>
      </c>
      <c r="B1" s="348" t="s">
        <v>205</v>
      </c>
      <c r="C1" s="342" t="s">
        <v>52</v>
      </c>
      <c r="D1" s="344" t="s">
        <v>206</v>
      </c>
      <c r="E1" s="344" t="s">
        <v>0</v>
      </c>
      <c r="F1" s="344" t="s">
        <v>53</v>
      </c>
      <c r="G1" s="346" t="s">
        <v>54</v>
      </c>
      <c r="H1" s="351" t="s">
        <v>55</v>
      </c>
      <c r="I1" s="356" t="s">
        <v>207</v>
      </c>
      <c r="J1" s="358" t="s">
        <v>56</v>
      </c>
      <c r="K1" s="360" t="s">
        <v>57</v>
      </c>
      <c r="L1" s="362" t="s">
        <v>58</v>
      </c>
      <c r="M1" s="364" t="s">
        <v>59</v>
      </c>
      <c r="N1" s="349" t="s">
        <v>208</v>
      </c>
      <c r="AB1" s="41">
        <f>DATE(LOHNTABELLE!$G$3, $A$1, 1)</f>
        <v>46204</v>
      </c>
    </row>
    <row r="2" spans="1:28" ht="16" customHeight="1" thickBot="1">
      <c r="A2" s="129"/>
      <c r="B2" s="348"/>
      <c r="C2" s="343"/>
      <c r="D2" s="345"/>
      <c r="E2" s="345"/>
      <c r="F2" s="345"/>
      <c r="G2" s="347"/>
      <c r="H2" s="352"/>
      <c r="I2" s="357"/>
      <c r="J2" s="359"/>
      <c r="K2" s="361"/>
      <c r="L2" s="363"/>
      <c r="M2" s="365"/>
      <c r="N2" s="349"/>
      <c r="AB2" s="41">
        <f>EOMONTH(DATE(LOHNTABELLE!$G$3, $A$1, 1), 0)</f>
        <v>46234</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40" t="s">
        <v>61</v>
      </c>
      <c r="P3" s="340" t="s">
        <v>62</v>
      </c>
      <c r="Q3" s="366" t="s">
        <v>63</v>
      </c>
      <c r="R3" s="353"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41"/>
      <c r="P4" s="341"/>
      <c r="Q4" s="367"/>
      <c r="R4" s="354"/>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903.18770866157831</v>
      </c>
      <c r="P5" s="49">
        <f>EINSTELLUNG!I12</f>
        <v>7</v>
      </c>
      <c r="Q5" s="48">
        <f>P5-O5</f>
        <v>-896.18770866157831</v>
      </c>
      <c r="R5" s="52">
        <f>IFERROR(Q5*Q42, 0)</f>
        <v>-10713.202887973728</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99" t="str">
        <f>IF(Q5&lt;0, "Schlecht! Zu wenig Urlaub abgebaut.", IF(Q5&gt;0, "Gut! Mehr Urlaub abgebaut als aufgebaut.", ""))</f>
        <v>Schlecht! Zu wenig Urlaub abgebaut.</v>
      </c>
      <c r="P6" s="400"/>
      <c r="Q6" s="400"/>
      <c r="R6" s="401"/>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339" t="s">
        <v>70</v>
      </c>
      <c r="P8" s="403"/>
      <c r="Q8" s="404">
        <f>SUM(H3:H82)</f>
        <v>9359.2999999999993</v>
      </c>
      <c r="R8" s="404"/>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339" t="s">
        <v>72</v>
      </c>
      <c r="P9" s="403"/>
      <c r="Q9" s="404">
        <f>EINSTELLUNG!L28</f>
        <v>7</v>
      </c>
      <c r="R9" s="404"/>
      <c r="S9" s="53">
        <f>IFERROR(Q9/Q8, 0)</f>
        <v>7.4791918199010614E-4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339" t="s">
        <v>74</v>
      </c>
      <c r="P10" s="403"/>
      <c r="Q10" s="404">
        <f>EINSTELLUNG!I28</f>
        <v>7</v>
      </c>
      <c r="R10" s="404"/>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39" t="s">
        <v>76</v>
      </c>
      <c r="P11" s="403"/>
      <c r="Q11" s="404">
        <f>P5</f>
        <v>7</v>
      </c>
      <c r="R11" s="404"/>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39" t="s">
        <v>78</v>
      </c>
      <c r="P12" s="403"/>
      <c r="Q12" s="411">
        <v>39</v>
      </c>
      <c r="R12" s="411"/>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39" t="s">
        <v>80</v>
      </c>
      <c r="P13" s="403"/>
      <c r="Q13" s="404">
        <f>Q8-Q9-Q10-Q11-Q12</f>
        <v>9299.2999999999993</v>
      </c>
      <c r="R13" s="404"/>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39" t="s">
        <v>82</v>
      </c>
      <c r="P14" s="403"/>
      <c r="Q14" s="404">
        <f>EINSTELLUNG!L12</f>
        <v>7</v>
      </c>
      <c r="R14" s="404"/>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39" t="s">
        <v>84</v>
      </c>
      <c r="P15" s="403"/>
      <c r="Q15" s="404">
        <f>Q13-Q14</f>
        <v>9292.2999999999993</v>
      </c>
      <c r="R15" s="404"/>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405" t="str">
        <f>IF(Q15&lt;0, "Schlecht! Zu wenig Stunden für Dienstplan.", IF(Q15&gt;0, "Du hast mehr als genug Stunden für Dienstplan.", ""))</f>
        <v>Du hast mehr als genug Stunden für Dienstplan.</v>
      </c>
      <c r="P16" s="405"/>
      <c r="Q16" s="405"/>
      <c r="R16" s="405"/>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33" t="s">
        <v>87</v>
      </c>
      <c r="P17" s="407"/>
      <c r="Q17" s="412">
        <f>SUM(L3:L82)</f>
        <v>111882.90000000001</v>
      </c>
      <c r="R17" s="41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03"/>
      <c r="P18" s="435"/>
      <c r="Q18" s="436"/>
      <c r="R18" s="402"/>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03"/>
      <c r="P19" s="435"/>
      <c r="Q19" s="436"/>
      <c r="R19" s="402"/>
    </row>
    <row r="20" spans="1:29" ht="16" customHeight="1">
      <c r="A20" s="130" t="s">
        <v>90</v>
      </c>
      <c r="B20" s="170">
        <v>401479</v>
      </c>
      <c r="C20" s="139"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03"/>
      <c r="P20" s="435"/>
      <c r="Q20" s="436"/>
      <c r="R20" s="402"/>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03" t="s">
        <v>357</v>
      </c>
      <c r="P21" s="435"/>
      <c r="Q21" s="436">
        <v>5000</v>
      </c>
      <c r="R21" s="402"/>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03"/>
      <c r="P22" s="435"/>
      <c r="Q22" s="436"/>
      <c r="R22" s="402"/>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03"/>
      <c r="P23" s="435"/>
      <c r="Q23" s="436"/>
      <c r="R23" s="402"/>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03"/>
      <c r="P24" s="435"/>
      <c r="Q24" s="436"/>
      <c r="R24" s="402"/>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25"/>
      <c r="P25" s="437"/>
      <c r="Q25" s="438"/>
      <c r="R25" s="418"/>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28"/>
      <c r="P26" s="329"/>
      <c r="Q26" s="419"/>
      <c r="R26" s="420"/>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19"/>
      <c r="P27" s="406"/>
      <c r="Q27" s="402"/>
      <c r="R27" s="421"/>
      <c r="S27" s="299" t="s">
        <v>99</v>
      </c>
      <c r="T27" s="300"/>
      <c r="U27" s="300"/>
      <c r="V27" s="300"/>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323"/>
      <c r="P28" s="422"/>
      <c r="Q28" s="423"/>
      <c r="R28" s="424"/>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91" t="s">
        <v>102</v>
      </c>
      <c r="P29" s="415"/>
      <c r="Q29" s="416">
        <f>EINSTELLUNG!O12</f>
        <v>7</v>
      </c>
      <c r="R29" s="417"/>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09">
        <v>0</v>
      </c>
      <c r="P31" s="428"/>
      <c r="Q31" s="429">
        <v>0</v>
      </c>
      <c r="R31" s="43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409"/>
      <c r="P33" s="410"/>
      <c r="Q33" s="433" t="str">
        <f>EINSTELLUNG!B3</f>
        <v>Budget Zahlen</v>
      </c>
      <c r="R33" s="433"/>
      <c r="S33" s="434" t="str">
        <f>EINSTELLUNG!B19</f>
        <v>Projection/Aktuell Zahlen</v>
      </c>
      <c r="T33" s="434"/>
      <c r="U33" s="434" t="s">
        <v>110</v>
      </c>
      <c r="V33" s="434"/>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409"/>
      <c r="P34" s="410"/>
      <c r="Q34" s="433"/>
      <c r="R34" s="433"/>
      <c r="S34" s="434"/>
      <c r="T34" s="434"/>
      <c r="U34" s="434"/>
      <c r="V34" s="434"/>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94" t="s">
        <v>113</v>
      </c>
      <c r="P35" s="295"/>
      <c r="Q35" s="285">
        <f>EINSTELLUNG!C12</f>
        <v>7</v>
      </c>
      <c r="R35" s="285"/>
      <c r="S35" s="285">
        <f>EINSTELLUNG!C28</f>
        <v>7</v>
      </c>
      <c r="T35" s="285"/>
      <c r="U35" s="284">
        <f>S35-Q35</f>
        <v>0</v>
      </c>
      <c r="V35" s="28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94" t="s">
        <v>115</v>
      </c>
      <c r="P36" s="295"/>
      <c r="Q36" s="285">
        <f>EINSTELLUNG!D12</f>
        <v>7</v>
      </c>
      <c r="R36" s="285"/>
      <c r="S36" s="282" cm="1">
        <f t="array" ref="S36">SumMergedCells(Q17:R29)</f>
        <v>0</v>
      </c>
      <c r="T36" s="283"/>
      <c r="U36" s="284">
        <f t="shared" ref="U36:U41" si="2">S36-Q36</f>
        <v>-7</v>
      </c>
      <c r="V36" s="28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94" t="s">
        <v>117</v>
      </c>
      <c r="P37" s="295"/>
      <c r="Q37" s="408">
        <f>IF(ISERROR(Q36/Q35), 0, Q36/Q35)</f>
        <v>1</v>
      </c>
      <c r="R37" s="408"/>
      <c r="S37" s="408">
        <f>IF(ISERROR(S36/S35), 0, S36/S35)</f>
        <v>0</v>
      </c>
      <c r="T37" s="408"/>
      <c r="U37" s="281">
        <f t="shared" si="2"/>
        <v>-1</v>
      </c>
      <c r="V37" s="281"/>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94" t="s">
        <v>119</v>
      </c>
      <c r="P38" s="295"/>
      <c r="Q38" s="297">
        <f>EINSTELLUNG!F12</f>
        <v>7</v>
      </c>
      <c r="R38" s="297"/>
      <c r="S38" s="297">
        <f>EINSTELLUNG!F28</f>
        <v>7</v>
      </c>
      <c r="T38" s="297"/>
      <c r="U38" s="298">
        <f t="shared" si="2"/>
        <v>0</v>
      </c>
      <c r="V38" s="298"/>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94" t="s">
        <v>121</v>
      </c>
      <c r="P39" s="295"/>
      <c r="Q39" s="285">
        <f>IF(Q38=0, 0, Q35/Q38)</f>
        <v>1</v>
      </c>
      <c r="R39" s="285"/>
      <c r="S39" s="285">
        <f>IF(S38=0, 0, S35/S38)</f>
        <v>1</v>
      </c>
      <c r="T39" s="285"/>
      <c r="U39" s="284">
        <f t="shared" si="2"/>
        <v>0</v>
      </c>
      <c r="V39" s="28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94" t="s">
        <v>123</v>
      </c>
      <c r="P40" s="295"/>
      <c r="Q40" s="285">
        <f>IF(Q13=0, 0, Q35/Q13)</f>
        <v>7.5274483025604085E-4</v>
      </c>
      <c r="R40" s="285"/>
      <c r="S40" s="285">
        <f>IF(Q13=0, 0, S35/Q13)</f>
        <v>7.5274483025604085E-4</v>
      </c>
      <c r="T40" s="285"/>
      <c r="U40" s="284">
        <f t="shared" si="2"/>
        <v>0</v>
      </c>
      <c r="V40" s="28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94" t="s">
        <v>125</v>
      </c>
      <c r="P41" s="295"/>
      <c r="Q41" s="297">
        <f>IF(Q13=0, 0, Q38/Q13)</f>
        <v>7.5274483025604085E-4</v>
      </c>
      <c r="R41" s="297"/>
      <c r="S41" s="297">
        <f>IF(Q13=0, 0, S38/Q13)</f>
        <v>7.5274483025604085E-4</v>
      </c>
      <c r="T41" s="297"/>
      <c r="U41" s="298">
        <f t="shared" si="2"/>
        <v>0</v>
      </c>
      <c r="V41" s="298"/>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94" t="s">
        <v>127</v>
      </c>
      <c r="P42" s="295"/>
      <c r="Q42" s="282">
        <f>IFERROR(Q17/Q8, 0)</f>
        <v>11.954195292382979</v>
      </c>
      <c r="R42" s="296"/>
      <c r="S42" s="296"/>
      <c r="T42" s="296"/>
      <c r="U42" s="296"/>
      <c r="V42" s="28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402000</v>
      </c>
      <c r="C55" s="137" t="s">
        <v>363</v>
      </c>
      <c r="D55" s="193">
        <v>46143</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402004</v>
      </c>
      <c r="C56" s="137" t="s">
        <v>365</v>
      </c>
      <c r="D56" s="193">
        <v>46122</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402405</v>
      </c>
      <c r="C57" s="137" t="s">
        <v>367</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500600</v>
      </c>
      <c r="C58" s="137" t="s">
        <v>372</v>
      </c>
      <c r="D58" s="193">
        <v>46054</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502000</v>
      </c>
      <c r="C59" s="137" t="s">
        <v>366</v>
      </c>
      <c r="D59" s="193">
        <v>46147</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503000</v>
      </c>
      <c r="C60" s="137" t="s">
        <v>369</v>
      </c>
      <c r="D60" s="193">
        <v>42401</v>
      </c>
      <c r="E60" s="134" t="s">
        <v>4</v>
      </c>
      <c r="F60" s="136">
        <v>173</v>
      </c>
      <c r="G60" s="185">
        <v>2021</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v>504000</v>
      </c>
      <c r="C61" s="137" t="s">
        <v>370</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371</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700000</v>
      </c>
      <c r="C63" s="137" t="s">
        <v>422</v>
      </c>
      <c r="D63" s="193">
        <v>46054</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v>800000</v>
      </c>
      <c r="C64" s="137" t="s">
        <v>426</v>
      </c>
      <c r="D64" s="193">
        <v>46082</v>
      </c>
      <c r="E64" s="134" t="s">
        <v>4</v>
      </c>
      <c r="F64" s="136">
        <v>173</v>
      </c>
      <c r="G64" s="185">
        <v>2021</v>
      </c>
      <c r="H64" s="158">
        <f>IF(AND(ISNUMBER(D64), ISNUMBER(F64)),
    ROUNDDOWN(
        MIN(
            IF(OR(ISBLANK(I64), I64=""),
                EOMONTH(DATE(LOHNTABELLE!$G$3, $A$1, 1), 0), I64)
            - MAX(D64, DATE(LOHNTABELLE!$G$3, $A$1, 1)) + 1)
        / DAY(EOMONTH(DATE(LOHNTABELLE!$G$3, $A$1, 1), 0)) * F64,
        2
    ),
    ""
)</f>
        <v>173</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2021</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Lq80QPXLPIJisdOApAhMI62LFOeMaUnWm2dDukknZjyp+9ukgP5WMFBFLPHkJPwg9aYPugWs6mEIElWK85q4HA==" saltValue="9gjleEpctvzmcsgHMKebM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2">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 type="list" allowBlank="1" showInputMessage="1" showErrorMessage="1" sqref="F59" xr:uid="{FAA2B47C-9330-D949-BF9F-1150462EAD00}">
      <formula1>KV_DD_JULI_59</formula1>
    </dataValidation>
    <dataValidation type="list" allowBlank="1" showInputMessage="1" showErrorMessage="1" sqref="F60" xr:uid="{0F48DB98-7A00-724D-939F-9B1E0706459B}">
      <formula1>KV_DD_JULI_60</formula1>
    </dataValidation>
    <dataValidation type="list" allowBlank="1" showInputMessage="1" showErrorMessage="1" sqref="F61" xr:uid="{D21CE61E-AD22-BA4E-B2B4-151A31352BCF}">
      <formula1>KV_DD_JULI_61</formula1>
    </dataValidation>
    <dataValidation type="list" allowBlank="1" showInputMessage="1" showErrorMessage="1" sqref="F62" xr:uid="{169B233C-20C7-BE46-824C-27B8A7BE1D23}">
      <formula1>KV_DD_JULI_62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8</v>
      </c>
      <c r="B1" s="348" t="s">
        <v>205</v>
      </c>
      <c r="C1" s="342" t="s">
        <v>52</v>
      </c>
      <c r="D1" s="344" t="s">
        <v>206</v>
      </c>
      <c r="E1" s="344" t="s">
        <v>0</v>
      </c>
      <c r="F1" s="344" t="s">
        <v>53</v>
      </c>
      <c r="G1" s="346" t="s">
        <v>54</v>
      </c>
      <c r="H1" s="351" t="s">
        <v>55</v>
      </c>
      <c r="I1" s="356" t="s">
        <v>207</v>
      </c>
      <c r="J1" s="358" t="s">
        <v>56</v>
      </c>
      <c r="K1" s="360" t="s">
        <v>57</v>
      </c>
      <c r="L1" s="362" t="s">
        <v>58</v>
      </c>
      <c r="M1" s="364" t="s">
        <v>59</v>
      </c>
      <c r="N1" s="349" t="s">
        <v>208</v>
      </c>
      <c r="AB1" s="41">
        <f>DATE(LOHNTABELLE!$G$3, $A$1, 1)</f>
        <v>46235</v>
      </c>
    </row>
    <row r="2" spans="1:28" ht="16" customHeight="1" thickBot="1">
      <c r="A2" s="129"/>
      <c r="B2" s="348"/>
      <c r="C2" s="343"/>
      <c r="D2" s="345"/>
      <c r="E2" s="345"/>
      <c r="F2" s="345"/>
      <c r="G2" s="347"/>
      <c r="H2" s="352"/>
      <c r="I2" s="357"/>
      <c r="J2" s="359"/>
      <c r="K2" s="361"/>
      <c r="L2" s="363"/>
      <c r="M2" s="365"/>
      <c r="N2" s="349"/>
      <c r="AB2" s="41">
        <f>EOMONTH(DATE(LOHNTABELLE!$G$3, $A$1, 1), 0)</f>
        <v>46265</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40" t="s">
        <v>61</v>
      </c>
      <c r="P3" s="340" t="s">
        <v>62</v>
      </c>
      <c r="Q3" s="366" t="s">
        <v>63</v>
      </c>
      <c r="R3" s="353"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41"/>
      <c r="P4" s="341"/>
      <c r="Q4" s="367"/>
      <c r="R4" s="354"/>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899.01401315020314</v>
      </c>
      <c r="P5" s="49">
        <f>EINSTELLUNG!I13</f>
        <v>8</v>
      </c>
      <c r="Q5" s="48">
        <f>P5-O5</f>
        <v>-891.01401315020314</v>
      </c>
      <c r="R5" s="52">
        <f>IFERROR(Q5*Q42, 0)</f>
        <v>-10653.65963935324</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99" t="str">
        <f>IF(Q5&lt;0, "Schlecht! Zu wenig Urlaub abgebaut.", IF(Q5&gt;0, "Gut! Mehr Urlaub abgebaut als aufgebaut.", ""))</f>
        <v>Schlecht! Zu wenig Urlaub abgebaut.</v>
      </c>
      <c r="P6" s="400"/>
      <c r="Q6" s="400"/>
      <c r="R6" s="401"/>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339" t="s">
        <v>70</v>
      </c>
      <c r="P8" s="403"/>
      <c r="Q8" s="404">
        <f>SUM(H3:H82)</f>
        <v>9271.4</v>
      </c>
      <c r="R8" s="404"/>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339" t="s">
        <v>72</v>
      </c>
      <c r="P9" s="403"/>
      <c r="Q9" s="404">
        <f>EINSTELLUNG!L29</f>
        <v>8</v>
      </c>
      <c r="R9" s="404"/>
      <c r="S9" s="53">
        <f>IFERROR(Q9/Q8, 0)</f>
        <v>8.6286860668291737E-4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339" t="s">
        <v>74</v>
      </c>
      <c r="P10" s="403"/>
      <c r="Q10" s="404">
        <f>EINSTELLUNG!I29</f>
        <v>8</v>
      </c>
      <c r="R10" s="404"/>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39" t="s">
        <v>76</v>
      </c>
      <c r="P11" s="403"/>
      <c r="Q11" s="404">
        <f>P5</f>
        <v>8</v>
      </c>
      <c r="R11" s="404"/>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39" t="s">
        <v>80</v>
      </c>
      <c r="P12" s="403"/>
      <c r="Q12" s="404">
        <f>Q8-Q9-Q10-Q11</f>
        <v>9247.4</v>
      </c>
      <c r="R12" s="404"/>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39" t="s">
        <v>82</v>
      </c>
      <c r="P13" s="403"/>
      <c r="Q13" s="404">
        <f>EINSTELLUNG!L13</f>
        <v>8</v>
      </c>
      <c r="R13" s="404"/>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39" t="s">
        <v>84</v>
      </c>
      <c r="P14" s="403"/>
      <c r="Q14" s="404">
        <f>Q12-Q13</f>
        <v>9239.4</v>
      </c>
      <c r="R14" s="404"/>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439" t="str">
        <f>IF(Q14&lt;0, "Schlecht! Zu wenig Stunden für Dienstplan.", IF(Q14&gt;0, "Du hast mehr als genug Stunden für Dienstplan.", ""))</f>
        <v>Du hast mehr als genug Stunden für Dienstplan.</v>
      </c>
      <c r="P15" s="439"/>
      <c r="Q15" s="439"/>
      <c r="R15" s="439"/>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33" t="s">
        <v>87</v>
      </c>
      <c r="P17" s="407"/>
      <c r="Q17" s="412">
        <f>SUM(L3:L82)</f>
        <v>110856.10161290324</v>
      </c>
      <c r="R17" s="41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03"/>
      <c r="P18" s="435"/>
      <c r="Q18" s="436"/>
      <c r="R18" s="402"/>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03"/>
      <c r="P19" s="435"/>
      <c r="Q19" s="436"/>
      <c r="R19" s="402"/>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03"/>
      <c r="P20" s="435"/>
      <c r="Q20" s="436"/>
      <c r="R20" s="402"/>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03" t="s">
        <v>357</v>
      </c>
      <c r="P21" s="435"/>
      <c r="Q21" s="436">
        <v>5000</v>
      </c>
      <c r="R21" s="402"/>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03"/>
      <c r="P22" s="435"/>
      <c r="Q22" s="436"/>
      <c r="R22" s="402"/>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03"/>
      <c r="P23" s="435"/>
      <c r="Q23" s="436"/>
      <c r="R23" s="402"/>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03"/>
      <c r="P24" s="435"/>
      <c r="Q24" s="436"/>
      <c r="R24" s="402"/>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25"/>
      <c r="P25" s="437"/>
      <c r="Q25" s="438"/>
      <c r="R25" s="418"/>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29"/>
      <c r="P26" s="427"/>
      <c r="Q26" s="419"/>
      <c r="R26" s="420"/>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19"/>
      <c r="P27" s="406"/>
      <c r="Q27" s="402"/>
      <c r="R27" s="421"/>
      <c r="S27" s="299" t="s">
        <v>99</v>
      </c>
      <c r="T27" s="300"/>
      <c r="U27" s="300"/>
      <c r="V27" s="300"/>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323"/>
      <c r="P28" s="422"/>
      <c r="Q28" s="423"/>
      <c r="R28" s="424"/>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91" t="s">
        <v>102</v>
      </c>
      <c r="P29" s="415"/>
      <c r="Q29" s="416">
        <f>EINSTELLUNG!O13</f>
        <v>8</v>
      </c>
      <c r="R29" s="417"/>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09">
        <v>0</v>
      </c>
      <c r="P31" s="428"/>
      <c r="Q31" s="429">
        <v>1.8518518518518517E-2</v>
      </c>
      <c r="R31" s="43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409"/>
      <c r="P33" s="410"/>
      <c r="Q33" s="433" t="str">
        <f>EINSTELLUNG!B3</f>
        <v>Budget Zahlen</v>
      </c>
      <c r="R33" s="433"/>
      <c r="S33" s="434" t="str">
        <f>EINSTELLUNG!B19</f>
        <v>Projection/Aktuell Zahlen</v>
      </c>
      <c r="T33" s="434"/>
      <c r="U33" s="434" t="s">
        <v>110</v>
      </c>
      <c r="V33" s="434"/>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409"/>
      <c r="P34" s="410"/>
      <c r="Q34" s="433"/>
      <c r="R34" s="433"/>
      <c r="S34" s="434"/>
      <c r="T34" s="434"/>
      <c r="U34" s="434"/>
      <c r="V34" s="434"/>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94" t="s">
        <v>113</v>
      </c>
      <c r="P35" s="295"/>
      <c r="Q35" s="285">
        <f>EINSTELLUNG!C13</f>
        <v>8</v>
      </c>
      <c r="R35" s="285"/>
      <c r="S35" s="285">
        <f>EINSTELLUNG!C29</f>
        <v>8</v>
      </c>
      <c r="T35" s="285"/>
      <c r="U35" s="284">
        <f>S35-Q35</f>
        <v>0</v>
      </c>
      <c r="V35" s="28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94" t="s">
        <v>115</v>
      </c>
      <c r="P36" s="295"/>
      <c r="Q36" s="285">
        <f>EINSTELLUNG!D13</f>
        <v>8</v>
      </c>
      <c r="R36" s="285"/>
      <c r="S36" s="282" cm="1">
        <f t="array" ref="S36">SumMergedCells(Q17:R29)</f>
        <v>0</v>
      </c>
      <c r="T36" s="283"/>
      <c r="U36" s="284">
        <f t="shared" ref="U36:U41" si="2">S36-Q36</f>
        <v>-8</v>
      </c>
      <c r="V36" s="28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94" t="s">
        <v>117</v>
      </c>
      <c r="P37" s="295"/>
      <c r="Q37" s="408">
        <f>IF(ISERROR(Q36/Q35), 0, Q36/Q35)</f>
        <v>1</v>
      </c>
      <c r="R37" s="408"/>
      <c r="S37" s="286">
        <f>IF(ISERROR(S36/S35), 0, S36/S35)</f>
        <v>0</v>
      </c>
      <c r="T37" s="287"/>
      <c r="U37" s="281">
        <f t="shared" si="2"/>
        <v>-1</v>
      </c>
      <c r="V37" s="281"/>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94" t="s">
        <v>119</v>
      </c>
      <c r="P38" s="295"/>
      <c r="Q38" s="297">
        <f>EINSTELLUNG!F13</f>
        <v>8</v>
      </c>
      <c r="R38" s="297"/>
      <c r="S38" s="297">
        <f>EINSTELLUNG!F29</f>
        <v>8</v>
      </c>
      <c r="T38" s="297"/>
      <c r="U38" s="298">
        <f t="shared" si="2"/>
        <v>0</v>
      </c>
      <c r="V38" s="298"/>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94" t="s">
        <v>121</v>
      </c>
      <c r="P39" s="295"/>
      <c r="Q39" s="285">
        <f>IF(Q38=0, 0, Q35/Q38)</f>
        <v>1</v>
      </c>
      <c r="R39" s="285"/>
      <c r="S39" s="285">
        <f>IF(S38=0, 0, S35/S38)</f>
        <v>1</v>
      </c>
      <c r="T39" s="285"/>
      <c r="U39" s="284">
        <f t="shared" si="2"/>
        <v>0</v>
      </c>
      <c r="V39" s="28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94" t="s">
        <v>123</v>
      </c>
      <c r="P40" s="295"/>
      <c r="Q40" s="285">
        <f>IF(Q12=0, 0, Q35/Q12)</f>
        <v>8.6510803036529194E-4</v>
      </c>
      <c r="R40" s="285"/>
      <c r="S40" s="285">
        <f>IF(Q12=0, 0, S35/Q12)</f>
        <v>8.6510803036529194E-4</v>
      </c>
      <c r="T40" s="285"/>
      <c r="U40" s="284">
        <f t="shared" si="2"/>
        <v>0</v>
      </c>
      <c r="V40" s="28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94" t="s">
        <v>125</v>
      </c>
      <c r="P41" s="295"/>
      <c r="Q41" s="297">
        <f>IF(Q12=0, 0, Q38/Q12)</f>
        <v>8.6510803036529194E-4</v>
      </c>
      <c r="R41" s="297"/>
      <c r="S41" s="297">
        <f>IF(Q12=0, 0, S38/Q12)</f>
        <v>8.6510803036529194E-4</v>
      </c>
      <c r="T41" s="297"/>
      <c r="U41" s="298">
        <f t="shared" si="2"/>
        <v>0</v>
      </c>
      <c r="V41" s="298"/>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94" t="s">
        <v>127</v>
      </c>
      <c r="P42" s="295"/>
      <c r="Q42" s="282">
        <f>IFERROR(Q17/Q8, 0)</f>
        <v>11.956781242628216</v>
      </c>
      <c r="R42" s="296"/>
      <c r="S42" s="296"/>
      <c r="T42" s="296"/>
      <c r="U42" s="296"/>
      <c r="V42" s="28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41.85</v>
      </c>
      <c r="I49" s="196">
        <v>46249</v>
      </c>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488.95161290322574</v>
      </c>
      <c r="M49" s="164"/>
      <c r="N49" s="147" t="s">
        <v>219</v>
      </c>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9" t="s">
        <v>356</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402000</v>
      </c>
      <c r="C55" s="137" t="s">
        <v>363</v>
      </c>
      <c r="D55" s="193">
        <v>46143</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402004</v>
      </c>
      <c r="C56" s="137" t="s">
        <v>365</v>
      </c>
      <c r="D56" s="193">
        <v>46122</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402405</v>
      </c>
      <c r="C57" s="137" t="s">
        <v>367</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500600</v>
      </c>
      <c r="C58" s="137" t="s">
        <v>372</v>
      </c>
      <c r="D58" s="193">
        <v>46054</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502000</v>
      </c>
      <c r="C59" s="137" t="s">
        <v>366</v>
      </c>
      <c r="D59" s="193">
        <v>46147</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503000</v>
      </c>
      <c r="C60" s="137" t="s">
        <v>369</v>
      </c>
      <c r="D60" s="193">
        <v>42401</v>
      </c>
      <c r="E60" s="134" t="s">
        <v>4</v>
      </c>
      <c r="F60" s="136">
        <v>173</v>
      </c>
      <c r="G60" s="185">
        <v>2021</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v>504000</v>
      </c>
      <c r="C61" s="137" t="s">
        <v>370</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371</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700000</v>
      </c>
      <c r="C63" s="137" t="s">
        <v>422</v>
      </c>
      <c r="D63" s="193">
        <v>46054</v>
      </c>
      <c r="E63" s="134" t="s">
        <v>4</v>
      </c>
      <c r="F63" s="136">
        <v>129.75</v>
      </c>
      <c r="G63" s="185">
        <v>1515.75</v>
      </c>
      <c r="H63" s="158">
        <f>IF(AND(ISNUMBER(D63), ISNUMBER(F63)),
    ROUNDDOWN(
        MIN(
            IF(OR(ISBLANK(I63), I63=""),
                EOMONTH(DATE(LOHNTABELLE!$G$3, $A$1, 1), 0), I63)
            - MAX(D63, DATE(LOHNTABELLE!$G$3, $A$1, 1)) + 1)
        / DAY(EOMONTH(DATE(LOHNTABELLE!$G$3, $A$1, 1), 0)) * F63,
        2
    ),
    ""
)</f>
        <v>129.75</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1515.75</v>
      </c>
      <c r="M63" s="164"/>
      <c r="N63" s="147"/>
    </row>
    <row r="64" spans="1:14" ht="16" customHeight="1">
      <c r="A64" s="130" t="s">
        <v>150</v>
      </c>
      <c r="B64" s="170">
        <v>800000</v>
      </c>
      <c r="C64" s="137" t="s">
        <v>426</v>
      </c>
      <c r="D64" s="193">
        <v>46082</v>
      </c>
      <c r="E64" s="134" t="s">
        <v>4</v>
      </c>
      <c r="F64" s="136">
        <v>173</v>
      </c>
      <c r="G64" s="185">
        <v>2021</v>
      </c>
      <c r="H64" s="158">
        <f>IF(AND(ISNUMBER(D64), ISNUMBER(F64)),
    ROUNDDOWN(
        MIN(
            IF(OR(ISBLANK(I64), I64=""),
                EOMONTH(DATE(LOHNTABELLE!$G$3, $A$1, 1), 0), I64)
            - MAX(D64, DATE(LOHNTABELLE!$G$3, $A$1, 1)) + 1)
        / DAY(EOMONTH(DATE(LOHNTABELLE!$G$3, $A$1, 1), 0)) * F64,
        2
    ),
    ""
)</f>
        <v>173</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2021</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HA+rNVWXc5NOMHc8FGzONbD4leOpN2IZSShJ4usQX2he4g3YYwewUBzP1pDLKXrPS1ISSLidzgHqTakjcvrt2A==" saltValue="XxCxf9Hjy8u2Ly+uRvFmnw=="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3">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 type="list" allowBlank="1" showInputMessage="1" showErrorMessage="1" sqref="F59" xr:uid="{22C0AA8C-C306-A14A-84ED-641851EBD651}">
      <formula1>KV_DD_AUGUST_59</formula1>
    </dataValidation>
    <dataValidation type="list" allowBlank="1" showInputMessage="1" showErrorMessage="1" sqref="F60" xr:uid="{7201C007-38D9-CB4B-8D07-29E119F2C85A}">
      <formula1>KV_DD_AUGUST_60</formula1>
    </dataValidation>
    <dataValidation type="list" allowBlank="1" showInputMessage="1" showErrorMessage="1" sqref="F61" xr:uid="{ABC9FD89-D839-494F-898D-311B1FCA0F2F}">
      <formula1>KV_DD_AUGUST_61</formula1>
    </dataValidation>
    <dataValidation type="list" allowBlank="1" showInputMessage="1" showErrorMessage="1" sqref="F62" xr:uid="{0A44C7A4-477A-8348-8784-021B137E11F3}">
      <formula1>KV_DD_AUGUST_62</formula1>
    </dataValidation>
    <dataValidation type="list" allowBlank="1" showInputMessage="1" showErrorMessage="1" sqref="F63" xr:uid="{D6DF1D03-430C-459B-946C-60475DD86F43}">
      <formula1>KV_DD_AUGUST_63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9</v>
      </c>
      <c r="B1" s="348" t="s">
        <v>205</v>
      </c>
      <c r="C1" s="342" t="s">
        <v>52</v>
      </c>
      <c r="D1" s="344" t="s">
        <v>206</v>
      </c>
      <c r="E1" s="344" t="s">
        <v>0</v>
      </c>
      <c r="F1" s="344" t="s">
        <v>53</v>
      </c>
      <c r="G1" s="346" t="s">
        <v>54</v>
      </c>
      <c r="H1" s="351" t="s">
        <v>55</v>
      </c>
      <c r="I1" s="356" t="s">
        <v>207</v>
      </c>
      <c r="J1" s="358" t="s">
        <v>56</v>
      </c>
      <c r="K1" s="360" t="s">
        <v>57</v>
      </c>
      <c r="L1" s="362" t="s">
        <v>58</v>
      </c>
      <c r="M1" s="364" t="s">
        <v>59</v>
      </c>
      <c r="N1" s="349" t="s">
        <v>208</v>
      </c>
      <c r="AB1" s="41">
        <f>DATE(LOHNTABELLE!$G$3, $A$1, 1)</f>
        <v>46266</v>
      </c>
    </row>
    <row r="2" spans="1:28" ht="16" customHeight="1" thickBot="1">
      <c r="A2" s="129"/>
      <c r="B2" s="348"/>
      <c r="C2" s="343"/>
      <c r="D2" s="345"/>
      <c r="E2" s="345"/>
      <c r="F2" s="345"/>
      <c r="G2" s="347"/>
      <c r="H2" s="352"/>
      <c r="I2" s="357"/>
      <c r="J2" s="359"/>
      <c r="K2" s="361"/>
      <c r="L2" s="363"/>
      <c r="M2" s="365"/>
      <c r="N2" s="349"/>
      <c r="AB2" s="41">
        <f>EOMONTH(DATE(LOHNTABELLE!$G$3, $A$1, 1), 0)</f>
        <v>46295</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40" t="s">
        <v>61</v>
      </c>
      <c r="P3" s="340" t="s">
        <v>62</v>
      </c>
      <c r="Q3" s="366" t="s">
        <v>63</v>
      </c>
      <c r="R3" s="353"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41"/>
      <c r="P4" s="341"/>
      <c r="Q4" s="367"/>
      <c r="R4" s="354"/>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890.66662212745291</v>
      </c>
      <c r="P5" s="49">
        <f>EINSTELLUNG!I14</f>
        <v>9</v>
      </c>
      <c r="Q5" s="48">
        <f>P5-O5</f>
        <v>-881.66662212745291</v>
      </c>
      <c r="R5" s="52">
        <f>IFERROR(Q5*Q42, 0)</f>
        <v>-10542.987722514525</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99" t="str">
        <f>IF(Q5&lt;0, "Schlecht! Zu wenig Urlaub abgebaut.", IF(Q5&gt;0, "Gut! Mehr Urlaub abgebaut als aufgebaut.", ""))</f>
        <v>Schlecht! Zu wenig Urlaub abgebaut.</v>
      </c>
      <c r="P6" s="400"/>
      <c r="Q6" s="400"/>
      <c r="R6" s="401"/>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339" t="s">
        <v>70</v>
      </c>
      <c r="P8" s="403"/>
      <c r="Q8" s="404">
        <f>SUM(H3:H82)</f>
        <v>9229.5499999999993</v>
      </c>
      <c r="R8" s="404"/>
    </row>
    <row r="9" spans="1:28" ht="16" customHeight="1">
      <c r="A9" s="130"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339" t="s">
        <v>72</v>
      </c>
      <c r="P9" s="403"/>
      <c r="Q9" s="404">
        <f>EINSTELLUNG!L30</f>
        <v>9</v>
      </c>
      <c r="R9" s="404"/>
      <c r="S9" s="53">
        <f>IFERROR(Q9/Q8, 0)</f>
        <v>9.751287982621039E-4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339" t="s">
        <v>74</v>
      </c>
      <c r="P10" s="403"/>
      <c r="Q10" s="404">
        <f>EINSTELLUNG!I30</f>
        <v>9</v>
      </c>
      <c r="R10" s="404"/>
    </row>
    <row r="11" spans="1:28" ht="16" customHeight="1">
      <c r="A11" s="131"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39" t="s">
        <v>76</v>
      </c>
      <c r="P11" s="403"/>
      <c r="Q11" s="404">
        <f>P5</f>
        <v>9</v>
      </c>
      <c r="R11" s="404"/>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39" t="s">
        <v>78</v>
      </c>
      <c r="P12" s="403"/>
      <c r="Q12" s="411">
        <v>167</v>
      </c>
      <c r="R12" s="411"/>
    </row>
    <row r="13" spans="1:28" ht="16" customHeight="1">
      <c r="A13" s="130"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39" t="s">
        <v>80</v>
      </c>
      <c r="P13" s="403"/>
      <c r="Q13" s="404">
        <f>Q8-Q9-Q10-Q11-Q12</f>
        <v>9035.5499999999993</v>
      </c>
      <c r="R13" s="404"/>
    </row>
    <row r="14" spans="1:28" ht="16" customHeight="1">
      <c r="A14" s="131"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39" t="s">
        <v>82</v>
      </c>
      <c r="P14" s="403"/>
      <c r="Q14" s="404">
        <f>EINSTELLUNG!L14</f>
        <v>9</v>
      </c>
      <c r="R14" s="404"/>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39" t="s">
        <v>84</v>
      </c>
      <c r="P15" s="403"/>
      <c r="Q15" s="404">
        <f>Q13-Q14</f>
        <v>9026.5499999999993</v>
      </c>
      <c r="R15" s="404"/>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405" t="str">
        <f>IF(Q15&lt;0, "Schlecht! Zu wenig Stunden für Dienstplan.", IF(Q15&gt;0, "Du hast mehr als genug Stunden für Dienstplan.", ""))</f>
        <v>Du hast mehr als genug Stunden für Dienstplan.</v>
      </c>
      <c r="P16" s="405"/>
      <c r="Q16" s="405"/>
      <c r="R16" s="405"/>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33" t="s">
        <v>87</v>
      </c>
      <c r="P17" s="407"/>
      <c r="Q17" s="412">
        <f>SUM(L3:L82)</f>
        <v>110367.15000000001</v>
      </c>
      <c r="R17" s="41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03"/>
      <c r="P18" s="435"/>
      <c r="Q18" s="436"/>
      <c r="R18" s="402"/>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03"/>
      <c r="P19" s="435"/>
      <c r="Q19" s="436"/>
      <c r="R19" s="402"/>
    </row>
    <row r="20" spans="1:29" ht="16" customHeight="1">
      <c r="A20" s="131"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03"/>
      <c r="P20" s="435"/>
      <c r="Q20" s="436"/>
      <c r="R20" s="402"/>
    </row>
    <row r="21" spans="1:29" ht="16" customHeight="1">
      <c r="A21" s="130"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03" t="s">
        <v>357</v>
      </c>
      <c r="P21" s="435"/>
      <c r="Q21" s="436">
        <v>5000</v>
      </c>
      <c r="R21" s="402"/>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03"/>
      <c r="P22" s="435"/>
      <c r="Q22" s="436"/>
      <c r="R22" s="402"/>
    </row>
    <row r="23" spans="1:29" ht="16" customHeight="1">
      <c r="A23" s="131"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03"/>
      <c r="P23" s="435"/>
      <c r="Q23" s="436"/>
      <c r="R23" s="402"/>
      <c r="W23" s="45"/>
    </row>
    <row r="24" spans="1:29" ht="16" customHeight="1">
      <c r="A24" s="130" t="s">
        <v>95</v>
      </c>
      <c r="B24" s="170">
        <v>401583</v>
      </c>
      <c r="C24" s="168"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03"/>
      <c r="P24" s="435"/>
      <c r="Q24" s="436"/>
      <c r="R24" s="402"/>
      <c r="W24" s="45"/>
    </row>
    <row r="25" spans="1:29" ht="16" customHeight="1" thickBot="1">
      <c r="A25" s="130"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25"/>
      <c r="P25" s="437"/>
      <c r="Q25" s="438"/>
      <c r="R25" s="418"/>
    </row>
    <row r="26" spans="1:29" ht="16" customHeight="1">
      <c r="A26" s="131"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29"/>
      <c r="P26" s="427"/>
      <c r="Q26" s="419"/>
      <c r="R26" s="420"/>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19"/>
      <c r="P27" s="406"/>
      <c r="Q27" s="402"/>
      <c r="R27" s="421"/>
      <c r="S27" s="299" t="s">
        <v>99</v>
      </c>
      <c r="T27" s="300"/>
      <c r="U27" s="300"/>
      <c r="V27" s="300"/>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323"/>
      <c r="P28" s="422"/>
      <c r="Q28" s="423"/>
      <c r="R28" s="424"/>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91" t="s">
        <v>102</v>
      </c>
      <c r="P29" s="415"/>
      <c r="Q29" s="416">
        <f>EINSTELLUNG!O14</f>
        <v>9</v>
      </c>
      <c r="R29" s="417"/>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09">
        <v>0</v>
      </c>
      <c r="P31" s="428"/>
      <c r="Q31" s="429">
        <v>0</v>
      </c>
      <c r="R31" s="430"/>
    </row>
    <row r="32" spans="1:29" ht="16" customHeight="1">
      <c r="A32" s="131"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0"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409"/>
      <c r="P33" s="410"/>
      <c r="Q33" s="433" t="str">
        <f>EINSTELLUNG!B3</f>
        <v>Budget Zahlen</v>
      </c>
      <c r="R33" s="433"/>
      <c r="S33" s="434" t="str">
        <f>EINSTELLUNG!B19</f>
        <v>Projection/Aktuell Zahlen</v>
      </c>
      <c r="T33" s="434"/>
      <c r="U33" s="434" t="s">
        <v>110</v>
      </c>
      <c r="V33" s="434"/>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409"/>
      <c r="P34" s="410"/>
      <c r="Q34" s="433"/>
      <c r="R34" s="433"/>
      <c r="S34" s="434"/>
      <c r="T34" s="434"/>
      <c r="U34" s="434"/>
      <c r="V34" s="434"/>
    </row>
    <row r="35" spans="1:24" ht="16" customHeight="1">
      <c r="A35" s="131"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94" t="s">
        <v>113</v>
      </c>
      <c r="P35" s="295"/>
      <c r="Q35" s="285">
        <f>EINSTELLUNG!C14</f>
        <v>9</v>
      </c>
      <c r="R35" s="285"/>
      <c r="S35" s="285">
        <f>EINSTELLUNG!C30</f>
        <v>9</v>
      </c>
      <c r="T35" s="285"/>
      <c r="U35" s="284">
        <f>S35-Q35</f>
        <v>0</v>
      </c>
      <c r="V35" s="28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94" t="s">
        <v>115</v>
      </c>
      <c r="P36" s="295"/>
      <c r="Q36" s="285">
        <f>EINSTELLUNG!D14</f>
        <v>9</v>
      </c>
      <c r="R36" s="285"/>
      <c r="S36" s="282" cm="1">
        <f t="array" ref="S36">SumMergedCells(Q17:R29)</f>
        <v>0</v>
      </c>
      <c r="T36" s="283"/>
      <c r="U36" s="284">
        <f t="shared" ref="U36:U41" si="2">S36-Q36</f>
        <v>-9</v>
      </c>
      <c r="V36" s="284"/>
    </row>
    <row r="37" spans="1:24" ht="16" customHeight="1">
      <c r="A37" s="130"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94" t="s">
        <v>117</v>
      </c>
      <c r="P37" s="295"/>
      <c r="Q37" s="408">
        <f>IF(ISERROR(Q36/Q35), 0, Q36/Q35)</f>
        <v>1</v>
      </c>
      <c r="R37" s="408"/>
      <c r="S37" s="408">
        <f>IF(ISERROR(S36/S35), 0, S36/S35)</f>
        <v>0</v>
      </c>
      <c r="T37" s="408"/>
      <c r="U37" s="281">
        <f t="shared" si="2"/>
        <v>-1</v>
      </c>
      <c r="V37" s="281"/>
    </row>
    <row r="38" spans="1:24" ht="16" customHeight="1">
      <c r="A38" s="131"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94" t="s">
        <v>119</v>
      </c>
      <c r="P38" s="295"/>
      <c r="Q38" s="297">
        <f>EINSTELLUNG!F14</f>
        <v>9</v>
      </c>
      <c r="R38" s="297"/>
      <c r="S38" s="297">
        <f>EINSTELLUNG!F30</f>
        <v>9</v>
      </c>
      <c r="T38" s="297"/>
      <c r="U38" s="298">
        <f t="shared" si="2"/>
        <v>0</v>
      </c>
      <c r="V38" s="298"/>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94" t="s">
        <v>121</v>
      </c>
      <c r="P39" s="295"/>
      <c r="Q39" s="285">
        <f>IF(Q38=0, 0, Q35/Q38)</f>
        <v>1</v>
      </c>
      <c r="R39" s="285"/>
      <c r="S39" s="285">
        <f>IF(S38=0, 0, S35/S38)</f>
        <v>1</v>
      </c>
      <c r="T39" s="285"/>
      <c r="U39" s="284">
        <f t="shared" si="2"/>
        <v>0</v>
      </c>
      <c r="V39" s="28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94" t="s">
        <v>123</v>
      </c>
      <c r="P40" s="295"/>
      <c r="Q40" s="285">
        <f>IF(Q13=0, 0, Q35/Q13)</f>
        <v>9.9606554111260522E-4</v>
      </c>
      <c r="R40" s="285"/>
      <c r="S40" s="285">
        <f>IF(Q13=0, 0, S35/Q13)</f>
        <v>9.9606554111260522E-4</v>
      </c>
      <c r="T40" s="285"/>
      <c r="U40" s="284">
        <f t="shared" si="2"/>
        <v>0</v>
      </c>
      <c r="V40" s="28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94" t="s">
        <v>125</v>
      </c>
      <c r="P41" s="295"/>
      <c r="Q41" s="297">
        <f>IF(Q13=0, 0, Q38/Q13)</f>
        <v>9.9606554111260522E-4</v>
      </c>
      <c r="R41" s="297"/>
      <c r="S41" s="297">
        <f>IF(Q13=0, 0, S38/Q13)</f>
        <v>9.9606554111260522E-4</v>
      </c>
      <c r="T41" s="297"/>
      <c r="U41" s="298">
        <f t="shared" si="2"/>
        <v>0</v>
      </c>
      <c r="V41" s="298"/>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94" t="s">
        <v>127</v>
      </c>
      <c r="P42" s="295"/>
      <c r="Q42" s="282">
        <f>IFERROR(Q17/Q8, 0)</f>
        <v>11.958020705234818</v>
      </c>
      <c r="R42" s="296"/>
      <c r="S42" s="296"/>
      <c r="T42" s="296"/>
      <c r="U42" s="296"/>
      <c r="V42" s="283"/>
    </row>
    <row r="43" spans="1:24" ht="16" customHeight="1">
      <c r="A43" s="130" t="s">
        <v>128</v>
      </c>
      <c r="B43" s="170">
        <v>401731</v>
      </c>
      <c r="C43" s="139"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356</v>
      </c>
      <c r="D53" s="193">
        <v>46082</v>
      </c>
      <c r="E53" s="134" t="s">
        <v>4</v>
      </c>
      <c r="F53" s="136">
        <v>173</v>
      </c>
      <c r="G53" s="185">
        <v>2021</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v>402000</v>
      </c>
      <c r="C54" s="137" t="s">
        <v>363</v>
      </c>
      <c r="D54" s="193">
        <v>46143</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365</v>
      </c>
      <c r="D55" s="193">
        <v>46122</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1" t="s">
        <v>142</v>
      </c>
      <c r="B56" s="170">
        <v>402405</v>
      </c>
      <c r="C56" s="137" t="s">
        <v>367</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0" t="s">
        <v>143</v>
      </c>
      <c r="B57" s="170">
        <v>500600</v>
      </c>
      <c r="C57" s="137" t="s">
        <v>372</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502000</v>
      </c>
      <c r="C58" s="137" t="s">
        <v>366</v>
      </c>
      <c r="D58" s="193">
        <v>46147</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1" t="s">
        <v>145</v>
      </c>
      <c r="B59" s="170">
        <v>503000</v>
      </c>
      <c r="C59" s="137" t="s">
        <v>369</v>
      </c>
      <c r="D59" s="193">
        <v>42401</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504000</v>
      </c>
      <c r="C60" s="137" t="s">
        <v>370</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0" t="s">
        <v>147</v>
      </c>
      <c r="B61" s="170">
        <v>505000</v>
      </c>
      <c r="C61" s="137" t="s">
        <v>371</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1" t="s">
        <v>148</v>
      </c>
      <c r="B62" s="170">
        <v>700000</v>
      </c>
      <c r="C62" s="137" t="s">
        <v>422</v>
      </c>
      <c r="D62" s="193">
        <v>46054</v>
      </c>
      <c r="E62" s="134" t="s">
        <v>4</v>
      </c>
      <c r="F62" s="136">
        <v>129.75</v>
      </c>
      <c r="G62" s="185">
        <v>1515.75</v>
      </c>
      <c r="H62" s="158">
        <f>IF(AND(ISNUMBER(D62), ISNUMBER(F62)),
    ROUNDDOWN(
        MIN(
            IF(OR(ISBLANK(I62), I62=""),
                EOMONTH(DATE(LOHNTABELLE!$G$3, $A$1, 1), 0), I62)
            - MAX(D62, DATE(LOHNTABELLE!$G$3, $A$1, 1)) + 1)
        / DAY(EOMONTH(DATE(LOHNTABELLE!$G$3, $A$1, 1), 0)) * F62,
        2
    ),
    ""
)</f>
        <v>129.75</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v>800000</v>
      </c>
      <c r="C63" s="137" t="s">
        <v>426</v>
      </c>
      <c r="D63" s="193">
        <v>46082</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ZgCoCuFpCHjAga4wrOoCvFhFybZg75SlgDcYZOqlNmpemdjyxK/R8utzNh1HeVyrmdf9HosRBnppyBbwuMhQzQ==" saltValue="fQY0voa1n9Z6FSWAdTLJk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1">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 type="list" allowBlank="1" showInputMessage="1" showErrorMessage="1" sqref="F58" xr:uid="{312B9999-05EC-704E-851F-3D62AD30FBC6}">
      <formula1>KV_DD_SEPTEMBER_58</formula1>
    </dataValidation>
    <dataValidation type="list" allowBlank="1" showInputMessage="1" showErrorMessage="1" sqref="F59" xr:uid="{A058A0B8-F65B-DA4D-96C1-AB40E6C01805}">
      <formula1>KV_DD_SEPTEMBER_59</formula1>
    </dataValidation>
    <dataValidation type="list" allowBlank="1" showInputMessage="1" showErrorMessage="1" sqref="F60" xr:uid="{1AD184D1-49EC-6544-9F2F-C9B4B10E3D53}">
      <formula1>KV_DD_SEPTEMBER_60</formula1>
    </dataValidation>
    <dataValidation type="list" allowBlank="1" showInputMessage="1" showErrorMessage="1" sqref="F61" xr:uid="{AFA93BE8-5246-3140-B245-27600757A853}">
      <formula1>KV_DD_SEPTEMBER_61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33"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10</v>
      </c>
      <c r="B1" s="348" t="s">
        <v>205</v>
      </c>
      <c r="C1" s="342" t="s">
        <v>52</v>
      </c>
      <c r="D1" s="344" t="s">
        <v>206</v>
      </c>
      <c r="E1" s="344" t="s">
        <v>0</v>
      </c>
      <c r="F1" s="344" t="s">
        <v>53</v>
      </c>
      <c r="G1" s="346" t="s">
        <v>54</v>
      </c>
      <c r="H1" s="351" t="s">
        <v>55</v>
      </c>
      <c r="I1" s="356" t="s">
        <v>207</v>
      </c>
      <c r="J1" s="358" t="s">
        <v>56</v>
      </c>
      <c r="K1" s="360" t="s">
        <v>57</v>
      </c>
      <c r="L1" s="362" t="s">
        <v>58</v>
      </c>
      <c r="M1" s="364" t="s">
        <v>59</v>
      </c>
      <c r="N1" s="349" t="s">
        <v>208</v>
      </c>
      <c r="AB1" s="41">
        <f>DATE(LOHNTABELLE!$G$3, $A$1, 1)</f>
        <v>46296</v>
      </c>
    </row>
    <row r="2" spans="1:28" ht="16" customHeight="1" thickBot="1">
      <c r="A2" s="129"/>
      <c r="B2" s="348"/>
      <c r="C2" s="343"/>
      <c r="D2" s="345"/>
      <c r="E2" s="345"/>
      <c r="F2" s="345"/>
      <c r="G2" s="347"/>
      <c r="H2" s="352"/>
      <c r="I2" s="357"/>
      <c r="J2" s="359"/>
      <c r="K2" s="361"/>
      <c r="L2" s="363"/>
      <c r="M2" s="365"/>
      <c r="N2" s="349"/>
      <c r="AB2" s="41">
        <f>EOMONTH(DATE(LOHNTABELLE!$G$3, $A$1, 1), 0)</f>
        <v>46326</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40" t="s">
        <v>61</v>
      </c>
      <c r="P3" s="340" t="s">
        <v>62</v>
      </c>
      <c r="Q3" s="366" t="s">
        <v>63</v>
      </c>
      <c r="R3" s="353"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41"/>
      <c r="P4" s="341"/>
      <c r="Q4" s="367"/>
      <c r="R4" s="354"/>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890.66662212745291</v>
      </c>
      <c r="P5" s="49">
        <f>EINSTELLUNG!I15</f>
        <v>10</v>
      </c>
      <c r="Q5" s="48">
        <f>P5-O5</f>
        <v>-880.66662212745291</v>
      </c>
      <c r="R5" s="52">
        <f>IFERROR(Q5*Q42, 0)</f>
        <v>-10531.02970180929</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99" t="str">
        <f>IF(Q5&lt;0, "Schlecht! Zu wenig Urlaub abgebaut.", IF(Q5&gt;0, "Gut! Mehr Urlaub abgebaut als aufgebaut.", ""))</f>
        <v>Schlecht! Zu wenig Urlaub abgebaut.</v>
      </c>
      <c r="P6" s="400"/>
      <c r="Q6" s="400"/>
      <c r="R6" s="401"/>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339" t="s">
        <v>70</v>
      </c>
      <c r="P8" s="403"/>
      <c r="Q8" s="404">
        <f>SUM(H3:H82)</f>
        <v>9229.5499999999993</v>
      </c>
      <c r="R8" s="404"/>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339" t="s">
        <v>72</v>
      </c>
      <c r="P9" s="403"/>
      <c r="Q9" s="404">
        <f>EINSTELLUNG!L31</f>
        <v>10</v>
      </c>
      <c r="R9" s="404"/>
      <c r="S9" s="53">
        <f>IFERROR(Q9/Q8, 0)</f>
        <v>1.0834764425134487E-3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339" t="s">
        <v>74</v>
      </c>
      <c r="P10" s="403"/>
      <c r="Q10" s="404">
        <f>EINSTELLUNG!I31</f>
        <v>10</v>
      </c>
      <c r="R10" s="404"/>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39" t="s">
        <v>76</v>
      </c>
      <c r="P11" s="403"/>
      <c r="Q11" s="404">
        <f>P5</f>
        <v>10</v>
      </c>
      <c r="R11" s="404"/>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39" t="s">
        <v>78</v>
      </c>
      <c r="P12" s="403"/>
      <c r="Q12" s="411">
        <v>-121</v>
      </c>
      <c r="R12" s="411"/>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39" t="s">
        <v>80</v>
      </c>
      <c r="P13" s="403"/>
      <c r="Q13" s="404">
        <f>Q8-Q9-Q10-Q11-Q12</f>
        <v>9320.5499999999993</v>
      </c>
      <c r="R13" s="404"/>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39" t="s">
        <v>82</v>
      </c>
      <c r="P14" s="403"/>
      <c r="Q14" s="404">
        <f>EINSTELLUNG!L15</f>
        <v>10</v>
      </c>
      <c r="R14" s="404"/>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39" t="s">
        <v>84</v>
      </c>
      <c r="P15" s="403"/>
      <c r="Q15" s="404">
        <f>Q13-Q14</f>
        <v>9310.5499999999993</v>
      </c>
      <c r="R15" s="404"/>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405" t="str">
        <f>IF(Q15&lt;0, "Schlecht! Zu wenig Stunden für Dienstplan.", IF(Q15&gt;0, "Du hast mehr als genug Stunden für Dienstplan.", ""))</f>
        <v>Du hast mehr als genug Stunden für Dienstplan.</v>
      </c>
      <c r="P16" s="405"/>
      <c r="Q16" s="405"/>
      <c r="R16" s="405"/>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33" t="s">
        <v>87</v>
      </c>
      <c r="P17" s="407"/>
      <c r="Q17" s="412">
        <f>SUM(L3:L82)</f>
        <v>110367.15000000001</v>
      </c>
      <c r="R17" s="41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03"/>
      <c r="P18" s="435"/>
      <c r="Q18" s="436"/>
      <c r="R18" s="402"/>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03"/>
      <c r="P19" s="435"/>
      <c r="Q19" s="436"/>
      <c r="R19" s="402"/>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03"/>
      <c r="P20" s="435"/>
      <c r="Q20" s="436"/>
      <c r="R20" s="402"/>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03" t="s">
        <v>357</v>
      </c>
      <c r="P21" s="435"/>
      <c r="Q21" s="436">
        <v>5000</v>
      </c>
      <c r="R21" s="402"/>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03"/>
      <c r="P22" s="435"/>
      <c r="Q22" s="436"/>
      <c r="R22" s="402"/>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03"/>
      <c r="P23" s="435"/>
      <c r="Q23" s="436"/>
      <c r="R23" s="402"/>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03"/>
      <c r="P24" s="435"/>
      <c r="Q24" s="436"/>
      <c r="R24" s="402"/>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25"/>
      <c r="P25" s="437"/>
      <c r="Q25" s="438"/>
      <c r="R25" s="418"/>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29"/>
      <c r="P26" s="427"/>
      <c r="Q26" s="419"/>
      <c r="R26" s="420"/>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19"/>
      <c r="P27" s="406"/>
      <c r="Q27" s="402"/>
      <c r="R27" s="421"/>
      <c r="S27" s="299" t="s">
        <v>99</v>
      </c>
      <c r="T27" s="300"/>
      <c r="U27" s="300"/>
      <c r="V27" s="300"/>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323"/>
      <c r="P28" s="422"/>
      <c r="Q28" s="423"/>
      <c r="R28" s="424"/>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91" t="s">
        <v>102</v>
      </c>
      <c r="P29" s="415"/>
      <c r="Q29" s="416">
        <f>EINSTELLUNG!O15</f>
        <v>10</v>
      </c>
      <c r="R29" s="417"/>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09">
        <v>0</v>
      </c>
      <c r="P31" s="428"/>
      <c r="Q31" s="429">
        <v>0</v>
      </c>
      <c r="R31" s="43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409"/>
      <c r="P33" s="410"/>
      <c r="Q33" s="433" t="str">
        <f>EINSTELLUNG!B3</f>
        <v>Budget Zahlen</v>
      </c>
      <c r="R33" s="433"/>
      <c r="S33" s="434" t="str">
        <f>EINSTELLUNG!B19</f>
        <v>Projection/Aktuell Zahlen</v>
      </c>
      <c r="T33" s="434"/>
      <c r="U33" s="434" t="s">
        <v>110</v>
      </c>
      <c r="V33" s="434"/>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409"/>
      <c r="P34" s="410"/>
      <c r="Q34" s="433"/>
      <c r="R34" s="433"/>
      <c r="S34" s="434"/>
      <c r="T34" s="434"/>
      <c r="U34" s="434"/>
      <c r="V34" s="434"/>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94" t="s">
        <v>113</v>
      </c>
      <c r="P35" s="295"/>
      <c r="Q35" s="285">
        <f>EINSTELLUNG!C15</f>
        <v>10</v>
      </c>
      <c r="R35" s="285"/>
      <c r="S35" s="285">
        <f>EINSTELLUNG!C31</f>
        <v>10</v>
      </c>
      <c r="T35" s="285"/>
      <c r="U35" s="284">
        <f>S35-Q35</f>
        <v>0</v>
      </c>
      <c r="V35" s="28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94" t="s">
        <v>115</v>
      </c>
      <c r="P36" s="295"/>
      <c r="Q36" s="285">
        <f>EINSTELLUNG!D15</f>
        <v>10</v>
      </c>
      <c r="R36" s="285"/>
      <c r="S36" s="282" cm="1">
        <f t="array" ref="S36">SumMergedCells(Q17:R29)</f>
        <v>0</v>
      </c>
      <c r="T36" s="283"/>
      <c r="U36" s="284">
        <f t="shared" ref="U36:U41" si="2">S36-Q36</f>
        <v>-10</v>
      </c>
      <c r="V36" s="28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94" t="s">
        <v>117</v>
      </c>
      <c r="P37" s="295"/>
      <c r="Q37" s="408">
        <f>IF(ISERROR(Q36/Q35), 0, Q36/Q35)</f>
        <v>1</v>
      </c>
      <c r="R37" s="408"/>
      <c r="S37" s="408">
        <f>IF(ISERROR(S36/S35), 0, S36/S35)</f>
        <v>0</v>
      </c>
      <c r="T37" s="408"/>
      <c r="U37" s="281">
        <f t="shared" si="2"/>
        <v>-1</v>
      </c>
      <c r="V37" s="281"/>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94" t="s">
        <v>119</v>
      </c>
      <c r="P38" s="295"/>
      <c r="Q38" s="297">
        <f>EINSTELLUNG!F15</f>
        <v>10</v>
      </c>
      <c r="R38" s="297"/>
      <c r="S38" s="297">
        <f>EINSTELLUNG!F31</f>
        <v>10</v>
      </c>
      <c r="T38" s="297"/>
      <c r="U38" s="298">
        <f t="shared" si="2"/>
        <v>0</v>
      </c>
      <c r="V38" s="298"/>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94" t="s">
        <v>121</v>
      </c>
      <c r="P39" s="295"/>
      <c r="Q39" s="285">
        <f>IF(Q38=0, 0, Q35/Q38)</f>
        <v>1</v>
      </c>
      <c r="R39" s="285"/>
      <c r="S39" s="285">
        <f>IF(S38=0, 0, S35/S38)</f>
        <v>1</v>
      </c>
      <c r="T39" s="285"/>
      <c r="U39" s="284">
        <f t="shared" si="2"/>
        <v>0</v>
      </c>
      <c r="V39" s="28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94" t="s">
        <v>123</v>
      </c>
      <c r="P40" s="295"/>
      <c r="Q40" s="285">
        <f>IF(Q13=0, 0, Q35/Q13)</f>
        <v>1.0728980585909631E-3</v>
      </c>
      <c r="R40" s="285"/>
      <c r="S40" s="285">
        <f>IF(Q13=0, 0, S35/Q13)</f>
        <v>1.0728980585909631E-3</v>
      </c>
      <c r="T40" s="285"/>
      <c r="U40" s="284">
        <f t="shared" si="2"/>
        <v>0</v>
      </c>
      <c r="V40" s="28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94" t="s">
        <v>125</v>
      </c>
      <c r="P41" s="295"/>
      <c r="Q41" s="297">
        <f>IF(Q13=0, 0, Q38/Q13)</f>
        <v>1.0728980585909631E-3</v>
      </c>
      <c r="R41" s="297"/>
      <c r="S41" s="297">
        <f>IF(Q13=0, 0, S38/Q13)</f>
        <v>1.0728980585909631E-3</v>
      </c>
      <c r="T41" s="297"/>
      <c r="U41" s="298">
        <f t="shared" si="2"/>
        <v>0</v>
      </c>
      <c r="V41" s="298"/>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94" t="s">
        <v>127</v>
      </c>
      <c r="P42" s="295"/>
      <c r="Q42" s="282">
        <f>IFERROR(Q17/Q8, 0)</f>
        <v>11.958020705234818</v>
      </c>
      <c r="R42" s="296"/>
      <c r="S42" s="296"/>
      <c r="T42" s="296"/>
      <c r="U42" s="296"/>
      <c r="V42" s="283"/>
    </row>
    <row r="43" spans="1:24" ht="16" customHeight="1">
      <c r="A43" s="130" t="s">
        <v>128</v>
      </c>
      <c r="B43" s="170">
        <v>401731</v>
      </c>
      <c r="C43" s="139"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356</v>
      </c>
      <c r="D53" s="193">
        <v>46082</v>
      </c>
      <c r="E53" s="134" t="s">
        <v>4</v>
      </c>
      <c r="F53" s="136">
        <v>173</v>
      </c>
      <c r="G53" s="185">
        <v>2021</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v>402000</v>
      </c>
      <c r="C54" s="137" t="s">
        <v>363</v>
      </c>
      <c r="D54" s="193">
        <v>46143</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365</v>
      </c>
      <c r="D55" s="193">
        <v>46122</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402405</v>
      </c>
      <c r="C56" s="137" t="s">
        <v>367</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372</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502000</v>
      </c>
      <c r="C58" s="137" t="s">
        <v>366</v>
      </c>
      <c r="D58" s="193">
        <v>46147</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503000</v>
      </c>
      <c r="C59" s="137" t="s">
        <v>369</v>
      </c>
      <c r="D59" s="193">
        <v>42401</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504000</v>
      </c>
      <c r="C60" s="137" t="s">
        <v>370</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1" t="s">
        <v>147</v>
      </c>
      <c r="B61" s="170">
        <v>505000</v>
      </c>
      <c r="C61" s="137" t="s">
        <v>371</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0" t="s">
        <v>148</v>
      </c>
      <c r="B62" s="170">
        <v>700000</v>
      </c>
      <c r="C62" s="137" t="s">
        <v>422</v>
      </c>
      <c r="D62" s="193">
        <v>46054</v>
      </c>
      <c r="E62" s="134" t="s">
        <v>4</v>
      </c>
      <c r="F62" s="136">
        <v>129.75</v>
      </c>
      <c r="G62" s="185">
        <v>1515.75</v>
      </c>
      <c r="H62" s="158">
        <f>IF(AND(ISNUMBER(D62), ISNUMBER(F62)),
    ROUNDDOWN(
        MIN(
            IF(OR(ISBLANK(I62), I62=""),
                EOMONTH(DATE(LOHNTABELLE!$G$3, $A$1, 1), 0), I62)
            - MAX(D62, DATE(LOHNTABELLE!$G$3, $A$1, 1)) + 1)
        / DAY(EOMONTH(DATE(LOHNTABELLE!$G$3, $A$1, 1), 0)) * F62,
        2
    ),
    ""
)</f>
        <v>129.75</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v>800000</v>
      </c>
      <c r="C63" s="137" t="s">
        <v>426</v>
      </c>
      <c r="D63" s="193">
        <v>46082</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IBO+QhHUXycx0R5LALwUA+TAnnp0Xrw2/ZNufOfia9/JzXZWuhJfJyFKUjXQ3vaU/OYuBlQUvfj1SgXmUcmniw==" saltValue="FLKT9DtvFULRzwEQ5toNqg=="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1">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 type="list" allowBlank="1" showInputMessage="1" showErrorMessage="1" sqref="F58" xr:uid="{CBEEA223-1320-1D48-B609-2E04027DAA9C}">
      <formula1>KV_DD_OKTOBER_58</formula1>
    </dataValidation>
    <dataValidation type="list" allowBlank="1" showInputMessage="1" showErrorMessage="1" sqref="F59" xr:uid="{8385CD2E-DD62-554C-9C8D-918D5CD7885C}">
      <formula1>KV_DD_OKTOBER_59</formula1>
    </dataValidation>
    <dataValidation type="list" allowBlank="1" showInputMessage="1" showErrorMessage="1" sqref="F60" xr:uid="{DE89139D-C436-2A4B-9746-DC07B8AAF887}">
      <formula1>KV_DD_OKTOBER_60</formula1>
    </dataValidation>
    <dataValidation type="list" allowBlank="1" showInputMessage="1" showErrorMessage="1" sqref="F61" xr:uid="{DFDEF5D5-A175-E44C-A136-E10E2C6AF3B8}">
      <formula1>KV_DD_OKTOBER_61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11</v>
      </c>
      <c r="B1" s="348" t="s">
        <v>205</v>
      </c>
      <c r="C1" s="342" t="s">
        <v>52</v>
      </c>
      <c r="D1" s="344" t="s">
        <v>206</v>
      </c>
      <c r="E1" s="344" t="s">
        <v>0</v>
      </c>
      <c r="F1" s="344" t="s">
        <v>53</v>
      </c>
      <c r="G1" s="346" t="s">
        <v>54</v>
      </c>
      <c r="H1" s="351" t="s">
        <v>55</v>
      </c>
      <c r="I1" s="356" t="s">
        <v>207</v>
      </c>
      <c r="J1" s="358" t="s">
        <v>56</v>
      </c>
      <c r="K1" s="360" t="s">
        <v>57</v>
      </c>
      <c r="L1" s="362" t="s">
        <v>58</v>
      </c>
      <c r="M1" s="364" t="s">
        <v>59</v>
      </c>
      <c r="N1" s="349" t="s">
        <v>208</v>
      </c>
      <c r="AB1" s="41">
        <f>DATE(LOHNTABELLE!$G$3, $A$1, 1)</f>
        <v>46327</v>
      </c>
    </row>
    <row r="2" spans="1:28" ht="16" customHeight="1" thickBot="1">
      <c r="A2" s="129"/>
      <c r="B2" s="348"/>
      <c r="C2" s="343"/>
      <c r="D2" s="345"/>
      <c r="E2" s="345"/>
      <c r="F2" s="345"/>
      <c r="G2" s="347"/>
      <c r="H2" s="352"/>
      <c r="I2" s="357"/>
      <c r="J2" s="359"/>
      <c r="K2" s="361"/>
      <c r="L2" s="363"/>
      <c r="M2" s="365"/>
      <c r="N2" s="349"/>
      <c r="AB2" s="41">
        <f>EOMONTH(DATE(LOHNTABELLE!$G$3, $A$1, 1), 0)</f>
        <v>46356</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40" t="s">
        <v>61</v>
      </c>
      <c r="P3" s="340" t="s">
        <v>62</v>
      </c>
      <c r="Q3" s="366" t="s">
        <v>63</v>
      </c>
      <c r="R3" s="353"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41"/>
      <c r="P4" s="341"/>
      <c r="Q4" s="367"/>
      <c r="R4" s="354"/>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892.75395239129205</v>
      </c>
      <c r="P5" s="49">
        <f>EINSTELLUNG!I16</f>
        <v>11</v>
      </c>
      <c r="Q5" s="48">
        <f>P5-O5</f>
        <v>-881.75395239129205</v>
      </c>
      <c r="R5" s="52">
        <f>IFERROR(Q5*Q42, 0)</f>
        <v>-10543.458048341425</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99" t="str">
        <f>IF(Q5&lt;0, "Schlecht! Zu wenig Urlaub abgebaut.", IF(Q5&gt;0, "Gut! Mehr Urlaub abgebaut als aufgebaut.", ""))</f>
        <v>Schlecht! Zu wenig Urlaub abgebaut.</v>
      </c>
      <c r="P6" s="400"/>
      <c r="Q6" s="400"/>
      <c r="R6" s="401"/>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339" t="s">
        <v>70</v>
      </c>
      <c r="P8" s="403"/>
      <c r="Q8" s="404">
        <f>SUM(H3:H82)</f>
        <v>9251.1799999999985</v>
      </c>
      <c r="R8" s="404"/>
    </row>
    <row r="9" spans="1:28" ht="16" customHeight="1">
      <c r="A9" s="130"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339" t="s">
        <v>72</v>
      </c>
      <c r="P9" s="403"/>
      <c r="Q9" s="404">
        <f>EINSTELLUNG!L32</f>
        <v>11</v>
      </c>
      <c r="R9" s="404"/>
      <c r="S9" s="53">
        <f>IFERROR(Q9/Q8, 0)</f>
        <v>1.18903750656673E-3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339" t="s">
        <v>74</v>
      </c>
      <c r="P10" s="403"/>
      <c r="Q10" s="404">
        <f>EINSTELLUNG!I32</f>
        <v>11</v>
      </c>
      <c r="R10" s="404"/>
    </row>
    <row r="11" spans="1:28" ht="16" customHeight="1">
      <c r="A11" s="131"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39" t="s">
        <v>76</v>
      </c>
      <c r="P11" s="403"/>
      <c r="Q11" s="404">
        <f>P5</f>
        <v>11</v>
      </c>
      <c r="R11" s="404"/>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39" t="s">
        <v>80</v>
      </c>
      <c r="P12" s="403"/>
      <c r="Q12" s="404">
        <f>Q8-Q9-Q10-Q11</f>
        <v>9218.1799999999985</v>
      </c>
      <c r="R12" s="404"/>
    </row>
    <row r="13" spans="1:28" ht="16" customHeight="1">
      <c r="A13" s="130"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39" t="s">
        <v>82</v>
      </c>
      <c r="P13" s="403"/>
      <c r="Q13" s="404">
        <f>EINSTELLUNG!L16</f>
        <v>11</v>
      </c>
      <c r="R13" s="404"/>
    </row>
    <row r="14" spans="1:28" ht="16" customHeight="1">
      <c r="A14" s="131"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39" t="s">
        <v>84</v>
      </c>
      <c r="P14" s="403"/>
      <c r="Q14" s="404">
        <f>Q12-Q13</f>
        <v>9207.1799999999985</v>
      </c>
      <c r="R14" s="404"/>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439" t="str">
        <f>IF(Q14&lt;0, "Schlecht! Zu wenig Stunden für Dienstplan.", IF(Q14&gt;0, "Du hast mehr als genug Stunden für Dienstplan.", ""))</f>
        <v>Du hast mehr als genug Stunden für Dienstplan.</v>
      </c>
      <c r="P15" s="439"/>
      <c r="Q15" s="439"/>
      <c r="R15" s="439"/>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33" t="s">
        <v>87</v>
      </c>
      <c r="P17" s="407"/>
      <c r="Q17" s="412">
        <f>SUM(L3:L82)</f>
        <v>110619.78000000001</v>
      </c>
      <c r="R17" s="41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03"/>
      <c r="P18" s="435"/>
      <c r="Q18" s="436"/>
      <c r="R18" s="402"/>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03"/>
      <c r="P19" s="435"/>
      <c r="Q19" s="436"/>
      <c r="R19" s="402"/>
    </row>
    <row r="20" spans="1:29" ht="16" customHeight="1">
      <c r="A20" s="131"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03"/>
      <c r="P20" s="435"/>
      <c r="Q20" s="436"/>
      <c r="R20" s="402"/>
    </row>
    <row r="21" spans="1:29" ht="16" customHeight="1">
      <c r="A21" s="130"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03" t="s">
        <v>357</v>
      </c>
      <c r="P21" s="435"/>
      <c r="Q21" s="436">
        <v>5000</v>
      </c>
      <c r="R21" s="402"/>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03"/>
      <c r="P22" s="435"/>
      <c r="Q22" s="436"/>
      <c r="R22" s="402"/>
    </row>
    <row r="23" spans="1:29" ht="16" customHeight="1">
      <c r="A23" s="131"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03"/>
      <c r="P23" s="435"/>
      <c r="Q23" s="436"/>
      <c r="R23" s="402"/>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03"/>
      <c r="P24" s="435"/>
      <c r="Q24" s="436"/>
      <c r="R24" s="402"/>
      <c r="W24" s="45"/>
    </row>
    <row r="25" spans="1:29" ht="16" customHeight="1" thickBot="1">
      <c r="A25" s="130"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25"/>
      <c r="P25" s="437"/>
      <c r="Q25" s="438"/>
      <c r="R25" s="418"/>
    </row>
    <row r="26" spans="1:29" ht="16" customHeight="1">
      <c r="A26" s="131"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29"/>
      <c r="P26" s="427"/>
      <c r="Q26" s="419"/>
      <c r="R26" s="420"/>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19"/>
      <c r="P27" s="406"/>
      <c r="Q27" s="402"/>
      <c r="R27" s="421"/>
      <c r="S27" s="299" t="s">
        <v>99</v>
      </c>
      <c r="T27" s="300"/>
      <c r="U27" s="300"/>
      <c r="V27" s="300"/>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323"/>
      <c r="P28" s="422"/>
      <c r="Q28" s="423"/>
      <c r="R28" s="424"/>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91" t="s">
        <v>102</v>
      </c>
      <c r="P29" s="415"/>
      <c r="Q29" s="416">
        <f>EINSTELLUNG!O16</f>
        <v>11</v>
      </c>
      <c r="R29" s="417"/>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09">
        <v>0</v>
      </c>
      <c r="P31" s="428"/>
      <c r="Q31" s="429">
        <v>0</v>
      </c>
      <c r="R31" s="430"/>
    </row>
    <row r="32" spans="1:29" ht="16" customHeight="1">
      <c r="A32" s="131"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0"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409"/>
      <c r="P33" s="410"/>
      <c r="Q33" s="433" t="str">
        <f>EINSTELLUNG!B3</f>
        <v>Budget Zahlen</v>
      </c>
      <c r="R33" s="433"/>
      <c r="S33" s="434" t="str">
        <f>EINSTELLUNG!B19</f>
        <v>Projection/Aktuell Zahlen</v>
      </c>
      <c r="T33" s="434"/>
      <c r="U33" s="434" t="s">
        <v>110</v>
      </c>
      <c r="V33" s="434"/>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409"/>
      <c r="P34" s="410"/>
      <c r="Q34" s="433"/>
      <c r="R34" s="433"/>
      <c r="S34" s="434"/>
      <c r="T34" s="434"/>
      <c r="U34" s="434"/>
      <c r="V34" s="434"/>
    </row>
    <row r="35" spans="1:24" ht="16" customHeight="1">
      <c r="A35" s="131"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94" t="s">
        <v>113</v>
      </c>
      <c r="P35" s="295"/>
      <c r="Q35" s="285">
        <f>EINSTELLUNG!C16</f>
        <v>11</v>
      </c>
      <c r="R35" s="285"/>
      <c r="S35" s="285">
        <f>EINSTELLUNG!C32</f>
        <v>11</v>
      </c>
      <c r="T35" s="285"/>
      <c r="U35" s="284">
        <f>S35-Q35</f>
        <v>0</v>
      </c>
      <c r="V35" s="28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94" t="s">
        <v>115</v>
      </c>
      <c r="P36" s="295"/>
      <c r="Q36" s="285">
        <f>EINSTELLUNG!D16</f>
        <v>11</v>
      </c>
      <c r="R36" s="285"/>
      <c r="S36" s="282" cm="1">
        <f t="array" ref="S36">SumMergedCells(Q17:R29)</f>
        <v>0</v>
      </c>
      <c r="T36" s="283"/>
      <c r="U36" s="284">
        <f t="shared" ref="U36:U41" si="2">S36-Q36</f>
        <v>-11</v>
      </c>
      <c r="V36" s="284"/>
    </row>
    <row r="37" spans="1:24" ht="16" customHeight="1">
      <c r="A37" s="130"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94" t="s">
        <v>117</v>
      </c>
      <c r="P37" s="295"/>
      <c r="Q37" s="408">
        <f>IF(ISERROR(Q36/Q35), 0, Q36/Q35)</f>
        <v>1</v>
      </c>
      <c r="R37" s="408"/>
      <c r="S37" s="408">
        <f>IF(ISERROR(S36/S35), 0, S36/S35)</f>
        <v>0</v>
      </c>
      <c r="T37" s="408"/>
      <c r="U37" s="281">
        <f t="shared" si="2"/>
        <v>-1</v>
      </c>
      <c r="V37" s="281"/>
    </row>
    <row r="38" spans="1:24" ht="16" customHeight="1">
      <c r="A38" s="131"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94" t="s">
        <v>119</v>
      </c>
      <c r="P38" s="295"/>
      <c r="Q38" s="297">
        <f>EINSTELLUNG!F16</f>
        <v>11</v>
      </c>
      <c r="R38" s="297"/>
      <c r="S38" s="297">
        <f>EINSTELLUNG!F32</f>
        <v>11</v>
      </c>
      <c r="T38" s="297"/>
      <c r="U38" s="298">
        <f t="shared" si="2"/>
        <v>0</v>
      </c>
      <c r="V38" s="298"/>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94" t="s">
        <v>121</v>
      </c>
      <c r="P39" s="295"/>
      <c r="Q39" s="285">
        <f>IF(Q38=0, 0, Q35/Q38)</f>
        <v>1</v>
      </c>
      <c r="R39" s="285"/>
      <c r="S39" s="285">
        <f>IF(S38=0, 0, S35/S38)</f>
        <v>1</v>
      </c>
      <c r="T39" s="285"/>
      <c r="U39" s="284">
        <f t="shared" si="2"/>
        <v>0</v>
      </c>
      <c r="V39" s="28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94" t="s">
        <v>123</v>
      </c>
      <c r="P40" s="295"/>
      <c r="Q40" s="285">
        <f>IF(Q12=0, 0, Q35/Q12)</f>
        <v>1.1932941209653102E-3</v>
      </c>
      <c r="R40" s="285"/>
      <c r="S40" s="285">
        <f>IF(Q12=0, 0, S35/Q12)</f>
        <v>1.1932941209653102E-3</v>
      </c>
      <c r="T40" s="285"/>
      <c r="U40" s="284">
        <f t="shared" si="2"/>
        <v>0</v>
      </c>
      <c r="V40" s="28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94" t="s">
        <v>125</v>
      </c>
      <c r="P41" s="295"/>
      <c r="Q41" s="297">
        <f>IF(Q12=0, 0, Q38/Q12)</f>
        <v>1.1932941209653102E-3</v>
      </c>
      <c r="R41" s="297"/>
      <c r="S41" s="297">
        <f>IF(Q12=0, 0, S38/Q12)</f>
        <v>1.1932941209653102E-3</v>
      </c>
      <c r="T41" s="297"/>
      <c r="U41" s="298">
        <f t="shared" si="2"/>
        <v>0</v>
      </c>
      <c r="V41" s="298"/>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94" t="s">
        <v>127</v>
      </c>
      <c r="P42" s="295"/>
      <c r="Q42" s="282">
        <f>IFERROR(Q17/Q8, 0)</f>
        <v>11.957369762560022</v>
      </c>
      <c r="R42" s="296"/>
      <c r="S42" s="296"/>
      <c r="T42" s="296"/>
      <c r="U42" s="296"/>
      <c r="V42" s="283"/>
    </row>
    <row r="43" spans="1:24" ht="16" customHeight="1">
      <c r="A43" s="130" t="s">
        <v>128</v>
      </c>
      <c r="B43" s="170">
        <v>401731</v>
      </c>
      <c r="C43" s="139"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356</v>
      </c>
      <c r="D53" s="193">
        <v>46082</v>
      </c>
      <c r="E53" s="134" t="s">
        <v>4</v>
      </c>
      <c r="F53" s="136">
        <v>173</v>
      </c>
      <c r="G53" s="185">
        <v>2021</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v>402000</v>
      </c>
      <c r="C54" s="137" t="s">
        <v>363</v>
      </c>
      <c r="D54" s="193">
        <v>46143</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365</v>
      </c>
      <c r="D55" s="193">
        <v>46122</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1" t="s">
        <v>142</v>
      </c>
      <c r="B56" s="170">
        <v>402405</v>
      </c>
      <c r="C56" s="137" t="s">
        <v>367</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0" t="s">
        <v>143</v>
      </c>
      <c r="B57" s="170">
        <v>500600</v>
      </c>
      <c r="C57" s="137" t="s">
        <v>372</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502000</v>
      </c>
      <c r="C58" s="137" t="s">
        <v>366</v>
      </c>
      <c r="D58" s="193">
        <v>46147</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1" t="s">
        <v>145</v>
      </c>
      <c r="B59" s="170">
        <v>503000</v>
      </c>
      <c r="C59" s="137" t="s">
        <v>369</v>
      </c>
      <c r="D59" s="193">
        <v>42401</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504000</v>
      </c>
      <c r="C60" s="137" t="s">
        <v>370</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0" t="s">
        <v>147</v>
      </c>
      <c r="B61" s="170">
        <v>505000</v>
      </c>
      <c r="C61" s="137" t="s">
        <v>371</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1" t="s">
        <v>148</v>
      </c>
      <c r="B62" s="170">
        <v>700000</v>
      </c>
      <c r="C62" s="137" t="s">
        <v>422</v>
      </c>
      <c r="D62" s="193">
        <v>46054</v>
      </c>
      <c r="E62" s="134" t="s">
        <v>4</v>
      </c>
      <c r="F62" s="136">
        <v>151.38</v>
      </c>
      <c r="G62" s="185">
        <v>1768.38</v>
      </c>
      <c r="H62" s="158">
        <f>IF(AND(ISNUMBER(D62), ISNUMBER(F62)),
    ROUNDDOWN(
        MIN(
            IF(OR(ISBLANK(I62), I62=""),
                EOMONTH(DATE(LOHNTABELLE!$G$3, $A$1, 1), 0), I62)
            - MAX(D62, DATE(LOHNTABELLE!$G$3, $A$1, 1)) + 1)
        / DAY(EOMONTH(DATE(LOHNTABELLE!$G$3, $A$1, 1), 0)) * F62,
        2
    ),
    ""
)</f>
        <v>151.38</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1768.38</v>
      </c>
      <c r="M62" s="164"/>
      <c r="N62" s="147"/>
    </row>
    <row r="63" spans="1:14" ht="16" customHeight="1">
      <c r="A63" s="130" t="s">
        <v>149</v>
      </c>
      <c r="B63" s="170">
        <v>800000</v>
      </c>
      <c r="C63" s="137" t="s">
        <v>426</v>
      </c>
      <c r="D63" s="193">
        <v>46082</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0/hCo+o6o7kdT6v8qfpfEc1+qLPtXeVl3LqwWHZjARgowxXZflVOyvi4hDL0IbEFAcLBm2Gl4zp9jGAgC1qwxA==" saltValue="vwJEOin7YymkWN9PjBFt/Q=="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2">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 type="list" allowBlank="1" showInputMessage="1" showErrorMessage="1" sqref="F58" xr:uid="{DF8F7E15-A07C-CE4A-B074-11B6BC2D00E2}">
      <formula1>KV_DD_NOVEMBER_58</formula1>
    </dataValidation>
    <dataValidation type="list" allowBlank="1" showInputMessage="1" showErrorMessage="1" sqref="F59" xr:uid="{ED1AD6B8-8951-7B45-AE85-8FF3674FBCE8}">
      <formula1>KV_DD_NOVEMBER_59</formula1>
    </dataValidation>
    <dataValidation type="list" allowBlank="1" showInputMessage="1" showErrorMessage="1" sqref="F60" xr:uid="{47952892-4AFA-0B47-9D42-CC8EE620E929}">
      <formula1>KV_DD_NOVEMBER_60</formula1>
    </dataValidation>
    <dataValidation type="list" allowBlank="1" showInputMessage="1" showErrorMessage="1" sqref="F61" xr:uid="{2C730243-BD43-944D-91D2-B1EB14E24247}">
      <formula1>KV_DD_NOVEMBER_61</formula1>
    </dataValidation>
    <dataValidation type="list" allowBlank="1" showInputMessage="1" showErrorMessage="1" sqref="F62" xr:uid="{64E0E7BA-47A0-48AA-99DB-BFECAE248678}">
      <formula1>KV_DD_NOVEMBER_62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24"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12</v>
      </c>
      <c r="B1" s="348" t="s">
        <v>205</v>
      </c>
      <c r="C1" s="342" t="s">
        <v>52</v>
      </c>
      <c r="D1" s="344" t="s">
        <v>206</v>
      </c>
      <c r="E1" s="344" t="s">
        <v>0</v>
      </c>
      <c r="F1" s="344" t="s">
        <v>53</v>
      </c>
      <c r="G1" s="346" t="s">
        <v>54</v>
      </c>
      <c r="H1" s="351" t="s">
        <v>55</v>
      </c>
      <c r="I1" s="356" t="s">
        <v>207</v>
      </c>
      <c r="J1" s="358" t="s">
        <v>56</v>
      </c>
      <c r="K1" s="360" t="s">
        <v>57</v>
      </c>
      <c r="L1" s="362" t="s">
        <v>58</v>
      </c>
      <c r="M1" s="364" t="s">
        <v>59</v>
      </c>
      <c r="N1" s="349" t="s">
        <v>208</v>
      </c>
      <c r="AB1" s="41">
        <f>DATE(LOHNTABELLE!$G$3, $A$1, 1)</f>
        <v>46357</v>
      </c>
    </row>
    <row r="2" spans="1:28" ht="16" customHeight="1" thickBot="1">
      <c r="A2" s="129"/>
      <c r="B2" s="348"/>
      <c r="C2" s="343"/>
      <c r="D2" s="345"/>
      <c r="E2" s="345"/>
      <c r="F2" s="345"/>
      <c r="G2" s="347"/>
      <c r="H2" s="352"/>
      <c r="I2" s="357"/>
      <c r="J2" s="359"/>
      <c r="K2" s="361"/>
      <c r="L2" s="363"/>
      <c r="M2" s="365"/>
      <c r="N2" s="349"/>
      <c r="AB2" s="41">
        <f>EOMONTH(DATE(LOHNTABELLE!$G$3, $A$1, 1), 0)</f>
        <v>46387</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40" t="s">
        <v>61</v>
      </c>
      <c r="P3" s="340" t="s">
        <v>62</v>
      </c>
      <c r="Q3" s="366" t="s">
        <v>63</v>
      </c>
      <c r="R3" s="353"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41"/>
      <c r="P4" s="341"/>
      <c r="Q4" s="367"/>
      <c r="R4" s="354"/>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892.75395239129205</v>
      </c>
      <c r="P5" s="49">
        <f>EINSTELLUNG!I17</f>
        <v>12</v>
      </c>
      <c r="Q5" s="48">
        <f>P5-O5</f>
        <v>-880.75395239129205</v>
      </c>
      <c r="R5" s="52">
        <f>IFERROR(Q5*Q42, 0)</f>
        <v>-10531.500678578865</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99" t="str">
        <f>IF(Q5&lt;0, "Schlecht! Zu wenig Urlaub abgebaut.", IF(Q5&gt;0, "Gut! Mehr Urlaub abgebaut als aufgebaut.", ""))</f>
        <v>Schlecht! Zu wenig Urlaub abgebaut.</v>
      </c>
      <c r="P6" s="400"/>
      <c r="Q6" s="400"/>
      <c r="R6" s="401"/>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339" t="s">
        <v>70</v>
      </c>
      <c r="P8" s="403"/>
      <c r="Q8" s="404">
        <f>SUM(H3:H82)</f>
        <v>9251.1799999999985</v>
      </c>
      <c r="R8" s="404"/>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339" t="s">
        <v>72</v>
      </c>
      <c r="P9" s="403"/>
      <c r="Q9" s="404">
        <f>EINSTELLUNG!L33</f>
        <v>12</v>
      </c>
      <c r="R9" s="404"/>
      <c r="S9" s="53">
        <f>IFERROR(Q9/Q8, 0)</f>
        <v>1.2971318253455237E-3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339" t="s">
        <v>74</v>
      </c>
      <c r="P10" s="403"/>
      <c r="Q10" s="404">
        <f>EINSTELLUNG!I33</f>
        <v>12</v>
      </c>
      <c r="R10" s="404"/>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39" t="s">
        <v>76</v>
      </c>
      <c r="P11" s="403"/>
      <c r="Q11" s="404">
        <f>P5</f>
        <v>12</v>
      </c>
      <c r="R11" s="404"/>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39" t="s">
        <v>78</v>
      </c>
      <c r="P12" s="403"/>
      <c r="Q12" s="411">
        <v>-303</v>
      </c>
      <c r="R12" s="411"/>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39" t="s">
        <v>80</v>
      </c>
      <c r="P13" s="403"/>
      <c r="Q13" s="404">
        <f>Q8-Q9-Q10-Q11-Q12</f>
        <v>9518.1799999999985</v>
      </c>
      <c r="R13" s="404"/>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39" t="s">
        <v>82</v>
      </c>
      <c r="P14" s="403"/>
      <c r="Q14" s="404">
        <f>EINSTELLUNG!L17</f>
        <v>12</v>
      </c>
      <c r="R14" s="404"/>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39" t="s">
        <v>84</v>
      </c>
      <c r="P15" s="403"/>
      <c r="Q15" s="404">
        <f>Q13-Q14</f>
        <v>9506.1799999999985</v>
      </c>
      <c r="R15" s="404"/>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405" t="str">
        <f>IF(Q15&lt;0, "Schlecht! Zu wenig Stunden für Dienstplan.", IF(Q15&gt;0, "Du hast mehr als genug Stunden für Dienstplan.", ""))</f>
        <v>Du hast mehr als genug Stunden für Dienstplan.</v>
      </c>
      <c r="P16" s="405"/>
      <c r="Q16" s="405"/>
      <c r="R16" s="405"/>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33" t="s">
        <v>87</v>
      </c>
      <c r="P17" s="407"/>
      <c r="Q17" s="412">
        <f>SUM(L3:L82)</f>
        <v>110619.78000000001</v>
      </c>
      <c r="R17" s="41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03"/>
      <c r="P18" s="435"/>
      <c r="Q18" s="436"/>
      <c r="R18" s="402"/>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03"/>
      <c r="P19" s="435"/>
      <c r="Q19" s="436"/>
      <c r="R19" s="402"/>
    </row>
    <row r="20" spans="1:29" ht="16" customHeight="1">
      <c r="A20" s="130" t="s">
        <v>90</v>
      </c>
      <c r="B20" s="170">
        <v>401479</v>
      </c>
      <c r="C20" s="139"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03"/>
      <c r="P20" s="435"/>
      <c r="Q20" s="436"/>
      <c r="R20" s="402"/>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03" t="s">
        <v>357</v>
      </c>
      <c r="P21" s="435"/>
      <c r="Q21" s="436">
        <v>5000</v>
      </c>
      <c r="R21" s="402"/>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03"/>
      <c r="P22" s="435"/>
      <c r="Q22" s="436"/>
      <c r="R22" s="402"/>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03"/>
      <c r="P23" s="435"/>
      <c r="Q23" s="436"/>
      <c r="R23" s="402"/>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03"/>
      <c r="P24" s="435"/>
      <c r="Q24" s="436"/>
      <c r="R24" s="402"/>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25"/>
      <c r="P25" s="437"/>
      <c r="Q25" s="438"/>
      <c r="R25" s="418"/>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29"/>
      <c r="P26" s="427"/>
      <c r="Q26" s="419"/>
      <c r="R26" s="420"/>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19"/>
      <c r="P27" s="406"/>
      <c r="Q27" s="402"/>
      <c r="R27" s="421"/>
    </row>
    <row r="28" spans="1:29" ht="16" customHeigh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319"/>
      <c r="P28" s="406"/>
      <c r="Q28" s="402"/>
      <c r="R28" s="421"/>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440" t="s">
        <v>102</v>
      </c>
      <c r="P29" s="441"/>
      <c r="Q29" s="442">
        <f>EINSTELLUNG!O17</f>
        <v>12</v>
      </c>
      <c r="R29" s="443"/>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09">
        <v>0</v>
      </c>
      <c r="P31" s="428"/>
      <c r="Q31" s="429">
        <v>0</v>
      </c>
      <c r="R31" s="43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409"/>
      <c r="P33" s="410"/>
      <c r="Q33" s="433" t="str">
        <f>EINSTELLUNG!B3</f>
        <v>Budget Zahlen</v>
      </c>
      <c r="R33" s="433"/>
      <c r="S33" s="434" t="str">
        <f>EINSTELLUNG!B19</f>
        <v>Projection/Aktuell Zahlen</v>
      </c>
      <c r="T33" s="434"/>
      <c r="U33" s="434" t="s">
        <v>110</v>
      </c>
      <c r="V33" s="434"/>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409"/>
      <c r="P34" s="410"/>
      <c r="Q34" s="433"/>
      <c r="R34" s="433"/>
      <c r="S34" s="434"/>
      <c r="T34" s="434"/>
      <c r="U34" s="434"/>
      <c r="V34" s="434"/>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94" t="s">
        <v>113</v>
      </c>
      <c r="P35" s="295"/>
      <c r="Q35" s="285">
        <f>EINSTELLUNG!C17</f>
        <v>12</v>
      </c>
      <c r="R35" s="285"/>
      <c r="S35" s="285">
        <f>EINSTELLUNG!C33</f>
        <v>12</v>
      </c>
      <c r="T35" s="285"/>
      <c r="U35" s="284">
        <f>S35-Q35</f>
        <v>0</v>
      </c>
      <c r="V35" s="28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94" t="s">
        <v>115</v>
      </c>
      <c r="P36" s="295"/>
      <c r="Q36" s="285">
        <f>EINSTELLUNG!D17</f>
        <v>12</v>
      </c>
      <c r="R36" s="285"/>
      <c r="S36" s="282" cm="1">
        <f t="array" ref="S36">SumMergedCells(Q17:R29)</f>
        <v>0</v>
      </c>
      <c r="T36" s="283"/>
      <c r="U36" s="284">
        <f t="shared" ref="U36:U41" si="2">S36-Q36</f>
        <v>-12</v>
      </c>
      <c r="V36" s="28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94" t="s">
        <v>117</v>
      </c>
      <c r="P37" s="295"/>
      <c r="Q37" s="408">
        <f>IF(ISERROR(Q36/Q35), 0, Q36/Q35)</f>
        <v>1</v>
      </c>
      <c r="R37" s="408"/>
      <c r="S37" s="408">
        <f>IF(ISERROR(S36/S35), 0, S36/S35)</f>
        <v>0</v>
      </c>
      <c r="T37" s="408"/>
      <c r="U37" s="281">
        <f t="shared" si="2"/>
        <v>-1</v>
      </c>
      <c r="V37" s="281"/>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94" t="s">
        <v>119</v>
      </c>
      <c r="P38" s="295"/>
      <c r="Q38" s="297">
        <f>EINSTELLUNG!F17</f>
        <v>12</v>
      </c>
      <c r="R38" s="297"/>
      <c r="S38" s="297">
        <f>EINSTELLUNG!F33</f>
        <v>12</v>
      </c>
      <c r="T38" s="297"/>
      <c r="U38" s="298">
        <f t="shared" si="2"/>
        <v>0</v>
      </c>
      <c r="V38" s="298"/>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94" t="s">
        <v>121</v>
      </c>
      <c r="P39" s="295"/>
      <c r="Q39" s="285">
        <f>IF(Q38=0, 0, Q35/Q38)</f>
        <v>1</v>
      </c>
      <c r="R39" s="285"/>
      <c r="S39" s="285">
        <f>IF(S38=0, 0, S35/S38)</f>
        <v>1</v>
      </c>
      <c r="T39" s="285"/>
      <c r="U39" s="284">
        <f t="shared" si="2"/>
        <v>0</v>
      </c>
      <c r="V39" s="28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94" t="s">
        <v>123</v>
      </c>
      <c r="P40" s="295"/>
      <c r="Q40" s="285">
        <f>IF(Q13=0, 0, Q35/Q13)</f>
        <v>1.2607452265033863E-3</v>
      </c>
      <c r="R40" s="285"/>
      <c r="S40" s="285">
        <f>IF(Q13=0, 0, S35/Q13)</f>
        <v>1.2607452265033863E-3</v>
      </c>
      <c r="T40" s="285"/>
      <c r="U40" s="284">
        <f t="shared" si="2"/>
        <v>0</v>
      </c>
      <c r="V40" s="28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94" t="s">
        <v>125</v>
      </c>
      <c r="P41" s="295"/>
      <c r="Q41" s="297">
        <f>IF(Q13=0, 0, Q38/Q13)</f>
        <v>1.2607452265033863E-3</v>
      </c>
      <c r="R41" s="297"/>
      <c r="S41" s="297">
        <f>IF(Q13=0, 0, S38/Q13)</f>
        <v>1.2607452265033863E-3</v>
      </c>
      <c r="T41" s="297"/>
      <c r="U41" s="298">
        <f t="shared" si="2"/>
        <v>0</v>
      </c>
      <c r="V41" s="298"/>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94" t="s">
        <v>127</v>
      </c>
      <c r="P42" s="295"/>
      <c r="Q42" s="282">
        <f>IFERROR(Q17/Q8, 0)</f>
        <v>11.957369762560022</v>
      </c>
      <c r="R42" s="296"/>
      <c r="S42" s="296"/>
      <c r="T42" s="296"/>
      <c r="U42" s="296"/>
      <c r="V42" s="28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356</v>
      </c>
      <c r="D53" s="193">
        <v>46082</v>
      </c>
      <c r="E53" s="134" t="s">
        <v>4</v>
      </c>
      <c r="F53" s="136">
        <v>173</v>
      </c>
      <c r="G53" s="185">
        <v>2021</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v>402000</v>
      </c>
      <c r="C54" s="137" t="s">
        <v>363</v>
      </c>
      <c r="D54" s="193">
        <v>46143</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365</v>
      </c>
      <c r="D55" s="193">
        <v>46122</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402405</v>
      </c>
      <c r="C56" s="137" t="s">
        <v>367</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372</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502000</v>
      </c>
      <c r="C58" s="137" t="s">
        <v>366</v>
      </c>
      <c r="D58" s="193">
        <v>46147</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503000</v>
      </c>
      <c r="C59" s="137" t="s">
        <v>369</v>
      </c>
      <c r="D59" s="193">
        <v>42401</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504000</v>
      </c>
      <c r="C60" s="137" t="s">
        <v>370</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1" t="s">
        <v>147</v>
      </c>
      <c r="B61" s="170">
        <v>505000</v>
      </c>
      <c r="C61" s="137" t="s">
        <v>371</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0" t="s">
        <v>148</v>
      </c>
      <c r="B62" s="170">
        <v>700000</v>
      </c>
      <c r="C62" s="137" t="s">
        <v>422</v>
      </c>
      <c r="D62" s="193">
        <v>46054</v>
      </c>
      <c r="E62" s="134" t="s">
        <v>4</v>
      </c>
      <c r="F62" s="136">
        <v>151.38</v>
      </c>
      <c r="G62" s="185">
        <v>1768.38</v>
      </c>
      <c r="H62" s="158">
        <f>IF(AND(ISNUMBER(D62), ISNUMBER(F62)),
    ROUNDDOWN(
        MIN(
            IF(OR(ISBLANK(I62), I62=""),
                EOMONTH(DATE(LOHNTABELLE!$G$3, $A$1, 1), 0), I62)
            - MAX(D62, DATE(LOHNTABELLE!$G$3, $A$1, 1)) + 1)
        / DAY(EOMONTH(DATE(LOHNTABELLE!$G$3, $A$1, 1), 0)) * F62,
        2
    ),
    ""
)</f>
        <v>151.38</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1768.38</v>
      </c>
      <c r="M62" s="164"/>
      <c r="N62" s="147"/>
    </row>
    <row r="63" spans="1:14" ht="16" customHeight="1">
      <c r="A63" s="130" t="s">
        <v>149</v>
      </c>
      <c r="B63" s="170">
        <v>800000</v>
      </c>
      <c r="C63" s="137" t="s">
        <v>426</v>
      </c>
      <c r="D63" s="193">
        <v>46082</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MMPn8YmWEopIHhP0tBYtPemn7mzNyHGnDHKRim58zxzdqc0/fRonnzTJuyvJNjDRHpojtLXm6sSyp35sXoiHCw==" saltValue="bvzc+QI8HxWwSzTFJqH+Jw==" spinCount="100000" sheet="1" objects="1" scenarios="1" sort="0" autoFilter="0"/>
  <sortState xmlns:xlrd2="http://schemas.microsoft.com/office/spreadsheetml/2017/richdata2" ref="B3:N82">
    <sortCondition ref="B3:B82"/>
    <sortCondition ref="C3:C82"/>
  </sortState>
  <mergeCells count="97">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Q20:R20"/>
    <mergeCell ref="O21:P21"/>
    <mergeCell ref="Q21:R21"/>
    <mergeCell ref="Q19:R19"/>
    <mergeCell ref="Q31:R31"/>
    <mergeCell ref="O29:P29"/>
    <mergeCell ref="Q29:R29"/>
    <mergeCell ref="O11:P11"/>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U37:V37"/>
    <mergeCell ref="O38:P38"/>
    <mergeCell ref="Q38:R38"/>
    <mergeCell ref="S38:T38"/>
    <mergeCell ref="U38:V38"/>
    <mergeCell ref="S40:T40"/>
    <mergeCell ref="U40:V40"/>
    <mergeCell ref="S41:T41"/>
    <mergeCell ref="U41:V41"/>
    <mergeCell ref="Q42:V42"/>
    <mergeCell ref="Q40:R40"/>
    <mergeCell ref="Q41:R41"/>
  </mergeCells>
  <phoneticPr fontId="15" type="noConversion"/>
  <dataValidations count="62">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 type="list" allowBlank="1" showInputMessage="1" showErrorMessage="1" sqref="F58" xr:uid="{9F6BA826-DFD0-E64E-975C-6EAEA002C8CA}">
      <formula1>KV_DD_DEZEMBER_58</formula1>
    </dataValidation>
    <dataValidation type="list" allowBlank="1" showInputMessage="1" showErrorMessage="1" sqref="F59" xr:uid="{DA26B125-7EC3-4A46-BB4A-2238DB541D19}">
      <formula1>KV_DD_DEZEMBER_59</formula1>
    </dataValidation>
    <dataValidation type="list" allowBlank="1" showInputMessage="1" showErrorMessage="1" sqref="F60" xr:uid="{AB7185DF-96B1-4042-8DBF-5B0DD9EF5BD8}">
      <formula1>KV_DD_DEZEMBER_60</formula1>
    </dataValidation>
    <dataValidation type="list" allowBlank="1" showInputMessage="1" showErrorMessage="1" sqref="F61" xr:uid="{A790421C-31CC-D040-8784-0C758D428DE2}">
      <formula1>KV_DD_DEZEMBER_61</formula1>
    </dataValidation>
    <dataValidation type="list" allowBlank="1" showInputMessage="1" showErrorMessage="1" sqref="F62" xr:uid="{75DC9853-77AB-48E7-AB24-6116759F962C}">
      <formula1>KV_DD_DEZEMBER_62</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453125" defaultRowHeight="14"/>
  <cols>
    <col min="1" max="1" width="4.453125" style="1" customWidth="1"/>
    <col min="2" max="2" width="11.453125" style="1"/>
    <col min="3" max="3" width="17.6328125" style="1" customWidth="1"/>
    <col min="4" max="4" width="17.36328125" style="1" customWidth="1"/>
    <col min="5" max="5" width="14.81640625" style="1" customWidth="1"/>
    <col min="6" max="6" width="17.81640625" style="1" customWidth="1"/>
    <col min="7" max="7" width="19.36328125" style="1" customWidth="1"/>
    <col min="8" max="8" width="15.36328125" style="1" customWidth="1"/>
    <col min="9" max="10" width="15.6328125" style="1" customWidth="1"/>
    <col min="11" max="11" width="14" style="1" customWidth="1"/>
    <col min="12" max="13" width="20.6328125" style="1" customWidth="1"/>
    <col min="14" max="15" width="15.6328125" style="1" customWidth="1"/>
    <col min="16" max="16" width="11.6328125" style="1" customWidth="1"/>
    <col min="17" max="17" width="20.6328125" style="1" customWidth="1"/>
    <col min="18" max="16384" width="11.453125" style="1"/>
  </cols>
  <sheetData>
    <row r="2" spans="2:18" ht="15.75" customHeight="1">
      <c r="B2" s="445" t="str">
        <f>"FINANZIELL ÜBERSICHT "&amp;LOHNTABELLE!G3</f>
        <v>FINANZIELL ÜBERSICHT 2026</v>
      </c>
      <c r="C2" s="445"/>
      <c r="D2" s="445"/>
      <c r="E2" s="445"/>
      <c r="F2" s="445"/>
      <c r="G2" s="445"/>
      <c r="H2" s="445"/>
      <c r="I2" s="445"/>
      <c r="J2" s="445"/>
      <c r="K2" s="445"/>
      <c r="L2" s="445"/>
      <c r="M2" s="445"/>
      <c r="N2" s="445"/>
      <c r="O2" s="445"/>
      <c r="P2" s="445"/>
      <c r="Q2" s="445"/>
      <c r="R2" s="2"/>
    </row>
    <row r="3" spans="2:18" ht="15.75" customHeight="1">
      <c r="B3" s="445"/>
      <c r="C3" s="445"/>
      <c r="D3" s="445"/>
      <c r="E3" s="445"/>
      <c r="F3" s="445"/>
      <c r="G3" s="445"/>
      <c r="H3" s="445"/>
      <c r="I3" s="445"/>
      <c r="J3" s="445"/>
      <c r="K3" s="445"/>
      <c r="L3" s="445"/>
      <c r="M3" s="445"/>
      <c r="N3" s="445"/>
      <c r="O3" s="445"/>
      <c r="P3" s="445"/>
      <c r="Q3" s="445"/>
      <c r="R3" s="2"/>
    </row>
    <row r="4" spans="2:18" ht="30" customHeight="1">
      <c r="B4" s="447"/>
      <c r="C4" s="446" t="s">
        <v>30</v>
      </c>
      <c r="D4" s="446"/>
      <c r="E4" s="446"/>
      <c r="F4" s="446" t="s">
        <v>176</v>
      </c>
      <c r="G4" s="446"/>
      <c r="H4" s="446"/>
      <c r="I4" s="446" t="s">
        <v>177</v>
      </c>
      <c r="J4" s="446"/>
      <c r="K4" s="446"/>
      <c r="L4" s="446" t="s">
        <v>178</v>
      </c>
      <c r="M4" s="446" t="s">
        <v>179</v>
      </c>
      <c r="N4" s="448" t="s">
        <v>180</v>
      </c>
      <c r="O4" s="448"/>
      <c r="P4" s="448"/>
      <c r="Q4" s="448" t="s">
        <v>105</v>
      </c>
    </row>
    <row r="5" spans="2:18" ht="30" customHeight="1">
      <c r="B5" s="447"/>
      <c r="C5" s="446"/>
      <c r="D5" s="446"/>
      <c r="E5" s="446"/>
      <c r="F5" s="446"/>
      <c r="G5" s="446"/>
      <c r="H5" s="446"/>
      <c r="I5" s="446"/>
      <c r="J5" s="446"/>
      <c r="K5" s="446"/>
      <c r="L5" s="446"/>
      <c r="M5" s="446"/>
      <c r="N5" s="448"/>
      <c r="O5" s="448"/>
      <c r="P5" s="448"/>
      <c r="Q5" s="448"/>
    </row>
    <row r="6" spans="2:18" ht="30" customHeight="1">
      <c r="B6" s="447"/>
      <c r="C6" s="60" t="s">
        <v>181</v>
      </c>
      <c r="D6" s="60" t="s">
        <v>182</v>
      </c>
      <c r="E6" s="61" t="s">
        <v>183</v>
      </c>
      <c r="F6" s="60" t="s">
        <v>181</v>
      </c>
      <c r="G6" s="60" t="s">
        <v>182</v>
      </c>
      <c r="H6" s="61" t="s">
        <v>183</v>
      </c>
      <c r="I6" s="60" t="s">
        <v>181</v>
      </c>
      <c r="J6" s="60" t="s">
        <v>182</v>
      </c>
      <c r="K6" s="61" t="s">
        <v>183</v>
      </c>
      <c r="L6" s="446"/>
      <c r="M6" s="446"/>
      <c r="N6" s="60" t="s">
        <v>184</v>
      </c>
      <c r="O6" s="60" t="s">
        <v>185</v>
      </c>
      <c r="P6" s="61" t="s">
        <v>183</v>
      </c>
      <c r="Q6" s="448"/>
    </row>
    <row r="7" spans="2:18" ht="30" customHeight="1">
      <c r="B7" s="63" t="s">
        <v>186</v>
      </c>
      <c r="C7" s="65">
        <f>EINSTELLUNG!C6</f>
        <v>1</v>
      </c>
      <c r="D7" s="65">
        <f>EINSTELLUNG!C22</f>
        <v>1</v>
      </c>
      <c r="E7" s="83">
        <f>D7-C7</f>
        <v>0</v>
      </c>
      <c r="F7" s="65">
        <f>EINSTELLUNG!D6</f>
        <v>1</v>
      </c>
      <c r="G7" s="65">
        <f>Januar!S36</f>
        <v>0</v>
      </c>
      <c r="H7" s="83">
        <f>G7-F7</f>
        <v>-1</v>
      </c>
      <c r="I7" s="66">
        <f>EINSTELLUNG!E6</f>
        <v>1</v>
      </c>
      <c r="J7" s="66">
        <f>EINSTELLUNG!E22</f>
        <v>0</v>
      </c>
      <c r="K7" s="67">
        <f>J7-I7</f>
        <v>-1</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0</v>
      </c>
      <c r="H8" s="83">
        <f>G8-F8</f>
        <v>-2</v>
      </c>
      <c r="I8" s="66">
        <f>EINSTELLUNG!E7</f>
        <v>1</v>
      </c>
      <c r="J8" s="66">
        <f>EINSTELLUNG!E23</f>
        <v>0</v>
      </c>
      <c r="K8" s="67">
        <f t="shared" ref="K8:K22" si="0">J8-I8</f>
        <v>-1</v>
      </c>
      <c r="L8" s="65">
        <f>Februar!S40</f>
        <v>2.329479209980421E-4</v>
      </c>
      <c r="M8" s="62">
        <f>Februar!S41</f>
        <v>2.329479209980421E-4</v>
      </c>
      <c r="N8" s="62">
        <f>Februar!O5</f>
        <v>842.66960625479021</v>
      </c>
      <c r="O8" s="62">
        <f>Februar!P5</f>
        <v>2</v>
      </c>
      <c r="P8" s="85">
        <f t="shared" ref="P8:P23" si="1">O8-N8</f>
        <v>-840.66960625479021</v>
      </c>
      <c r="Q8" s="66">
        <f>Februar!Q31</f>
        <v>1.7241379310344827E-2</v>
      </c>
    </row>
    <row r="9" spans="2:18" ht="30" customHeight="1">
      <c r="B9" s="63" t="s">
        <v>188</v>
      </c>
      <c r="C9" s="65">
        <f>EINSTELLUNG!C8</f>
        <v>3</v>
      </c>
      <c r="D9" s="65">
        <f>EINSTELLUNG!C24</f>
        <v>3</v>
      </c>
      <c r="E9" s="83">
        <f>D9-C9</f>
        <v>0</v>
      </c>
      <c r="F9" s="65">
        <f>EINSTELLUNG!D8</f>
        <v>3</v>
      </c>
      <c r="G9" s="65">
        <f>Marz!$S$36</f>
        <v>0</v>
      </c>
      <c r="H9" s="83">
        <f>G9-F9</f>
        <v>-3</v>
      </c>
      <c r="I9" s="66">
        <f>EINSTELLUNG!E8</f>
        <v>1</v>
      </c>
      <c r="J9" s="66">
        <f>EINSTELLUNG!E24</f>
        <v>0</v>
      </c>
      <c r="K9" s="67">
        <f>J9-I9</f>
        <v>-1</v>
      </c>
      <c r="L9" s="65">
        <f>Marz!S40</f>
        <v>3.219523188615766E-4</v>
      </c>
      <c r="M9" s="62">
        <f>Marz!S41</f>
        <v>3.219523188615766E-4</v>
      </c>
      <c r="N9" s="62">
        <f>Marz!O5</f>
        <v>861.45075354782682</v>
      </c>
      <c r="O9" s="62">
        <f>Marz!P5</f>
        <v>3</v>
      </c>
      <c r="P9" s="85">
        <f t="shared" si="1"/>
        <v>-858.45075354782682</v>
      </c>
      <c r="Q9" s="66">
        <f>Marz!Q31</f>
        <v>1.6666666666666666E-2</v>
      </c>
    </row>
    <row r="10" spans="2:18" ht="30" customHeight="1">
      <c r="B10" s="68" t="s">
        <v>189</v>
      </c>
      <c r="C10" s="69">
        <f>SUM(C7:C9)</f>
        <v>6</v>
      </c>
      <c r="D10" s="69">
        <f>SUM(D7:D9)</f>
        <v>6</v>
      </c>
      <c r="E10" s="84">
        <f>D10-C10</f>
        <v>0</v>
      </c>
      <c r="F10" s="69">
        <f>SUM(F7:F9)</f>
        <v>6</v>
      </c>
      <c r="G10" s="69">
        <f>SUM(G7:G9)</f>
        <v>0</v>
      </c>
      <c r="H10" s="84">
        <f>G10-F10</f>
        <v>-6</v>
      </c>
      <c r="I10" s="70">
        <f>AVERAGE(I7:I9)</f>
        <v>1</v>
      </c>
      <c r="J10" s="70">
        <f>AVERAGE(J7:J9)</f>
        <v>0</v>
      </c>
      <c r="K10" s="71">
        <f>J10-I10</f>
        <v>-1</v>
      </c>
      <c r="L10" s="69">
        <f>AVERAGE(L7:L9)</f>
        <v>2.2945983684296125E-4</v>
      </c>
      <c r="M10" s="64">
        <f>AVERAGE(M7:M9)</f>
        <v>2.2945983684296125E-4</v>
      </c>
      <c r="N10" s="64">
        <f>SUM(N7:N9)</f>
        <v>2428.6739005773393</v>
      </c>
      <c r="O10" s="64">
        <f>SUM(O7:O9)</f>
        <v>6</v>
      </c>
      <c r="P10" s="86">
        <f t="shared" si="1"/>
        <v>-2422.6739005773393</v>
      </c>
      <c r="Q10" s="70">
        <f>AVERAGE(Q7:Q9)</f>
        <v>1.7838629704755467E-2</v>
      </c>
    </row>
    <row r="11" spans="2:18" ht="30" customHeight="1">
      <c r="B11" s="63" t="s">
        <v>190</v>
      </c>
      <c r="C11" s="65">
        <f>EINSTELLUNG!C9</f>
        <v>4</v>
      </c>
      <c r="D11" s="65">
        <f>EINSTELLUNG!C25</f>
        <v>4</v>
      </c>
      <c r="E11" s="83">
        <f t="shared" ref="E11:E21" si="2">D11-C11</f>
        <v>0</v>
      </c>
      <c r="F11" s="65">
        <f>EINSTELLUNG!D9</f>
        <v>4</v>
      </c>
      <c r="G11" s="65">
        <f>April!$S$36</f>
        <v>0</v>
      </c>
      <c r="H11" s="83">
        <f>G11-F11</f>
        <v>-4</v>
      </c>
      <c r="I11" s="66">
        <f>EINSTELLUNG!E9</f>
        <v>1</v>
      </c>
      <c r="J11" s="66">
        <f>EINSTELLUNG!E25</f>
        <v>0</v>
      </c>
      <c r="K11" s="67">
        <f t="shared" si="0"/>
        <v>-1</v>
      </c>
      <c r="L11" s="65">
        <f>April!S40</f>
        <v>4.3457476858893573E-4</v>
      </c>
      <c r="M11" s="62">
        <f>April!S41</f>
        <v>4.3457476858893573E-4</v>
      </c>
      <c r="N11" s="62">
        <f>April!O5</f>
        <v>869.79814457057716</v>
      </c>
      <c r="O11" s="62">
        <f>April!P5</f>
        <v>4</v>
      </c>
      <c r="P11" s="85">
        <f t="shared" si="1"/>
        <v>-865.79814457057716</v>
      </c>
      <c r="Q11" s="66">
        <f>April!Q31</f>
        <v>0</v>
      </c>
    </row>
    <row r="12" spans="2:18" ht="30" customHeight="1">
      <c r="B12" s="63" t="s">
        <v>191</v>
      </c>
      <c r="C12" s="65">
        <f>EINSTELLUNG!C10</f>
        <v>5</v>
      </c>
      <c r="D12" s="65">
        <f>EINSTELLUNG!C26</f>
        <v>5</v>
      </c>
      <c r="E12" s="83">
        <f t="shared" si="2"/>
        <v>0</v>
      </c>
      <c r="F12" s="65">
        <f>EINSTELLUNG!D10</f>
        <v>5</v>
      </c>
      <c r="G12" s="65">
        <f>Mai!$S$36</f>
        <v>0</v>
      </c>
      <c r="H12" s="83">
        <f t="shared" ref="H12:H23" si="3">G12-F12</f>
        <v>-5</v>
      </c>
      <c r="I12" s="66">
        <f>EINSTELLUNG!E10</f>
        <v>1</v>
      </c>
      <c r="J12" s="66">
        <f>EINSTELLUNG!E26</f>
        <v>0</v>
      </c>
      <c r="K12" s="67">
        <f t="shared" si="0"/>
        <v>-1</v>
      </c>
      <c r="L12" s="65">
        <f>Mai!S40</f>
        <v>5.3636731291776315E-4</v>
      </c>
      <c r="M12" s="62">
        <f>Mai!S41</f>
        <v>5.3636731291776315E-4</v>
      </c>
      <c r="N12" s="62">
        <f>Mai!O5</f>
        <v>903.18770866157831</v>
      </c>
      <c r="O12" s="62">
        <f>Mai!P5</f>
        <v>5</v>
      </c>
      <c r="P12" s="85">
        <f t="shared" si="1"/>
        <v>-898.18770866157831</v>
      </c>
      <c r="Q12" s="66">
        <f>Mai!Q31</f>
        <v>0</v>
      </c>
    </row>
    <row r="13" spans="2:18" ht="30" customHeight="1">
      <c r="B13" s="63" t="s">
        <v>192</v>
      </c>
      <c r="C13" s="65">
        <f>EINSTELLUNG!C11</f>
        <v>6</v>
      </c>
      <c r="D13" s="65">
        <f>EINSTELLUNG!C27</f>
        <v>6</v>
      </c>
      <c r="E13" s="83">
        <f t="shared" si="2"/>
        <v>0</v>
      </c>
      <c r="F13" s="65">
        <f>EINSTELLUNG!D11</f>
        <v>6</v>
      </c>
      <c r="G13" s="65">
        <f>Juni!$S$36</f>
        <v>0</v>
      </c>
      <c r="H13" s="83">
        <f t="shared" si="3"/>
        <v>-6</v>
      </c>
      <c r="I13" s="66">
        <f>EINSTELLUNG!E11</f>
        <v>1</v>
      </c>
      <c r="J13" s="66">
        <f>EINSTELLUNG!E27</f>
        <v>0</v>
      </c>
      <c r="K13" s="67">
        <f t="shared" si="0"/>
        <v>-1</v>
      </c>
      <c r="L13" s="65">
        <f>Juni!S40</f>
        <v>1.3574660633484163E-2</v>
      </c>
      <c r="M13" s="62">
        <f>Juni!S41</f>
        <v>1.3574660633484163E-2</v>
      </c>
      <c r="N13" s="62">
        <f>Juni!O5</f>
        <v>903.18770866157831</v>
      </c>
      <c r="O13" s="62">
        <f>Juni!P5</f>
        <v>6</v>
      </c>
      <c r="P13" s="85">
        <f t="shared" si="1"/>
        <v>-897.18770866157831</v>
      </c>
      <c r="Q13" s="66">
        <f>Juni!Q31</f>
        <v>1.6666666666666666E-2</v>
      </c>
    </row>
    <row r="14" spans="2:18" ht="30" customHeight="1">
      <c r="B14" s="68" t="s">
        <v>193</v>
      </c>
      <c r="C14" s="69">
        <f>SUM(C11:C13)</f>
        <v>15</v>
      </c>
      <c r="D14" s="69">
        <f>SUM(D11:D13)</f>
        <v>15</v>
      </c>
      <c r="E14" s="84">
        <f t="shared" si="2"/>
        <v>0</v>
      </c>
      <c r="F14" s="69">
        <f>SUM(F11:F13)</f>
        <v>15</v>
      </c>
      <c r="G14" s="69">
        <f>SUM(G11:G13)</f>
        <v>0</v>
      </c>
      <c r="H14" s="84">
        <f t="shared" si="3"/>
        <v>-15</v>
      </c>
      <c r="I14" s="70">
        <f>AVERAGE(I11:I13)</f>
        <v>1</v>
      </c>
      <c r="J14" s="70">
        <f>AVERAGE(J11:J13)</f>
        <v>0</v>
      </c>
      <c r="K14" s="71">
        <f t="shared" si="0"/>
        <v>-1</v>
      </c>
      <c r="L14" s="69">
        <f>AVERAGE(L11:L13)</f>
        <v>4.8485342383302876E-3</v>
      </c>
      <c r="M14" s="64">
        <f>AVERAGE(M11:M13)</f>
        <v>4.8485342383302876E-3</v>
      </c>
      <c r="N14" s="64">
        <f>SUM(N11:N13)</f>
        <v>2676.1735618937337</v>
      </c>
      <c r="O14" s="64">
        <f>SUM(O11:O13)</f>
        <v>15</v>
      </c>
      <c r="P14" s="86">
        <f t="shared" si="1"/>
        <v>-2661.1735618937337</v>
      </c>
      <c r="Q14" s="70">
        <f>AVERAGE(Q11:Q13)</f>
        <v>5.5555555555555558E-3</v>
      </c>
    </row>
    <row r="15" spans="2:18" ht="30" customHeight="1">
      <c r="B15" s="63" t="s">
        <v>194</v>
      </c>
      <c r="C15" s="65">
        <f>EINSTELLUNG!C12</f>
        <v>7</v>
      </c>
      <c r="D15" s="65">
        <f>EINSTELLUNG!C28</f>
        <v>7</v>
      </c>
      <c r="E15" s="83">
        <f t="shared" si="2"/>
        <v>0</v>
      </c>
      <c r="F15" s="65">
        <f>EINSTELLUNG!D12</f>
        <v>7</v>
      </c>
      <c r="G15" s="65">
        <f>Juli!$S$36</f>
        <v>0</v>
      </c>
      <c r="H15" s="83">
        <f t="shared" si="3"/>
        <v>-7</v>
      </c>
      <c r="I15" s="66">
        <f>EINSTELLUNG!E12</f>
        <v>1</v>
      </c>
      <c r="J15" s="66">
        <f>EINSTELLUNG!E28</f>
        <v>0</v>
      </c>
      <c r="K15" s="67">
        <f t="shared" si="0"/>
        <v>-1</v>
      </c>
      <c r="L15" s="65">
        <f>Juli!S40</f>
        <v>7.5274483025604085E-4</v>
      </c>
      <c r="M15" s="62">
        <f>Juli!S41</f>
        <v>7.5274483025604085E-4</v>
      </c>
      <c r="N15" s="62">
        <f>Juli!O5</f>
        <v>903.18770866157831</v>
      </c>
      <c r="O15" s="62">
        <f>Juli!P5</f>
        <v>7</v>
      </c>
      <c r="P15" s="85">
        <f t="shared" si="1"/>
        <v>-896.18770866157831</v>
      </c>
      <c r="Q15" s="66">
        <f>Juli!Q31</f>
        <v>0</v>
      </c>
    </row>
    <row r="16" spans="2:18" ht="30" customHeight="1">
      <c r="B16" s="63" t="s">
        <v>195</v>
      </c>
      <c r="C16" s="65">
        <f>EINSTELLUNG!C13</f>
        <v>8</v>
      </c>
      <c r="D16" s="65">
        <f>EINSTELLUNG!C29</f>
        <v>8</v>
      </c>
      <c r="E16" s="83">
        <f t="shared" si="2"/>
        <v>0</v>
      </c>
      <c r="F16" s="65">
        <f>EINSTELLUNG!D13</f>
        <v>8</v>
      </c>
      <c r="G16" s="65">
        <f>August!$S$36</f>
        <v>0</v>
      </c>
      <c r="H16" s="83">
        <f t="shared" si="3"/>
        <v>-8</v>
      </c>
      <c r="I16" s="66">
        <f>EINSTELLUNG!E13</f>
        <v>1</v>
      </c>
      <c r="J16" s="66">
        <f>EINSTELLUNG!E29</f>
        <v>0</v>
      </c>
      <c r="K16" s="67">
        <f t="shared" si="0"/>
        <v>-1</v>
      </c>
      <c r="L16" s="65">
        <f>August!S40</f>
        <v>8.6510803036529194E-4</v>
      </c>
      <c r="M16" s="62">
        <f>August!S41</f>
        <v>8.6510803036529194E-4</v>
      </c>
      <c r="N16" s="62">
        <f>August!O5</f>
        <v>899.01401315020314</v>
      </c>
      <c r="O16" s="62">
        <f>August!P5</f>
        <v>8</v>
      </c>
      <c r="P16" s="85">
        <f t="shared" si="1"/>
        <v>-891.01401315020314</v>
      </c>
      <c r="Q16" s="66">
        <f>August!Q31</f>
        <v>1.8518518518518517E-2</v>
      </c>
    </row>
    <row r="17" spans="2:17" ht="30" customHeight="1">
      <c r="B17" s="63" t="s">
        <v>196</v>
      </c>
      <c r="C17" s="65">
        <f>EINSTELLUNG!C14</f>
        <v>9</v>
      </c>
      <c r="D17" s="65">
        <f>EINSTELLUNG!C30</f>
        <v>9</v>
      </c>
      <c r="E17" s="83">
        <f t="shared" si="2"/>
        <v>0</v>
      </c>
      <c r="F17" s="65">
        <f>EINSTELLUNG!D14</f>
        <v>9</v>
      </c>
      <c r="G17" s="65">
        <f>September!$S$36</f>
        <v>0</v>
      </c>
      <c r="H17" s="83">
        <f t="shared" si="3"/>
        <v>-9</v>
      </c>
      <c r="I17" s="66">
        <f>EINSTELLUNG!E14</f>
        <v>1</v>
      </c>
      <c r="J17" s="66">
        <f>EINSTELLUNG!E30</f>
        <v>0</v>
      </c>
      <c r="K17" s="67">
        <f t="shared" si="0"/>
        <v>-1</v>
      </c>
      <c r="L17" s="65">
        <f>September!S40</f>
        <v>9.9606554111260522E-4</v>
      </c>
      <c r="M17" s="62">
        <f>September!S41</f>
        <v>9.9606554111260522E-4</v>
      </c>
      <c r="N17" s="62">
        <f>September!O5</f>
        <v>890.66662212745291</v>
      </c>
      <c r="O17" s="62">
        <f>September!P5</f>
        <v>9</v>
      </c>
      <c r="P17" s="85">
        <f t="shared" si="1"/>
        <v>-881.66662212745291</v>
      </c>
      <c r="Q17" s="66">
        <f>September!Q31</f>
        <v>0</v>
      </c>
    </row>
    <row r="18" spans="2:17" ht="30" customHeight="1">
      <c r="B18" s="68" t="s">
        <v>197</v>
      </c>
      <c r="C18" s="69">
        <f>SUM(C15:C17)</f>
        <v>24</v>
      </c>
      <c r="D18" s="69">
        <f>SUM(D15:D17)</f>
        <v>24</v>
      </c>
      <c r="E18" s="84">
        <f>D18-C18</f>
        <v>0</v>
      </c>
      <c r="F18" s="69">
        <f>SUM(F15:F17)</f>
        <v>24</v>
      </c>
      <c r="G18" s="69">
        <f>SUM(G15:G17)</f>
        <v>0</v>
      </c>
      <c r="H18" s="84">
        <f t="shared" si="3"/>
        <v>-24</v>
      </c>
      <c r="I18" s="70">
        <f>AVERAGE(I15:I17)</f>
        <v>1</v>
      </c>
      <c r="J18" s="70">
        <f>AVERAGE(J15:J17)</f>
        <v>0</v>
      </c>
      <c r="K18" s="71">
        <f t="shared" si="0"/>
        <v>-1</v>
      </c>
      <c r="L18" s="69">
        <f>AVERAGE(L15:L17)</f>
        <v>8.7130613391131267E-4</v>
      </c>
      <c r="M18" s="64">
        <f>AVERAGE(M15:M17)</f>
        <v>8.7130613391131267E-4</v>
      </c>
      <c r="N18" s="64">
        <f>SUM(N15:N17)</f>
        <v>2692.8683439392344</v>
      </c>
      <c r="O18" s="64">
        <f>SUM(O15:O17)</f>
        <v>24</v>
      </c>
      <c r="P18" s="86">
        <f t="shared" si="1"/>
        <v>-2668.8683439392344</v>
      </c>
      <c r="Q18" s="70">
        <f>AVERAGE(Q15:Q17)</f>
        <v>6.1728395061728392E-3</v>
      </c>
    </row>
    <row r="19" spans="2:17" ht="30" customHeight="1">
      <c r="B19" s="63" t="s">
        <v>198</v>
      </c>
      <c r="C19" s="65">
        <f>EINSTELLUNG!C15</f>
        <v>10</v>
      </c>
      <c r="D19" s="65">
        <f>EINSTELLUNG!C31</f>
        <v>10</v>
      </c>
      <c r="E19" s="83">
        <f>D19-C19</f>
        <v>0</v>
      </c>
      <c r="F19" s="65">
        <f>EINSTELLUNG!D15</f>
        <v>10</v>
      </c>
      <c r="G19" s="65">
        <f>Oktober!$S$36</f>
        <v>0</v>
      </c>
      <c r="H19" s="83">
        <f t="shared" si="3"/>
        <v>-10</v>
      </c>
      <c r="I19" s="66">
        <f>EINSTELLUNG!E15</f>
        <v>1</v>
      </c>
      <c r="J19" s="66">
        <f>EINSTELLUNG!E31</f>
        <v>0</v>
      </c>
      <c r="K19" s="67">
        <f t="shared" si="0"/>
        <v>-1</v>
      </c>
      <c r="L19" s="65">
        <f>Oktober!S40</f>
        <v>1.0728980585909631E-3</v>
      </c>
      <c r="M19" s="62">
        <f>Oktober!S41</f>
        <v>1.0728980585909631E-3</v>
      </c>
      <c r="N19" s="62">
        <f>Oktober!O5</f>
        <v>890.66662212745291</v>
      </c>
      <c r="O19" s="62">
        <f>Oktober!P5</f>
        <v>10</v>
      </c>
      <c r="P19" s="85">
        <f t="shared" si="1"/>
        <v>-880.66662212745291</v>
      </c>
      <c r="Q19" s="66">
        <f>Oktober!Q31</f>
        <v>0</v>
      </c>
    </row>
    <row r="20" spans="2:17" ht="30" customHeight="1">
      <c r="B20" s="63" t="s">
        <v>199</v>
      </c>
      <c r="C20" s="65">
        <f>EINSTELLUNG!C16</f>
        <v>11</v>
      </c>
      <c r="D20" s="65">
        <f>EINSTELLUNG!C32</f>
        <v>11</v>
      </c>
      <c r="E20" s="83">
        <f>D20-C20</f>
        <v>0</v>
      </c>
      <c r="F20" s="65">
        <f>EINSTELLUNG!D16</f>
        <v>11</v>
      </c>
      <c r="G20" s="65">
        <f>November!$S$36</f>
        <v>0</v>
      </c>
      <c r="H20" s="83">
        <f t="shared" si="3"/>
        <v>-11</v>
      </c>
      <c r="I20" s="66">
        <f>EINSTELLUNG!E16</f>
        <v>1</v>
      </c>
      <c r="J20" s="66">
        <f>EINSTELLUNG!E32</f>
        <v>0</v>
      </c>
      <c r="K20" s="67">
        <f t="shared" si="0"/>
        <v>-1</v>
      </c>
      <c r="L20" s="65">
        <f>November!S40</f>
        <v>1.1932941209653102E-3</v>
      </c>
      <c r="M20" s="62">
        <f>November!S41</f>
        <v>1.1932941209653102E-3</v>
      </c>
      <c r="N20" s="62">
        <f>November!O5</f>
        <v>892.75395239129205</v>
      </c>
      <c r="O20" s="62">
        <f>November!P5</f>
        <v>11</v>
      </c>
      <c r="P20" s="85">
        <f t="shared" si="1"/>
        <v>-881.75395239129205</v>
      </c>
      <c r="Q20" s="66">
        <f>November!Q31</f>
        <v>0</v>
      </c>
    </row>
    <row r="21" spans="2:17" ht="30" customHeight="1">
      <c r="B21" s="63" t="s">
        <v>200</v>
      </c>
      <c r="C21" s="65">
        <f>EINSTELLUNG!C17</f>
        <v>12</v>
      </c>
      <c r="D21" s="65">
        <f>EINSTELLUNG!C33</f>
        <v>12</v>
      </c>
      <c r="E21" s="83">
        <f t="shared" si="2"/>
        <v>0</v>
      </c>
      <c r="F21" s="65">
        <f>EINSTELLUNG!D17</f>
        <v>12</v>
      </c>
      <c r="G21" s="65">
        <f>Dezember!$S$36</f>
        <v>0</v>
      </c>
      <c r="H21" s="83">
        <f t="shared" si="3"/>
        <v>-12</v>
      </c>
      <c r="I21" s="66">
        <f>EINSTELLUNG!E17</f>
        <v>1</v>
      </c>
      <c r="J21" s="66">
        <f>EINSTELLUNG!E33</f>
        <v>0</v>
      </c>
      <c r="K21" s="67">
        <f t="shared" si="0"/>
        <v>-1</v>
      </c>
      <c r="L21" s="65">
        <f>Dezember!S40</f>
        <v>1.2607452265033863E-3</v>
      </c>
      <c r="M21" s="62">
        <f>Dezember!S41</f>
        <v>1.2607452265033863E-3</v>
      </c>
      <c r="N21" s="62">
        <f>Dezember!O5</f>
        <v>892.75395239129205</v>
      </c>
      <c r="O21" s="72">
        <f>Dezember!P5</f>
        <v>12</v>
      </c>
      <c r="P21" s="85">
        <f t="shared" si="1"/>
        <v>-880.75395239129205</v>
      </c>
      <c r="Q21" s="66">
        <f>Dezember!Q31</f>
        <v>0</v>
      </c>
    </row>
    <row r="22" spans="2:17" ht="30" customHeight="1">
      <c r="B22" s="68" t="s">
        <v>201</v>
      </c>
      <c r="C22" s="69">
        <f>SUM(C19:C21)</f>
        <v>33</v>
      </c>
      <c r="D22" s="69">
        <f>SUM(D19:D21)</f>
        <v>33</v>
      </c>
      <c r="E22" s="84">
        <f>D22-C22</f>
        <v>0</v>
      </c>
      <c r="F22" s="69">
        <f>SUM(F19:F21)</f>
        <v>33</v>
      </c>
      <c r="G22" s="69">
        <f>SUM(G19:G21)</f>
        <v>0</v>
      </c>
      <c r="H22" s="84">
        <f t="shared" si="3"/>
        <v>-33</v>
      </c>
      <c r="I22" s="70">
        <f>AVERAGE(I19:I21)</f>
        <v>1</v>
      </c>
      <c r="J22" s="70">
        <f>AVERAGE(J19:J21)</f>
        <v>0</v>
      </c>
      <c r="K22" s="71">
        <f t="shared" si="0"/>
        <v>-1</v>
      </c>
      <c r="L22" s="69">
        <f>AVERAGE(L19:L21)</f>
        <v>1.1756458020198866E-3</v>
      </c>
      <c r="M22" s="64">
        <f>AVERAGE(M19:M21)</f>
        <v>1.1756458020198866E-3</v>
      </c>
      <c r="N22" s="64">
        <f>SUM(N19:N21)</f>
        <v>2676.174526910037</v>
      </c>
      <c r="O22" s="64">
        <f>SUM(O19:O21)</f>
        <v>33</v>
      </c>
      <c r="P22" s="86">
        <f>O22-N22</f>
        <v>-2643.174526910037</v>
      </c>
      <c r="Q22" s="70">
        <f>AVERAGE(Q19:Q21)</f>
        <v>0</v>
      </c>
    </row>
    <row r="23" spans="2:17" ht="30" customHeight="1">
      <c r="B23" s="73">
        <f>LOHNTABELLE!G3</f>
        <v>2026</v>
      </c>
      <c r="C23" s="74">
        <f>SUM(C10,C14,C18,C22)</f>
        <v>78</v>
      </c>
      <c r="D23" s="74">
        <f>SUM(D10,D14,D18,D22)</f>
        <v>78</v>
      </c>
      <c r="E23" s="84">
        <f>D23-C23</f>
        <v>0</v>
      </c>
      <c r="F23" s="74">
        <f>SUM(F10,F14,F18,F22)</f>
        <v>78</v>
      </c>
      <c r="G23" s="74">
        <f>SUM(G10,G14,G18,G22)</f>
        <v>0</v>
      </c>
      <c r="H23" s="84">
        <f t="shared" si="3"/>
        <v>-78</v>
      </c>
      <c r="I23" s="75">
        <f>AVERAGE(I10,I14,I18,I22)</f>
        <v>1</v>
      </c>
      <c r="J23" s="75">
        <f>AVERAGE(J10,J14,J18,J22)</f>
        <v>0</v>
      </c>
      <c r="K23" s="71">
        <f>J23-I23</f>
        <v>-1</v>
      </c>
      <c r="L23" s="74">
        <f>AVERAGE(L22,L18,L14,L10)</f>
        <v>1.7812365027761118E-3</v>
      </c>
      <c r="M23" s="76">
        <f>AVERAGE(M10,M14,M18,M22)</f>
        <v>1.781236502776112E-3</v>
      </c>
      <c r="N23" s="76">
        <f>SUM(N10,N14,N18,N22)</f>
        <v>10473.890333320343</v>
      </c>
      <c r="O23" s="76">
        <f>SUM(O10,O14,O18,O22)</f>
        <v>78</v>
      </c>
      <c r="P23" s="86">
        <f t="shared" si="1"/>
        <v>-10395.890333320343</v>
      </c>
      <c r="Q23" s="75">
        <f>AVERAGE(Q22,Q18,Q14,Q10)</f>
        <v>7.3917561916209658E-3</v>
      </c>
    </row>
    <row r="24" spans="2:17">
      <c r="O24" s="4"/>
    </row>
    <row r="25" spans="2:17">
      <c r="B25" s="444" t="s">
        <v>204</v>
      </c>
      <c r="C25" s="444"/>
      <c r="D25" s="444"/>
      <c r="E25" s="444"/>
    </row>
    <row r="26" spans="2:17">
      <c r="B26" s="444"/>
      <c r="C26" s="444"/>
      <c r="D26" s="444"/>
      <c r="E26" s="444"/>
    </row>
    <row r="27" spans="2:17">
      <c r="B27" s="444"/>
      <c r="C27" s="444"/>
      <c r="D27" s="444"/>
      <c r="E27" s="444"/>
    </row>
  </sheetData>
  <sheetProtection algorithmName="SHA-512" hashValue="J4xtERBnrSeZSbOuRb2QXj5bgamC1JsSceGuFwGCaHoiKrqPDM4snZR9cet5oC8H00VIzOUYvN1Cq0ob1j50/g==" saltValue="V1S1r/HKS5hzfw2/sqUV5Q=="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5"/>
  <sheetViews>
    <sheetView workbookViewId="0">
      <selection activeCell="F18" sqref="F18"/>
    </sheetView>
  </sheetViews>
  <sheetFormatPr baseColWidth="10" defaultRowHeight="14.5"/>
  <cols>
    <col min="1" max="1" width="7.36328125" bestFit="1" customWidth="1"/>
    <col min="2" max="2" width="10.36328125" bestFit="1" customWidth="1"/>
    <col min="3" max="3" width="22.81640625" bestFit="1" customWidth="1"/>
    <col min="4" max="4" width="13.08984375" style="180" bestFit="1" customWidth="1"/>
    <col min="5" max="5" width="13.6328125" style="180" bestFit="1" customWidth="1"/>
    <col min="6" max="6" width="23" bestFit="1" customWidth="1"/>
    <col min="7" max="7" width="19.54296875" bestFit="1" customWidth="1"/>
    <col min="8" max="8" width="13.54296875" style="182" bestFit="1" customWidth="1"/>
    <col min="9" max="9" width="10.08984375" style="182" bestFit="1" customWidth="1"/>
    <col min="10" max="10" width="12" style="182" bestFit="1" customWidth="1"/>
    <col min="11" max="11" width="26.5429687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336</v>
      </c>
      <c r="G2">
        <v>509</v>
      </c>
      <c r="H2" s="182">
        <v>0.5</v>
      </c>
      <c r="I2" s="182">
        <v>1.25</v>
      </c>
      <c r="J2" s="182">
        <v>0.625</v>
      </c>
      <c r="K2" t="s">
        <v>318</v>
      </c>
    </row>
    <row r="3" spans="1:11">
      <c r="A3" t="s">
        <v>428</v>
      </c>
      <c r="B3">
        <v>600000</v>
      </c>
      <c r="C3" t="s">
        <v>373</v>
      </c>
      <c r="D3" s="180">
        <v>46054</v>
      </c>
      <c r="E3" s="180">
        <v>46055</v>
      </c>
      <c r="G3">
        <v>2</v>
      </c>
      <c r="H3" s="182">
        <v>0</v>
      </c>
      <c r="I3" s="182">
        <v>0.3</v>
      </c>
      <c r="J3" s="182">
        <v>0</v>
      </c>
      <c r="K3" t="s">
        <v>407</v>
      </c>
    </row>
    <row r="4" spans="1:11">
      <c r="A4" t="s">
        <v>358</v>
      </c>
      <c r="B4">
        <v>401754</v>
      </c>
      <c r="C4" t="s">
        <v>313</v>
      </c>
      <c r="D4" s="180">
        <v>46014</v>
      </c>
      <c r="E4" s="180">
        <v>46096</v>
      </c>
      <c r="F4" t="s">
        <v>359</v>
      </c>
      <c r="G4">
        <v>83</v>
      </c>
      <c r="H4" s="182">
        <v>1</v>
      </c>
      <c r="I4" s="182">
        <v>0.5</v>
      </c>
      <c r="J4" s="182">
        <v>0.5</v>
      </c>
      <c r="K4" t="s">
        <v>256</v>
      </c>
    </row>
    <row r="5" spans="1:11">
      <c r="A5" t="s">
        <v>195</v>
      </c>
      <c r="B5">
        <v>401746</v>
      </c>
      <c r="C5" t="s">
        <v>309</v>
      </c>
      <c r="D5" s="180">
        <v>45941</v>
      </c>
      <c r="E5" s="180">
        <v>46249</v>
      </c>
      <c r="F5" t="s">
        <v>359</v>
      </c>
      <c r="G5">
        <v>309</v>
      </c>
      <c r="H5" s="182">
        <v>1</v>
      </c>
      <c r="I5" s="182">
        <v>1</v>
      </c>
      <c r="J5" s="182">
        <v>1</v>
      </c>
      <c r="K5" t="s">
        <v>257</v>
      </c>
    </row>
  </sheetData>
  <sheetProtection algorithmName="SHA-512" hashValue="CdM64sP8gfaUZlPmx4OQu3aQCNE1E4Z9jh4dyc1cnzWEQ8BsAI0afggxG0WyIjm/o4YfrcRbp0FyggG6OthPTg==" saltValue="nMp0rHp2EIvfcLrBn7V0h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3"/>
  <sheetViews>
    <sheetView showGridLines="0" topLeftCell="A11" zoomScale="120" zoomScaleNormal="120" workbookViewId="0">
      <selection activeCell="C24" sqref="C24"/>
    </sheetView>
  </sheetViews>
  <sheetFormatPr baseColWidth="10" defaultColWidth="10.81640625" defaultRowHeight="15" customHeight="1"/>
  <cols>
    <col min="1" max="1" width="32.6328125" style="261" customWidth="1"/>
    <col min="2" max="5" width="16.6328125" style="261" customWidth="1"/>
    <col min="6" max="7" width="18.6328125" style="261" customWidth="1"/>
    <col min="8" max="8" width="22.6328125" style="261" customWidth="1"/>
    <col min="9" max="12" width="36.6328125" style="261" customWidth="1"/>
    <col min="13" max="16384" width="10.81640625" style="261"/>
  </cols>
  <sheetData>
    <row r="1" spans="1:12" ht="15" customHeight="1">
      <c r="A1" s="456" t="s">
        <v>237</v>
      </c>
      <c r="B1" s="452"/>
      <c r="C1" s="452"/>
      <c r="D1" s="452"/>
      <c r="E1" s="452"/>
      <c r="F1" s="271"/>
      <c r="G1" s="271"/>
      <c r="H1" s="271"/>
      <c r="I1" s="271"/>
      <c r="J1" s="271"/>
      <c r="K1" s="271"/>
      <c r="L1" s="271"/>
    </row>
    <row r="2" spans="1:12" ht="15" customHeight="1">
      <c r="A2" s="272" t="s">
        <v>238</v>
      </c>
      <c r="B2" s="272">
        <v>2026</v>
      </c>
      <c r="C2" s="271"/>
      <c r="D2" s="271"/>
      <c r="E2" s="271"/>
      <c r="F2" s="271"/>
      <c r="G2" s="271"/>
      <c r="H2" s="271"/>
      <c r="I2" s="271"/>
      <c r="J2" s="271"/>
      <c r="K2" s="271"/>
      <c r="L2" s="271"/>
    </row>
    <row r="3" spans="1:12" ht="15" customHeight="1">
      <c r="A3" s="271"/>
      <c r="B3" s="271"/>
      <c r="C3" s="271"/>
      <c r="D3" s="271"/>
      <c r="E3" s="271"/>
      <c r="F3" s="271"/>
      <c r="G3" s="271"/>
      <c r="H3" s="271"/>
      <c r="I3" s="271"/>
      <c r="J3" s="271"/>
      <c r="K3" s="271"/>
      <c r="L3" s="271"/>
    </row>
    <row r="4" spans="1:12" ht="15" customHeight="1">
      <c r="A4" s="457" t="s">
        <v>246</v>
      </c>
      <c r="B4" s="458"/>
      <c r="C4" s="458"/>
      <c r="D4" s="458"/>
      <c r="E4" s="458"/>
      <c r="F4" s="271"/>
      <c r="G4" s="271"/>
      <c r="H4" s="271"/>
      <c r="I4" s="271"/>
      <c r="J4" s="271"/>
      <c r="K4" s="271"/>
      <c r="L4" s="271"/>
    </row>
    <row r="5" spans="1:12" ht="42" customHeight="1">
      <c r="A5" s="459" t="s">
        <v>337</v>
      </c>
      <c r="B5" s="459"/>
      <c r="C5" s="459"/>
      <c r="D5" s="459"/>
      <c r="E5" s="459"/>
      <c r="F5" s="271"/>
      <c r="G5" s="271"/>
      <c r="H5" s="271"/>
      <c r="I5" s="271"/>
      <c r="J5" s="271"/>
      <c r="K5" s="271"/>
      <c r="L5" s="271"/>
    </row>
    <row r="6" spans="1:12" ht="42" customHeight="1">
      <c r="A6" s="459"/>
      <c r="B6" s="459"/>
      <c r="C6" s="459"/>
      <c r="D6" s="459"/>
      <c r="E6" s="459"/>
      <c r="F6" s="271"/>
      <c r="G6" s="271"/>
      <c r="H6" s="271"/>
      <c r="I6" s="271"/>
      <c r="J6" s="271"/>
      <c r="K6" s="271"/>
      <c r="L6" s="271"/>
    </row>
    <row r="7" spans="1:12" ht="15" customHeight="1">
      <c r="A7" s="271"/>
      <c r="B7" s="271"/>
      <c r="C7" s="271"/>
      <c r="D7" s="271"/>
      <c r="E7" s="271"/>
      <c r="F7" s="271"/>
      <c r="G7" s="271"/>
      <c r="H7" s="271"/>
      <c r="I7" s="271"/>
      <c r="J7" s="271"/>
      <c r="K7" s="271"/>
      <c r="L7" s="271"/>
    </row>
    <row r="8" spans="1:12" ht="15" customHeight="1">
      <c r="A8" s="273" t="s">
        <v>239</v>
      </c>
      <c r="B8" s="273" t="s">
        <v>240</v>
      </c>
      <c r="C8" s="273" t="s">
        <v>338</v>
      </c>
      <c r="D8" s="273"/>
      <c r="E8" s="273"/>
      <c r="F8" s="271"/>
      <c r="G8" s="271"/>
      <c r="H8" s="271"/>
      <c r="I8" s="271"/>
      <c r="J8" s="271"/>
      <c r="K8" s="271"/>
      <c r="L8" s="271"/>
    </row>
    <row r="9" spans="1:12" ht="15" customHeight="1">
      <c r="A9" s="274" t="s">
        <v>241</v>
      </c>
      <c r="B9" s="262">
        <v>4</v>
      </c>
      <c r="C9" s="449" t="s">
        <v>247</v>
      </c>
      <c r="D9" s="449"/>
      <c r="E9" s="449"/>
      <c r="F9" s="271"/>
      <c r="G9" s="271"/>
      <c r="H9" s="271"/>
      <c r="I9" s="271"/>
      <c r="J9" s="271"/>
      <c r="K9" s="271"/>
      <c r="L9" s="271"/>
    </row>
    <row r="10" spans="1:12" ht="15" customHeight="1">
      <c r="A10" s="274" t="s">
        <v>258</v>
      </c>
      <c r="B10" s="269">
        <v>5.1724137931034482E-2</v>
      </c>
      <c r="C10" s="449" t="s">
        <v>259</v>
      </c>
      <c r="D10" s="449"/>
      <c r="E10" s="449"/>
      <c r="F10" s="271"/>
      <c r="G10" s="271"/>
      <c r="H10" s="271"/>
      <c r="I10" s="271"/>
      <c r="J10" s="271"/>
      <c r="K10" s="271"/>
      <c r="L10" s="271"/>
    </row>
    <row r="11" spans="1:12" ht="15" customHeight="1">
      <c r="A11" s="274" t="s">
        <v>244</v>
      </c>
      <c r="B11" s="270">
        <v>2.125</v>
      </c>
      <c r="C11" s="449" t="s">
        <v>339</v>
      </c>
      <c r="D11" s="449"/>
      <c r="E11" s="449"/>
      <c r="F11" s="271"/>
      <c r="G11" s="271"/>
      <c r="H11" s="271"/>
      <c r="I11" s="271"/>
      <c r="J11" s="271"/>
      <c r="K11" s="271"/>
      <c r="L11" s="271"/>
    </row>
    <row r="12" spans="1:12" ht="15" customHeight="1">
      <c r="A12" s="274" t="s">
        <v>314</v>
      </c>
      <c r="B12" s="270">
        <v>0.53125</v>
      </c>
      <c r="C12" s="449" t="s">
        <v>248</v>
      </c>
      <c r="D12" s="449"/>
      <c r="E12" s="449"/>
      <c r="F12" s="271"/>
      <c r="G12" s="271"/>
      <c r="H12" s="271"/>
      <c r="I12" s="271"/>
      <c r="J12" s="271"/>
      <c r="K12" s="271"/>
      <c r="L12" s="271"/>
    </row>
    <row r="13" spans="1:12" ht="15" customHeight="1">
      <c r="A13" s="274" t="s">
        <v>249</v>
      </c>
      <c r="B13" s="262">
        <v>1</v>
      </c>
      <c r="C13" s="449" t="s">
        <v>250</v>
      </c>
      <c r="D13" s="449"/>
      <c r="E13" s="449"/>
      <c r="F13" s="271"/>
      <c r="G13" s="271"/>
      <c r="H13" s="271"/>
      <c r="I13" s="271"/>
      <c r="J13" s="271"/>
      <c r="K13" s="271"/>
      <c r="L13" s="271"/>
    </row>
    <row r="14" spans="1:12" ht="15" customHeight="1">
      <c r="A14" s="274" t="s">
        <v>245</v>
      </c>
      <c r="B14" s="262">
        <v>0</v>
      </c>
      <c r="C14" s="449" t="s">
        <v>251</v>
      </c>
      <c r="D14" s="449"/>
      <c r="E14" s="449"/>
      <c r="F14" s="271"/>
      <c r="G14" s="271"/>
      <c r="H14" s="271"/>
      <c r="I14" s="271"/>
      <c r="J14" s="271"/>
      <c r="K14" s="271"/>
      <c r="L14" s="271"/>
    </row>
    <row r="15" spans="1:12" ht="15" customHeight="1">
      <c r="A15" s="274" t="s">
        <v>252</v>
      </c>
      <c r="B15" s="262">
        <v>1</v>
      </c>
      <c r="C15" s="449" t="s">
        <v>340</v>
      </c>
      <c r="D15" s="449"/>
      <c r="E15" s="449"/>
      <c r="F15" s="271"/>
      <c r="G15" s="271"/>
      <c r="H15" s="271"/>
      <c r="I15" s="271"/>
      <c r="J15" s="271"/>
      <c r="K15" s="271"/>
      <c r="L15" s="271"/>
    </row>
    <row r="16" spans="1:12" ht="15" customHeight="1">
      <c r="A16" s="274" t="s">
        <v>242</v>
      </c>
      <c r="B16" s="262">
        <v>0</v>
      </c>
      <c r="C16" s="449" t="s">
        <v>341</v>
      </c>
      <c r="D16" s="449"/>
      <c r="E16" s="449"/>
      <c r="F16" s="271"/>
      <c r="G16" s="271"/>
      <c r="H16" s="271"/>
      <c r="I16" s="271"/>
      <c r="J16" s="271"/>
      <c r="K16" s="271"/>
      <c r="L16" s="271"/>
    </row>
    <row r="17" spans="1:12" ht="15" customHeight="1">
      <c r="A17" s="274" t="s">
        <v>342</v>
      </c>
      <c r="B17" s="262">
        <v>1</v>
      </c>
      <c r="C17" s="449" t="s">
        <v>315</v>
      </c>
      <c r="D17" s="449"/>
      <c r="E17" s="449"/>
      <c r="F17" s="271"/>
      <c r="G17" s="271"/>
      <c r="H17" s="271"/>
      <c r="I17" s="271"/>
      <c r="J17" s="271"/>
      <c r="K17" s="271"/>
      <c r="L17" s="271"/>
    </row>
    <row r="18" spans="1:12" ht="15" customHeight="1" thickBot="1">
      <c r="A18" s="271"/>
      <c r="B18" s="271"/>
      <c r="C18" s="271"/>
      <c r="D18" s="271"/>
      <c r="E18" s="271"/>
      <c r="F18" s="271"/>
      <c r="G18" s="271"/>
      <c r="H18" s="271"/>
      <c r="I18" s="271"/>
      <c r="J18" s="271"/>
      <c r="K18" s="271"/>
      <c r="L18" s="271"/>
    </row>
    <row r="19" spans="1:12" ht="24" customHeight="1" thickBot="1">
      <c r="A19" s="264" t="s">
        <v>343</v>
      </c>
      <c r="B19" s="204" t="s">
        <v>408</v>
      </c>
      <c r="C19" s="271"/>
      <c r="D19" s="271"/>
      <c r="E19" s="271"/>
      <c r="F19" s="271"/>
      <c r="G19" s="271"/>
      <c r="H19" s="271"/>
      <c r="I19" s="271"/>
      <c r="J19" s="271"/>
      <c r="K19" s="271"/>
      <c r="L19" s="271"/>
    </row>
    <row r="20" spans="1:12" ht="15" customHeight="1">
      <c r="A20" s="271"/>
      <c r="B20" s="271"/>
      <c r="C20" s="271"/>
      <c r="D20" s="271"/>
      <c r="E20" s="271"/>
      <c r="F20" s="271"/>
      <c r="G20" s="271"/>
      <c r="H20" s="271"/>
      <c r="I20" s="271"/>
      <c r="J20" s="271"/>
      <c r="K20" s="271"/>
      <c r="L20" s="271"/>
    </row>
    <row r="21" spans="1:12" ht="48" customHeight="1">
      <c r="A21" s="455" t="s">
        <v>253</v>
      </c>
      <c r="B21" s="450" t="s">
        <v>409</v>
      </c>
      <c r="C21" s="450"/>
      <c r="D21" s="450"/>
      <c r="E21" s="450"/>
      <c r="F21" s="271"/>
      <c r="G21" s="271"/>
      <c r="H21" s="271"/>
      <c r="I21" s="271"/>
      <c r="J21" s="271"/>
      <c r="K21" s="271"/>
      <c r="L21" s="271"/>
    </row>
    <row r="22" spans="1:12" ht="48" customHeight="1">
      <c r="A22" s="454"/>
      <c r="B22" s="450"/>
      <c r="C22" s="450"/>
      <c r="D22" s="450"/>
      <c r="E22" s="450"/>
      <c r="F22" s="271"/>
      <c r="G22" s="271"/>
      <c r="H22" s="271"/>
      <c r="I22" s="271"/>
      <c r="J22" s="271"/>
      <c r="K22" s="271"/>
      <c r="L22" s="271"/>
    </row>
    <row r="23" spans="1:12" ht="15" customHeight="1">
      <c r="A23" s="271"/>
      <c r="B23" s="271"/>
      <c r="C23" s="271"/>
      <c r="D23" s="271"/>
      <c r="E23" s="271"/>
      <c r="F23" s="271"/>
      <c r="G23" s="271"/>
      <c r="H23" s="271"/>
      <c r="I23" s="271"/>
      <c r="J23" s="271"/>
      <c r="K23" s="271"/>
      <c r="L23" s="271"/>
    </row>
    <row r="24" spans="1:12" ht="15" customHeight="1">
      <c r="A24" s="271"/>
      <c r="B24" s="271"/>
      <c r="C24" s="271"/>
      <c r="D24" s="271"/>
      <c r="E24" s="271"/>
      <c r="F24" s="271"/>
      <c r="G24" s="271"/>
      <c r="H24" s="271"/>
      <c r="I24" s="271"/>
      <c r="J24" s="271"/>
      <c r="K24" s="271"/>
      <c r="L24" s="271"/>
    </row>
    <row r="25" spans="1:12" ht="15" customHeight="1">
      <c r="A25" s="451" t="s">
        <v>344</v>
      </c>
      <c r="B25" s="452"/>
      <c r="C25" s="452"/>
      <c r="D25" s="452"/>
      <c r="E25" s="452"/>
      <c r="F25" s="452"/>
      <c r="G25" s="452"/>
      <c r="H25" s="452"/>
      <c r="I25" s="452"/>
      <c r="J25" s="452"/>
      <c r="K25" s="452"/>
      <c r="L25" s="452"/>
    </row>
    <row r="26" spans="1:12" ht="15" customHeight="1">
      <c r="A26" s="271"/>
      <c r="B26" s="271"/>
      <c r="C26" s="271"/>
      <c r="D26" s="271"/>
      <c r="E26" s="271"/>
      <c r="F26" s="271"/>
      <c r="G26" s="271"/>
      <c r="H26" s="271"/>
      <c r="I26" s="271"/>
      <c r="J26" s="271"/>
      <c r="K26" s="271"/>
      <c r="L26" s="271"/>
    </row>
    <row r="27" spans="1:12" ht="15" customHeight="1">
      <c r="A27" s="265" t="s">
        <v>231</v>
      </c>
      <c r="B27" s="265" t="s">
        <v>255</v>
      </c>
      <c r="C27" s="265" t="s">
        <v>260</v>
      </c>
      <c r="D27" s="265" t="s">
        <v>244</v>
      </c>
      <c r="E27" s="265" t="s">
        <v>316</v>
      </c>
      <c r="F27" s="265" t="s">
        <v>360</v>
      </c>
      <c r="G27" s="265" t="s">
        <v>252</v>
      </c>
      <c r="H27" s="265" t="s">
        <v>410</v>
      </c>
      <c r="I27" s="265" t="s">
        <v>345</v>
      </c>
      <c r="J27" s="265" t="s">
        <v>335</v>
      </c>
      <c r="K27" s="265"/>
      <c r="L27" s="265"/>
    </row>
    <row r="28" spans="1:12" ht="42" customHeight="1">
      <c r="A28" s="266" t="s">
        <v>317</v>
      </c>
      <c r="B28" s="266">
        <v>1</v>
      </c>
      <c r="C28" s="267">
        <v>1.9607843137254902E-2</v>
      </c>
      <c r="D28" s="268">
        <v>0.625</v>
      </c>
      <c r="E28" s="268">
        <v>0.625</v>
      </c>
      <c r="F28" s="266">
        <v>0</v>
      </c>
      <c r="G28" s="266">
        <v>0</v>
      </c>
      <c r="H28" s="266">
        <v>0</v>
      </c>
      <c r="I28" s="263" t="s">
        <v>346</v>
      </c>
      <c r="J28" s="449" t="s">
        <v>319</v>
      </c>
      <c r="K28" s="449"/>
      <c r="L28" s="449"/>
    </row>
    <row r="29" spans="1:12" ht="42" customHeight="1">
      <c r="A29" s="266" t="s">
        <v>428</v>
      </c>
      <c r="B29" s="266">
        <v>1</v>
      </c>
      <c r="C29" s="267">
        <v>1.7241379310344827E-2</v>
      </c>
      <c r="D29" s="268">
        <v>0</v>
      </c>
      <c r="E29" s="268">
        <v>0</v>
      </c>
      <c r="F29" s="266">
        <v>0</v>
      </c>
      <c r="G29" s="266">
        <v>0</v>
      </c>
      <c r="H29" s="266">
        <v>1</v>
      </c>
      <c r="I29" s="263" t="s">
        <v>411</v>
      </c>
      <c r="J29" s="449" t="s">
        <v>412</v>
      </c>
      <c r="K29" s="449"/>
      <c r="L29" s="449"/>
    </row>
    <row r="30" spans="1:12" ht="42" customHeight="1">
      <c r="A30" s="266" t="s">
        <v>358</v>
      </c>
      <c r="B30" s="266">
        <v>1</v>
      </c>
      <c r="C30" s="267">
        <v>1.6949152542372881E-2</v>
      </c>
      <c r="D30" s="268">
        <v>0.5</v>
      </c>
      <c r="E30" s="268">
        <v>0.5</v>
      </c>
      <c r="F30" s="266">
        <v>1</v>
      </c>
      <c r="G30" s="266">
        <v>0</v>
      </c>
      <c r="H30" s="266">
        <v>0</v>
      </c>
      <c r="I30" s="263" t="s">
        <v>361</v>
      </c>
      <c r="J30" s="449" t="s">
        <v>362</v>
      </c>
      <c r="K30" s="449"/>
      <c r="L30" s="449"/>
    </row>
    <row r="31" spans="1:12" ht="42" customHeight="1">
      <c r="A31" s="266" t="s">
        <v>195</v>
      </c>
      <c r="B31" s="266">
        <v>1</v>
      </c>
      <c r="C31" s="267">
        <v>1.6393442622950821E-2</v>
      </c>
      <c r="D31" s="268">
        <v>1</v>
      </c>
      <c r="E31" s="268">
        <v>1</v>
      </c>
      <c r="F31" s="266">
        <v>0</v>
      </c>
      <c r="G31" s="266">
        <v>1</v>
      </c>
      <c r="H31" s="266">
        <v>0</v>
      </c>
      <c r="I31" s="263" t="s">
        <v>361</v>
      </c>
      <c r="J31" s="449" t="s">
        <v>364</v>
      </c>
      <c r="K31" s="449"/>
      <c r="L31" s="449"/>
    </row>
    <row r="32" spans="1:12" ht="15" customHeight="1">
      <c r="A32" s="271"/>
      <c r="B32" s="271"/>
      <c r="C32" s="271"/>
      <c r="D32" s="271"/>
      <c r="E32" s="271"/>
      <c r="F32" s="271"/>
      <c r="G32" s="271"/>
      <c r="H32" s="271"/>
      <c r="I32" s="271"/>
      <c r="J32" s="271"/>
      <c r="K32" s="271"/>
      <c r="L32" s="271"/>
    </row>
    <row r="33" spans="1:12" ht="15" customHeight="1">
      <c r="A33" s="271"/>
      <c r="B33" s="271"/>
      <c r="C33" s="271"/>
      <c r="D33" s="271"/>
      <c r="E33" s="271"/>
      <c r="F33" s="271"/>
      <c r="G33" s="271"/>
      <c r="H33" s="271"/>
      <c r="I33" s="271"/>
      <c r="J33" s="271"/>
      <c r="K33" s="271"/>
      <c r="L33" s="271"/>
    </row>
    <row r="34" spans="1:12" ht="15" customHeight="1">
      <c r="A34" s="271"/>
      <c r="B34" s="271"/>
      <c r="C34" s="271"/>
      <c r="D34" s="271"/>
      <c r="E34" s="271"/>
      <c r="F34" s="271"/>
      <c r="G34" s="271"/>
      <c r="H34" s="271"/>
      <c r="I34" s="271"/>
      <c r="J34" s="271"/>
      <c r="K34" s="271"/>
      <c r="L34" s="271"/>
    </row>
    <row r="35" spans="1:12" ht="15" customHeight="1">
      <c r="A35" s="453" t="s">
        <v>347</v>
      </c>
      <c r="B35" s="454"/>
      <c r="C35" s="454"/>
      <c r="D35" s="454"/>
      <c r="E35" s="454"/>
      <c r="F35" s="271"/>
      <c r="G35" s="271"/>
      <c r="H35" s="271"/>
      <c r="I35" s="271"/>
      <c r="J35" s="271"/>
      <c r="K35" s="271"/>
      <c r="L35" s="271"/>
    </row>
    <row r="36" spans="1:12" ht="38" customHeight="1">
      <c r="A36" s="273" t="s">
        <v>258</v>
      </c>
      <c r="B36" s="450" t="s">
        <v>261</v>
      </c>
      <c r="C36" s="450"/>
      <c r="D36" s="450"/>
      <c r="E36" s="450"/>
      <c r="F36" s="271"/>
      <c r="G36" s="271"/>
      <c r="H36" s="271"/>
      <c r="I36" s="271"/>
      <c r="J36" s="271"/>
      <c r="K36" s="271"/>
      <c r="L36" s="271"/>
    </row>
    <row r="37" spans="1:12" ht="38" customHeight="1">
      <c r="A37" s="273" t="s">
        <v>244</v>
      </c>
      <c r="B37" s="450" t="s">
        <v>348</v>
      </c>
      <c r="C37" s="450"/>
      <c r="D37" s="450"/>
      <c r="E37" s="450"/>
      <c r="F37" s="271"/>
      <c r="G37" s="271"/>
      <c r="H37" s="271"/>
      <c r="I37" s="271"/>
      <c r="J37" s="271"/>
      <c r="K37" s="271"/>
      <c r="L37" s="271"/>
    </row>
    <row r="38" spans="1:12" ht="38" customHeight="1">
      <c r="A38" s="273" t="s">
        <v>314</v>
      </c>
      <c r="B38" s="450" t="s">
        <v>349</v>
      </c>
      <c r="C38" s="450"/>
      <c r="D38" s="450"/>
      <c r="E38" s="450"/>
      <c r="F38" s="271"/>
      <c r="G38" s="271"/>
      <c r="H38" s="271"/>
      <c r="I38" s="271"/>
      <c r="J38" s="271"/>
      <c r="K38" s="271"/>
      <c r="L38" s="271"/>
    </row>
    <row r="39" spans="1:12" ht="38" customHeight="1">
      <c r="A39" s="273" t="s">
        <v>256</v>
      </c>
      <c r="B39" s="450" t="s">
        <v>350</v>
      </c>
      <c r="C39" s="450"/>
      <c r="D39" s="450"/>
      <c r="E39" s="450"/>
      <c r="F39" s="271"/>
      <c r="G39" s="271"/>
      <c r="H39" s="271"/>
      <c r="I39" s="271"/>
      <c r="J39" s="271"/>
      <c r="K39" s="271"/>
      <c r="L39" s="271"/>
    </row>
    <row r="40" spans="1:12" ht="38" customHeight="1">
      <c r="A40" s="273" t="s">
        <v>245</v>
      </c>
      <c r="B40" s="450" t="s">
        <v>351</v>
      </c>
      <c r="C40" s="450"/>
      <c r="D40" s="450"/>
      <c r="E40" s="450"/>
      <c r="F40" s="271"/>
      <c r="G40" s="271"/>
      <c r="H40" s="271"/>
      <c r="I40" s="271"/>
      <c r="J40" s="271"/>
      <c r="K40" s="271"/>
      <c r="L40" s="271"/>
    </row>
    <row r="41" spans="1:12" ht="38" customHeight="1">
      <c r="A41" s="273" t="s">
        <v>257</v>
      </c>
      <c r="B41" s="450" t="s">
        <v>352</v>
      </c>
      <c r="C41" s="450"/>
      <c r="D41" s="450"/>
      <c r="E41" s="450"/>
      <c r="F41" s="271"/>
      <c r="G41" s="271"/>
      <c r="H41" s="271"/>
      <c r="I41" s="271"/>
      <c r="J41" s="271"/>
      <c r="K41" s="271"/>
      <c r="L41" s="271"/>
    </row>
    <row r="42" spans="1:12" ht="38" customHeight="1">
      <c r="A42" s="273" t="s">
        <v>254</v>
      </c>
      <c r="B42" s="450" t="s">
        <v>353</v>
      </c>
      <c r="C42" s="450"/>
      <c r="D42" s="450"/>
      <c r="E42" s="450"/>
      <c r="F42" s="271"/>
      <c r="G42" s="271"/>
      <c r="H42" s="271"/>
      <c r="I42" s="271"/>
      <c r="J42" s="271"/>
      <c r="K42" s="271"/>
      <c r="L42" s="271"/>
    </row>
    <row r="43" spans="1:12" ht="38" customHeight="1">
      <c r="A43" s="273" t="s">
        <v>354</v>
      </c>
      <c r="B43" s="450" t="s">
        <v>355</v>
      </c>
      <c r="C43" s="450"/>
      <c r="D43" s="450"/>
      <c r="E43" s="450"/>
      <c r="F43" s="271"/>
      <c r="G43" s="271"/>
      <c r="H43" s="271"/>
      <c r="I43" s="271"/>
      <c r="J43" s="271"/>
      <c r="K43" s="271"/>
      <c r="L43" s="271"/>
    </row>
  </sheetData>
  <sheetProtection algorithmName="SHA-512" hashValue="wE/HvqO6ktlBsbaLxE0yipHSdKrJ14QyMn/07IZMhIYbywtAkPaHKEipgRaauRrnXf5MVDGNJM7H2Ujt5FonGA==" saltValue="xBDaXnM7MC8j8pcCOnrUSA==" spinCount="100000" sheet="1" objects="1" scenarios="1" sort="0" autoFilter="0"/>
  <mergeCells count="28">
    <mergeCell ref="C11:E11"/>
    <mergeCell ref="C12:E12"/>
    <mergeCell ref="C13:E13"/>
    <mergeCell ref="C16:E16"/>
    <mergeCell ref="C17:E17"/>
    <mergeCell ref="C14:E14"/>
    <mergeCell ref="C15:E15"/>
    <mergeCell ref="A1:E1"/>
    <mergeCell ref="A4:E4"/>
    <mergeCell ref="A5:E6"/>
    <mergeCell ref="C9:E9"/>
    <mergeCell ref="C10:E10"/>
    <mergeCell ref="J31:L31"/>
    <mergeCell ref="B43:E43"/>
    <mergeCell ref="A25:L25"/>
    <mergeCell ref="A35:E35"/>
    <mergeCell ref="A21:A22"/>
    <mergeCell ref="B21:E22"/>
    <mergeCell ref="B42:E42"/>
    <mergeCell ref="B41:E41"/>
    <mergeCell ref="B39:E39"/>
    <mergeCell ref="B40:E40"/>
    <mergeCell ref="B37:E37"/>
    <mergeCell ref="B38:E38"/>
    <mergeCell ref="B36:E36"/>
    <mergeCell ref="J28:L28"/>
    <mergeCell ref="J29:L29"/>
    <mergeCell ref="J30:L30"/>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cje7H79OrDYydWwLRiA0IQRqwvyK5ArhRsmLeJ35K3y53ovaw2HAvvEOmuERubcxgFl3N4VI4ZQXWxEzSHHPDg==" saltValue="3dgfzQvM5Ymbwn2MkuMu7w=="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D14"/>
  <sheetViews>
    <sheetView workbookViewId="0"/>
  </sheetViews>
  <sheetFormatPr baseColWidth="10" defaultRowHeight="14.5"/>
  <sheetData>
    <row r="1" spans="1:940">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EB1" s="182">
        <v>173</v>
      </c>
      <c r="EC1" s="182">
        <v>173</v>
      </c>
      <c r="ED1" s="182">
        <v>173</v>
      </c>
      <c r="EE1" s="182">
        <v>173</v>
      </c>
      <c r="EF1" s="182">
        <v>173</v>
      </c>
      <c r="EG1" s="182">
        <v>173</v>
      </c>
      <c r="EH1" s="182">
        <v>173</v>
      </c>
      <c r="EI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HE1" s="182">
        <v>173</v>
      </c>
      <c r="HF1" s="182">
        <v>173</v>
      </c>
      <c r="HG1" s="182">
        <v>173</v>
      </c>
      <c r="HH1" s="182">
        <v>173</v>
      </c>
      <c r="HI1" s="182">
        <v>173</v>
      </c>
      <c r="HJ1" s="182">
        <v>173</v>
      </c>
      <c r="HK1" s="182">
        <v>173</v>
      </c>
      <c r="HL1" s="182">
        <v>173</v>
      </c>
      <c r="HM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KG1" s="182">
        <v>173</v>
      </c>
      <c r="KH1" s="182">
        <v>173</v>
      </c>
      <c r="KI1" s="182">
        <v>173</v>
      </c>
      <c r="KJ1" s="182">
        <v>173</v>
      </c>
      <c r="KK1" s="182">
        <v>173</v>
      </c>
      <c r="KL1" s="182">
        <v>173</v>
      </c>
      <c r="KM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I1" s="182">
        <v>173</v>
      </c>
      <c r="NJ1" s="182">
        <v>173</v>
      </c>
      <c r="NK1" s="182">
        <v>173</v>
      </c>
      <c r="NL1" s="182">
        <v>173</v>
      </c>
      <c r="NM1" s="182">
        <v>173</v>
      </c>
      <c r="NN1" s="182">
        <v>173</v>
      </c>
      <c r="NO1" s="182">
        <v>173</v>
      </c>
      <c r="NP1" s="182">
        <v>173</v>
      </c>
      <c r="NQ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QM1" s="182">
        <v>173</v>
      </c>
      <c r="QN1" s="182">
        <v>173</v>
      </c>
      <c r="QO1" s="182">
        <v>173</v>
      </c>
      <c r="QP1" s="182">
        <v>173</v>
      </c>
      <c r="QQ1" s="182">
        <v>173</v>
      </c>
      <c r="QR1" s="182">
        <v>173</v>
      </c>
      <c r="QS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TO1" s="182">
        <v>173</v>
      </c>
      <c r="TP1" s="182">
        <v>173</v>
      </c>
      <c r="TQ1" s="182">
        <v>173</v>
      </c>
      <c r="TR1" s="182">
        <v>173</v>
      </c>
      <c r="TS1" s="182">
        <v>173</v>
      </c>
      <c r="TT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WQ1" s="182">
        <v>173</v>
      </c>
      <c r="WR1" s="182">
        <v>173</v>
      </c>
      <c r="WS1" s="182">
        <v>173</v>
      </c>
      <c r="WT1" s="182">
        <v>173</v>
      </c>
      <c r="WU1" s="182">
        <v>173</v>
      </c>
      <c r="WV1" s="182">
        <v>173</v>
      </c>
      <c r="WW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ZS1" s="182">
        <v>173</v>
      </c>
      <c r="ZT1" s="182">
        <v>173</v>
      </c>
      <c r="ZU1" s="182">
        <v>173</v>
      </c>
      <c r="ZV1" s="182">
        <v>173</v>
      </c>
      <c r="ZW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CU1" s="182">
        <v>173</v>
      </c>
      <c r="ACV1" s="182">
        <v>173</v>
      </c>
      <c r="ACW1" s="182">
        <v>173</v>
      </c>
      <c r="ACX1" s="182">
        <v>173</v>
      </c>
      <c r="ACY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FW1" s="182">
        <v>173</v>
      </c>
      <c r="AFX1" s="182">
        <v>173</v>
      </c>
      <c r="AFY1" s="182">
        <v>173</v>
      </c>
      <c r="AFZ1" s="182">
        <v>173</v>
      </c>
      <c r="AGA1" s="182">
        <v>173</v>
      </c>
      <c r="AGB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c r="AIY1" s="182">
        <v>173</v>
      </c>
      <c r="AIZ1" s="182">
        <v>173</v>
      </c>
      <c r="AJA1" s="182">
        <v>173</v>
      </c>
      <c r="AJB1" s="182">
        <v>173</v>
      </c>
      <c r="AJC1" s="182">
        <v>173</v>
      </c>
      <c r="AJD1" s="182">
        <v>173</v>
      </c>
    </row>
    <row r="2" spans="1:940">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EB2" s="182">
        <v>151.38</v>
      </c>
      <c r="EC2" s="182">
        <v>151.38</v>
      </c>
      <c r="ED2" s="182">
        <v>151.38</v>
      </c>
      <c r="EE2" s="182">
        <v>151.38</v>
      </c>
      <c r="EF2" s="182">
        <v>151.38</v>
      </c>
      <c r="EG2" s="182">
        <v>151.38</v>
      </c>
      <c r="EH2" s="182">
        <v>151.38</v>
      </c>
      <c r="EI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HE2" s="182">
        <v>151.38</v>
      </c>
      <c r="HF2" s="182">
        <v>151.38</v>
      </c>
      <c r="HG2" s="182">
        <v>151.38</v>
      </c>
      <c r="HH2" s="182">
        <v>151.38</v>
      </c>
      <c r="HI2" s="182">
        <v>151.38</v>
      </c>
      <c r="HJ2" s="182">
        <v>151.38</v>
      </c>
      <c r="HK2" s="182">
        <v>151.38</v>
      </c>
      <c r="HL2" s="182">
        <v>151.38</v>
      </c>
      <c r="HM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KG2" s="182">
        <v>151.38</v>
      </c>
      <c r="KH2" s="182">
        <v>151.38</v>
      </c>
      <c r="KI2" s="182">
        <v>151.38</v>
      </c>
      <c r="KJ2" s="182">
        <v>151.38</v>
      </c>
      <c r="KK2" s="182">
        <v>151.38</v>
      </c>
      <c r="KL2" s="182">
        <v>151.38</v>
      </c>
      <c r="KM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I2" s="182">
        <v>151.38</v>
      </c>
      <c r="NJ2" s="182">
        <v>151.38</v>
      </c>
      <c r="NK2" s="182">
        <v>151.38</v>
      </c>
      <c r="NL2" s="182">
        <v>151.38</v>
      </c>
      <c r="NM2" s="182">
        <v>151.38</v>
      </c>
      <c r="NN2" s="182">
        <v>151.38</v>
      </c>
      <c r="NO2" s="182">
        <v>151.38</v>
      </c>
      <c r="NP2" s="182">
        <v>151.38</v>
      </c>
      <c r="NQ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QM2" s="182">
        <v>151.38</v>
      </c>
      <c r="QN2" s="182">
        <v>151.38</v>
      </c>
      <c r="QO2" s="182">
        <v>151.38</v>
      </c>
      <c r="QP2" s="182">
        <v>151.38</v>
      </c>
      <c r="QQ2" s="182">
        <v>151.38</v>
      </c>
      <c r="QR2" s="182">
        <v>151.38</v>
      </c>
      <c r="QS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TO2" s="182">
        <v>151.38</v>
      </c>
      <c r="TP2" s="182">
        <v>151.38</v>
      </c>
      <c r="TQ2" s="182">
        <v>151.38</v>
      </c>
      <c r="TR2" s="182">
        <v>151.38</v>
      </c>
      <c r="TS2" s="182">
        <v>151.38</v>
      </c>
      <c r="TT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WQ2" s="182">
        <v>151.38</v>
      </c>
      <c r="WR2" s="182">
        <v>151.38</v>
      </c>
      <c r="WS2" s="182">
        <v>151.38</v>
      </c>
      <c r="WT2" s="182">
        <v>151.38</v>
      </c>
      <c r="WU2" s="182">
        <v>151.38</v>
      </c>
      <c r="WV2" s="182">
        <v>151.38</v>
      </c>
      <c r="WW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ZS2" s="182">
        <v>151.38</v>
      </c>
      <c r="ZT2" s="182">
        <v>151.38</v>
      </c>
      <c r="ZU2" s="182">
        <v>151.38</v>
      </c>
      <c r="ZV2" s="182">
        <v>151.38</v>
      </c>
      <c r="ZW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CU2" s="182">
        <v>151.38</v>
      </c>
      <c r="ACV2" s="182">
        <v>151.38</v>
      </c>
      <c r="ACW2" s="182">
        <v>151.38</v>
      </c>
      <c r="ACX2" s="182">
        <v>151.38</v>
      </c>
      <c r="ACY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FW2" s="182">
        <v>151.38</v>
      </c>
      <c r="AFX2" s="182">
        <v>151.38</v>
      </c>
      <c r="AFY2" s="182">
        <v>151.38</v>
      </c>
      <c r="AFZ2" s="182">
        <v>151.38</v>
      </c>
      <c r="AGA2" s="182">
        <v>151.38</v>
      </c>
      <c r="AGB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c r="AIY2" s="182">
        <v>151.38</v>
      </c>
      <c r="AIZ2" s="182">
        <v>151.38</v>
      </c>
      <c r="AJA2" s="182">
        <v>151.38</v>
      </c>
      <c r="AJB2" s="182">
        <v>151.38</v>
      </c>
      <c r="AJC2" s="182">
        <v>151.38</v>
      </c>
      <c r="AJD2" s="182">
        <v>151.38</v>
      </c>
    </row>
    <row r="3" spans="1:940">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EB3" s="182">
        <v>138.4</v>
      </c>
      <c r="EC3" s="182">
        <v>138.4</v>
      </c>
      <c r="ED3" s="182">
        <v>138.4</v>
      </c>
      <c r="EE3" s="182">
        <v>138.4</v>
      </c>
      <c r="EF3" s="182">
        <v>138.4</v>
      </c>
      <c r="EG3" s="182">
        <v>138.4</v>
      </c>
      <c r="EH3" s="182">
        <v>138.4</v>
      </c>
      <c r="EI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HE3" s="182">
        <v>138.4</v>
      </c>
      <c r="HF3" s="182">
        <v>138.4</v>
      </c>
      <c r="HG3" s="182">
        <v>138.4</v>
      </c>
      <c r="HH3" s="182">
        <v>138.4</v>
      </c>
      <c r="HI3" s="182">
        <v>138.4</v>
      </c>
      <c r="HJ3" s="182">
        <v>138.4</v>
      </c>
      <c r="HK3" s="182">
        <v>138.4</v>
      </c>
      <c r="HL3" s="182">
        <v>138.4</v>
      </c>
      <c r="HM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KG3" s="182">
        <v>138.4</v>
      </c>
      <c r="KH3" s="182">
        <v>138.4</v>
      </c>
      <c r="KI3" s="182">
        <v>138.4</v>
      </c>
      <c r="KJ3" s="182">
        <v>138.4</v>
      </c>
      <c r="KK3" s="182">
        <v>138.4</v>
      </c>
      <c r="KL3" s="182">
        <v>138.4</v>
      </c>
      <c r="KM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I3" s="182">
        <v>138.4</v>
      </c>
      <c r="NJ3" s="182">
        <v>138.4</v>
      </c>
      <c r="NK3" s="182">
        <v>138.4</v>
      </c>
      <c r="NL3" s="182">
        <v>138.4</v>
      </c>
      <c r="NM3" s="182">
        <v>138.4</v>
      </c>
      <c r="NN3" s="182">
        <v>138.4</v>
      </c>
      <c r="NO3" s="182">
        <v>138.4</v>
      </c>
      <c r="NP3" s="182">
        <v>138.4</v>
      </c>
      <c r="NQ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QM3" s="182">
        <v>138.4</v>
      </c>
      <c r="QN3" s="182">
        <v>138.4</v>
      </c>
      <c r="QO3" s="182">
        <v>138.4</v>
      </c>
      <c r="QP3" s="182">
        <v>138.4</v>
      </c>
      <c r="QQ3" s="182">
        <v>138.4</v>
      </c>
      <c r="QR3" s="182">
        <v>138.4</v>
      </c>
      <c r="QS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TO3" s="182">
        <v>138.4</v>
      </c>
      <c r="TP3" s="182">
        <v>138.4</v>
      </c>
      <c r="TQ3" s="182">
        <v>138.4</v>
      </c>
      <c r="TR3" s="182">
        <v>138.4</v>
      </c>
      <c r="TS3" s="182">
        <v>138.4</v>
      </c>
      <c r="TT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WQ3" s="182">
        <v>138.4</v>
      </c>
      <c r="WR3" s="182">
        <v>138.4</v>
      </c>
      <c r="WS3" s="182">
        <v>138.4</v>
      </c>
      <c r="WT3" s="182">
        <v>138.4</v>
      </c>
      <c r="WU3" s="182">
        <v>138.4</v>
      </c>
      <c r="WV3" s="182">
        <v>138.4</v>
      </c>
      <c r="WW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ZS3" s="182">
        <v>138.4</v>
      </c>
      <c r="ZT3" s="182">
        <v>138.4</v>
      </c>
      <c r="ZU3" s="182">
        <v>138.4</v>
      </c>
      <c r="ZV3" s="182">
        <v>138.4</v>
      </c>
      <c r="ZW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CU3" s="182">
        <v>138.4</v>
      </c>
      <c r="ACV3" s="182">
        <v>138.4</v>
      </c>
      <c r="ACW3" s="182">
        <v>138.4</v>
      </c>
      <c r="ACX3" s="182">
        <v>138.4</v>
      </c>
      <c r="ACY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FW3" s="182">
        <v>138.4</v>
      </c>
      <c r="AFX3" s="182">
        <v>138.4</v>
      </c>
      <c r="AFY3" s="182">
        <v>138.4</v>
      </c>
      <c r="AFZ3" s="182">
        <v>138.4</v>
      </c>
      <c r="AGA3" s="182">
        <v>138.4</v>
      </c>
      <c r="AGB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c r="AIY3" s="182">
        <v>138.4</v>
      </c>
      <c r="AIZ3" s="182">
        <v>138.4</v>
      </c>
      <c r="AJA3" s="182">
        <v>138.4</v>
      </c>
      <c r="AJB3" s="182">
        <v>138.4</v>
      </c>
      <c r="AJC3" s="182">
        <v>138.4</v>
      </c>
      <c r="AJD3" s="182">
        <v>138.4</v>
      </c>
    </row>
    <row r="4" spans="1:940">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EB4" s="182">
        <v>129.75</v>
      </c>
      <c r="EC4" s="182">
        <v>129.75</v>
      </c>
      <c r="ED4" s="182">
        <v>129.75</v>
      </c>
      <c r="EE4" s="182">
        <v>129.75</v>
      </c>
      <c r="EF4" s="182">
        <v>129.75</v>
      </c>
      <c r="EG4" s="182">
        <v>129.75</v>
      </c>
      <c r="EH4" s="182">
        <v>129.75</v>
      </c>
      <c r="EI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HE4" s="182">
        <v>129.75</v>
      </c>
      <c r="HF4" s="182">
        <v>129.75</v>
      </c>
      <c r="HG4" s="182">
        <v>129.75</v>
      </c>
      <c r="HH4" s="182">
        <v>129.75</v>
      </c>
      <c r="HI4" s="182">
        <v>129.75</v>
      </c>
      <c r="HJ4" s="182">
        <v>129.75</v>
      </c>
      <c r="HK4" s="182">
        <v>129.75</v>
      </c>
      <c r="HL4" s="182">
        <v>129.75</v>
      </c>
      <c r="HM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KG4" s="182">
        <v>129.75</v>
      </c>
      <c r="KH4" s="182">
        <v>129.75</v>
      </c>
      <c r="KI4" s="182">
        <v>129.75</v>
      </c>
      <c r="KJ4" s="182">
        <v>129.75</v>
      </c>
      <c r="KK4" s="182">
        <v>129.75</v>
      </c>
      <c r="KL4" s="182">
        <v>129.75</v>
      </c>
      <c r="KM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I4" s="182">
        <v>129.75</v>
      </c>
      <c r="NJ4" s="182">
        <v>129.75</v>
      </c>
      <c r="NK4" s="182">
        <v>129.75</v>
      </c>
      <c r="NL4" s="182">
        <v>129.75</v>
      </c>
      <c r="NM4" s="182">
        <v>129.75</v>
      </c>
      <c r="NN4" s="182">
        <v>129.75</v>
      </c>
      <c r="NO4" s="182">
        <v>129.75</v>
      </c>
      <c r="NP4" s="182">
        <v>129.75</v>
      </c>
      <c r="NQ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QM4" s="182">
        <v>129.75</v>
      </c>
      <c r="QN4" s="182">
        <v>129.75</v>
      </c>
      <c r="QO4" s="182">
        <v>129.75</v>
      </c>
      <c r="QP4" s="182">
        <v>129.75</v>
      </c>
      <c r="QQ4" s="182">
        <v>129.75</v>
      </c>
      <c r="QR4" s="182">
        <v>129.75</v>
      </c>
      <c r="QS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TO4" s="182">
        <v>129.75</v>
      </c>
      <c r="TP4" s="182">
        <v>129.75</v>
      </c>
      <c r="TQ4" s="182">
        <v>129.75</v>
      </c>
      <c r="TR4" s="182">
        <v>129.75</v>
      </c>
      <c r="TS4" s="182">
        <v>129.75</v>
      </c>
      <c r="TT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WQ4" s="182">
        <v>129.75</v>
      </c>
      <c r="WR4" s="182">
        <v>129.75</v>
      </c>
      <c r="WS4" s="182">
        <v>129.75</v>
      </c>
      <c r="WT4" s="182">
        <v>129.75</v>
      </c>
      <c r="WU4" s="182">
        <v>129.75</v>
      </c>
      <c r="WV4" s="182">
        <v>129.75</v>
      </c>
      <c r="WW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ZS4" s="182">
        <v>129.75</v>
      </c>
      <c r="ZT4" s="182">
        <v>129.75</v>
      </c>
      <c r="ZU4" s="182">
        <v>129.75</v>
      </c>
      <c r="ZV4" s="182">
        <v>129.75</v>
      </c>
      <c r="ZW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CU4" s="182">
        <v>129.75</v>
      </c>
      <c r="ACV4" s="182">
        <v>129.75</v>
      </c>
      <c r="ACW4" s="182">
        <v>129.75</v>
      </c>
      <c r="ACX4" s="182">
        <v>129.75</v>
      </c>
      <c r="ACY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FW4" s="182">
        <v>129.75</v>
      </c>
      <c r="AFX4" s="182">
        <v>129.75</v>
      </c>
      <c r="AFY4" s="182">
        <v>129.75</v>
      </c>
      <c r="AFZ4" s="182">
        <v>129.75</v>
      </c>
      <c r="AGA4" s="182">
        <v>129.75</v>
      </c>
      <c r="AGB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c r="AIY4" s="182">
        <v>129.75</v>
      </c>
      <c r="AIZ4" s="182">
        <v>129.75</v>
      </c>
      <c r="AJA4" s="182">
        <v>129.75</v>
      </c>
      <c r="AJB4" s="182">
        <v>129.75</v>
      </c>
      <c r="AJC4" s="182">
        <v>129.75</v>
      </c>
      <c r="AJD4" s="182">
        <v>129.75</v>
      </c>
    </row>
    <row r="5" spans="1:940">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EB5" s="182">
        <v>108.13</v>
      </c>
      <c r="EC5" s="182">
        <v>108.13</v>
      </c>
      <c r="ED5" s="182">
        <v>108.13</v>
      </c>
      <c r="EE5" s="182">
        <v>108.13</v>
      </c>
      <c r="EF5" s="182">
        <v>108.13</v>
      </c>
      <c r="EG5" s="182">
        <v>108.13</v>
      </c>
      <c r="EH5" s="182">
        <v>108.13</v>
      </c>
      <c r="EI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HE5" s="182">
        <v>108.13</v>
      </c>
      <c r="HF5" s="182">
        <v>108.13</v>
      </c>
      <c r="HG5" s="182">
        <v>108.13</v>
      </c>
      <c r="HH5" s="182">
        <v>108.13</v>
      </c>
      <c r="HI5" s="182">
        <v>108.13</v>
      </c>
      <c r="HJ5" s="182">
        <v>108.13</v>
      </c>
      <c r="HK5" s="182">
        <v>108.13</v>
      </c>
      <c r="HL5" s="182">
        <v>108.13</v>
      </c>
      <c r="HM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KG5" s="182">
        <v>108.13</v>
      </c>
      <c r="KH5" s="182">
        <v>108.13</v>
      </c>
      <c r="KI5" s="182">
        <v>108.13</v>
      </c>
      <c r="KJ5" s="182">
        <v>108.13</v>
      </c>
      <c r="KK5" s="182">
        <v>108.13</v>
      </c>
      <c r="KL5" s="182">
        <v>108.13</v>
      </c>
      <c r="KM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I5" s="182">
        <v>108.13</v>
      </c>
      <c r="NJ5" s="182">
        <v>108.13</v>
      </c>
      <c r="NK5" s="182">
        <v>108.13</v>
      </c>
      <c r="NL5" s="182">
        <v>108.13</v>
      </c>
      <c r="NM5" s="182">
        <v>108.13</v>
      </c>
      <c r="NN5" s="182">
        <v>108.13</v>
      </c>
      <c r="NO5" s="182">
        <v>108.13</v>
      </c>
      <c r="NP5" s="182">
        <v>108.13</v>
      </c>
      <c r="NQ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QM5" s="182">
        <v>108.13</v>
      </c>
      <c r="QN5" s="182">
        <v>108.13</v>
      </c>
      <c r="QO5" s="182">
        <v>108.13</v>
      </c>
      <c r="QP5" s="182">
        <v>108.13</v>
      </c>
      <c r="QQ5" s="182">
        <v>108.13</v>
      </c>
      <c r="QR5" s="182">
        <v>108.13</v>
      </c>
      <c r="QS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TO5" s="182">
        <v>108.13</v>
      </c>
      <c r="TP5" s="182">
        <v>108.13</v>
      </c>
      <c r="TQ5" s="182">
        <v>108.13</v>
      </c>
      <c r="TR5" s="182">
        <v>108.13</v>
      </c>
      <c r="TS5" s="182">
        <v>108.13</v>
      </c>
      <c r="TT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WQ5" s="182">
        <v>108.13</v>
      </c>
      <c r="WR5" s="182">
        <v>108.13</v>
      </c>
      <c r="WS5" s="182">
        <v>108.13</v>
      </c>
      <c r="WT5" s="182">
        <v>108.13</v>
      </c>
      <c r="WU5" s="182">
        <v>108.13</v>
      </c>
      <c r="WV5" s="182">
        <v>108.13</v>
      </c>
      <c r="WW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ZS5" s="182">
        <v>108.13</v>
      </c>
      <c r="ZT5" s="182">
        <v>108.13</v>
      </c>
      <c r="ZU5" s="182">
        <v>108.13</v>
      </c>
      <c r="ZV5" s="182">
        <v>108.13</v>
      </c>
      <c r="ZW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CU5" s="182">
        <v>108.13</v>
      </c>
      <c r="ACV5" s="182">
        <v>108.13</v>
      </c>
      <c r="ACW5" s="182">
        <v>108.13</v>
      </c>
      <c r="ACX5" s="182">
        <v>108.13</v>
      </c>
      <c r="ACY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FW5" s="182">
        <v>108.13</v>
      </c>
      <c r="AFX5" s="182">
        <v>108.13</v>
      </c>
      <c r="AFY5" s="182">
        <v>108.13</v>
      </c>
      <c r="AFZ5" s="182">
        <v>108.13</v>
      </c>
      <c r="AGA5" s="182">
        <v>108.13</v>
      </c>
      <c r="AGB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c r="AIY5" s="182">
        <v>108.13</v>
      </c>
      <c r="AIZ5" s="182">
        <v>108.13</v>
      </c>
      <c r="AJA5" s="182">
        <v>108.13</v>
      </c>
      <c r="AJB5" s="182">
        <v>108.13</v>
      </c>
      <c r="AJC5" s="182">
        <v>108.13</v>
      </c>
      <c r="AJD5" s="182">
        <v>108.13</v>
      </c>
    </row>
    <row r="6" spans="1:940">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EB6" s="182">
        <v>103.8</v>
      </c>
      <c r="EC6" s="182">
        <v>103.8</v>
      </c>
      <c r="ED6" s="182">
        <v>103.8</v>
      </c>
      <c r="EE6" s="182">
        <v>103.8</v>
      </c>
      <c r="EF6" s="182">
        <v>103.8</v>
      </c>
      <c r="EG6" s="182">
        <v>103.8</v>
      </c>
      <c r="EH6" s="182">
        <v>103.8</v>
      </c>
      <c r="EI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HE6" s="182">
        <v>103.8</v>
      </c>
      <c r="HF6" s="182">
        <v>103.8</v>
      </c>
      <c r="HG6" s="182">
        <v>103.8</v>
      </c>
      <c r="HH6" s="182">
        <v>103.8</v>
      </c>
      <c r="HI6" s="182">
        <v>103.8</v>
      </c>
      <c r="HJ6" s="182">
        <v>103.8</v>
      </c>
      <c r="HK6" s="182">
        <v>103.8</v>
      </c>
      <c r="HL6" s="182">
        <v>103.8</v>
      </c>
      <c r="HM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KG6" s="182">
        <v>103.8</v>
      </c>
      <c r="KH6" s="182">
        <v>103.8</v>
      </c>
      <c r="KI6" s="182">
        <v>103.8</v>
      </c>
      <c r="KJ6" s="182">
        <v>103.8</v>
      </c>
      <c r="KK6" s="182">
        <v>103.8</v>
      </c>
      <c r="KL6" s="182">
        <v>103.8</v>
      </c>
      <c r="KM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I6" s="182">
        <v>103.8</v>
      </c>
      <c r="NJ6" s="182">
        <v>103.8</v>
      </c>
      <c r="NK6" s="182">
        <v>103.8</v>
      </c>
      <c r="NL6" s="182">
        <v>103.8</v>
      </c>
      <c r="NM6" s="182">
        <v>103.8</v>
      </c>
      <c r="NN6" s="182">
        <v>103.8</v>
      </c>
      <c r="NO6" s="182">
        <v>103.8</v>
      </c>
      <c r="NP6" s="182">
        <v>103.8</v>
      </c>
      <c r="NQ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QM6" s="182">
        <v>103.8</v>
      </c>
      <c r="QN6" s="182">
        <v>103.8</v>
      </c>
      <c r="QO6" s="182">
        <v>103.8</v>
      </c>
      <c r="QP6" s="182">
        <v>103.8</v>
      </c>
      <c r="QQ6" s="182">
        <v>103.8</v>
      </c>
      <c r="QR6" s="182">
        <v>103.8</v>
      </c>
      <c r="QS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TO6" s="182">
        <v>103.8</v>
      </c>
      <c r="TP6" s="182">
        <v>103.8</v>
      </c>
      <c r="TQ6" s="182">
        <v>103.8</v>
      </c>
      <c r="TR6" s="182">
        <v>103.8</v>
      </c>
      <c r="TS6" s="182">
        <v>103.8</v>
      </c>
      <c r="TT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WQ6" s="182">
        <v>103.8</v>
      </c>
      <c r="WR6" s="182">
        <v>103.8</v>
      </c>
      <c r="WS6" s="182">
        <v>103.8</v>
      </c>
      <c r="WT6" s="182">
        <v>103.8</v>
      </c>
      <c r="WU6" s="182">
        <v>103.8</v>
      </c>
      <c r="WV6" s="182">
        <v>103.8</v>
      </c>
      <c r="WW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ZS6" s="182">
        <v>103.8</v>
      </c>
      <c r="ZT6" s="182">
        <v>103.8</v>
      </c>
      <c r="ZU6" s="182">
        <v>103.8</v>
      </c>
      <c r="ZV6" s="182">
        <v>103.8</v>
      </c>
      <c r="ZW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CU6" s="182">
        <v>103.8</v>
      </c>
      <c r="ACV6" s="182">
        <v>103.8</v>
      </c>
      <c r="ACW6" s="182">
        <v>103.8</v>
      </c>
      <c r="ACX6" s="182">
        <v>103.8</v>
      </c>
      <c r="ACY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FW6" s="182">
        <v>103.8</v>
      </c>
      <c r="AFX6" s="182">
        <v>103.8</v>
      </c>
      <c r="AFY6" s="182">
        <v>103.8</v>
      </c>
      <c r="AFZ6" s="182">
        <v>103.8</v>
      </c>
      <c r="AGA6" s="182">
        <v>103.8</v>
      </c>
      <c r="AGB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c r="AIY6" s="182">
        <v>103.8</v>
      </c>
      <c r="AIZ6" s="182">
        <v>103.8</v>
      </c>
      <c r="AJA6" s="182">
        <v>103.8</v>
      </c>
      <c r="AJB6" s="182">
        <v>103.8</v>
      </c>
      <c r="AJC6" s="182">
        <v>103.8</v>
      </c>
      <c r="AJD6" s="182">
        <v>103.8</v>
      </c>
    </row>
    <row r="7" spans="1:940">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EB7" s="182">
        <v>86.5</v>
      </c>
      <c r="EC7" s="182">
        <v>86.5</v>
      </c>
      <c r="ED7" s="182">
        <v>86.5</v>
      </c>
      <c r="EE7" s="182">
        <v>86.5</v>
      </c>
      <c r="EF7" s="182">
        <v>86.5</v>
      </c>
      <c r="EG7" s="182">
        <v>86.5</v>
      </c>
      <c r="EH7" s="182">
        <v>86.5</v>
      </c>
      <c r="EI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HE7" s="182">
        <v>86.5</v>
      </c>
      <c r="HF7" s="182">
        <v>86.5</v>
      </c>
      <c r="HG7" s="182">
        <v>86.5</v>
      </c>
      <c r="HH7" s="182">
        <v>86.5</v>
      </c>
      <c r="HI7" s="182">
        <v>86.5</v>
      </c>
      <c r="HJ7" s="182">
        <v>86.5</v>
      </c>
      <c r="HK7" s="182">
        <v>86.5</v>
      </c>
      <c r="HL7" s="182">
        <v>86.5</v>
      </c>
      <c r="HM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KG7" s="182">
        <v>86.5</v>
      </c>
      <c r="KH7" s="182">
        <v>86.5</v>
      </c>
      <c r="KI7" s="182">
        <v>86.5</v>
      </c>
      <c r="KJ7" s="182">
        <v>86.5</v>
      </c>
      <c r="KK7" s="182">
        <v>86.5</v>
      </c>
      <c r="KL7" s="182">
        <v>86.5</v>
      </c>
      <c r="KM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I7" s="182">
        <v>86.5</v>
      </c>
      <c r="NJ7" s="182">
        <v>86.5</v>
      </c>
      <c r="NK7" s="182">
        <v>86.5</v>
      </c>
      <c r="NL7" s="182">
        <v>86.5</v>
      </c>
      <c r="NM7" s="182">
        <v>86.5</v>
      </c>
      <c r="NN7" s="182">
        <v>86.5</v>
      </c>
      <c r="NO7" s="182">
        <v>86.5</v>
      </c>
      <c r="NP7" s="182">
        <v>86.5</v>
      </c>
      <c r="NQ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QM7" s="182">
        <v>86.5</v>
      </c>
      <c r="QN7" s="182">
        <v>86.5</v>
      </c>
      <c r="QO7" s="182">
        <v>86.5</v>
      </c>
      <c r="QP7" s="182">
        <v>86.5</v>
      </c>
      <c r="QQ7" s="182">
        <v>86.5</v>
      </c>
      <c r="QR7" s="182">
        <v>86.5</v>
      </c>
      <c r="QS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TO7" s="182">
        <v>86.5</v>
      </c>
      <c r="TP7" s="182">
        <v>86.5</v>
      </c>
      <c r="TQ7" s="182">
        <v>86.5</v>
      </c>
      <c r="TR7" s="182">
        <v>86.5</v>
      </c>
      <c r="TS7" s="182">
        <v>86.5</v>
      </c>
      <c r="TT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WQ7" s="182">
        <v>86.5</v>
      </c>
      <c r="WR7" s="182">
        <v>86.5</v>
      </c>
      <c r="WS7" s="182">
        <v>86.5</v>
      </c>
      <c r="WT7" s="182">
        <v>86.5</v>
      </c>
      <c r="WU7" s="182">
        <v>86.5</v>
      </c>
      <c r="WV7" s="182">
        <v>86.5</v>
      </c>
      <c r="WW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ZS7" s="182">
        <v>86.5</v>
      </c>
      <c r="ZT7" s="182">
        <v>86.5</v>
      </c>
      <c r="ZU7" s="182">
        <v>86.5</v>
      </c>
      <c r="ZV7" s="182">
        <v>86.5</v>
      </c>
      <c r="ZW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CU7" s="182">
        <v>86.5</v>
      </c>
      <c r="ACV7" s="182">
        <v>86.5</v>
      </c>
      <c r="ACW7" s="182">
        <v>86.5</v>
      </c>
      <c r="ACX7" s="182">
        <v>86.5</v>
      </c>
      <c r="ACY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FW7" s="182">
        <v>86.5</v>
      </c>
      <c r="AFX7" s="182">
        <v>86.5</v>
      </c>
      <c r="AFY7" s="182">
        <v>86.5</v>
      </c>
      <c r="AFZ7" s="182">
        <v>86.5</v>
      </c>
      <c r="AGA7" s="182">
        <v>86.5</v>
      </c>
      <c r="AGB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c r="AIY7" s="182">
        <v>86.5</v>
      </c>
      <c r="AIZ7" s="182">
        <v>86.5</v>
      </c>
      <c r="AJA7" s="182">
        <v>86.5</v>
      </c>
      <c r="AJB7" s="182">
        <v>86.5</v>
      </c>
      <c r="AJC7" s="182">
        <v>86.5</v>
      </c>
      <c r="AJD7" s="182">
        <v>86.5</v>
      </c>
    </row>
    <row r="8" spans="1:940">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EB8" s="182">
        <v>69.2</v>
      </c>
      <c r="EC8" s="182">
        <v>69.2</v>
      </c>
      <c r="ED8" s="182">
        <v>69.2</v>
      </c>
      <c r="EE8" s="182">
        <v>69.2</v>
      </c>
      <c r="EF8" s="182">
        <v>69.2</v>
      </c>
      <c r="EG8" s="182">
        <v>69.2</v>
      </c>
      <c r="EH8" s="182">
        <v>69.2</v>
      </c>
      <c r="EI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HE8" s="182">
        <v>69.2</v>
      </c>
      <c r="HF8" s="182">
        <v>69.2</v>
      </c>
      <c r="HG8" s="182">
        <v>69.2</v>
      </c>
      <c r="HH8" s="182">
        <v>69.2</v>
      </c>
      <c r="HI8" s="182">
        <v>69.2</v>
      </c>
      <c r="HJ8" s="182">
        <v>69.2</v>
      </c>
      <c r="HK8" s="182">
        <v>69.2</v>
      </c>
      <c r="HL8" s="182">
        <v>69.2</v>
      </c>
      <c r="HM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KG8" s="182">
        <v>69.2</v>
      </c>
      <c r="KH8" s="182">
        <v>69.2</v>
      </c>
      <c r="KI8" s="182">
        <v>69.2</v>
      </c>
      <c r="KJ8" s="182">
        <v>69.2</v>
      </c>
      <c r="KK8" s="182">
        <v>69.2</v>
      </c>
      <c r="KL8" s="182">
        <v>69.2</v>
      </c>
      <c r="KM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I8" s="182">
        <v>69.2</v>
      </c>
      <c r="NJ8" s="182">
        <v>69.2</v>
      </c>
      <c r="NK8" s="182">
        <v>69.2</v>
      </c>
      <c r="NL8" s="182">
        <v>69.2</v>
      </c>
      <c r="NM8" s="182">
        <v>69.2</v>
      </c>
      <c r="NN8" s="182">
        <v>69.2</v>
      </c>
      <c r="NO8" s="182">
        <v>69.2</v>
      </c>
      <c r="NP8" s="182">
        <v>69.2</v>
      </c>
      <c r="NQ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QM8" s="182">
        <v>69.2</v>
      </c>
      <c r="QN8" s="182">
        <v>69.2</v>
      </c>
      <c r="QO8" s="182">
        <v>69.2</v>
      </c>
      <c r="QP8" s="182">
        <v>69.2</v>
      </c>
      <c r="QQ8" s="182">
        <v>69.2</v>
      </c>
      <c r="QR8" s="182">
        <v>69.2</v>
      </c>
      <c r="QS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TO8" s="182">
        <v>69.2</v>
      </c>
      <c r="TP8" s="182">
        <v>69.2</v>
      </c>
      <c r="TQ8" s="182">
        <v>69.2</v>
      </c>
      <c r="TR8" s="182">
        <v>69.2</v>
      </c>
      <c r="TS8" s="182">
        <v>69.2</v>
      </c>
      <c r="TT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WQ8" s="182">
        <v>69.2</v>
      </c>
      <c r="WR8" s="182">
        <v>69.2</v>
      </c>
      <c r="WS8" s="182">
        <v>69.2</v>
      </c>
      <c r="WT8" s="182">
        <v>69.2</v>
      </c>
      <c r="WU8" s="182">
        <v>69.2</v>
      </c>
      <c r="WV8" s="182">
        <v>69.2</v>
      </c>
      <c r="WW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ZS8" s="182">
        <v>69.2</v>
      </c>
      <c r="ZT8" s="182">
        <v>69.2</v>
      </c>
      <c r="ZU8" s="182">
        <v>69.2</v>
      </c>
      <c r="ZV8" s="182">
        <v>69.2</v>
      </c>
      <c r="ZW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CU8" s="182">
        <v>69.2</v>
      </c>
      <c r="ACV8" s="182">
        <v>69.2</v>
      </c>
      <c r="ACW8" s="182">
        <v>69.2</v>
      </c>
      <c r="ACX8" s="182">
        <v>69.2</v>
      </c>
      <c r="ACY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FW8" s="182">
        <v>69.2</v>
      </c>
      <c r="AFX8" s="182">
        <v>69.2</v>
      </c>
      <c r="AFY8" s="182">
        <v>69.2</v>
      </c>
      <c r="AFZ8" s="182">
        <v>69.2</v>
      </c>
      <c r="AGA8" s="182">
        <v>69.2</v>
      </c>
      <c r="AGB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c r="AIY8" s="182">
        <v>69.2</v>
      </c>
      <c r="AIZ8" s="182">
        <v>69.2</v>
      </c>
      <c r="AJA8" s="182">
        <v>69.2</v>
      </c>
      <c r="AJB8" s="182">
        <v>69.2</v>
      </c>
      <c r="AJC8" s="182">
        <v>69.2</v>
      </c>
      <c r="AJD8" s="182">
        <v>69.2</v>
      </c>
    </row>
    <row r="9" spans="1:940">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EB9" s="182">
        <v>51.9</v>
      </c>
      <c r="EC9" s="182">
        <v>51.9</v>
      </c>
      <c r="ED9" s="182">
        <v>51.9</v>
      </c>
      <c r="EE9" s="182">
        <v>51.9</v>
      </c>
      <c r="EF9" s="182">
        <v>51.9</v>
      </c>
      <c r="EG9" s="182">
        <v>51.9</v>
      </c>
      <c r="EH9" s="182">
        <v>51.9</v>
      </c>
      <c r="EI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HE9" s="182">
        <v>51.9</v>
      </c>
      <c r="HF9" s="182">
        <v>51.9</v>
      </c>
      <c r="HG9" s="182">
        <v>51.9</v>
      </c>
      <c r="HH9" s="182">
        <v>51.9</v>
      </c>
      <c r="HI9" s="182">
        <v>51.9</v>
      </c>
      <c r="HJ9" s="182">
        <v>51.9</v>
      </c>
      <c r="HK9" s="182">
        <v>51.9</v>
      </c>
      <c r="HL9" s="182">
        <v>51.9</v>
      </c>
      <c r="HM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KG9" s="182">
        <v>51.9</v>
      </c>
      <c r="KH9" s="182">
        <v>51.9</v>
      </c>
      <c r="KI9" s="182">
        <v>51.9</v>
      </c>
      <c r="KJ9" s="182">
        <v>51.9</v>
      </c>
      <c r="KK9" s="182">
        <v>51.9</v>
      </c>
      <c r="KL9" s="182">
        <v>51.9</v>
      </c>
      <c r="KM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I9" s="182">
        <v>51.9</v>
      </c>
      <c r="NJ9" s="182">
        <v>51.9</v>
      </c>
      <c r="NK9" s="182">
        <v>51.9</v>
      </c>
      <c r="NL9" s="182">
        <v>51.9</v>
      </c>
      <c r="NM9" s="182">
        <v>51.9</v>
      </c>
      <c r="NN9" s="182">
        <v>51.9</v>
      </c>
      <c r="NO9" s="182">
        <v>51.9</v>
      </c>
      <c r="NP9" s="182">
        <v>51.9</v>
      </c>
      <c r="NQ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QM9" s="182">
        <v>51.9</v>
      </c>
      <c r="QN9" s="182">
        <v>51.9</v>
      </c>
      <c r="QO9" s="182">
        <v>51.9</v>
      </c>
      <c r="QP9" s="182">
        <v>51.9</v>
      </c>
      <c r="QQ9" s="182">
        <v>51.9</v>
      </c>
      <c r="QR9" s="182">
        <v>51.9</v>
      </c>
      <c r="QS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TO9" s="182">
        <v>51.9</v>
      </c>
      <c r="TP9" s="182">
        <v>51.9</v>
      </c>
      <c r="TQ9" s="182">
        <v>51.9</v>
      </c>
      <c r="TR9" s="182">
        <v>51.9</v>
      </c>
      <c r="TS9" s="182">
        <v>51.9</v>
      </c>
      <c r="TT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WQ9" s="182">
        <v>51.9</v>
      </c>
      <c r="WR9" s="182">
        <v>51.9</v>
      </c>
      <c r="WS9" s="182">
        <v>51.9</v>
      </c>
      <c r="WT9" s="182">
        <v>51.9</v>
      </c>
      <c r="WU9" s="182">
        <v>51.9</v>
      </c>
      <c r="WV9" s="182">
        <v>51.9</v>
      </c>
      <c r="WW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ZS9" s="182">
        <v>51.9</v>
      </c>
      <c r="ZT9" s="182">
        <v>51.9</v>
      </c>
      <c r="ZU9" s="182">
        <v>51.9</v>
      </c>
      <c r="ZV9" s="182">
        <v>51.9</v>
      </c>
      <c r="ZW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CU9" s="182">
        <v>51.9</v>
      </c>
      <c r="ACV9" s="182">
        <v>51.9</v>
      </c>
      <c r="ACW9" s="182">
        <v>51.9</v>
      </c>
      <c r="ACX9" s="182">
        <v>51.9</v>
      </c>
      <c r="ACY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FW9" s="182">
        <v>51.9</v>
      </c>
      <c r="AFX9" s="182">
        <v>51.9</v>
      </c>
      <c r="AFY9" s="182">
        <v>51.9</v>
      </c>
      <c r="AFZ9" s="182">
        <v>51.9</v>
      </c>
      <c r="AGA9" s="182">
        <v>51.9</v>
      </c>
      <c r="AGB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c r="AIY9" s="182">
        <v>51.9</v>
      </c>
      <c r="AIZ9" s="182">
        <v>51.9</v>
      </c>
      <c r="AJA9" s="182">
        <v>51.9</v>
      </c>
      <c r="AJB9" s="182">
        <v>51.9</v>
      </c>
      <c r="AJC9" s="182">
        <v>51.9</v>
      </c>
      <c r="AJD9" s="182">
        <v>51.9</v>
      </c>
    </row>
    <row r="10" spans="1:940">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EB10" s="182">
        <v>47.58</v>
      </c>
      <c r="EC10" s="182">
        <v>47.58</v>
      </c>
      <c r="ED10" s="182">
        <v>47.58</v>
      </c>
      <c r="EE10" s="182">
        <v>47.58</v>
      </c>
      <c r="EF10" s="182">
        <v>47.58</v>
      </c>
      <c r="EG10" s="182">
        <v>47.58</v>
      </c>
      <c r="EH10" s="182">
        <v>47.58</v>
      </c>
      <c r="EI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HE10" s="182">
        <v>47.58</v>
      </c>
      <c r="HF10" s="182">
        <v>47.58</v>
      </c>
      <c r="HG10" s="182">
        <v>47.58</v>
      </c>
      <c r="HH10" s="182">
        <v>47.58</v>
      </c>
      <c r="HI10" s="182">
        <v>47.58</v>
      </c>
      <c r="HJ10" s="182">
        <v>47.58</v>
      </c>
      <c r="HK10" s="182">
        <v>47.58</v>
      </c>
      <c r="HL10" s="182">
        <v>47.58</v>
      </c>
      <c r="HM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KG10" s="182">
        <v>47.58</v>
      </c>
      <c r="KH10" s="182">
        <v>47.58</v>
      </c>
      <c r="KI10" s="182">
        <v>47.58</v>
      </c>
      <c r="KJ10" s="182">
        <v>47.58</v>
      </c>
      <c r="KK10" s="182">
        <v>47.58</v>
      </c>
      <c r="KL10" s="182">
        <v>47.58</v>
      </c>
      <c r="KM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I10" s="182">
        <v>47.58</v>
      </c>
      <c r="NJ10" s="182">
        <v>47.58</v>
      </c>
      <c r="NK10" s="182">
        <v>47.58</v>
      </c>
      <c r="NL10" s="182">
        <v>47.58</v>
      </c>
      <c r="NM10" s="182">
        <v>47.58</v>
      </c>
      <c r="NN10" s="182">
        <v>47.58</v>
      </c>
      <c r="NO10" s="182">
        <v>47.58</v>
      </c>
      <c r="NP10" s="182">
        <v>47.58</v>
      </c>
      <c r="NQ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QM10" s="182">
        <v>47.58</v>
      </c>
      <c r="QN10" s="182">
        <v>47.58</v>
      </c>
      <c r="QO10" s="182">
        <v>47.58</v>
      </c>
      <c r="QP10" s="182">
        <v>47.58</v>
      </c>
      <c r="QQ10" s="182">
        <v>47.58</v>
      </c>
      <c r="QR10" s="182">
        <v>47.58</v>
      </c>
      <c r="QS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TO10" s="182">
        <v>47.58</v>
      </c>
      <c r="TP10" s="182">
        <v>47.58</v>
      </c>
      <c r="TQ10" s="182">
        <v>47.58</v>
      </c>
      <c r="TR10" s="182">
        <v>47.58</v>
      </c>
      <c r="TS10" s="182">
        <v>47.58</v>
      </c>
      <c r="TT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WQ10" s="182">
        <v>47.58</v>
      </c>
      <c r="WR10" s="182">
        <v>47.58</v>
      </c>
      <c r="WS10" s="182">
        <v>47.58</v>
      </c>
      <c r="WT10" s="182">
        <v>47.58</v>
      </c>
      <c r="WU10" s="182">
        <v>47.58</v>
      </c>
      <c r="WV10" s="182">
        <v>47.58</v>
      </c>
      <c r="WW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ZS10" s="182">
        <v>47.58</v>
      </c>
      <c r="ZT10" s="182">
        <v>47.58</v>
      </c>
      <c r="ZU10" s="182">
        <v>47.58</v>
      </c>
      <c r="ZV10" s="182">
        <v>47.58</v>
      </c>
      <c r="ZW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CU10" s="182">
        <v>47.58</v>
      </c>
      <c r="ACV10" s="182">
        <v>47.58</v>
      </c>
      <c r="ACW10" s="182">
        <v>47.58</v>
      </c>
      <c r="ACX10" s="182">
        <v>47.58</v>
      </c>
      <c r="ACY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FW10" s="182">
        <v>47.58</v>
      </c>
      <c r="AFX10" s="182">
        <v>47.58</v>
      </c>
      <c r="AFY10" s="182">
        <v>47.58</v>
      </c>
      <c r="AFZ10" s="182">
        <v>47.58</v>
      </c>
      <c r="AGA10" s="182">
        <v>47.58</v>
      </c>
      <c r="AGB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c r="AIY10" s="182">
        <v>47.58</v>
      </c>
      <c r="AIZ10" s="182">
        <v>47.58</v>
      </c>
      <c r="AJA10" s="182">
        <v>47.58</v>
      </c>
      <c r="AJB10" s="182">
        <v>47.58</v>
      </c>
      <c r="AJC10" s="182">
        <v>47.58</v>
      </c>
      <c r="AJD10" s="182">
        <v>47.58</v>
      </c>
    </row>
    <row r="11" spans="1:940">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EB11" s="182">
        <v>43.25</v>
      </c>
      <c r="EC11" s="182">
        <v>43.25</v>
      </c>
      <c r="ED11" s="182">
        <v>43.25</v>
      </c>
      <c r="EE11" s="182">
        <v>43.25</v>
      </c>
      <c r="EF11" s="182">
        <v>43.25</v>
      </c>
      <c r="EG11" s="182">
        <v>43.25</v>
      </c>
      <c r="EH11" s="182">
        <v>43.25</v>
      </c>
      <c r="EI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HE11" s="182">
        <v>43.25</v>
      </c>
      <c r="HF11" s="182">
        <v>43.25</v>
      </c>
      <c r="HG11" s="182">
        <v>43.25</v>
      </c>
      <c r="HH11" s="182">
        <v>43.25</v>
      </c>
      <c r="HI11" s="182">
        <v>43.25</v>
      </c>
      <c r="HJ11" s="182">
        <v>43.25</v>
      </c>
      <c r="HK11" s="182">
        <v>43.25</v>
      </c>
      <c r="HL11" s="182">
        <v>43.25</v>
      </c>
      <c r="HM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KG11" s="182">
        <v>43.25</v>
      </c>
      <c r="KH11" s="182">
        <v>43.25</v>
      </c>
      <c r="KI11" s="182">
        <v>43.25</v>
      </c>
      <c r="KJ11" s="182">
        <v>43.25</v>
      </c>
      <c r="KK11" s="182">
        <v>43.25</v>
      </c>
      <c r="KL11" s="182">
        <v>43.25</v>
      </c>
      <c r="KM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I11" s="182">
        <v>43.25</v>
      </c>
      <c r="NJ11" s="182">
        <v>43.25</v>
      </c>
      <c r="NK11" s="182">
        <v>43.25</v>
      </c>
      <c r="NL11" s="182">
        <v>43.25</v>
      </c>
      <c r="NM11" s="182">
        <v>43.25</v>
      </c>
      <c r="NN11" s="182">
        <v>43.25</v>
      </c>
      <c r="NO11" s="182">
        <v>43.25</v>
      </c>
      <c r="NP11" s="182">
        <v>43.25</v>
      </c>
      <c r="NQ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QM11" s="182">
        <v>43.25</v>
      </c>
      <c r="QN11" s="182">
        <v>43.25</v>
      </c>
      <c r="QO11" s="182">
        <v>43.25</v>
      </c>
      <c r="QP11" s="182">
        <v>43.25</v>
      </c>
      <c r="QQ11" s="182">
        <v>43.25</v>
      </c>
      <c r="QR11" s="182">
        <v>43.25</v>
      </c>
      <c r="QS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TO11" s="182">
        <v>43.25</v>
      </c>
      <c r="TP11" s="182">
        <v>43.25</v>
      </c>
      <c r="TQ11" s="182">
        <v>43.25</v>
      </c>
      <c r="TR11" s="182">
        <v>43.25</v>
      </c>
      <c r="TS11" s="182">
        <v>43.25</v>
      </c>
      <c r="TT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WQ11" s="182">
        <v>43.25</v>
      </c>
      <c r="WR11" s="182">
        <v>43.25</v>
      </c>
      <c r="WS11" s="182">
        <v>43.25</v>
      </c>
      <c r="WT11" s="182">
        <v>43.25</v>
      </c>
      <c r="WU11" s="182">
        <v>43.25</v>
      </c>
      <c r="WV11" s="182">
        <v>43.25</v>
      </c>
      <c r="WW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ZS11" s="182">
        <v>43.25</v>
      </c>
      <c r="ZT11" s="182">
        <v>43.25</v>
      </c>
      <c r="ZU11" s="182">
        <v>43.25</v>
      </c>
      <c r="ZV11" s="182">
        <v>43.25</v>
      </c>
      <c r="ZW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CU11" s="182">
        <v>43.25</v>
      </c>
      <c r="ACV11" s="182">
        <v>43.25</v>
      </c>
      <c r="ACW11" s="182">
        <v>43.25</v>
      </c>
      <c r="ACX11" s="182">
        <v>43.25</v>
      </c>
      <c r="ACY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FW11" s="182">
        <v>43.25</v>
      </c>
      <c r="AFX11" s="182">
        <v>43.25</v>
      </c>
      <c r="AFY11" s="182">
        <v>43.25</v>
      </c>
      <c r="AFZ11" s="182">
        <v>43.25</v>
      </c>
      <c r="AGA11" s="182">
        <v>43.25</v>
      </c>
      <c r="AGB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c r="AIY11" s="182">
        <v>43.25</v>
      </c>
      <c r="AIZ11" s="182">
        <v>43.25</v>
      </c>
      <c r="AJA11" s="182">
        <v>43.25</v>
      </c>
      <c r="AJB11" s="182">
        <v>43.25</v>
      </c>
      <c r="AJC11" s="182">
        <v>43.25</v>
      </c>
      <c r="AJD11" s="182">
        <v>43.25</v>
      </c>
    </row>
    <row r="12" spans="1:940">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EB12" s="182">
        <v>34.6</v>
      </c>
      <c r="EC12" s="182">
        <v>34.6</v>
      </c>
      <c r="ED12" s="182">
        <v>34.6</v>
      </c>
      <c r="EE12" s="182">
        <v>34.6</v>
      </c>
      <c r="EF12" s="182">
        <v>34.6</v>
      </c>
      <c r="EG12" s="182">
        <v>34.6</v>
      </c>
      <c r="EH12" s="182">
        <v>34.6</v>
      </c>
      <c r="EI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HE12" s="182">
        <v>34.6</v>
      </c>
      <c r="HF12" s="182">
        <v>34.6</v>
      </c>
      <c r="HG12" s="182">
        <v>34.6</v>
      </c>
      <c r="HH12" s="182">
        <v>34.6</v>
      </c>
      <c r="HI12" s="182">
        <v>34.6</v>
      </c>
      <c r="HJ12" s="182">
        <v>34.6</v>
      </c>
      <c r="HK12" s="182">
        <v>34.6</v>
      </c>
      <c r="HL12" s="182">
        <v>34.6</v>
      </c>
      <c r="HM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KG12" s="182">
        <v>34.6</v>
      </c>
      <c r="KH12" s="182">
        <v>34.6</v>
      </c>
      <c r="KI12" s="182">
        <v>34.6</v>
      </c>
      <c r="KJ12" s="182">
        <v>34.6</v>
      </c>
      <c r="KK12" s="182">
        <v>34.6</v>
      </c>
      <c r="KL12" s="182">
        <v>34.6</v>
      </c>
      <c r="KM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I12" s="182">
        <v>34.6</v>
      </c>
      <c r="NJ12" s="182">
        <v>34.6</v>
      </c>
      <c r="NK12" s="182">
        <v>34.6</v>
      </c>
      <c r="NL12" s="182">
        <v>34.6</v>
      </c>
      <c r="NM12" s="182">
        <v>34.6</v>
      </c>
      <c r="NN12" s="182">
        <v>34.6</v>
      </c>
      <c r="NO12" s="182">
        <v>34.6</v>
      </c>
      <c r="NP12" s="182">
        <v>34.6</v>
      </c>
      <c r="NQ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QM12" s="182">
        <v>34.6</v>
      </c>
      <c r="QN12" s="182">
        <v>34.6</v>
      </c>
      <c r="QO12" s="182">
        <v>34.6</v>
      </c>
      <c r="QP12" s="182">
        <v>34.6</v>
      </c>
      <c r="QQ12" s="182">
        <v>34.6</v>
      </c>
      <c r="QR12" s="182">
        <v>34.6</v>
      </c>
      <c r="QS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TO12" s="182">
        <v>34.6</v>
      </c>
      <c r="TP12" s="182">
        <v>34.6</v>
      </c>
      <c r="TQ12" s="182">
        <v>34.6</v>
      </c>
      <c r="TR12" s="182">
        <v>34.6</v>
      </c>
      <c r="TS12" s="182">
        <v>34.6</v>
      </c>
      <c r="TT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WQ12" s="182">
        <v>34.6</v>
      </c>
      <c r="WR12" s="182">
        <v>34.6</v>
      </c>
      <c r="WS12" s="182">
        <v>34.6</v>
      </c>
      <c r="WT12" s="182">
        <v>34.6</v>
      </c>
      <c r="WU12" s="182">
        <v>34.6</v>
      </c>
      <c r="WV12" s="182">
        <v>34.6</v>
      </c>
      <c r="WW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ZS12" s="182">
        <v>34.6</v>
      </c>
      <c r="ZT12" s="182">
        <v>34.6</v>
      </c>
      <c r="ZU12" s="182">
        <v>34.6</v>
      </c>
      <c r="ZV12" s="182">
        <v>34.6</v>
      </c>
      <c r="ZW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CU12" s="182">
        <v>34.6</v>
      </c>
      <c r="ACV12" s="182">
        <v>34.6</v>
      </c>
      <c r="ACW12" s="182">
        <v>34.6</v>
      </c>
      <c r="ACX12" s="182">
        <v>34.6</v>
      </c>
      <c r="ACY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FW12" s="182">
        <v>34.6</v>
      </c>
      <c r="AFX12" s="182">
        <v>34.6</v>
      </c>
      <c r="AFY12" s="182">
        <v>34.6</v>
      </c>
      <c r="AFZ12" s="182">
        <v>34.6</v>
      </c>
      <c r="AGA12" s="182">
        <v>34.6</v>
      </c>
      <c r="AGB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c r="AIY12" s="182">
        <v>34.6</v>
      </c>
      <c r="AIZ12" s="182">
        <v>34.6</v>
      </c>
      <c r="AJA12" s="182">
        <v>34.6</v>
      </c>
      <c r="AJB12" s="182">
        <v>34.6</v>
      </c>
      <c r="AJC12" s="182">
        <v>34.6</v>
      </c>
      <c r="AJD12" s="182">
        <v>34.6</v>
      </c>
    </row>
    <row r="13" spans="1:940">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EB13" s="182">
        <v>32.01</v>
      </c>
      <c r="EC13" s="182">
        <v>32.01</v>
      </c>
      <c r="ED13" s="182">
        <v>32.01</v>
      </c>
      <c r="EE13" s="182">
        <v>32.01</v>
      </c>
      <c r="EF13" s="182">
        <v>32.01</v>
      </c>
      <c r="EG13" s="182">
        <v>32.01</v>
      </c>
      <c r="EH13" s="182">
        <v>32.01</v>
      </c>
      <c r="EI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HE13" s="182">
        <v>32.01</v>
      </c>
      <c r="HF13" s="182">
        <v>32.01</v>
      </c>
      <c r="HG13" s="182">
        <v>32.01</v>
      </c>
      <c r="HH13" s="182">
        <v>32.01</v>
      </c>
      <c r="HI13" s="182">
        <v>32.01</v>
      </c>
      <c r="HJ13" s="182">
        <v>32.01</v>
      </c>
      <c r="HK13" s="182">
        <v>32.01</v>
      </c>
      <c r="HL13" s="182">
        <v>32.01</v>
      </c>
      <c r="HM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KG13" s="182">
        <v>32.01</v>
      </c>
      <c r="KH13" s="182">
        <v>32.01</v>
      </c>
      <c r="KI13" s="182">
        <v>32.01</v>
      </c>
      <c r="KJ13" s="182">
        <v>32.01</v>
      </c>
      <c r="KK13" s="182">
        <v>32.01</v>
      </c>
      <c r="KL13" s="182">
        <v>32.01</v>
      </c>
      <c r="KM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I13" s="182">
        <v>32.01</v>
      </c>
      <c r="NJ13" s="182">
        <v>32.01</v>
      </c>
      <c r="NK13" s="182">
        <v>32.01</v>
      </c>
      <c r="NL13" s="182">
        <v>32.01</v>
      </c>
      <c r="NM13" s="182">
        <v>32.01</v>
      </c>
      <c r="NN13" s="182">
        <v>32.01</v>
      </c>
      <c r="NO13" s="182">
        <v>32.01</v>
      </c>
      <c r="NP13" s="182">
        <v>32.01</v>
      </c>
      <c r="NQ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QM13" s="182">
        <v>32.01</v>
      </c>
      <c r="QN13" s="182">
        <v>32.01</v>
      </c>
      <c r="QO13" s="182">
        <v>32.01</v>
      </c>
      <c r="QP13" s="182">
        <v>32.01</v>
      </c>
      <c r="QQ13" s="182">
        <v>32.01</v>
      </c>
      <c r="QR13" s="182">
        <v>32.01</v>
      </c>
      <c r="QS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TO13" s="182">
        <v>32.01</v>
      </c>
      <c r="TP13" s="182">
        <v>32.01</v>
      </c>
      <c r="TQ13" s="182">
        <v>32.01</v>
      </c>
      <c r="TR13" s="182">
        <v>32.01</v>
      </c>
      <c r="TS13" s="182">
        <v>32.01</v>
      </c>
      <c r="TT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WQ13" s="182">
        <v>32.01</v>
      </c>
      <c r="WR13" s="182">
        <v>32.01</v>
      </c>
      <c r="WS13" s="182">
        <v>32.01</v>
      </c>
      <c r="WT13" s="182">
        <v>32.01</v>
      </c>
      <c r="WU13" s="182">
        <v>32.01</v>
      </c>
      <c r="WV13" s="182">
        <v>32.01</v>
      </c>
      <c r="WW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ZS13" s="182">
        <v>32.01</v>
      </c>
      <c r="ZT13" s="182">
        <v>32.01</v>
      </c>
      <c r="ZU13" s="182">
        <v>32.01</v>
      </c>
      <c r="ZV13" s="182">
        <v>32.01</v>
      </c>
      <c r="ZW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CU13" s="182">
        <v>32.01</v>
      </c>
      <c r="ACV13" s="182">
        <v>32.01</v>
      </c>
      <c r="ACW13" s="182">
        <v>32.01</v>
      </c>
      <c r="ACX13" s="182">
        <v>32.01</v>
      </c>
      <c r="ACY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FW13" s="182">
        <v>32.01</v>
      </c>
      <c r="AFX13" s="182">
        <v>32.01</v>
      </c>
      <c r="AFY13" s="182">
        <v>32.01</v>
      </c>
      <c r="AFZ13" s="182">
        <v>32.01</v>
      </c>
      <c r="AGA13" s="182">
        <v>32.01</v>
      </c>
      <c r="AGB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c r="AIY13" s="182">
        <v>32.01</v>
      </c>
      <c r="AIZ13" s="182">
        <v>32.01</v>
      </c>
      <c r="AJA13" s="182">
        <v>32.01</v>
      </c>
      <c r="AJB13" s="182">
        <v>32.01</v>
      </c>
      <c r="AJC13" s="182">
        <v>32.01</v>
      </c>
      <c r="AJD13" s="182">
        <v>32.01</v>
      </c>
    </row>
    <row r="14" spans="1:940">
      <c r="LI14" s="182">
        <v>20</v>
      </c>
      <c r="LW14" s="182">
        <v>20</v>
      </c>
      <c r="LX14" s="182">
        <v>20</v>
      </c>
      <c r="LY14" s="182">
        <v>20</v>
      </c>
      <c r="MA14" s="182">
        <v>20</v>
      </c>
      <c r="MB14" s="182">
        <v>20</v>
      </c>
      <c r="MC14" s="182">
        <v>20</v>
      </c>
      <c r="MF14" s="182">
        <v>20</v>
      </c>
      <c r="MG14" s="182">
        <v>20</v>
      </c>
      <c r="MH14" s="182">
        <v>20</v>
      </c>
      <c r="MJ14" s="182">
        <v>20</v>
      </c>
      <c r="MK14" s="182">
        <v>20</v>
      </c>
      <c r="ML14" s="182">
        <v>20</v>
      </c>
      <c r="MM14" s="182">
        <v>20</v>
      </c>
      <c r="MN14" s="182">
        <v>20</v>
      </c>
      <c r="MO14" s="182">
        <v>20</v>
      </c>
      <c r="MP14" s="182">
        <v>20</v>
      </c>
      <c r="MQ14" s="182">
        <v>20</v>
      </c>
      <c r="MR14" s="182">
        <v>20</v>
      </c>
      <c r="MS14" s="182">
        <v>20</v>
      </c>
      <c r="MT14" s="182">
        <v>20</v>
      </c>
      <c r="MU14" s="182">
        <v>20</v>
      </c>
      <c r="MV14" s="182">
        <v>20</v>
      </c>
      <c r="MW14" s="182">
        <v>20</v>
      </c>
      <c r="MX14" s="182">
        <v>20</v>
      </c>
      <c r="MY14" s="182">
        <v>20</v>
      </c>
      <c r="MZ14" s="182">
        <v>20</v>
      </c>
      <c r="NA14" s="182">
        <v>20</v>
      </c>
      <c r="NB14" s="182">
        <v>20</v>
      </c>
      <c r="NC14" s="182">
        <v>20</v>
      </c>
      <c r="ND14" s="182">
        <v>20</v>
      </c>
      <c r="NE14" s="182">
        <v>20</v>
      </c>
      <c r="NF14" s="182">
        <v>20</v>
      </c>
      <c r="NG14" s="182">
        <v>20</v>
      </c>
      <c r="NH14" s="182">
        <v>20</v>
      </c>
      <c r="NI14" s="182">
        <v>20</v>
      </c>
      <c r="NJ14" s="182">
        <v>20</v>
      </c>
      <c r="NK14" s="182">
        <v>20</v>
      </c>
      <c r="NL14" s="182">
        <v>20</v>
      </c>
      <c r="NM14" s="182">
        <v>20</v>
      </c>
      <c r="NN14" s="182">
        <v>20</v>
      </c>
      <c r="NP14" s="182">
        <v>20</v>
      </c>
      <c r="NQ14" s="182">
        <v>20</v>
      </c>
      <c r="OK14" s="182">
        <v>20</v>
      </c>
      <c r="OY14" s="182">
        <v>20</v>
      </c>
      <c r="OZ14" s="182">
        <v>20</v>
      </c>
      <c r="PA14" s="182">
        <v>20</v>
      </c>
      <c r="PC14" s="182">
        <v>20</v>
      </c>
      <c r="PD14" s="182">
        <v>20</v>
      </c>
      <c r="PE14" s="182">
        <v>20</v>
      </c>
      <c r="PH14" s="182">
        <v>20</v>
      </c>
      <c r="PI14" s="182">
        <v>20</v>
      </c>
      <c r="PJ14" s="182">
        <v>20</v>
      </c>
      <c r="PL14" s="182">
        <v>20</v>
      </c>
      <c r="PM14" s="182">
        <v>20</v>
      </c>
      <c r="PN14" s="182">
        <v>20</v>
      </c>
      <c r="PO14" s="182">
        <v>20</v>
      </c>
      <c r="PP14" s="182">
        <v>20</v>
      </c>
      <c r="PQ14" s="182">
        <v>20</v>
      </c>
      <c r="PR14" s="182">
        <v>20</v>
      </c>
      <c r="PS14" s="182">
        <v>20</v>
      </c>
      <c r="PT14" s="182">
        <v>20</v>
      </c>
      <c r="PU14" s="182">
        <v>20</v>
      </c>
      <c r="PV14" s="182">
        <v>20</v>
      </c>
      <c r="PW14" s="182">
        <v>20</v>
      </c>
      <c r="PX14" s="182">
        <v>20</v>
      </c>
      <c r="PY14" s="182">
        <v>20</v>
      </c>
      <c r="PZ14" s="182">
        <v>20</v>
      </c>
      <c r="QA14" s="182">
        <v>20</v>
      </c>
      <c r="QB14" s="182">
        <v>20</v>
      </c>
      <c r="QC14" s="182">
        <v>20</v>
      </c>
      <c r="QD14" s="182">
        <v>20</v>
      </c>
      <c r="QE14" s="182">
        <v>20</v>
      </c>
      <c r="QF14" s="182">
        <v>20</v>
      </c>
      <c r="QG14" s="182">
        <v>20</v>
      </c>
      <c r="QH14" s="182">
        <v>20</v>
      </c>
      <c r="QI14" s="182">
        <v>20</v>
      </c>
      <c r="QJ14" s="182">
        <v>20</v>
      </c>
      <c r="QK14" s="182">
        <v>20</v>
      </c>
      <c r="QL14" s="182">
        <v>20</v>
      </c>
      <c r="QM14" s="182">
        <v>20</v>
      </c>
      <c r="QN14" s="182">
        <v>20</v>
      </c>
      <c r="QO14" s="182">
        <v>20</v>
      </c>
      <c r="QP14" s="182">
        <v>20</v>
      </c>
      <c r="QR14" s="182">
        <v>20</v>
      </c>
      <c r="QS14" s="182">
        <v>20</v>
      </c>
      <c r="RM14" s="182">
        <v>20</v>
      </c>
      <c r="SA14" s="182">
        <v>20</v>
      </c>
      <c r="SB14" s="182">
        <v>20</v>
      </c>
      <c r="SC14" s="182">
        <v>20</v>
      </c>
      <c r="SE14" s="182">
        <v>20</v>
      </c>
      <c r="SF14" s="182">
        <v>20</v>
      </c>
      <c r="SG14" s="182">
        <v>20</v>
      </c>
      <c r="SJ14" s="182">
        <v>20</v>
      </c>
      <c r="SK14" s="182">
        <v>20</v>
      </c>
      <c r="SL14" s="182">
        <v>20</v>
      </c>
      <c r="SN14" s="182">
        <v>20</v>
      </c>
      <c r="SO14" s="182">
        <v>20</v>
      </c>
      <c r="SP14" s="182">
        <v>20</v>
      </c>
      <c r="SQ14" s="182">
        <v>20</v>
      </c>
      <c r="SR14" s="182">
        <v>20</v>
      </c>
      <c r="SS14" s="182">
        <v>20</v>
      </c>
      <c r="ST14" s="182">
        <v>20</v>
      </c>
      <c r="SU14" s="182">
        <v>20</v>
      </c>
      <c r="SV14" s="182">
        <v>20</v>
      </c>
      <c r="SW14" s="182">
        <v>20</v>
      </c>
      <c r="SX14" s="182">
        <v>20</v>
      </c>
      <c r="SY14" s="182">
        <v>20</v>
      </c>
      <c r="SZ14" s="182">
        <v>20</v>
      </c>
      <c r="TA14" s="182">
        <v>20</v>
      </c>
      <c r="TB14" s="182">
        <v>20</v>
      </c>
      <c r="TC14" s="182">
        <v>20</v>
      </c>
      <c r="TD14" s="182">
        <v>20</v>
      </c>
      <c r="TE14" s="182">
        <v>20</v>
      </c>
      <c r="TF14" s="182">
        <v>20</v>
      </c>
      <c r="TG14" s="182">
        <v>20</v>
      </c>
      <c r="TH14" s="182">
        <v>20</v>
      </c>
      <c r="TI14" s="182">
        <v>20</v>
      </c>
      <c r="TJ14" s="182">
        <v>20</v>
      </c>
      <c r="TK14" s="182">
        <v>20</v>
      </c>
      <c r="TL14" s="182">
        <v>20</v>
      </c>
      <c r="TM14" s="182">
        <v>20</v>
      </c>
      <c r="TN14" s="182">
        <v>20</v>
      </c>
      <c r="TO14" s="182">
        <v>20</v>
      </c>
      <c r="TP14" s="182">
        <v>20</v>
      </c>
      <c r="TQ14" s="182">
        <v>20</v>
      </c>
      <c r="TR14" s="182">
        <v>20</v>
      </c>
      <c r="TT14" s="182">
        <v>20</v>
      </c>
      <c r="UO14" s="182">
        <v>20</v>
      </c>
      <c r="VC14" s="182">
        <v>20</v>
      </c>
      <c r="VD14" s="182">
        <v>20</v>
      </c>
      <c r="VE14" s="182">
        <v>20</v>
      </c>
      <c r="VG14" s="182">
        <v>20</v>
      </c>
      <c r="VH14" s="182">
        <v>20</v>
      </c>
      <c r="VI14" s="182">
        <v>20</v>
      </c>
      <c r="VL14" s="182">
        <v>20</v>
      </c>
      <c r="VM14" s="182">
        <v>20</v>
      </c>
      <c r="VN14" s="182">
        <v>20</v>
      </c>
      <c r="VP14" s="182">
        <v>20</v>
      </c>
      <c r="VQ14" s="182">
        <v>20</v>
      </c>
      <c r="VR14" s="182">
        <v>20</v>
      </c>
      <c r="VS14" s="182">
        <v>20</v>
      </c>
      <c r="VT14" s="182">
        <v>20</v>
      </c>
      <c r="VU14" s="182">
        <v>20</v>
      </c>
      <c r="VV14" s="182">
        <v>20</v>
      </c>
      <c r="VW14" s="182">
        <v>20</v>
      </c>
      <c r="VX14" s="182">
        <v>20</v>
      </c>
      <c r="VY14" s="182">
        <v>20</v>
      </c>
      <c r="VZ14" s="182">
        <v>20</v>
      </c>
      <c r="WA14" s="182">
        <v>20</v>
      </c>
      <c r="WB14" s="182">
        <v>20</v>
      </c>
      <c r="WC14" s="182">
        <v>20</v>
      </c>
      <c r="WD14" s="182">
        <v>20</v>
      </c>
      <c r="WE14" s="182">
        <v>20</v>
      </c>
      <c r="WF14" s="182">
        <v>20</v>
      </c>
      <c r="WG14" s="182">
        <v>20</v>
      </c>
      <c r="WH14" s="182">
        <v>20</v>
      </c>
      <c r="WI14" s="182">
        <v>20</v>
      </c>
      <c r="WJ14" s="182">
        <v>20</v>
      </c>
      <c r="WK14" s="182">
        <v>20</v>
      </c>
      <c r="WL14" s="182">
        <v>20</v>
      </c>
      <c r="WM14" s="182">
        <v>20</v>
      </c>
      <c r="WN14" s="182">
        <v>20</v>
      </c>
      <c r="WO14" s="182">
        <v>20</v>
      </c>
      <c r="WP14" s="182">
        <v>20</v>
      </c>
      <c r="WQ14" s="182">
        <v>20</v>
      </c>
      <c r="WR14" s="182">
        <v>20</v>
      </c>
      <c r="WS14" s="182">
        <v>20</v>
      </c>
      <c r="WT14" s="182">
        <v>20</v>
      </c>
      <c r="WV14" s="182">
        <v>20</v>
      </c>
      <c r="WW14" s="182">
        <v>20</v>
      </c>
      <c r="XQ14" s="182">
        <v>20</v>
      </c>
      <c r="YE14" s="182">
        <v>20</v>
      </c>
      <c r="YF14" s="182">
        <v>20</v>
      </c>
      <c r="YG14" s="182">
        <v>20</v>
      </c>
      <c r="YI14" s="182">
        <v>20</v>
      </c>
      <c r="YJ14" s="182">
        <v>20</v>
      </c>
      <c r="YK14" s="182">
        <v>20</v>
      </c>
      <c r="YN14" s="182">
        <v>20</v>
      </c>
      <c r="YO14" s="182">
        <v>20</v>
      </c>
      <c r="YP14" s="182">
        <v>20</v>
      </c>
      <c r="YR14" s="182">
        <v>20</v>
      </c>
      <c r="YS14" s="182">
        <v>20</v>
      </c>
      <c r="YT14" s="182">
        <v>20</v>
      </c>
      <c r="YU14" s="182">
        <v>20</v>
      </c>
      <c r="YV14" s="182">
        <v>20</v>
      </c>
      <c r="YW14" s="182">
        <v>20</v>
      </c>
      <c r="YX14" s="182">
        <v>20</v>
      </c>
      <c r="YY14" s="182">
        <v>20</v>
      </c>
      <c r="YZ14" s="182">
        <v>20</v>
      </c>
      <c r="ZA14" s="182">
        <v>20</v>
      </c>
      <c r="ZB14" s="182">
        <v>20</v>
      </c>
      <c r="ZC14" s="182">
        <v>20</v>
      </c>
      <c r="ZD14" s="182">
        <v>20</v>
      </c>
      <c r="ZE14" s="182">
        <v>20</v>
      </c>
      <c r="ZF14" s="182">
        <v>20</v>
      </c>
      <c r="ZG14" s="182">
        <v>20</v>
      </c>
      <c r="ZH14" s="182">
        <v>20</v>
      </c>
      <c r="ZI14" s="182">
        <v>20</v>
      </c>
      <c r="ZJ14" s="182">
        <v>20</v>
      </c>
      <c r="ZK14" s="182">
        <v>20</v>
      </c>
      <c r="ZL14" s="182">
        <v>20</v>
      </c>
      <c r="ZM14" s="182">
        <v>20</v>
      </c>
      <c r="ZN14" s="182">
        <v>20</v>
      </c>
      <c r="ZO14" s="182">
        <v>20</v>
      </c>
      <c r="ZP14" s="182">
        <v>20</v>
      </c>
      <c r="ZQ14" s="182">
        <v>20</v>
      </c>
      <c r="ZR14" s="182">
        <v>20</v>
      </c>
      <c r="ZS14" s="182">
        <v>20</v>
      </c>
      <c r="ZT14" s="182">
        <v>20</v>
      </c>
      <c r="ZU14" s="182">
        <v>20</v>
      </c>
      <c r="ZW14" s="182">
        <v>20</v>
      </c>
      <c r="AAS14" s="182">
        <v>20</v>
      </c>
      <c r="ABG14" s="182">
        <v>20</v>
      </c>
      <c r="ABH14" s="182">
        <v>20</v>
      </c>
      <c r="ABI14" s="182">
        <v>20</v>
      </c>
      <c r="ABK14" s="182">
        <v>20</v>
      </c>
      <c r="ABL14" s="182">
        <v>20</v>
      </c>
      <c r="ABM14" s="182">
        <v>20</v>
      </c>
      <c r="ABP14" s="182">
        <v>20</v>
      </c>
      <c r="ABQ14" s="182">
        <v>20</v>
      </c>
      <c r="ABR14" s="182">
        <v>20</v>
      </c>
      <c r="ABT14" s="182">
        <v>20</v>
      </c>
      <c r="ABU14" s="182">
        <v>20</v>
      </c>
      <c r="ABV14" s="182">
        <v>20</v>
      </c>
      <c r="ABW14" s="182">
        <v>20</v>
      </c>
      <c r="ABX14" s="182">
        <v>20</v>
      </c>
      <c r="ABY14" s="182">
        <v>20</v>
      </c>
      <c r="ABZ14" s="182">
        <v>20</v>
      </c>
      <c r="ACA14" s="182">
        <v>20</v>
      </c>
      <c r="ACB14" s="182">
        <v>20</v>
      </c>
      <c r="ACC14" s="182">
        <v>20</v>
      </c>
      <c r="ACD14" s="182">
        <v>20</v>
      </c>
      <c r="ACE14" s="182">
        <v>20</v>
      </c>
      <c r="ACF14" s="182">
        <v>20</v>
      </c>
      <c r="ACG14" s="182">
        <v>20</v>
      </c>
      <c r="ACH14" s="182">
        <v>20</v>
      </c>
      <c r="ACI14" s="182">
        <v>20</v>
      </c>
      <c r="ACJ14" s="182">
        <v>20</v>
      </c>
      <c r="ACK14" s="182">
        <v>20</v>
      </c>
      <c r="ACL14" s="182">
        <v>20</v>
      </c>
      <c r="ACM14" s="182">
        <v>20</v>
      </c>
      <c r="ACN14" s="182">
        <v>20</v>
      </c>
      <c r="ACO14" s="182">
        <v>20</v>
      </c>
      <c r="ACP14" s="182">
        <v>20</v>
      </c>
      <c r="ACQ14" s="182">
        <v>20</v>
      </c>
      <c r="ACR14" s="182">
        <v>20</v>
      </c>
      <c r="ACS14" s="182">
        <v>20</v>
      </c>
      <c r="ACT14" s="182">
        <v>20</v>
      </c>
      <c r="ACU14" s="182">
        <v>20</v>
      </c>
      <c r="ACV14" s="182">
        <v>20</v>
      </c>
      <c r="ACW14" s="182">
        <v>20</v>
      </c>
      <c r="ACY14" s="182">
        <v>20</v>
      </c>
      <c r="ADU14" s="182">
        <v>20</v>
      </c>
      <c r="AEI14" s="182">
        <v>20</v>
      </c>
      <c r="AEJ14" s="182">
        <v>20</v>
      </c>
      <c r="AEK14" s="182">
        <v>20</v>
      </c>
      <c r="AEM14" s="182">
        <v>20</v>
      </c>
      <c r="AEN14" s="182">
        <v>20</v>
      </c>
      <c r="AEO14" s="182">
        <v>20</v>
      </c>
      <c r="AER14" s="182">
        <v>20</v>
      </c>
      <c r="AES14" s="182">
        <v>20</v>
      </c>
      <c r="AET14" s="182">
        <v>20</v>
      </c>
      <c r="AEV14" s="182">
        <v>20</v>
      </c>
      <c r="AEW14" s="182">
        <v>20</v>
      </c>
      <c r="AEX14" s="182">
        <v>20</v>
      </c>
      <c r="AEY14" s="182">
        <v>20</v>
      </c>
      <c r="AEZ14" s="182">
        <v>20</v>
      </c>
      <c r="AFA14" s="182">
        <v>20</v>
      </c>
      <c r="AFB14" s="182">
        <v>20</v>
      </c>
      <c r="AFC14" s="182">
        <v>20</v>
      </c>
      <c r="AFD14" s="182">
        <v>20</v>
      </c>
      <c r="AFE14" s="182">
        <v>20</v>
      </c>
      <c r="AFF14" s="182">
        <v>20</v>
      </c>
      <c r="AFG14" s="182">
        <v>20</v>
      </c>
      <c r="AFH14" s="182">
        <v>20</v>
      </c>
      <c r="AFI14" s="182">
        <v>20</v>
      </c>
      <c r="AFJ14" s="182">
        <v>20</v>
      </c>
      <c r="AFK14" s="182">
        <v>20</v>
      </c>
      <c r="AFL14" s="182">
        <v>20</v>
      </c>
      <c r="AFM14" s="182">
        <v>20</v>
      </c>
      <c r="AFN14" s="182">
        <v>20</v>
      </c>
      <c r="AFO14" s="182">
        <v>20</v>
      </c>
      <c r="AFP14" s="182">
        <v>20</v>
      </c>
      <c r="AFQ14" s="182">
        <v>20</v>
      </c>
      <c r="AFR14" s="182">
        <v>20</v>
      </c>
      <c r="AFS14" s="182">
        <v>20</v>
      </c>
      <c r="AFT14" s="182">
        <v>20</v>
      </c>
      <c r="AFU14" s="182">
        <v>20</v>
      </c>
      <c r="AFV14" s="182">
        <v>20</v>
      </c>
      <c r="AFW14" s="182">
        <v>20</v>
      </c>
      <c r="AFX14" s="182">
        <v>20</v>
      </c>
      <c r="AFY14" s="182">
        <v>20</v>
      </c>
      <c r="AGA14" s="182">
        <v>20</v>
      </c>
      <c r="AGB14" s="182">
        <v>20</v>
      </c>
      <c r="AGW14" s="182">
        <v>20</v>
      </c>
      <c r="AHK14" s="182">
        <v>20</v>
      </c>
      <c r="AHL14" s="182">
        <v>20</v>
      </c>
      <c r="AHM14" s="182">
        <v>20</v>
      </c>
      <c r="AHO14" s="182">
        <v>20</v>
      </c>
      <c r="AHP14" s="182">
        <v>20</v>
      </c>
      <c r="AHQ14" s="182">
        <v>20</v>
      </c>
      <c r="AHT14" s="182">
        <v>20</v>
      </c>
      <c r="AHU14" s="182">
        <v>20</v>
      </c>
      <c r="AHV14" s="182">
        <v>20</v>
      </c>
      <c r="AHX14" s="182">
        <v>20</v>
      </c>
      <c r="AHY14" s="182">
        <v>20</v>
      </c>
      <c r="AHZ14" s="182">
        <v>20</v>
      </c>
      <c r="AIA14" s="182">
        <v>20</v>
      </c>
      <c r="AIB14" s="182">
        <v>20</v>
      </c>
      <c r="AIC14" s="182">
        <v>20</v>
      </c>
      <c r="AID14" s="182">
        <v>20</v>
      </c>
      <c r="AIE14" s="182">
        <v>20</v>
      </c>
      <c r="AIF14" s="182">
        <v>20</v>
      </c>
      <c r="AIG14" s="182">
        <v>20</v>
      </c>
      <c r="AIH14" s="182">
        <v>20</v>
      </c>
      <c r="AII14" s="182">
        <v>20</v>
      </c>
      <c r="AIJ14" s="182">
        <v>20</v>
      </c>
      <c r="AIK14" s="182">
        <v>20</v>
      </c>
      <c r="AIL14" s="182">
        <v>20</v>
      </c>
      <c r="AIM14" s="182">
        <v>20</v>
      </c>
      <c r="AIN14" s="182">
        <v>20</v>
      </c>
      <c r="AIO14" s="182">
        <v>20</v>
      </c>
      <c r="AIP14" s="182">
        <v>20</v>
      </c>
      <c r="AIQ14" s="182">
        <v>20</v>
      </c>
      <c r="AIR14" s="182">
        <v>20</v>
      </c>
      <c r="AIS14" s="182">
        <v>20</v>
      </c>
      <c r="AIT14" s="182">
        <v>20</v>
      </c>
      <c r="AIU14" s="182">
        <v>20</v>
      </c>
      <c r="AIV14" s="182">
        <v>20</v>
      </c>
      <c r="AIW14" s="182">
        <v>20</v>
      </c>
      <c r="AIX14" s="182">
        <v>20</v>
      </c>
      <c r="AIY14" s="182">
        <v>20</v>
      </c>
      <c r="AIZ14" s="182">
        <v>20</v>
      </c>
      <c r="AJA14" s="182">
        <v>20</v>
      </c>
      <c r="AJC14" s="182">
        <v>20</v>
      </c>
      <c r="AJD14" s="182">
        <v>20</v>
      </c>
    </row>
  </sheetData>
  <sheetProtection algorithmName="SHA-512" hashValue="vv6Xhjfed7cJZAvYLeIPdWZKb1KU/K8WUv4DxlVZhiSjNJtO10iDUsF8qm7IGHG0CvQkoGnczrTb7cPKLXzgOQ==" saltValue="A/ufn2vfZln4j17ulq7etg==" spinCount="100000" sheet="1" objects="1" scenarios="1"/>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7"/>
  <sheetViews>
    <sheetView workbookViewId="0"/>
  </sheetViews>
  <sheetFormatPr baseColWidth="10" defaultRowHeight="14.5"/>
  <sheetData>
    <row r="1" spans="1:5">
      <c r="A1" t="s">
        <v>374</v>
      </c>
      <c r="B1" t="s">
        <v>375</v>
      </c>
      <c r="C1" t="s">
        <v>376</v>
      </c>
      <c r="D1" t="s">
        <v>377</v>
      </c>
      <c r="E1" t="s">
        <v>378</v>
      </c>
    </row>
    <row r="2" spans="1:5">
      <c r="A2">
        <v>2026</v>
      </c>
      <c r="B2">
        <v>2</v>
      </c>
      <c r="C2" t="s">
        <v>423</v>
      </c>
      <c r="D2" t="s">
        <v>424</v>
      </c>
      <c r="E2" t="s">
        <v>4</v>
      </c>
    </row>
    <row r="3" spans="1:5">
      <c r="A3">
        <v>2026</v>
      </c>
      <c r="B3">
        <v>2</v>
      </c>
      <c r="C3" t="s">
        <v>423</v>
      </c>
      <c r="D3" t="s">
        <v>425</v>
      </c>
      <c r="E3">
        <v>173</v>
      </c>
    </row>
    <row r="4" spans="1:5">
      <c r="A4">
        <v>2026</v>
      </c>
      <c r="B4">
        <v>8</v>
      </c>
      <c r="C4" t="s">
        <v>423</v>
      </c>
      <c r="D4" t="s">
        <v>425</v>
      </c>
      <c r="E4">
        <v>129.75</v>
      </c>
    </row>
    <row r="5" spans="1:5">
      <c r="A5">
        <v>2026</v>
      </c>
      <c r="B5">
        <v>11</v>
      </c>
      <c r="C5" t="s">
        <v>423</v>
      </c>
      <c r="D5" t="s">
        <v>425</v>
      </c>
      <c r="E5">
        <v>151.38</v>
      </c>
    </row>
    <row r="6" spans="1:5">
      <c r="A6">
        <v>2026</v>
      </c>
      <c r="B6">
        <v>3</v>
      </c>
      <c r="C6" t="s">
        <v>427</v>
      </c>
      <c r="D6" t="s">
        <v>424</v>
      </c>
      <c r="E6" t="s">
        <v>4</v>
      </c>
    </row>
    <row r="7" spans="1:5">
      <c r="A7">
        <v>2026</v>
      </c>
      <c r="B7">
        <v>3</v>
      </c>
      <c r="C7" t="s">
        <v>427</v>
      </c>
      <c r="D7" t="s">
        <v>425</v>
      </c>
      <c r="E7">
        <v>173</v>
      </c>
    </row>
  </sheetData>
  <sheetProtection algorithmName="SHA-512" hashValue="1VW6EGw46RTz+0xUiOMw3cod74am1RlfzgGhI/28M4e3+iCqNINoOIX/1sZ+6Dkf1Q6pVWoAgqXiHXF7i/2taw==" saltValue="6bS0fTK/jc1gvk7nbBD2Gw==" spinCount="100000" sheet="1" objects="1" scenarios="1" sort="0" autoFilter="0"/>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6EB2C-0C12-6E47-9899-BDF82CBE42E8}">
  <sheetPr codeName="Tabelle23"/>
  <dimension ref="A1:E9"/>
  <sheetViews>
    <sheetView tabSelected="1" workbookViewId="0">
      <selection activeCell="D21" sqref="D21"/>
    </sheetView>
  </sheetViews>
  <sheetFormatPr baseColWidth="10" defaultRowHeight="14.5"/>
  <cols>
    <col min="1" max="1" width="40.6328125" customWidth="1"/>
    <col min="2" max="2" width="12.6328125" customWidth="1"/>
    <col min="3" max="3" width="58.6328125" customWidth="1"/>
    <col min="4" max="4" width="22.6328125" customWidth="1"/>
    <col min="5" max="5" width="70.6328125" customWidth="1"/>
  </cols>
  <sheetData>
    <row r="1" spans="1:5">
      <c r="A1" s="198" t="s">
        <v>379</v>
      </c>
      <c r="B1" s="198" t="s">
        <v>328</v>
      </c>
      <c r="C1" s="198" t="s">
        <v>380</v>
      </c>
      <c r="D1" s="198" t="s">
        <v>381</v>
      </c>
      <c r="E1" s="198" t="s">
        <v>382</v>
      </c>
    </row>
    <row r="2" spans="1:5" ht="29">
      <c r="A2" s="199" t="s">
        <v>383</v>
      </c>
      <c r="B2" s="200" t="s">
        <v>384</v>
      </c>
      <c r="C2" s="202" t="s">
        <v>385</v>
      </c>
      <c r="D2" s="203">
        <v>46162.858726851853</v>
      </c>
      <c r="E2" s="202" t="s">
        <v>386</v>
      </c>
    </row>
    <row r="3" spans="1:5" ht="29">
      <c r="A3" s="199" t="s">
        <v>387</v>
      </c>
      <c r="B3" s="200" t="s">
        <v>384</v>
      </c>
      <c r="C3" s="202" t="s">
        <v>388</v>
      </c>
      <c r="D3" s="203">
        <v>46162.858726851853</v>
      </c>
      <c r="E3" s="202" t="s">
        <v>389</v>
      </c>
    </row>
    <row r="4" spans="1:5" ht="29">
      <c r="A4" s="199" t="s">
        <v>390</v>
      </c>
      <c r="B4" s="200" t="s">
        <v>384</v>
      </c>
      <c r="C4" s="202" t="s">
        <v>391</v>
      </c>
      <c r="D4" s="203">
        <v>46162.858726851853</v>
      </c>
      <c r="E4" s="202" t="s">
        <v>392</v>
      </c>
    </row>
    <row r="5" spans="1:5" ht="43.5">
      <c r="A5" s="199" t="s">
        <v>393</v>
      </c>
      <c r="B5" s="200" t="s">
        <v>384</v>
      </c>
      <c r="C5" s="202" t="s">
        <v>394</v>
      </c>
      <c r="D5" s="203">
        <v>46162.858726851853</v>
      </c>
      <c r="E5" s="202" t="s">
        <v>395</v>
      </c>
    </row>
    <row r="6" spans="1:5" ht="29">
      <c r="A6" s="199" t="s">
        <v>396</v>
      </c>
      <c r="B6" s="200" t="s">
        <v>384</v>
      </c>
      <c r="C6" s="202" t="s">
        <v>397</v>
      </c>
      <c r="D6" s="203">
        <v>46162.858726851853</v>
      </c>
      <c r="E6" s="202" t="s">
        <v>398</v>
      </c>
    </row>
    <row r="7" spans="1:5" ht="29">
      <c r="A7" s="199" t="s">
        <v>399</v>
      </c>
      <c r="B7" s="200" t="s">
        <v>384</v>
      </c>
      <c r="C7" s="202" t="s">
        <v>400</v>
      </c>
      <c r="D7" s="203">
        <v>46162.858726851853</v>
      </c>
      <c r="E7" s="202" t="s">
        <v>401</v>
      </c>
    </row>
    <row r="8" spans="1:5">
      <c r="A8" s="199" t="s">
        <v>402</v>
      </c>
      <c r="B8" s="201" t="s">
        <v>403</v>
      </c>
      <c r="C8" s="202" t="s">
        <v>404</v>
      </c>
      <c r="D8" s="203">
        <v>46162.858726851853</v>
      </c>
      <c r="E8" s="202" t="s">
        <v>405</v>
      </c>
    </row>
    <row r="9" spans="1:5" ht="29">
      <c r="A9" s="199" t="s">
        <v>406</v>
      </c>
      <c r="B9" s="460" t="s">
        <v>430</v>
      </c>
      <c r="C9" s="202" t="s">
        <v>431</v>
      </c>
      <c r="D9" s="203">
        <v>46162.858726851853</v>
      </c>
      <c r="E9" s="202" t="s">
        <v>405</v>
      </c>
    </row>
  </sheetData>
  <sheetProtection algorithmName="SHA-512" hashValue="44uCd6szV+DBwmUAXEgFFZQKiQvq/SIaEL5J7f5tJ/7hrE6BogfwszGUng114wuPsz+S5JmiX7GuDH3w2CfSDQ==" saltValue="WUxKdPCsNClC7btTt5UtzA==" spinCount="100000" sheet="1" objects="1" scenarios="1" sort="0" autoFilter="0"/>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18</vt:i4>
      </vt:variant>
      <vt:variant>
        <vt:lpstr>Benannte Bereiche</vt:lpstr>
      </vt:variant>
      <vt:variant>
        <vt:i4>725</vt:i4>
      </vt:variant>
    </vt:vector>
  </HeadingPairs>
  <TitlesOfParts>
    <vt:vector size="743"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SYSTEM_CHECK</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KV_DD_APRIL_61</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KV_DD_AUGUST_63</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KV_DD_DEZEMBER_62</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KV_DD_FEBRUAR_61</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KV_DD_JUNI_63</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KV_DD_MAI_63</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KV_DD_MARZ_61</vt:lpstr>
      <vt:lpstr>KV_DD_MARZ_62</vt:lpstr>
      <vt:lpstr>KV_DD_MARZ_63</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KV_DD_NOVEMBER_62</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KV_DD_SEPTEMBER_62</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2026-05-20T18:42:26Z</dcterms:modified>
  <cp:category/>
  <cp:contentStatus/>
</cp:coreProperties>
</file>
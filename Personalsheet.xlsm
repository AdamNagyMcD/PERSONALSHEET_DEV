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C7053C8B-11D4-4D86-808C-B797F0193312}" xr6:coauthVersionLast="47" xr6:coauthVersionMax="47" xr10:uidLastSave="{00000000-0000-0000-0000-000000000000}"/>
  <bookViews>
    <workbookView xWindow="-110" yWindow="-110" windowWidth="38620" windowHeight="21100" tabRatio="67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30" l="1"/>
  <c r="Q29" i="30"/>
  <c r="S35" i="3"/>
  <c r="Q29" i="3"/>
  <c r="G59" i="35"/>
  <c r="G60" i="35"/>
  <c r="G61" i="35"/>
  <c r="G62" i="35"/>
  <c r="G63" i="35"/>
  <c r="G64" i="35"/>
  <c r="G65" i="35"/>
  <c r="G66" i="35"/>
  <c r="G67" i="35"/>
  <c r="G68" i="35"/>
  <c r="G69" i="35"/>
  <c r="G70" i="35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61" i="33"/>
  <c r="G62" i="33"/>
  <c r="G63" i="33"/>
  <c r="G64" i="33"/>
  <c r="K64" i="33" s="1"/>
  <c r="G65" i="33"/>
  <c r="G66" i="33"/>
  <c r="G67" i="33"/>
  <c r="G68" i="33"/>
  <c r="G69" i="33"/>
  <c r="G70" i="33"/>
  <c r="G71" i="33"/>
  <c r="K71" i="33" s="1"/>
  <c r="G72" i="33"/>
  <c r="G73" i="33"/>
  <c r="G74" i="33"/>
  <c r="G75" i="33"/>
  <c r="G76" i="33"/>
  <c r="G77" i="33"/>
  <c r="G78" i="33"/>
  <c r="G79" i="33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G74" i="32"/>
  <c r="K74" i="32" s="1"/>
  <c r="G75" i="32"/>
  <c r="G76" i="32"/>
  <c r="G77" i="32"/>
  <c r="G78" i="32"/>
  <c r="G79" i="32"/>
  <c r="G80" i="32"/>
  <c r="G81" i="32"/>
  <c r="G82" i="32"/>
  <c r="G64" i="31"/>
  <c r="G65" i="31"/>
  <c r="G66" i="31"/>
  <c r="G67" i="31"/>
  <c r="G68" i="31"/>
  <c r="G69" i="31"/>
  <c r="G70" i="31"/>
  <c r="G71" i="3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G81" i="31"/>
  <c r="G82" i="31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65" i="37"/>
  <c r="G66" i="37"/>
  <c r="G67" i="37"/>
  <c r="G68" i="37"/>
  <c r="K68" i="37" s="1"/>
  <c r="G69" i="37"/>
  <c r="G70" i="37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G78" i="28"/>
  <c r="G79" i="28"/>
  <c r="G80" i="28"/>
  <c r="G81" i="28"/>
  <c r="G82" i="28"/>
  <c r="G63" i="27"/>
  <c r="K63" i="27" s="1"/>
  <c r="L63" i="27" s="1"/>
  <c r="G64" i="27"/>
  <c r="G65" i="27"/>
  <c r="G66" i="27"/>
  <c r="G67" i="27"/>
  <c r="G68" i="27"/>
  <c r="G69" i="27"/>
  <c r="G70" i="27"/>
  <c r="G71" i="27"/>
  <c r="G72" i="27"/>
  <c r="G73" i="27"/>
  <c r="G74" i="27"/>
  <c r="K74" i="27" s="1"/>
  <c r="L74" i="27" s="1"/>
  <c r="G75" i="27"/>
  <c r="K75" i="27" s="1"/>
  <c r="G76" i="27"/>
  <c r="K76" i="27" s="1"/>
  <c r="G77" i="27"/>
  <c r="G78" i="27"/>
  <c r="G79" i="27"/>
  <c r="G80" i="27"/>
  <c r="G81" i="27"/>
  <c r="K81" i="27" s="1"/>
  <c r="G82" i="27"/>
  <c r="K82" i="27" s="1"/>
  <c r="G63" i="26"/>
  <c r="G64" i="26"/>
  <c r="K64" i="26" s="1"/>
  <c r="G65" i="26"/>
  <c r="K65" i="26" s="1"/>
  <c r="G66" i="26"/>
  <c r="G67" i="26"/>
  <c r="G68" i="26"/>
  <c r="G69" i="26"/>
  <c r="G70" i="26"/>
  <c r="G71" i="26"/>
  <c r="G72" i="26"/>
  <c r="G73" i="26"/>
  <c r="K73" i="26" s="1"/>
  <c r="G74" i="26"/>
  <c r="G75" i="26"/>
  <c r="G76" i="26"/>
  <c r="G77" i="26"/>
  <c r="G78" i="26"/>
  <c r="G79" i="26"/>
  <c r="G80" i="26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G82" i="25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4" i="35"/>
  <c r="K70" i="35"/>
  <c r="K69" i="36"/>
  <c r="K72" i="36"/>
  <c r="K76" i="36"/>
  <c r="K78" i="36"/>
  <c r="K62" i="33"/>
  <c r="K65" i="33"/>
  <c r="K70" i="33"/>
  <c r="K73" i="33"/>
  <c r="K79" i="33"/>
  <c r="K62" i="32"/>
  <c r="K65" i="32"/>
  <c r="K73" i="32"/>
  <c r="K79" i="32"/>
  <c r="K81" i="32"/>
  <c r="K68" i="31"/>
  <c r="K71" i="31"/>
  <c r="K80" i="31"/>
  <c r="K68" i="30"/>
  <c r="K70" i="30"/>
  <c r="K78" i="30"/>
  <c r="K81" i="30"/>
  <c r="K67" i="37"/>
  <c r="K74" i="37"/>
  <c r="K77" i="28"/>
  <c r="K81" i="28"/>
  <c r="K65" i="27"/>
  <c r="K66" i="27"/>
  <c r="K67" i="27"/>
  <c r="K68" i="27"/>
  <c r="K71" i="27"/>
  <c r="K73" i="27"/>
  <c r="K79" i="27"/>
  <c r="K63" i="26"/>
  <c r="K67" i="26"/>
  <c r="K74" i="26"/>
  <c r="K75" i="26"/>
  <c r="L75" i="26" s="1"/>
  <c r="K79" i="26"/>
  <c r="K80" i="26"/>
  <c r="K79" i="25"/>
  <c r="K81" i="25"/>
  <c r="K82" i="25"/>
  <c r="S35" i="35"/>
  <c r="S35" i="36"/>
  <c r="S35" i="33"/>
  <c r="S35" i="32"/>
  <c r="S35" i="31"/>
  <c r="S35" i="37"/>
  <c r="S35" i="28"/>
  <c r="S35" i="27"/>
  <c r="S35" i="26"/>
  <c r="S35" i="25"/>
  <c r="K68" i="35"/>
  <c r="K67" i="31"/>
  <c r="K65" i="37"/>
  <c r="K70" i="37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1" i="36"/>
  <c r="K62" i="36"/>
  <c r="K71" i="36"/>
  <c r="K77" i="36"/>
  <c r="K81" i="36"/>
  <c r="K68" i="33"/>
  <c r="K78" i="33"/>
  <c r="K76" i="32"/>
  <c r="K71" i="30"/>
  <c r="K75" i="30"/>
  <c r="K76" i="30"/>
  <c r="K66" i="37"/>
  <c r="K66" i="26"/>
  <c r="K71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19" i="28"/>
  <c r="G51" i="28"/>
  <c r="G3" i="27"/>
  <c r="G35" i="27"/>
  <c r="G19" i="26"/>
  <c r="G51" i="26"/>
  <c r="G3" i="25"/>
  <c r="G35" i="25"/>
  <c r="G19" i="3"/>
  <c r="G51" i="3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20" i="28"/>
  <c r="G52" i="28"/>
  <c r="G4" i="27"/>
  <c r="G36" i="27"/>
  <c r="G20" i="26"/>
  <c r="G52" i="26"/>
  <c r="G4" i="25"/>
  <c r="G36" i="25"/>
  <c r="G20" i="3"/>
  <c r="G52" i="3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21" i="28"/>
  <c r="G53" i="28"/>
  <c r="G5" i="27"/>
  <c r="G37" i="27"/>
  <c r="G21" i="26"/>
  <c r="G53" i="26"/>
  <c r="G5" i="25"/>
  <c r="G37" i="25"/>
  <c r="G21" i="3"/>
  <c r="G53" i="3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22" i="28"/>
  <c r="G54" i="28"/>
  <c r="G6" i="27"/>
  <c r="G38" i="27"/>
  <c r="G22" i="26"/>
  <c r="G54" i="26"/>
  <c r="G6" i="25"/>
  <c r="G38" i="25"/>
  <c r="G22" i="3"/>
  <c r="G54" i="3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23" i="28"/>
  <c r="G55" i="28"/>
  <c r="G7" i="27"/>
  <c r="G39" i="27"/>
  <c r="G23" i="26"/>
  <c r="G55" i="26"/>
  <c r="G7" i="25"/>
  <c r="G39" i="25"/>
  <c r="G23" i="3"/>
  <c r="G8" i="35"/>
  <c r="G40" i="35"/>
  <c r="G24" i="36"/>
  <c r="G56" i="36"/>
  <c r="G8" i="33"/>
  <c r="G40" i="33"/>
  <c r="G24" i="32"/>
  <c r="G56" i="32"/>
  <c r="G8" i="31"/>
  <c r="G40" i="31"/>
  <c r="G24" i="30"/>
  <c r="G56" i="30"/>
  <c r="G8" i="37"/>
  <c r="G40" i="37"/>
  <c r="G24" i="28"/>
  <c r="G56" i="28"/>
  <c r="G8" i="27"/>
  <c r="G40" i="27"/>
  <c r="G24" i="26"/>
  <c r="G56" i="26"/>
  <c r="G8" i="25"/>
  <c r="G40" i="25"/>
  <c r="G24" i="3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25" i="28"/>
  <c r="G57" i="28"/>
  <c r="G9" i="27"/>
  <c r="G41" i="27"/>
  <c r="G25" i="26"/>
  <c r="G57" i="26"/>
  <c r="G9" i="25"/>
  <c r="G41" i="25"/>
  <c r="G25" i="3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26" i="28"/>
  <c r="G58" i="28"/>
  <c r="G10" i="27"/>
  <c r="G42" i="27"/>
  <c r="G26" i="26"/>
  <c r="G58" i="26"/>
  <c r="G10" i="25"/>
  <c r="G42" i="25"/>
  <c r="G26" i="3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27" i="28"/>
  <c r="G59" i="28"/>
  <c r="G11" i="27"/>
  <c r="G43" i="27"/>
  <c r="G27" i="26"/>
  <c r="G59" i="26"/>
  <c r="G11" i="25"/>
  <c r="G43" i="25"/>
  <c r="G27" i="3"/>
  <c r="G12" i="35"/>
  <c r="G44" i="35"/>
  <c r="G28" i="36"/>
  <c r="G12" i="33"/>
  <c r="G44" i="33"/>
  <c r="G28" i="32"/>
  <c r="G60" i="32"/>
  <c r="G12" i="31"/>
  <c r="G44" i="31"/>
  <c r="G28" i="30"/>
  <c r="G60" i="30"/>
  <c r="G12" i="37"/>
  <c r="G44" i="37"/>
  <c r="G28" i="28"/>
  <c r="G60" i="28"/>
  <c r="G12" i="27"/>
  <c r="G44" i="27"/>
  <c r="G28" i="26"/>
  <c r="G60" i="26"/>
  <c r="G12" i="25"/>
  <c r="G44" i="25"/>
  <c r="G28" i="3"/>
  <c r="G13" i="35"/>
  <c r="G45" i="35"/>
  <c r="G29" i="36"/>
  <c r="G13" i="33"/>
  <c r="G45" i="33"/>
  <c r="G29" i="32"/>
  <c r="G61" i="32"/>
  <c r="G13" i="31"/>
  <c r="G45" i="31"/>
  <c r="G29" i="30"/>
  <c r="G61" i="30"/>
  <c r="G13" i="37"/>
  <c r="G45" i="37"/>
  <c r="G29" i="28"/>
  <c r="G61" i="28"/>
  <c r="G13" i="27"/>
  <c r="G45" i="27"/>
  <c r="G29" i="26"/>
  <c r="G61" i="26"/>
  <c r="G13" i="25"/>
  <c r="G45" i="25"/>
  <c r="G29" i="3"/>
  <c r="G14" i="35"/>
  <c r="G46" i="35"/>
  <c r="G30" i="36"/>
  <c r="G14" i="33"/>
  <c r="G46" i="33"/>
  <c r="G30" i="32"/>
  <c r="G14" i="31"/>
  <c r="G46" i="31"/>
  <c r="G30" i="30"/>
  <c r="G62" i="30"/>
  <c r="G14" i="37"/>
  <c r="G46" i="37"/>
  <c r="G30" i="28"/>
  <c r="G62" i="28"/>
  <c r="G14" i="27"/>
  <c r="G46" i="27"/>
  <c r="G30" i="26"/>
  <c r="G62" i="26"/>
  <c r="G14" i="25"/>
  <c r="G46" i="25"/>
  <c r="G30" i="3"/>
  <c r="G15" i="35"/>
  <c r="G47" i="35"/>
  <c r="G31" i="36"/>
  <c r="G15" i="33"/>
  <c r="G47" i="33"/>
  <c r="G31" i="32"/>
  <c r="G15" i="31"/>
  <c r="G47" i="31"/>
  <c r="G31" i="30"/>
  <c r="G63" i="30"/>
  <c r="G15" i="37"/>
  <c r="G47" i="37"/>
  <c r="G31" i="28"/>
  <c r="G63" i="28"/>
  <c r="G15" i="27"/>
  <c r="G47" i="27"/>
  <c r="G31" i="26"/>
  <c r="G15" i="25"/>
  <c r="G47" i="25"/>
  <c r="G31" i="3"/>
  <c r="G16" i="35"/>
  <c r="G48" i="35"/>
  <c r="G32" i="36"/>
  <c r="G16" i="33"/>
  <c r="G48" i="33"/>
  <c r="G32" i="32"/>
  <c r="G16" i="31"/>
  <c r="G48" i="31"/>
  <c r="G32" i="30"/>
  <c r="G64" i="30"/>
  <c r="G16" i="37"/>
  <c r="G48" i="37"/>
  <c r="G32" i="28"/>
  <c r="G64" i="28"/>
  <c r="G16" i="27"/>
  <c r="G48" i="27"/>
  <c r="G32" i="26"/>
  <c r="G16" i="25"/>
  <c r="G48" i="25"/>
  <c r="G32" i="3"/>
  <c r="G17" i="35"/>
  <c r="G49" i="35"/>
  <c r="G33" i="36"/>
  <c r="G17" i="33"/>
  <c r="G49" i="33"/>
  <c r="G33" i="32"/>
  <c r="G17" i="31"/>
  <c r="G49" i="31"/>
  <c r="G33" i="30"/>
  <c r="G17" i="37"/>
  <c r="G49" i="37"/>
  <c r="G33" i="28"/>
  <c r="G17" i="27"/>
  <c r="G49" i="27"/>
  <c r="G33" i="26"/>
  <c r="G17" i="25"/>
  <c r="G49" i="25"/>
  <c r="G33" i="3"/>
  <c r="G18" i="35"/>
  <c r="G50" i="35"/>
  <c r="G34" i="36"/>
  <c r="G18" i="33"/>
  <c r="G50" i="33"/>
  <c r="G34" i="32"/>
  <c r="G18" i="31"/>
  <c r="G50" i="31"/>
  <c r="G34" i="30"/>
  <c r="G18" i="37"/>
  <c r="G50" i="37"/>
  <c r="G34" i="28"/>
  <c r="G18" i="27"/>
  <c r="G50" i="27"/>
  <c r="G34" i="26"/>
  <c r="G18" i="25"/>
  <c r="G50" i="25"/>
  <c r="G34" i="3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3" i="28"/>
  <c r="G35" i="28"/>
  <c r="G19" i="27"/>
  <c r="G51" i="27"/>
  <c r="G3" i="26"/>
  <c r="G35" i="26"/>
  <c r="G19" i="25"/>
  <c r="G51" i="25"/>
  <c r="G3" i="3"/>
  <c r="G35" i="3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4" i="28"/>
  <c r="G36" i="28"/>
  <c r="G20" i="27"/>
  <c r="G52" i="27"/>
  <c r="G4" i="26"/>
  <c r="G36" i="26"/>
  <c r="G20" i="25"/>
  <c r="G52" i="25"/>
  <c r="G4" i="3"/>
  <c r="G36" i="3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5" i="28"/>
  <c r="G37" i="28"/>
  <c r="G21" i="27"/>
  <c r="G53" i="27"/>
  <c r="G5" i="26"/>
  <c r="G37" i="26"/>
  <c r="G21" i="25"/>
  <c r="G53" i="25"/>
  <c r="G5" i="3"/>
  <c r="G37" i="3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6" i="28"/>
  <c r="G38" i="28"/>
  <c r="G22" i="27"/>
  <c r="G54" i="27"/>
  <c r="G6" i="26"/>
  <c r="G38" i="26"/>
  <c r="G22" i="25"/>
  <c r="G54" i="25"/>
  <c r="G6" i="3"/>
  <c r="G38" i="3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7" i="28"/>
  <c r="G39" i="28"/>
  <c r="G23" i="27"/>
  <c r="G55" i="27"/>
  <c r="G7" i="26"/>
  <c r="G39" i="26"/>
  <c r="G23" i="25"/>
  <c r="G55" i="25"/>
  <c r="G7" i="3"/>
  <c r="G39" i="3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8" i="28"/>
  <c r="G40" i="28"/>
  <c r="G24" i="27"/>
  <c r="G56" i="27"/>
  <c r="G8" i="26"/>
  <c r="G40" i="26"/>
  <c r="G24" i="25"/>
  <c r="G56" i="25"/>
  <c r="G8" i="3"/>
  <c r="G40" i="3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9" i="28"/>
  <c r="G41" i="28"/>
  <c r="G25" i="27"/>
  <c r="G57" i="27"/>
  <c r="G9" i="26"/>
  <c r="G41" i="26"/>
  <c r="G25" i="25"/>
  <c r="G57" i="25"/>
  <c r="G9" i="3"/>
  <c r="G41" i="3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10" i="28"/>
  <c r="G42" i="28"/>
  <c r="G26" i="27"/>
  <c r="G58" i="27"/>
  <c r="G10" i="26"/>
  <c r="G42" i="26"/>
  <c r="G26" i="25"/>
  <c r="G58" i="25"/>
  <c r="G10" i="3"/>
  <c r="G42" i="3"/>
  <c r="G27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11" i="28"/>
  <c r="G43" i="28"/>
  <c r="G27" i="27"/>
  <c r="G59" i="27"/>
  <c r="G11" i="26"/>
  <c r="G43" i="26"/>
  <c r="G27" i="25"/>
  <c r="G59" i="25"/>
  <c r="G11" i="3"/>
  <c r="G43" i="3"/>
  <c r="G28" i="35"/>
  <c r="G12" i="36"/>
  <c r="G44" i="36"/>
  <c r="G28" i="33"/>
  <c r="G60" i="33"/>
  <c r="G12" i="32"/>
  <c r="G44" i="32"/>
  <c r="G28" i="31"/>
  <c r="G60" i="31"/>
  <c r="G12" i="30"/>
  <c r="G44" i="30"/>
  <c r="G28" i="37"/>
  <c r="G60" i="37"/>
  <c r="G12" i="28"/>
  <c r="G44" i="28"/>
  <c r="G28" i="27"/>
  <c r="G60" i="27"/>
  <c r="G12" i="26"/>
  <c r="G44" i="26"/>
  <c r="G28" i="25"/>
  <c r="G60" i="25"/>
  <c r="G12" i="3"/>
  <c r="G44" i="3"/>
  <c r="G29" i="35"/>
  <c r="G13" i="36"/>
  <c r="G45" i="36"/>
  <c r="G29" i="33"/>
  <c r="G13" i="32"/>
  <c r="G45" i="32"/>
  <c r="G29" i="31"/>
  <c r="G61" i="31"/>
  <c r="G13" i="30"/>
  <c r="G45" i="30"/>
  <c r="G29" i="37"/>
  <c r="G61" i="37"/>
  <c r="G13" i="28"/>
  <c r="G45" i="28"/>
  <c r="G29" i="27"/>
  <c r="G61" i="27"/>
  <c r="G13" i="26"/>
  <c r="G45" i="26"/>
  <c r="G29" i="25"/>
  <c r="G61" i="25"/>
  <c r="G13" i="3"/>
  <c r="G45" i="3"/>
  <c r="G30" i="35"/>
  <c r="G14" i="36"/>
  <c r="G46" i="36"/>
  <c r="G30" i="33"/>
  <c r="G14" i="32"/>
  <c r="G46" i="32"/>
  <c r="G30" i="31"/>
  <c r="G62" i="31"/>
  <c r="G14" i="30"/>
  <c r="G46" i="30"/>
  <c r="G30" i="37"/>
  <c r="G62" i="37"/>
  <c r="G14" i="28"/>
  <c r="G46" i="28"/>
  <c r="G30" i="27"/>
  <c r="G62" i="27"/>
  <c r="G14" i="26"/>
  <c r="G46" i="26"/>
  <c r="G30" i="25"/>
  <c r="G14" i="3"/>
  <c r="G46" i="3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8"/>
  <c r="G47" i="28"/>
  <c r="G31" i="27"/>
  <c r="G15" i="26"/>
  <c r="G47" i="26"/>
  <c r="G31" i="25"/>
  <c r="G15" i="3"/>
  <c r="G47" i="3"/>
  <c r="G32" i="35"/>
  <c r="G16" i="36"/>
  <c r="G48" i="36"/>
  <c r="G32" i="33"/>
  <c r="G16" i="32"/>
  <c r="G48" i="32"/>
  <c r="G32" i="31"/>
  <c r="G16" i="30"/>
  <c r="G48" i="30"/>
  <c r="G32" i="37"/>
  <c r="G64" i="37"/>
  <c r="G16" i="28"/>
  <c r="G48" i="28"/>
  <c r="G32" i="27"/>
  <c r="G16" i="26"/>
  <c r="G48" i="26"/>
  <c r="G32" i="25"/>
  <c r="G16" i="3"/>
  <c r="G48" i="3"/>
  <c r="G33" i="35"/>
  <c r="G17" i="36"/>
  <c r="G49" i="36"/>
  <c r="G33" i="33"/>
  <c r="G17" i="32"/>
  <c r="G49" i="32"/>
  <c r="G33" i="31"/>
  <c r="G17" i="30"/>
  <c r="G49" i="30"/>
  <c r="G33" i="37"/>
  <c r="G17" i="28"/>
  <c r="G49" i="28"/>
  <c r="G33" i="27"/>
  <c r="G17" i="26"/>
  <c r="G49" i="26"/>
  <c r="G33" i="25"/>
  <c r="G17" i="3"/>
  <c r="G49" i="3"/>
  <c r="G34" i="35"/>
  <c r="G18" i="36"/>
  <c r="G50" i="36"/>
  <c r="G34" i="33"/>
  <c r="G18" i="32"/>
  <c r="G50" i="32"/>
  <c r="G34" i="31"/>
  <c r="G18" i="30"/>
  <c r="G50" i="30"/>
  <c r="G34" i="37"/>
  <c r="G18" i="28"/>
  <c r="G50" i="28"/>
  <c r="G34" i="27"/>
  <c r="G18" i="26"/>
  <c r="G50" i="26"/>
  <c r="G34" i="25"/>
  <c r="G18" i="3"/>
  <c r="G50" i="3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30" l="1"/>
  <c r="Q17" i="37"/>
  <c r="Q15" i="37"/>
  <c r="O16" i="37" s="1"/>
  <c r="Q10" i="27"/>
  <c r="S36" i="30"/>
  <c r="S36" i="37"/>
  <c r="S37" i="30" l="1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29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28"/>
  <c r="Q17" i="35"/>
  <c r="E14" i="15"/>
  <c r="C23" i="15"/>
  <c r="E18" i="15"/>
  <c r="E22" i="15"/>
  <c r="E10" i="15"/>
  <c r="D23" i="15"/>
  <c r="S36" i="36"/>
  <c r="S36" i="28"/>
  <c r="S36" i="31"/>
  <c r="S36" i="32"/>
  <c r="S36" i="33"/>
  <c r="S36" i="35"/>
  <c r="S37" i="35" l="1"/>
  <c r="S37" i="33"/>
  <c r="S37" i="32"/>
  <c r="S37" i="31"/>
  <c r="S37" i="28"/>
  <c r="S37" i="36"/>
  <c r="Q42" i="28"/>
  <c r="Q42" i="33"/>
  <c r="G34" i="15" s="1"/>
  <c r="I34" i="15" s="1"/>
  <c r="Q42" i="32"/>
  <c r="Q42" i="31"/>
  <c r="R5" i="31" s="1"/>
  <c r="Q42" i="35"/>
  <c r="G35" i="15" s="1"/>
  <c r="I35" i="15" s="1"/>
  <c r="Q42" i="30"/>
  <c r="G33" i="15" s="1"/>
  <c r="I33" i="15" s="1"/>
  <c r="Q42" i="36"/>
  <c r="R5" i="36" s="1"/>
  <c r="R5" i="32"/>
  <c r="D27" i="2"/>
  <c r="R5" i="28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<sst xmlns="http://schemas.openxmlformats.org/spreadsheetml/2006/main" count="4882" uniqueCount="562">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</sst>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0" fontId="35" fillId="10" borderId="9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29" borderId="74" xfId="0" applyFont="1" applyFill="1" applyBorder="1" applyAlignment="1">
      <alignment horizontal="center" vertical="center"/>
    </xf>
    <xf numFmtId="0" fontId="43" fillId="0" borderId="19" xfId="0" applyFont="1" applyFill="1" applyBorder="1" applyAlignment="1">
      <alignment horizontal="left" vertical="center" wrapText="1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Fill="1" applyAlignment="1">
      <alignment vertic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Border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96" xfId="0" applyFont="1" applyFill="1" applyBorder="1" applyAlignment="1">
      <alignment horizontal="center" vertical="center"/>
    </xf>
    <xf numFmtId="0" fontId="52" fillId="0" borderId="94" xfId="0" applyFont="1" applyFill="1" applyBorder="1" applyAlignment="1">
      <alignment horizontal="center" vertical="center"/>
    </xf>
    <xf numFmtId="4" fontId="52" fillId="0" borderId="94" xfId="0" applyNumberFormat="1" applyFont="1" applyFill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0" fontId="52" fillId="0" borderId="115" xfId="0" applyFont="1" applyFill="1" applyBorder="1" applyAlignment="1">
      <alignment horizontal="center" vertical="center" wrapText="1"/>
    </xf>
    <xf numFmtId="0" fontId="52" fillId="0" borderId="116" xfId="0" applyFont="1" applyFill="1" applyBorder="1" applyAlignment="1">
      <alignment horizontal="center" vertical="center" wrapText="1"/>
    </xf>
    <xf numFmtId="0" fontId="52" fillId="0" borderId="117" xfId="0" applyFont="1" applyFill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0" fillId="0" borderId="0" xfId="0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left" vertical="center"/>
    </xf>
    <xf numFmtId="0" fontId="48" fillId="0" borderId="0" xfId="0" applyFont="1" applyFill="1" applyAlignment="1">
      <alignment vertical="center"/>
    </xf>
    <xf numFmtId="0" fontId="40" fillId="0" borderId="57" xfId="0" applyFont="1" applyFill="1" applyBorder="1" applyAlignment="1">
      <alignment vertical="center"/>
    </xf>
    <xf numFmtId="0" fontId="19" fillId="0" borderId="74" xfId="0" applyFont="1" applyFill="1" applyBorder="1" applyAlignment="1">
      <alignment horizontal="center" vertical="center"/>
    </xf>
    <xf numFmtId="0" fontId="40" fillId="0" borderId="75" xfId="0" applyFont="1" applyFill="1" applyBorder="1" applyAlignment="1">
      <alignment horizontal="center" vertical="center"/>
    </xf>
    <xf numFmtId="0" fontId="40" fillId="0" borderId="76" xfId="0" applyFont="1" applyFill="1" applyBorder="1" applyAlignment="1">
      <alignment horizontal="left" vertical="center" wrapText="1"/>
    </xf>
    <xf numFmtId="0" fontId="40" fillId="0" borderId="73" xfId="0" applyFont="1" applyFill="1" applyBorder="1" applyAlignment="1">
      <alignment horizontal="left" vertical="center" wrapText="1"/>
    </xf>
    <xf numFmtId="0" fontId="40" fillId="0" borderId="77" xfId="0" applyFont="1" applyFill="1" applyBorder="1" applyAlignment="1">
      <alignment horizontal="left" vertical="center" wrapText="1"/>
    </xf>
    <xf numFmtId="0" fontId="40" fillId="0" borderId="78" xfId="0" applyFont="1" applyFill="1" applyBorder="1" applyAlignment="1">
      <alignment horizontal="left" vertical="center" wrapText="1"/>
    </xf>
    <xf numFmtId="0" fontId="40" fillId="0" borderId="55" xfId="0" applyFont="1" applyFill="1" applyBorder="1" applyAlignment="1">
      <alignment horizontal="left" vertical="center" wrapText="1"/>
    </xf>
    <xf numFmtId="0" fontId="40" fillId="0" borderId="31" xfId="0" applyFont="1" applyFill="1" applyBorder="1" applyAlignment="1">
      <alignment horizontal="left" vertical="center" wrapText="1"/>
    </xf>
    <xf numFmtId="0" fontId="19" fillId="0" borderId="57" xfId="0" applyFont="1" applyFill="1" applyBorder="1" applyAlignment="1">
      <alignment vertical="center"/>
    </xf>
    <xf numFmtId="0" fontId="19" fillId="0" borderId="57" xfId="0" applyFont="1" applyFill="1" applyBorder="1" applyAlignment="1">
      <alignment horizontal="center" vertical="center" wrapText="1"/>
    </xf>
    <xf numFmtId="0" fontId="19" fillId="0" borderId="57" xfId="0" applyFont="1" applyFill="1" applyBorder="1" applyAlignment="1">
      <alignment horizontal="center" vertical="center"/>
    </xf>
    <xf numFmtId="10" fontId="19" fillId="0" borderId="57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0" fontId="41" fillId="0" borderId="0" xfId="0" applyFont="1" applyFill="1" applyAlignment="1">
      <alignment vertical="center"/>
    </xf>
    <xf numFmtId="0" fontId="19" fillId="0" borderId="57" xfId="0" applyFont="1" applyFill="1" applyBorder="1" applyAlignment="1">
      <alignment vertical="center"/>
    </xf>
    <xf numFmtId="0" fontId="40" fillId="0" borderId="57" xfId="0" applyFont="1" applyFill="1" applyBorder="1" applyAlignment="1">
      <alignment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2" fillId="0" borderId="0" xfId="0" applyFont="1" applyFill="1" applyAlignment="1">
      <alignment horizontal="center" vertical="center"/>
    </xf>
    <xf numFmtId="0" fontId="40" fillId="0" borderId="57" xfId="0" applyFont="1" applyFill="1" applyBorder="1" applyAlignment="1">
      <alignment horizontal="center" vertical="center" wrapText="1"/>
    </xf>
    <xf numFmtId="10" fontId="40" fillId="0" borderId="57" xfId="0" applyNumberFormat="1" applyFont="1" applyFill="1" applyBorder="1" applyAlignment="1">
      <alignment horizontal="center" vertical="center" wrapText="1"/>
    </xf>
    <xf numFmtId="2" fontId="40" fillId="0" borderId="57" xfId="0" applyNumberFormat="1" applyFont="1" applyFill="1" applyBorder="1" applyAlignment="1">
      <alignment horizontal="center" vertical="center" wrapText="1"/>
    </xf>
    <xf numFmtId="0" fontId="41" fillId="0" borderId="0" xfId="0" applyFont="1" applyFill="1" applyAlignment="1">
      <alignment vertical="center"/>
    </xf>
    <xf numFmtId="0" fontId="41" fillId="0" borderId="57" xfId="0" applyFont="1" applyFill="1" applyBorder="1" applyAlignment="1">
      <alignment vertical="center"/>
    </xf>
    <xf numFmtId="166" fontId="52" fillId="0" borderId="94" xfId="0" applyNumberFormat="1" applyFont="1" applyFill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Fill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27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51858</xdr:rowOff>
    </xdr:from>
    <xdr:to>
      <xdr:col>10</xdr:col>
      <xdr:colOff>0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E26C9F38-38AC-0873-54E5-0B7AE712F717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267758</xdr:rowOff>
    </xdr:from>
    <xdr:to>
      <xdr:col>10</xdr:col>
      <xdr:colOff>0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76C0B13-183B-D542-6EB1-533A4FDFC51A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483658</xdr:rowOff>
    </xdr:from>
    <xdr:to>
      <xdr:col>10</xdr:col>
      <xdr:colOff>0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ACCB8DEB-5445-B9B6-907D-29295103D4DC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699558</xdr:rowOff>
    </xdr:from>
    <xdr:to>
      <xdr:col>10</xdr:col>
      <xdr:colOff>0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258F3A3-F465-6418-6123-177C44BC7B5F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tabSelected="1" zoomScale="120" zoomScaleNormal="120" workbookViewId="0">
      <pane ySplit="3" topLeftCell="A4" activePane="bottomLeft" state="frozen"/>
      <selection pane="bottomLeft" activeCell="O11" sqref="O11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177" t="s">
        <v>292</v>
      </c>
      <c r="B1" s="177"/>
      <c r="C1" s="177"/>
      <c r="D1" s="177"/>
      <c r="E1" s="177"/>
      <c r="F1" s="177"/>
      <c r="G1" s="177"/>
      <c r="H1" s="177"/>
      <c r="I1" s="177"/>
      <c r="J1" s="177"/>
    </row>
    <row r="2" spans="1:10" ht="74" customHeight="1">
      <c r="A2" s="184" t="s">
        <v>352</v>
      </c>
      <c r="B2" s="184"/>
      <c r="C2" s="184"/>
      <c r="D2" s="184"/>
      <c r="E2" s="184"/>
      <c r="F2" s="184"/>
      <c r="G2" s="184"/>
      <c r="H2" s="184"/>
      <c r="I2" s="338"/>
      <c r="J2" s="338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185" t="s">
        <v>470</v>
      </c>
      <c r="B4" s="186"/>
      <c r="C4" s="186"/>
      <c r="D4" s="187"/>
      <c r="E4" s="187"/>
      <c r="F4" s="187"/>
      <c r="G4" s="188"/>
      <c r="H4" s="189"/>
      <c r="I4" s="187"/>
      <c r="J4" s="190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2200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178" t="s">
        <v>346</v>
      </c>
      <c r="B185" s="179"/>
      <c r="C185" s="179"/>
      <c r="D185" s="180"/>
      <c r="E185" s="180"/>
      <c r="F185" s="180"/>
      <c r="G185" s="181"/>
      <c r="H185" s="182"/>
      <c r="I185" s="180"/>
      <c r="J185" s="183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3VlrjGsVUu+lNLv23J7Bhiwq/zemnZViUbcEQX3nzVlBRJIhQoRiBzADqtTcndxvJ6XkEfZZogrKeSE956IeaQ==" saltValue="+5s7XdU5zFD8RYuQ3RvBFw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193" t="s">
        <v>14</v>
      </c>
      <c r="C3" s="193"/>
      <c r="D3" s="193"/>
      <c r="E3" s="193"/>
      <c r="F3" s="193"/>
      <c r="H3" s="191" t="s">
        <v>15</v>
      </c>
      <c r="I3" s="191"/>
      <c r="K3" s="195" t="s">
        <v>16</v>
      </c>
      <c r="L3" s="195"/>
      <c r="N3" s="191" t="s">
        <v>17</v>
      </c>
      <c r="O3" s="191"/>
    </row>
    <row r="4" spans="2:15" ht="15" customHeight="1">
      <c r="B4" s="193"/>
      <c r="C4" s="193"/>
      <c r="D4" s="193"/>
      <c r="E4" s="193"/>
      <c r="F4" s="193"/>
      <c r="H4" s="191"/>
      <c r="I4" s="191"/>
      <c r="K4" s="195"/>
      <c r="L4" s="195"/>
      <c r="N4" s="191"/>
      <c r="O4" s="19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192" t="s">
        <v>22</v>
      </c>
      <c r="I5" s="192"/>
      <c r="K5" s="192" t="s">
        <v>22</v>
      </c>
      <c r="L5" s="192"/>
      <c r="N5" s="192" t="s">
        <v>23</v>
      </c>
      <c r="O5" s="192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194" t="s">
        <v>37</v>
      </c>
      <c r="C19" s="194"/>
      <c r="D19" s="194"/>
      <c r="E19" s="194"/>
      <c r="F19" s="194"/>
      <c r="H19" s="191" t="s">
        <v>38</v>
      </c>
      <c r="I19" s="191"/>
      <c r="K19" s="195" t="s">
        <v>39</v>
      </c>
      <c r="L19" s="195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194"/>
      <c r="C20" s="194"/>
      <c r="D20" s="194"/>
      <c r="E20" s="194"/>
      <c r="F20" s="194"/>
      <c r="H20" s="191"/>
      <c r="I20" s="191"/>
      <c r="K20" s="195"/>
      <c r="L20" s="195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192" t="s">
        <v>22</v>
      </c>
      <c r="I21" s="192"/>
      <c r="K21" s="192" t="s">
        <v>22</v>
      </c>
      <c r="L21" s="192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125369.6645</v>
      </c>
      <c r="E26" s="23">
        <v>0.29849920119047618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zAMiFyZUcK7xGXFRUzCf/36HpZ6OVRhNC2F3yWcNIPTeaO7MuV+7gGMLcvIgTlAfZ7MVi4laWIPpeJUjahmByA==" saltValue="F7Jo8ffsU9m1LeEcFicQV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197" t="s">
        <v>392</v>
      </c>
      <c r="B1" s="198"/>
      <c r="C1" s="198"/>
      <c r="D1" s="198"/>
    </row>
    <row r="2" spans="1:4">
      <c r="A2" s="122" t="s">
        <v>363</v>
      </c>
      <c r="B2" s="122" t="s">
        <v>364</v>
      </c>
    </row>
    <row r="3" spans="1:4" ht="36" customHeight="1">
      <c r="A3" s="196" t="s">
        <v>393</v>
      </c>
      <c r="B3" s="196"/>
      <c r="C3" s="196"/>
      <c r="D3" s="196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r3aZAcyXxkK2vFTWy6Tf7XLTRKphbMeWz9yG0pLVeLKQdZC+9JTQOl997JFRjsH+tGIgf3jHZ1qEiHXqWckd4g==" saltValue="UBHP+J8y3yiKGOmXjoW6j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46023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7469.83</v>
      </c>
      <c r="R8" s="209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EINSTELLUNG!L22</f>
        <v>1</v>
      </c>
      <c r="R9" s="209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EINSTELLUNG!I22</f>
        <v>150</v>
      </c>
      <c r="R10" s="209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/>
      <c r="R12" s="238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07" t="s">
        <v>68</v>
      </c>
      <c r="P13" s="208"/>
      <c r="Q13" s="209">
        <f>Q8-Q9-Q10-Q11-Q12</f>
        <v>6718.83</v>
      </c>
      <c r="R13" s="209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07" t="s">
        <v>70</v>
      </c>
      <c r="P14" s="208"/>
      <c r="Q14" s="209">
        <f>EINSTELLUNG!L6</f>
        <v>9300</v>
      </c>
      <c r="R14" s="209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07" t="s">
        <v>72</v>
      </c>
      <c r="P15" s="208"/>
      <c r="Q15" s="209">
        <f>Q13-Q14</f>
        <v>-2581.17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89361.986021505378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13"/>
      <c r="P18" s="214"/>
      <c r="Q18" s="206"/>
      <c r="R18" s="206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13"/>
      <c r="P19" s="214"/>
      <c r="Q19" s="206"/>
      <c r="R19" s="206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13"/>
      <c r="P20" s="214"/>
      <c r="Q20" s="206">
        <v>500</v>
      </c>
      <c r="R20" s="206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13" t="s">
        <v>320</v>
      </c>
      <c r="P21" s="214"/>
      <c r="Q21" s="206">
        <v>5000</v>
      </c>
      <c r="R21" s="206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13"/>
      <c r="P22" s="214"/>
      <c r="Q22" s="206"/>
      <c r="R22" s="206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13"/>
      <c r="P23" s="214"/>
      <c r="Q23" s="206"/>
      <c r="R23" s="206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13"/>
      <c r="P24" s="214"/>
      <c r="Q24" s="206"/>
      <c r="R24" s="206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256"/>
      <c r="P25" s="257"/>
      <c r="Q25" s="248"/>
      <c r="R25" s="248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44" t="s">
        <v>90</v>
      </c>
      <c r="P29" s="245"/>
      <c r="Q29" s="246">
        <f>EINSTELLUNG!O6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60">
        <v>0</v>
      </c>
      <c r="P31" s="261"/>
      <c r="Q31" s="262">
        <v>1.9607843137254902E-2</v>
      </c>
      <c r="R31" s="263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28"/>
      <c r="P33" s="229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28"/>
      <c r="P34" s="229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17" t="s">
        <v>101</v>
      </c>
      <c r="P35" s="218"/>
      <c r="Q35" s="219">
        <f>EINSTELLUNG!C6</f>
        <v>400000</v>
      </c>
      <c r="R35" s="219"/>
      <c r="S35" s="219">
        <f>EINSTELLUNG!C22</f>
        <v>425000</v>
      </c>
      <c r="T35" s="219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17" t="s">
        <v>103</v>
      </c>
      <c r="P36" s="218"/>
      <c r="Q36" s="219">
        <f>EINSTELLUNG!D6</f>
        <v>100000</v>
      </c>
      <c r="R36" s="219"/>
      <c r="S36" s="219">
        <f ca="1">SumMergedCells(Q17:R29)</f>
        <v>96111.986000000004</v>
      </c>
      <c r="T36" s="219"/>
      <c r="U36" s="220">
        <f t="shared" ref="U36:U41" ca="1" si="2">S36-Q36</f>
        <v>-3888.0139999999956</v>
      </c>
      <c r="V36" s="220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0.22614584941176472</v>
      </c>
      <c r="T37" s="226"/>
      <c r="U37" s="227">
        <f t="shared" ca="1" si="2"/>
        <v>-2.3854150588235284E-2</v>
      </c>
      <c r="V37" s="22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17" t="s">
        <v>107</v>
      </c>
      <c r="P38" s="218"/>
      <c r="Q38" s="221">
        <f>EINSTELLUNG!F6</f>
        <v>30000</v>
      </c>
      <c r="R38" s="221"/>
      <c r="S38" s="221">
        <f>EINSTELLUNG!F22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14.655172413793103</v>
      </c>
      <c r="T39" s="219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17" t="s">
        <v>111</v>
      </c>
      <c r="P40" s="218"/>
      <c r="Q40" s="219">
        <f>IF(Q13=0, 0, Q35/Q13)</f>
        <v>59.534174848894821</v>
      </c>
      <c r="R40" s="219"/>
      <c r="S40" s="219">
        <f>IF(Q13=0, 0, S35/Q13)</f>
        <v>63.255060776950749</v>
      </c>
      <c r="T40" s="219"/>
      <c r="U40" s="220">
        <f t="shared" si="2"/>
        <v>3.7208859280559281</v>
      </c>
      <c r="V40" s="220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17" t="s">
        <v>113</v>
      </c>
      <c r="P41" s="218"/>
      <c r="Q41" s="221">
        <f>IF(Q13=0, 0, Q38/Q13)</f>
        <v>4.4650631136671119</v>
      </c>
      <c r="R41" s="221"/>
      <c r="S41" s="221">
        <f>IF(Q13=0, 0, S38/Q13)</f>
        <v>4.3162276765448748</v>
      </c>
      <c r="T41" s="221"/>
      <c r="U41" s="222">
        <f t="shared" si="2"/>
        <v>-0.14883543712223712</v>
      </c>
      <c r="V41" s="222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17" t="s">
        <v>115</v>
      </c>
      <c r="P42" s="218"/>
      <c r="Q42" s="223">
        <f>IFERROR(Q17/Q8, 0)</f>
        <v>11.963054851516752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266"/>
      <c r="L114" s="266"/>
      <c r="M114" s="266"/>
      <c r="N114" s="37"/>
    </row>
    <row r="115" spans="11:14" ht="16" customHeight="1">
      <c r="K115" s="266"/>
      <c r="L115" s="266"/>
      <c r="M115" s="266"/>
      <c r="N115" s="37"/>
    </row>
    <row r="116" spans="11:14" ht="16" customHeight="1">
      <c r="K116" s="240"/>
      <c r="L116" s="240"/>
      <c r="M116" s="26"/>
      <c r="N116" s="26"/>
    </row>
    <row r="117" spans="11:14" ht="16" customHeight="1">
      <c r="K117" s="240"/>
      <c r="L117" s="240"/>
      <c r="M117" s="26"/>
      <c r="N117" s="26"/>
    </row>
    <row r="118" spans="11:14" ht="16" customHeight="1">
      <c r="K118" s="267"/>
      <c r="L118" s="267"/>
      <c r="M118" s="27"/>
      <c r="N118" s="27"/>
    </row>
    <row r="119" spans="11:14" ht="16" customHeight="1">
      <c r="K119" s="241"/>
      <c r="L119" s="241"/>
      <c r="M119" s="28"/>
      <c r="N119" s="28"/>
    </row>
    <row r="120" spans="11:14" ht="16" customHeight="1">
      <c r="K120" s="240"/>
      <c r="L120" s="240"/>
      <c r="M120" s="26"/>
      <c r="N120" s="26"/>
    </row>
    <row r="121" spans="11:14" ht="16" customHeight="1">
      <c r="K121" s="240"/>
      <c r="L121" s="240"/>
      <c r="M121" s="26"/>
      <c r="N121" s="26"/>
    </row>
    <row r="122" spans="11:14" ht="16" customHeight="1">
      <c r="K122" s="241"/>
      <c r="L122" s="241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NwnIwznOYNX4WjFTf4QdEYjbPjz/TVUKP8TL2q7u+uRYshKbgqWQXZxj/RlhJrwG7ppCI3M3Fhl2SwO/GTJerA==" saltValue="6jaz9ZrghWIOdELBXbxUWw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C00OARz/v6hw7bl5AJDZckQmXTfyDb0HdFVpCQJCTF9yFrtvPprSj/Kj5mhzbpfSEbQ6V+Du/FdDCmpKssksQ==" saltValue="+sr9Yi8imgIeDHphrtq4C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46054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25" t="str">
        <f>IF(Q5&lt;0, "Schlecht! Zu wenig Urlaub abgebaut.", IF(Q5&gt;0, "Gut! Mehr Urlaub abgebaut als aufgebaut.", ""))</f>
        <v>Schlecht! Zu wenig Urlaub abgebaut.</v>
      </c>
      <c r="P6" s="325"/>
      <c r="Q6" s="325"/>
      <c r="R6" s="325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23" t="s">
        <v>58</v>
      </c>
      <c r="P8" s="207"/>
      <c r="Q8" s="321">
        <f>SUM(H3:H82)</f>
        <v>8643.5099999999984</v>
      </c>
      <c r="R8" s="322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23" t="s">
        <v>60</v>
      </c>
      <c r="P9" s="207"/>
      <c r="Q9" s="321">
        <f>EINSTELLUNG!L23</f>
        <v>2</v>
      </c>
      <c r="R9" s="322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23" t="s">
        <v>62</v>
      </c>
      <c r="P10" s="207"/>
      <c r="Q10" s="321">
        <f>EINSTELLUNG!I23</f>
        <v>0</v>
      </c>
      <c r="R10" s="322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23" t="s">
        <v>64</v>
      </c>
      <c r="P11" s="207"/>
      <c r="Q11" s="321">
        <f>P5</f>
        <v>600</v>
      </c>
      <c r="R11" s="322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23" t="s">
        <v>68</v>
      </c>
      <c r="P12" s="207"/>
      <c r="Q12" s="321">
        <f>Q8-Q9-Q10-Q11</f>
        <v>8041.5099999999984</v>
      </c>
      <c r="R12" s="32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23" t="s">
        <v>70</v>
      </c>
      <c r="P13" s="207"/>
      <c r="Q13" s="321">
        <f>EINSTELLUNG!L7</f>
        <v>9300</v>
      </c>
      <c r="R13" s="322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23" t="s">
        <v>72</v>
      </c>
      <c r="P14" s="207"/>
      <c r="Q14" s="321">
        <f>Q12-Q13</f>
        <v>-1258.4900000000016</v>
      </c>
      <c r="R14" s="322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24" t="str">
        <f>IF(Q14&lt;0, "Schlecht! Zu wenig Stunden für Dienstplan.", IF(Q14&gt;0, "Du hast mehr als genug Stunden für Dienstplan.", ""))</f>
        <v>Schlecht! Zu wenig Stunden für Dienstplan.</v>
      </c>
      <c r="P15" s="324"/>
      <c r="Q15" s="324"/>
      <c r="R15" s="324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18" t="s">
        <v>75</v>
      </c>
      <c r="P17" s="215"/>
      <c r="Q17" s="319">
        <f>SUM(L3:L82)</f>
        <v>103521.01285714286</v>
      </c>
      <c r="R17" s="320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6"/>
      <c r="P18" s="297"/>
      <c r="Q18" s="298"/>
      <c r="R18" s="299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6"/>
      <c r="P19" s="297"/>
      <c r="Q19" s="298"/>
      <c r="R19" s="299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96"/>
      <c r="P20" s="297"/>
      <c r="Q20" s="298"/>
      <c r="R20" s="299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6" t="s">
        <v>320</v>
      </c>
      <c r="P21" s="297"/>
      <c r="Q21" s="298">
        <v>5000</v>
      </c>
      <c r="R21" s="299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6"/>
      <c r="P22" s="297"/>
      <c r="Q22" s="298"/>
      <c r="R22" s="299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6"/>
      <c r="P23" s="297"/>
      <c r="Q23" s="298"/>
      <c r="R23" s="299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6"/>
      <c r="P24" s="297"/>
      <c r="Q24" s="298"/>
      <c r="R24" s="299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11"/>
      <c r="P25" s="312"/>
      <c r="Q25" s="313"/>
      <c r="R25" s="314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15"/>
      <c r="P26" s="258"/>
      <c r="Q26" s="316"/>
      <c r="R26" s="317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07"/>
      <c r="P27" s="213"/>
      <c r="Q27" s="308"/>
      <c r="R27" s="309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10"/>
      <c r="P28" s="252"/>
      <c r="Q28" s="290"/>
      <c r="R28" s="291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292" t="s">
        <v>90</v>
      </c>
      <c r="P29" s="244"/>
      <c r="Q29" s="293">
        <f>EINSTELLUNG!O7</f>
        <v>1250</v>
      </c>
      <c r="R29" s="294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00">
        <v>0</v>
      </c>
      <c r="P31" s="301"/>
      <c r="Q31" s="302">
        <v>1.7241379310344827E-2</v>
      </c>
      <c r="R31" s="260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03"/>
      <c r="P33" s="304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05"/>
      <c r="P34" s="306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95" t="s">
        <v>101</v>
      </c>
      <c r="P35" s="217"/>
      <c r="Q35" s="223">
        <f>EINSTELLUNG!C7</f>
        <v>400000</v>
      </c>
      <c r="R35" s="225"/>
      <c r="S35" s="223">
        <f>EINSTELLUNG!C23</f>
        <v>425000</v>
      </c>
      <c r="T35" s="225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95" t="s">
        <v>103</v>
      </c>
      <c r="P36" s="217"/>
      <c r="Q36" s="223">
        <f>EINSTELLUNG!D7</f>
        <v>100000</v>
      </c>
      <c r="R36" s="225"/>
      <c r="S36" s="219">
        <f ca="1">SumMergedCells(Q17:R29)</f>
        <v>109771.0129</v>
      </c>
      <c r="T36" s="219"/>
      <c r="U36" s="220">
        <f t="shared" ref="U36:U41" ca="1" si="2">S36-Q36</f>
        <v>9771.0129000000015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95" t="s">
        <v>105</v>
      </c>
      <c r="P37" s="217"/>
      <c r="Q37" s="288">
        <f>IF(ISERROR(Q36/Q35), 0, Q36/Q35)</f>
        <v>0.25</v>
      </c>
      <c r="R37" s="289"/>
      <c r="S37" s="288">
        <f ca="1">IF(ISERROR(S36/S35), 0, S36/S35)</f>
        <v>0.25828473623529413</v>
      </c>
      <c r="T37" s="289"/>
      <c r="U37" s="227">
        <f t="shared" ca="1" si="2"/>
        <v>8.2847362352941323E-3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95" t="s">
        <v>107</v>
      </c>
      <c r="P38" s="217"/>
      <c r="Q38" s="286">
        <f>EINSTELLUNG!F7</f>
        <v>30000</v>
      </c>
      <c r="R38" s="287"/>
      <c r="S38" s="286">
        <f>EINSTELLUNG!F23</f>
        <v>29000</v>
      </c>
      <c r="T38" s="287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95" t="s">
        <v>109</v>
      </c>
      <c r="P39" s="217"/>
      <c r="Q39" s="223">
        <f>IF(Q38=0, 0, Q35/Q38)</f>
        <v>13.333333333333334</v>
      </c>
      <c r="R39" s="225"/>
      <c r="S39" s="223">
        <f>IF(S38=0, 0, S35/S38)</f>
        <v>14.655172413793103</v>
      </c>
      <c r="T39" s="225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IF(Q12=0, 0, Q35/Q12)</f>
        <v>49.74190170751514</v>
      </c>
      <c r="R40" s="219"/>
      <c r="S40" s="219">
        <f>IF(Q12=0, 0, S35/Q12)</f>
        <v>52.850770564234836</v>
      </c>
      <c r="T40" s="219"/>
      <c r="U40" s="220">
        <f t="shared" si="2"/>
        <v>3.1088688567196954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IF(Q12=0, 0, Q38/Q12)</f>
        <v>3.7306426280636353</v>
      </c>
      <c r="R41" s="221"/>
      <c r="S41" s="221">
        <f>IF(Q12=0, 0, S38/Q12)</f>
        <v>3.6062878737948476</v>
      </c>
      <c r="T41" s="221"/>
      <c r="U41" s="222">
        <f t="shared" si="2"/>
        <v>-0.12435475426878773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11.976733162470209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KC+iwOmolE6C5unzOU9lCh1AnSjKLBoDebrh6eI7IMR1ChPyyPdNBCgNIMFgYvmi6euZb/5HOh/buf7XRB1Qqw==" saltValue="gRa0pXRuruiSSs+a9hrg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46082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8920.8000000000011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EINSTELLUNG!L24</f>
        <v>3</v>
      </c>
      <c r="R9" s="209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EINSTELLUNG!I24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-445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8762.8000000000011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EINSTELLUNG!L8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-537.19999999999891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107021.09612903227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EINSTELLUNG!O8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1.6949152542372881E-2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EINSTELLUNG!C8</f>
        <v>400000</v>
      </c>
      <c r="R35" s="219"/>
      <c r="S35" s="219">
        <f>EINSTELLUNG!C24</f>
        <v>430000</v>
      </c>
      <c r="T35" s="219"/>
      <c r="U35" s="220">
        <f>S35-Q35</f>
        <v>30000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EINSTELLUNG!D8</f>
        <v>100000</v>
      </c>
      <c r="R36" s="219"/>
      <c r="S36" s="219">
        <f ca="1">SumMergedCells(Q17:R29)</f>
        <v>113271.0961</v>
      </c>
      <c r="T36" s="219"/>
      <c r="U36" s="220">
        <f t="shared" ref="U36:U41" ca="1" si="2">S36-Q36</f>
        <v>13271.096099999995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0.26342115372093022</v>
      </c>
      <c r="T37" s="226"/>
      <c r="U37" s="227">
        <f t="shared" ca="1" si="2"/>
        <v>1.3421153720930223E-2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EINSTELLUNG!F8</f>
        <v>30000</v>
      </c>
      <c r="R38" s="221"/>
      <c r="S38" s="221">
        <f>EINSTELLUNG!F24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14.827586206896552</v>
      </c>
      <c r="T39" s="219"/>
      <c r="U39" s="220">
        <f t="shared" si="2"/>
        <v>1.4942528735632177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45.647509928333406</v>
      </c>
      <c r="R40" s="219"/>
      <c r="S40" s="219">
        <f>IF(Q13=0, 0, S35/Q13)</f>
        <v>49.071073172958407</v>
      </c>
      <c r="T40" s="219"/>
      <c r="U40" s="220">
        <f t="shared" si="2"/>
        <v>3.4235632446250008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3.4235632446250053</v>
      </c>
      <c r="R41" s="221"/>
      <c r="S41" s="221">
        <f>IF(Q13=0, 0, S38/Q13)</f>
        <v>3.3094444698041716</v>
      </c>
      <c r="T41" s="221"/>
      <c r="U41" s="222">
        <f t="shared" si="2"/>
        <v>-0.11411877482083366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17" t="s">
        <v>115</v>
      </c>
      <c r="P42" s="218"/>
      <c r="Q42" s="223">
        <f>IFERROR(Q17/Q8, 0)</f>
        <v>11.996804785336771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bvPSGiJU+CzFD7OiIuTpY22e/gV6rAABCgWHKvrwLwP02NLR1wGcSlyKY0zxeP5LBIbwJlHfd4YHwQiie39Ugw==" saltValue="z5uZiWweXlroTaAMh45av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46113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8796.1799999999985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EINSTELLUNG!L25</f>
        <v>4</v>
      </c>
      <c r="R9" s="209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EINSTELLUNG!I25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-255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8297.1799999999985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EINSTELLUNG!L9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-1002.8200000000015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105600.40000000001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EINSTELLUNG!O9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EINSTELLUNG!C9</f>
        <v>400000</v>
      </c>
      <c r="R35" s="219"/>
      <c r="S35" s="219">
        <f>EINSTELLUNG!C25</f>
        <v>423000</v>
      </c>
      <c r="T35" s="219"/>
      <c r="U35" s="220">
        <f>S35-Q35</f>
        <v>23000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EINSTELLUNG!D9</f>
        <v>100000</v>
      </c>
      <c r="R36" s="219"/>
      <c r="S36" s="219">
        <f ca="1">SumMergedCells(Q17:R29)</f>
        <v>111850.4</v>
      </c>
      <c r="T36" s="219"/>
      <c r="U36" s="220">
        <f t="shared" ref="U36:U41" ca="1" si="2">S36-Q36</f>
        <v>11850.399999999994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0.26442174940898344</v>
      </c>
      <c r="T37" s="226"/>
      <c r="U37" s="227">
        <f t="shared" ca="1" si="2"/>
        <v>1.4421749408983442E-2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EINSTELLUNG!F9</f>
        <v>30000</v>
      </c>
      <c r="R38" s="221"/>
      <c r="S38" s="221">
        <f>EINSTELLUNG!F25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14.586206896551724</v>
      </c>
      <c r="T39" s="219"/>
      <c r="U39" s="220">
        <f t="shared" si="2"/>
        <v>1.2528735632183903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48.209150578871387</v>
      </c>
      <c r="R40" s="219"/>
      <c r="S40" s="219">
        <f>IF(Q13=0, 0, S35/Q13)</f>
        <v>50.981176737156488</v>
      </c>
      <c r="T40" s="219"/>
      <c r="U40" s="220">
        <f t="shared" si="2"/>
        <v>2.7720261582851009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3.615686293415354</v>
      </c>
      <c r="R41" s="221"/>
      <c r="S41" s="221">
        <f>IF(Q13=0, 0, S38/Q13)</f>
        <v>3.4951634169681753</v>
      </c>
      <c r="T41" s="221"/>
      <c r="U41" s="222">
        <f t="shared" si="2"/>
        <v>-0.12052287644717863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12.005256827395531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DxyzfTXALUvIkPrs3V9284txnoCRCajSLvHrluLFPN63dFQuIY/+/NleMB4GZzahX6THtcCxJk4WfmVHLGDKxQ==" saltValue="YUH5uQ352yeUv8UEDnveF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46143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-3882.4272637366012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9110.2599999999984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EINSTELLUNG!L26</f>
        <v>5</v>
      </c>
      <c r="R9" s="209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EINSTELLUNG!I26</f>
        <v>450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8055.2599999999984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EINSTELLUNG!L10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-1244.7400000000016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119119.66451612904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EINSTELLUNG!O10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71"/>
      <c r="N35" s="55" t="s">
        <v>205</v>
      </c>
      <c r="O35" s="217" t="s">
        <v>101</v>
      </c>
      <c r="P35" s="218"/>
      <c r="Q35" s="219">
        <f>EINSTELLUNG!C10</f>
        <v>400000</v>
      </c>
      <c r="R35" s="219"/>
      <c r="S35" s="219">
        <f>EINSTELLUNG!C26</f>
        <v>420000</v>
      </c>
      <c r="T35" s="219"/>
      <c r="U35" s="220">
        <f>S35-Q35</f>
        <v>20000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EINSTELLUNG!D10</f>
        <v>100000</v>
      </c>
      <c r="R36" s="219"/>
      <c r="S36" s="219">
        <f ca="1">SumMergedCells(Q17:R29)</f>
        <v>125369.6645</v>
      </c>
      <c r="T36" s="219"/>
      <c r="U36" s="220">
        <f t="shared" ref="U36:U41" ca="1" si="2">S36-Q36</f>
        <v>25369.664499999999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0.29849920119047618</v>
      </c>
      <c r="T37" s="226"/>
      <c r="U37" s="227">
        <f t="shared" ca="1" si="2"/>
        <v>4.8499201190476182E-2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2200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71"/>
      <c r="N38" s="55"/>
      <c r="O38" s="217" t="s">
        <v>107</v>
      </c>
      <c r="P38" s="218"/>
      <c r="Q38" s="221">
        <f>EINSTELLUNG!F10</f>
        <v>30000</v>
      </c>
      <c r="R38" s="221"/>
      <c r="S38" s="221">
        <f>EINSTELLUNG!F26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13.548387096774194</v>
      </c>
      <c r="T39" s="219"/>
      <c r="U39" s="220">
        <f t="shared" si="2"/>
        <v>0.21505376344086002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49.656994311791308</v>
      </c>
      <c r="R40" s="219"/>
      <c r="S40" s="219">
        <f>IF(Q12=0, 0, S35/Q12)</f>
        <v>52.139844027380875</v>
      </c>
      <c r="T40" s="219"/>
      <c r="U40" s="220">
        <f t="shared" si="2"/>
        <v>2.4828497155895661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3.7242745733843483</v>
      </c>
      <c r="R41" s="221"/>
      <c r="S41" s="221">
        <f>IF(Q12=0, 0, S38/Q12)</f>
        <v>3.8484170591638267</v>
      </c>
      <c r="T41" s="221"/>
      <c r="U41" s="222">
        <f t="shared" si="2"/>
        <v>0.1241424857794784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13.075330947319731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PZxYmxINll7Ts5TMLXJ4luc3UftSQXM72GvKHhsui69om5cFjb3MCPkbZRhyGN7szytwZi1cEZ6oC7e9P/obAw==" saltValue="elLjWi1whnHqnIdqFjX3f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46174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-3959.9818565584596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9280.0099999999984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07" t="s">
        <v>60</v>
      </c>
      <c r="P9" s="208"/>
      <c r="Q9" s="209">
        <f>EINSTELLUNG!L27</f>
        <v>6</v>
      </c>
      <c r="R9" s="209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EINSTELLUNG!I27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8503.0099999999984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07" t="s">
        <v>70</v>
      </c>
      <c r="P14" s="208"/>
      <c r="Q14" s="209">
        <f>EINSTELLUNG!L11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-796.9900000000016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122047.51666666666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EINSTELLUNG!O11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EINSTELLUNG!C11</f>
        <v>400000</v>
      </c>
      <c r="R35" s="219"/>
      <c r="S35" s="219">
        <f>EINSTELLUNG!C27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EINSTELLUNG!D11</f>
        <v>100000</v>
      </c>
      <c r="R36" s="219"/>
      <c r="S36" s="219">
        <f ca="1">SumMergedCells(Q17:R29)</f>
        <v>128297.51669999999</v>
      </c>
      <c r="T36" s="219"/>
      <c r="U36" s="220">
        <f t="shared" ref="U36:U41" ca="1" si="2">S36-Q36</f>
        <v>28297.516699999993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0.29493681999999999</v>
      </c>
      <c r="T37" s="226"/>
      <c r="U37" s="227">
        <f t="shared" ca="1" si="2"/>
        <v>4.4936819999999988E-2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2200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71"/>
      <c r="N38" s="55"/>
      <c r="O38" s="217" t="s">
        <v>107</v>
      </c>
      <c r="P38" s="218"/>
      <c r="Q38" s="221">
        <f>EINSTELLUNG!F11</f>
        <v>30000</v>
      </c>
      <c r="R38" s="221"/>
      <c r="S38" s="221">
        <f>EINSTELLUNG!F27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19047.619047619046</v>
      </c>
      <c r="R40" s="219"/>
      <c r="S40" s="219">
        <f>IF(Q12=0, 0, S35/Q12)</f>
        <v>20714.285714285714</v>
      </c>
      <c r="T40" s="219"/>
      <c r="U40" s="220">
        <f t="shared" si="2"/>
        <v>1666.6666666666679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1428.5714285714287</v>
      </c>
      <c r="R41" s="221"/>
      <c r="S41" s="221">
        <f>IF(Q12=0, 0, S38/Q12)</f>
        <v>1476.1904761904761</v>
      </c>
      <c r="T41" s="221"/>
      <c r="U41" s="222">
        <f t="shared" si="2"/>
        <v>47.619047619047478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13.151657882552572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LIEMLI4CIXeE/O+rekJMxJJcB/q/QOYRXlXPnR0NkDr844riqlTmuwd2z7uW1FY6DSCeXyiGWkAjoPpUVG4+Fg==" saltValue="f3mB5m5sz/WEtO9mgvCCT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46204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-2728.2595667662272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8187.3599999999988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EINSTELLUNG!L28</f>
        <v>7</v>
      </c>
      <c r="R9" s="209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EINSTELLUNG!I28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-20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7600.3599999999988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EINSTELLUNG!L12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-1699.6400000000012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110025.3741935484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71"/>
      <c r="N19" s="55" t="s">
        <v>206</v>
      </c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15"/>
      <c r="P26" s="258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44" t="s">
        <v>90</v>
      </c>
      <c r="P29" s="245"/>
      <c r="Q29" s="246">
        <f>EINSTELLUNG!O12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17" t="s">
        <v>101</v>
      </c>
      <c r="P35" s="218"/>
      <c r="Q35" s="219">
        <f>EINSTELLUNG!C12</f>
        <v>400000</v>
      </c>
      <c r="R35" s="219"/>
      <c r="S35" s="219">
        <f>EINSTELLUNG!C28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EINSTELLUNG!D12</f>
        <v>100000</v>
      </c>
      <c r="R36" s="219"/>
      <c r="S36" s="223">
        <f ca="1">SumMergedCells(Q17:R29)</f>
        <v>116275.37420000001</v>
      </c>
      <c r="T36" s="225"/>
      <c r="U36" s="220">
        <f t="shared" ref="U36:U41" ca="1" si="2">S36-Q36</f>
        <v>16275.374200000006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0.26729971080459769</v>
      </c>
      <c r="T37" s="226"/>
      <c r="U37" s="227">
        <f t="shared" ca="1" si="2"/>
        <v>1.729971080459769E-2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EINSTELLUNG!F12</f>
        <v>30000</v>
      </c>
      <c r="R38" s="221"/>
      <c r="S38" s="221">
        <f>EINSTELLUNG!F28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52.629085990663611</v>
      </c>
      <c r="R40" s="219"/>
      <c r="S40" s="219">
        <f>IF(Q13=0, 0, S35/Q13)</f>
        <v>57.234131014846675</v>
      </c>
      <c r="T40" s="219"/>
      <c r="U40" s="220">
        <f t="shared" si="2"/>
        <v>4.6050450241830632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3.9471814492997708</v>
      </c>
      <c r="R41" s="221"/>
      <c r="S41" s="221">
        <f>IF(Q13=0, 0, S38/Q13)</f>
        <v>4.0787541642764298</v>
      </c>
      <c r="T41" s="221"/>
      <c r="U41" s="222">
        <f t="shared" si="2"/>
        <v>0.13157271497665901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13.438443429084396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P3CCwufDPuB6ejzgOVLpcAEoOM1TU/hzLt9V1tAMsIkmj3mLpT0EieNR/djKr1IFAomfhBCkSevWgn2NI0fQA==" saltValue="zNEUBbQS8o0Cs0xmCr6Ta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46235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-3453.953372797343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9065.1899999999987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EINSTELLUNG!L29</f>
        <v>8</v>
      </c>
      <c r="R9" s="209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EINSTELLUNG!I29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620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8287.1899999999987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EINSTELLUNG!L13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-1012.8100000000013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118982.6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EINSTELLUNG!O13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3.3898305084745763E-2</v>
      </c>
      <c r="R31" s="263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EINSTELLUNG!C13</f>
        <v>400000</v>
      </c>
      <c r="R35" s="219"/>
      <c r="S35" s="219">
        <f>EINSTELLUNG!C29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EINSTELLUNG!D13</f>
        <v>100000</v>
      </c>
      <c r="R36" s="219"/>
      <c r="S36" s="223">
        <f ca="1">SumMergedCells(Q17:R29)</f>
        <v>125232.6</v>
      </c>
      <c r="T36" s="225"/>
      <c r="U36" s="220">
        <f t="shared" ref="U36:U41" ca="1" si="2">S36-Q36</f>
        <v>25232.600000000006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88">
        <f ca="1">IF(ISERROR(S36/S35), 0, S36/S35)</f>
        <v>0.28789103448275866</v>
      </c>
      <c r="T37" s="289"/>
      <c r="U37" s="227">
        <f t="shared" ca="1" si="2"/>
        <v>3.7891034482758656E-2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EINSTELLUNG!F13</f>
        <v>30000</v>
      </c>
      <c r="R38" s="221"/>
      <c r="S38" s="221">
        <f>EINSTELLUNG!F29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48.267265502540674</v>
      </c>
      <c r="R40" s="219"/>
      <c r="S40" s="219">
        <f>IF(Q12=0, 0, S35/Q12)</f>
        <v>52.490651234012986</v>
      </c>
      <c r="T40" s="219"/>
      <c r="U40" s="220">
        <f t="shared" si="2"/>
        <v>4.2233857314723124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3.6200449126905507</v>
      </c>
      <c r="R41" s="221"/>
      <c r="S41" s="221">
        <f>IF(Q12=0, 0, S38/Q12)</f>
        <v>3.7407130764469025</v>
      </c>
      <c r="T41" s="221"/>
      <c r="U41" s="222">
        <f t="shared" si="2"/>
        <v>0.12066816375635181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13.125218555816263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2200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eLk6BiGcLA3dlE1bTDSh5zW6JwoZuPVgNiZLJhoY/JIviOICTnv9SKA3nBAXEtVNGItg0VwM4RwObVD+27unMg==" saltValue="ZhXsD799i56EBNoIqjb9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46266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-3528.6853187379343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8897.9599999999991</v>
      </c>
      <c r="R8" s="209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EINSTELLUNG!L30</f>
        <v>9</v>
      </c>
      <c r="R9" s="209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EINSTELLUNG!I30</f>
        <v>0</v>
      </c>
      <c r="R10" s="209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167</v>
      </c>
      <c r="R12" s="238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8121.9599999999991</v>
      </c>
      <c r="R13" s="209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EINSTELLUNG!L14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-1178.0400000000009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116376.26666666666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293.33333333333331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71"/>
      <c r="N21" s="55" t="s">
        <v>197</v>
      </c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EINSTELLUNG!O14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1.7241379310344827E-2</v>
      </c>
      <c r="R31" s="263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EINSTELLUNG!C14</f>
        <v>400000</v>
      </c>
      <c r="R35" s="219"/>
      <c r="S35" s="219">
        <f>EINSTELLUNG!C30</f>
        <v>450000</v>
      </c>
      <c r="T35" s="219"/>
      <c r="U35" s="220">
        <f>S35-Q35</f>
        <v>50000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EINSTELLUNG!D14</f>
        <v>100000</v>
      </c>
      <c r="R36" s="219"/>
      <c r="S36" s="223">
        <f ca="1">SumMergedCells(Q17:R29)</f>
        <v>122626.26669999999</v>
      </c>
      <c r="T36" s="225"/>
      <c r="U36" s="220">
        <f t="shared" ref="U36:U41" ca="1" si="2">S36-Q36</f>
        <v>22626.266699999993</v>
      </c>
      <c r="V36" s="220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0.27250281488888889</v>
      </c>
      <c r="T37" s="226"/>
      <c r="U37" s="227">
        <f t="shared" ca="1" si="2"/>
        <v>2.2502814888888889E-2</v>
      </c>
      <c r="V37" s="22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EINSTELLUNG!F14</f>
        <v>30000</v>
      </c>
      <c r="R38" s="221"/>
      <c r="S38" s="221">
        <f>EINSTELLUNG!F30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14.516129032258064</v>
      </c>
      <c r="T39" s="219"/>
      <c r="U39" s="220">
        <f t="shared" si="2"/>
        <v>1.1827956989247301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49.249196006875195</v>
      </c>
      <c r="R40" s="219"/>
      <c r="S40" s="219">
        <f>IF(Q13=0, 0, S35/Q13)</f>
        <v>55.405345507734594</v>
      </c>
      <c r="T40" s="219"/>
      <c r="U40" s="220">
        <f t="shared" si="2"/>
        <v>6.1561495008593994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3.6936897005156393</v>
      </c>
      <c r="R41" s="221"/>
      <c r="S41" s="221">
        <f>IF(Q13=0, 0, S38/Q13)</f>
        <v>3.8168126905328275</v>
      </c>
      <c r="T41" s="221"/>
      <c r="U41" s="222">
        <f t="shared" si="2"/>
        <v>0.12312299001718818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13.07898289795264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2200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dTS3Ho0h/ZrMti2nHhsovCYAWygsoNNCD/ZMOg8JSiAaoF5SslqEL/7c0m14Ama4Uipbw5ISSJgKoyyspFuM+w==" saltValue="2OoFRRzBM+efpVlmO3lQ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46296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-3305.1745557758759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8723.1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EINSTELLUNG!L31</f>
        <v>10</v>
      </c>
      <c r="R9" s="209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EINSTELLUNG!I31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-121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8234.1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EINSTELLUNG!L15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-1065.8999999999996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113911.43870967743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EINSTELLUNG!O15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1.7543859649122806E-2</v>
      </c>
      <c r="R31" s="263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EINSTELLUNG!C15</f>
        <v>400000</v>
      </c>
      <c r="R35" s="219"/>
      <c r="S35" s="219">
        <f>EINSTELLUNG!C31</f>
        <v>401000</v>
      </c>
      <c r="T35" s="219"/>
      <c r="U35" s="220">
        <f>S35-Q35</f>
        <v>1000</v>
      </c>
      <c r="V35" s="220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EINSTELLUNG!D15</f>
        <v>100000</v>
      </c>
      <c r="R36" s="219"/>
      <c r="S36" s="223">
        <f ca="1">SumMergedCells(Q17:R29)</f>
        <v>120161.4387</v>
      </c>
      <c r="T36" s="225"/>
      <c r="U36" s="220">
        <f t="shared" ref="U36:U41" ca="1" si="2">S36-Q36</f>
        <v>20161.438699999999</v>
      </c>
      <c r="V36" s="220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0.29965446059850376</v>
      </c>
      <c r="T37" s="226"/>
      <c r="U37" s="227">
        <f t="shared" ca="1" si="2"/>
        <v>4.9654460598503758E-2</v>
      </c>
      <c r="V37" s="22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EINSTELLUNG!F15</f>
        <v>30000</v>
      </c>
      <c r="R38" s="221"/>
      <c r="S38" s="221">
        <f>EINSTELLUNG!F31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12.935483870967742</v>
      </c>
      <c r="T39" s="219"/>
      <c r="U39" s="220">
        <f t="shared" si="2"/>
        <v>-0.39784946236559193</v>
      </c>
      <c r="V39" s="220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48.578472449933813</v>
      </c>
      <c r="R40" s="219"/>
      <c r="S40" s="219">
        <f>IF(Q13=0, 0, S35/Q13)</f>
        <v>48.699918631058644</v>
      </c>
      <c r="T40" s="219"/>
      <c r="U40" s="220">
        <f t="shared" si="2"/>
        <v>0.1214461811248313</v>
      </c>
      <c r="V40" s="220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3.6433854337450358</v>
      </c>
      <c r="R41" s="221"/>
      <c r="S41" s="221">
        <f>IF(Q13=0, 0, S38/Q13)</f>
        <v>3.7648316148698702</v>
      </c>
      <c r="T41" s="221"/>
      <c r="U41" s="222">
        <f t="shared" si="2"/>
        <v>0.12144618112483441</v>
      </c>
      <c r="V41" s="222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13.058595993359864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rzSKYOKnLZ9tNOzwuidiC8pMeHEegQvNOJt2YsXKORcj8PhiA2hqhS4H9hWuMP09zaGumYFI/Vno8qk65xHPVA==" saltValue="0gWVf3XCqmEjg87aMwdi/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46327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-3089.4680510462395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8551.9599999999991</v>
      </c>
      <c r="R8" s="209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EINSTELLUNG!L32</f>
        <v>11</v>
      </c>
      <c r="R9" s="209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EINSTELLUNG!I32</f>
        <v>150</v>
      </c>
      <c r="R10" s="209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7790.9599999999991</v>
      </c>
      <c r="R12" s="209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EINSTELLUNG!L16</f>
        <v>9300</v>
      </c>
      <c r="R13" s="209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-1509.0400000000009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2200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111759.93333333333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EINSTELLUNG!O16</f>
        <v>1250</v>
      </c>
      <c r="R29" s="247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1.7857142857142856E-2</v>
      </c>
      <c r="R31" s="263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EINSTELLUNG!C16</f>
        <v>400000</v>
      </c>
      <c r="R35" s="219"/>
      <c r="S35" s="219">
        <f>EINSTELLUNG!C32</f>
        <v>398000</v>
      </c>
      <c r="T35" s="219"/>
      <c r="U35" s="220">
        <f>S35-Q35</f>
        <v>-2000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EINSTELLUNG!D16</f>
        <v>100000</v>
      </c>
      <c r="R36" s="219"/>
      <c r="S36" s="223">
        <f ca="1">SumMergedCells(Q17:R29)</f>
        <v>118009.9333</v>
      </c>
      <c r="T36" s="225"/>
      <c r="U36" s="220">
        <f t="shared" ref="U36:U41" ca="1" si="2">S36-Q36</f>
        <v>18009.933300000004</v>
      </c>
      <c r="V36" s="220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0.29650737010050254</v>
      </c>
      <c r="T37" s="226"/>
      <c r="U37" s="227">
        <f t="shared" ca="1" si="2"/>
        <v>4.6507370100502543E-2</v>
      </c>
      <c r="V37" s="22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EINSTELLUNG!F16</f>
        <v>30000</v>
      </c>
      <c r="R38" s="221"/>
      <c r="S38" s="221">
        <f>EINSTELLUNG!F32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12.838709677419354</v>
      </c>
      <c r="T39" s="219"/>
      <c r="U39" s="220">
        <f t="shared" si="2"/>
        <v>-0.49462365591397983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51.341554827646405</v>
      </c>
      <c r="R40" s="219"/>
      <c r="S40" s="219">
        <f>IF(Q12=0, 0, S35/Q12)</f>
        <v>51.084847053508177</v>
      </c>
      <c r="T40" s="219"/>
      <c r="U40" s="220">
        <f t="shared" si="2"/>
        <v>-0.25670777413822776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3.8506166120734804</v>
      </c>
      <c r="R41" s="221"/>
      <c r="S41" s="221">
        <f>IF(Q12=0, 0, S38/Q12)</f>
        <v>3.9789704991425965</v>
      </c>
      <c r="T41" s="221"/>
      <c r="U41" s="222">
        <f t="shared" si="2"/>
        <v>0.1283538870691161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13.068341448432095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2200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LuTl/cnqjvbCOjkIDO2R47VTZmQYbDX935IbwRFD7wokWVutQCbg60oJu9oAQdsYkmmTgfKPCsg1HoAEZfLs+Q==" saltValue="8anjd8IJAU6PShfiqASiX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46357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-2871.817102435838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8494.2999999999993</v>
      </c>
      <c r="R8" s="20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EINSTELLUNG!L33</f>
        <v>12</v>
      </c>
      <c r="R9" s="209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EINSTELLUNG!I33</f>
        <v>400</v>
      </c>
      <c r="R10" s="20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-303</v>
      </c>
      <c r="R12" s="238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7785.2999999999993</v>
      </c>
      <c r="R13" s="20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EINSTELLUNG!L17</f>
        <v>9300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07" t="s">
        <v>72</v>
      </c>
      <c r="P15" s="208"/>
      <c r="Q15" s="209">
        <f>Q13-Q14</f>
        <v>-1514.7000000000007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2200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111026.6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13"/>
      <c r="P28" s="214"/>
      <c r="Q28" s="206"/>
      <c r="R28" s="251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333" t="s">
        <v>90</v>
      </c>
      <c r="P29" s="334"/>
      <c r="Q29" s="335">
        <f>EINSTELLUNG!O17</f>
        <v>1250</v>
      </c>
      <c r="R29" s="336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EINSTELLUNG!C17</f>
        <v>400000</v>
      </c>
      <c r="R35" s="219"/>
      <c r="S35" s="219">
        <f>EINSTELLUNG!C33</f>
        <v>390000</v>
      </c>
      <c r="T35" s="219"/>
      <c r="U35" s="220">
        <f>S35-Q35</f>
        <v>-10000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EINSTELLUNG!D17</f>
        <v>100000</v>
      </c>
      <c r="R36" s="219"/>
      <c r="S36" s="223">
        <f ca="1">SumMergedCells(Q17:R29)</f>
        <v>117276.6</v>
      </c>
      <c r="T36" s="225"/>
      <c r="U36" s="220">
        <f t="shared" ref="U36:U41" ca="1" si="2">S36-Q36</f>
        <v>17276.600000000006</v>
      </c>
      <c r="V36" s="220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0.30070923076923078</v>
      </c>
      <c r="T37" s="226"/>
      <c r="U37" s="227">
        <f t="shared" ca="1" si="2"/>
        <v>5.0709230769230784E-2</v>
      </c>
      <c r="V37" s="22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EINSTELLUNG!F17</f>
        <v>30000</v>
      </c>
      <c r="R38" s="221"/>
      <c r="S38" s="221">
        <f>EINSTELLUNG!F33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12.580645161290322</v>
      </c>
      <c r="T39" s="219"/>
      <c r="U39" s="220">
        <f t="shared" si="2"/>
        <v>-0.75268817204301186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51.378880711083717</v>
      </c>
      <c r="R40" s="219"/>
      <c r="S40" s="219">
        <f>IF(Q13=0, 0, S35/Q13)</f>
        <v>50.094408693306619</v>
      </c>
      <c r="T40" s="219"/>
      <c r="U40" s="220">
        <f t="shared" si="2"/>
        <v>-1.2844720177770981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3.8534160533312787</v>
      </c>
      <c r="R41" s="221"/>
      <c r="S41" s="221">
        <f>IF(Q13=0, 0, S38/Q13)</f>
        <v>3.9818632551089879</v>
      </c>
      <c r="T41" s="221"/>
      <c r="U41" s="222">
        <f t="shared" si="2"/>
        <v>0.12844720177770919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13.07071801090143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2200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GqsE1Q3nWGey8QebtQ2nWazMmzqgY+TNgA4QvzOdhM3gEO8XcbCXVkmIkSJtlGBTEqzkTGAq2VGIGgWFNb2TqA==" saltValue="SiHEvtfJk1wxNFx3kOlnS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15" t="str">
        <f xml:space="preserve"> "FINANZIELL ÜBERSICHT " &amp; EINSTELLUNG!C35</f>
        <v>FINANZIELL ÜBERSICHT 2026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2"/>
    </row>
    <row r="3" spans="2:18" ht="18" customHeight="1" thickBot="1"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2"/>
    </row>
    <row r="4" spans="2:18" ht="24" customHeight="1">
      <c r="B4" s="417"/>
      <c r="C4" s="418" t="s">
        <v>18</v>
      </c>
      <c r="D4" s="418"/>
      <c r="E4" s="418"/>
      <c r="F4" s="418" t="s">
        <v>164</v>
      </c>
      <c r="G4" s="418"/>
      <c r="H4" s="418"/>
      <c r="I4" s="418" t="s">
        <v>165</v>
      </c>
      <c r="J4" s="418"/>
      <c r="K4" s="418"/>
      <c r="L4" s="418" t="s">
        <v>166</v>
      </c>
      <c r="M4" s="418" t="s">
        <v>167</v>
      </c>
      <c r="N4" s="418" t="s">
        <v>168</v>
      </c>
      <c r="O4" s="418"/>
      <c r="P4" s="418"/>
      <c r="Q4" s="419" t="s">
        <v>93</v>
      </c>
    </row>
    <row r="5" spans="2:18" ht="30" customHeight="1">
      <c r="B5" s="420"/>
      <c r="C5" s="421"/>
      <c r="D5" s="421"/>
      <c r="E5" s="421"/>
      <c r="F5" s="421"/>
      <c r="G5" s="421"/>
      <c r="H5" s="421"/>
      <c r="I5" s="421"/>
      <c r="J5" s="421"/>
      <c r="K5" s="421"/>
      <c r="L5" s="421"/>
      <c r="M5" s="421"/>
      <c r="N5" s="421"/>
      <c r="O5" s="421"/>
      <c r="P5" s="421"/>
      <c r="Q5" s="422"/>
    </row>
    <row r="6" spans="2:18" ht="30" customHeight="1">
      <c r="B6" s="420"/>
      <c r="C6" s="423" t="s">
        <v>169</v>
      </c>
      <c r="D6" s="423" t="s">
        <v>170</v>
      </c>
      <c r="E6" s="423" t="s">
        <v>171</v>
      </c>
      <c r="F6" s="423" t="s">
        <v>169</v>
      </c>
      <c r="G6" s="423" t="s">
        <v>170</v>
      </c>
      <c r="H6" s="423" t="s">
        <v>171</v>
      </c>
      <c r="I6" s="423" t="s">
        <v>169</v>
      </c>
      <c r="J6" s="423" t="s">
        <v>170</v>
      </c>
      <c r="K6" s="423" t="s">
        <v>171</v>
      </c>
      <c r="L6" s="421"/>
      <c r="M6" s="421"/>
      <c r="N6" s="423" t="s">
        <v>172</v>
      </c>
      <c r="O6" s="423" t="s">
        <v>173</v>
      </c>
      <c r="P6" s="423" t="s">
        <v>171</v>
      </c>
      <c r="Q6" s="422"/>
    </row>
    <row r="7" spans="2:18" ht="30" customHeight="1">
      <c r="B7" s="424" t="s">
        <v>174</v>
      </c>
      <c r="C7" s="425">
        <f>EINSTELLUNG!C6</f>
        <v>400000</v>
      </c>
      <c r="D7" s="425">
        <f>EINSTELLUNG!C22</f>
        <v>425000</v>
      </c>
      <c r="E7" s="426">
        <f>D7-C7</f>
        <v>25000</v>
      </c>
      <c r="F7" s="425">
        <f>EINSTELLUNG!D6</f>
        <v>100000</v>
      </c>
      <c r="G7" s="425">
        <v>96111.986000000004</v>
      </c>
      <c r="H7" s="426">
        <v>-3888.0139999999956</v>
      </c>
      <c r="I7" s="427">
        <f>EINSTELLUNG!E6</f>
        <v>0.25</v>
      </c>
      <c r="J7" s="427">
        <v>0.22614584941176472</v>
      </c>
      <c r="K7" s="427">
        <v>-2.3854150588235284E-2</v>
      </c>
      <c r="L7" s="428">
        <f>Januar!S40</f>
        <v>63.255060776950749</v>
      </c>
      <c r="M7" s="428">
        <f>Januar!S41</f>
        <v>4.3162276765448748</v>
      </c>
      <c r="N7" s="428">
        <f>Januar!O5</f>
        <v>722.46717552718769</v>
      </c>
      <c r="O7" s="428">
        <f>Januar!P5</f>
        <v>600</v>
      </c>
      <c r="P7" s="429">
        <f>O7-N7</f>
        <v>-122.46717552718769</v>
      </c>
      <c r="Q7" s="430">
        <v>1.9607843137254902E-2</v>
      </c>
    </row>
    <row r="8" spans="2:18" ht="30" customHeight="1">
      <c r="B8" s="357" t="s">
        <v>175</v>
      </c>
      <c r="C8" s="410">
        <f>EINSTELLUNG!C7</f>
        <v>400000</v>
      </c>
      <c r="D8" s="410">
        <f>EINSTELLUNG!C23</f>
        <v>425000</v>
      </c>
      <c r="E8" s="431">
        <f>D8-C8</f>
        <v>25000</v>
      </c>
      <c r="F8" s="410">
        <f>EINSTELLUNG!D7</f>
        <v>100000</v>
      </c>
      <c r="G8" s="410">
        <v>109771.0129</v>
      </c>
      <c r="H8" s="431">
        <v>9771.0129000000015</v>
      </c>
      <c r="I8" s="432">
        <f>EINSTELLUNG!E7</f>
        <v>0.25</v>
      </c>
      <c r="J8" s="432">
        <v>0.25828473623529413</v>
      </c>
      <c r="K8" s="432">
        <v>8.2847362352941323E-3</v>
      </c>
      <c r="L8" s="359">
        <f>Februar!S40</f>
        <v>52.850770564234836</v>
      </c>
      <c r="M8" s="359">
        <f>Februar!S41</f>
        <v>3.6062878737948476</v>
      </c>
      <c r="N8" s="359">
        <f>Februar!O5</f>
        <v>847.67804086844035</v>
      </c>
      <c r="O8" s="359">
        <f>Februar!P5</f>
        <v>600</v>
      </c>
      <c r="P8" s="433">
        <f t="shared" ref="P8:P23" si="0">O8-N8</f>
        <v>-247.67804086844035</v>
      </c>
      <c r="Q8" s="434">
        <v>1.7241379310344827E-2</v>
      </c>
    </row>
    <row r="9" spans="2:18" ht="30" customHeight="1">
      <c r="B9" s="424" t="s">
        <v>176</v>
      </c>
      <c r="C9" s="425">
        <f>EINSTELLUNG!C8</f>
        <v>400000</v>
      </c>
      <c r="D9" s="425">
        <f>EINSTELLUNG!C24</f>
        <v>430000</v>
      </c>
      <c r="E9" s="426">
        <f>D9-C9</f>
        <v>30000</v>
      </c>
      <c r="F9" s="425">
        <f>EINSTELLUNG!D8</f>
        <v>100000</v>
      </c>
      <c r="G9" s="425">
        <v>113271.0961</v>
      </c>
      <c r="H9" s="426">
        <v>13271.096099999995</v>
      </c>
      <c r="I9" s="427">
        <f>EINSTELLUNG!E8</f>
        <v>0.25</v>
      </c>
      <c r="J9" s="427">
        <v>0.26342115372093022</v>
      </c>
      <c r="K9" s="427">
        <v>1.3421153720930223E-2</v>
      </c>
      <c r="L9" s="428">
        <f>Marz!S40</f>
        <v>49.071073172958407</v>
      </c>
      <c r="M9" s="428">
        <f>Marz!S41</f>
        <v>3.3094444698041716</v>
      </c>
      <c r="N9" s="428">
        <f>Marz!O5</f>
        <v>872.72021393669127</v>
      </c>
      <c r="O9" s="428">
        <f>Marz!P5</f>
        <v>600</v>
      </c>
      <c r="P9" s="429">
        <f t="shared" si="0"/>
        <v>-272.72021393669127</v>
      </c>
      <c r="Q9" s="430">
        <v>1.6949152542372881E-2</v>
      </c>
    </row>
    <row r="10" spans="2:18" ht="30" customHeight="1">
      <c r="B10" s="435" t="s">
        <v>177</v>
      </c>
      <c r="C10" s="436">
        <f>SUM(C7:C9)</f>
        <v>1200000</v>
      </c>
      <c r="D10" s="436">
        <f>SUM(D7:D9)</f>
        <v>1280000</v>
      </c>
      <c r="E10" s="437">
        <f>D10-C10</f>
        <v>80000</v>
      </c>
      <c r="F10" s="436">
        <f>SUM(F7:F9)</f>
        <v>300000</v>
      </c>
      <c r="G10" s="436">
        <v>319154.09499999997</v>
      </c>
      <c r="H10" s="437">
        <v>19154.094999999972</v>
      </c>
      <c r="I10" s="438">
        <f>AVERAGE(I7:I9)</f>
        <v>0.25</v>
      </c>
      <c r="J10" s="438">
        <v>0.24928391312266304</v>
      </c>
      <c r="K10" s="438">
        <v>-7.1608687733695775E-4</v>
      </c>
      <c r="L10" s="439">
        <f>AVERAGE(L7:L9)</f>
        <v>55.058968171381331</v>
      </c>
      <c r="M10" s="439">
        <f>AVERAGE(M7:M9)</f>
        <v>3.7439866733812983</v>
      </c>
      <c r="N10" s="439">
        <f>SUM(N7:N9)</f>
        <v>2442.8654303323192</v>
      </c>
      <c r="O10" s="439">
        <f>SUM(O7:O9)</f>
        <v>1800</v>
      </c>
      <c r="P10" s="440">
        <f t="shared" si="0"/>
        <v>-642.86543033231919</v>
      </c>
      <c r="Q10" s="441">
        <v>5.3571428571428568E-2</v>
      </c>
    </row>
    <row r="11" spans="2:18" ht="30" customHeight="1">
      <c r="B11" s="424" t="s">
        <v>178</v>
      </c>
      <c r="C11" s="425">
        <f>EINSTELLUNG!C9</f>
        <v>400000</v>
      </c>
      <c r="D11" s="425">
        <f>EINSTELLUNG!C25</f>
        <v>423000</v>
      </c>
      <c r="E11" s="426">
        <f t="shared" ref="E11:E21" si="1">D11-C11</f>
        <v>23000</v>
      </c>
      <c r="F11" s="425">
        <f>EINSTELLUNG!D9</f>
        <v>100000</v>
      </c>
      <c r="G11" s="425">
        <v>111850.4</v>
      </c>
      <c r="H11" s="426">
        <v>11850.399999999994</v>
      </c>
      <c r="I11" s="427">
        <f>EINSTELLUNG!E9</f>
        <v>0.25</v>
      </c>
      <c r="J11" s="427">
        <v>0.26442174940898344</v>
      </c>
      <c r="K11" s="427">
        <v>1.4421749408983442E-2</v>
      </c>
      <c r="L11" s="428">
        <f>April!S40</f>
        <v>50.981176737156488</v>
      </c>
      <c r="M11" s="428">
        <f>April!S41</f>
        <v>3.4951634169681753</v>
      </c>
      <c r="N11" s="428">
        <f>April!O5</f>
        <v>853.85414520897245</v>
      </c>
      <c r="O11" s="428">
        <f>April!P5</f>
        <v>600</v>
      </c>
      <c r="P11" s="429">
        <f t="shared" si="0"/>
        <v>-253.85414520897245</v>
      </c>
      <c r="Q11" s="430">
        <v>0</v>
      </c>
    </row>
    <row r="12" spans="2:18" ht="30" customHeight="1">
      <c r="B12" s="357" t="s">
        <v>179</v>
      </c>
      <c r="C12" s="410">
        <f>EINSTELLUNG!C10</f>
        <v>400000</v>
      </c>
      <c r="D12" s="410">
        <f>EINSTELLUNG!C26</f>
        <v>420000</v>
      </c>
      <c r="E12" s="431">
        <f t="shared" si="1"/>
        <v>20000</v>
      </c>
      <c r="F12" s="410">
        <f>EINSTELLUNG!D10</f>
        <v>100000</v>
      </c>
      <c r="G12" s="410">
        <v>125369.6645</v>
      </c>
      <c r="H12" s="431">
        <v>25369.664499999999</v>
      </c>
      <c r="I12" s="432">
        <f>EINSTELLUNG!E10</f>
        <v>0.25</v>
      </c>
      <c r="J12" s="432">
        <v>0.29849920119047618</v>
      </c>
      <c r="K12" s="432">
        <v>4.8499201190476182E-2</v>
      </c>
      <c r="L12" s="359">
        <f>Mai!S40</f>
        <v>52.139844027380875</v>
      </c>
      <c r="M12" s="359">
        <f>Mai!S41</f>
        <v>3.8484170591638267</v>
      </c>
      <c r="N12" s="359">
        <f>Mai!O5</f>
        <v>896.92764790266722</v>
      </c>
      <c r="O12" s="359">
        <f>Mai!P5</f>
        <v>600</v>
      </c>
      <c r="P12" s="433">
        <f t="shared" si="0"/>
        <v>-296.92764790266722</v>
      </c>
      <c r="Q12" s="434">
        <v>1.6393442622950821E-2</v>
      </c>
    </row>
    <row r="13" spans="2:18" ht="30" customHeight="1">
      <c r="B13" s="424" t="s">
        <v>180</v>
      </c>
      <c r="C13" s="425">
        <f>EINSTELLUNG!C11</f>
        <v>400000</v>
      </c>
      <c r="D13" s="425">
        <f>EINSTELLUNG!C27</f>
        <v>435000</v>
      </c>
      <c r="E13" s="426">
        <f t="shared" si="1"/>
        <v>35000</v>
      </c>
      <c r="F13" s="425">
        <f>EINSTELLUNG!D11</f>
        <v>100000</v>
      </c>
      <c r="G13" s="425">
        <v>128297.51669999999</v>
      </c>
      <c r="H13" s="426">
        <v>28297.516699999993</v>
      </c>
      <c r="I13" s="427">
        <f>EINSTELLUNG!E11</f>
        <v>0.25</v>
      </c>
      <c r="J13" s="427">
        <v>0.29493681999999999</v>
      </c>
      <c r="K13" s="427">
        <v>4.4936819999999988E-2</v>
      </c>
      <c r="L13" s="428">
        <f>Juni!S40</f>
        <v>20714.285714285714</v>
      </c>
      <c r="M13" s="428">
        <f>Juni!S41</f>
        <v>1476.1904761904761</v>
      </c>
      <c r="N13" s="428">
        <f>Juni!O5</f>
        <v>901.10134341404239</v>
      </c>
      <c r="O13" s="428">
        <f>Juni!P5</f>
        <v>600</v>
      </c>
      <c r="P13" s="429">
        <f t="shared" si="0"/>
        <v>-301.10134341404239</v>
      </c>
      <c r="Q13" s="430">
        <v>1.6393442622950821E-2</v>
      </c>
    </row>
    <row r="14" spans="2:18" ht="30" customHeight="1">
      <c r="B14" s="435" t="s">
        <v>181</v>
      </c>
      <c r="C14" s="436">
        <f>SUM(C11:C13)</f>
        <v>1200000</v>
      </c>
      <c r="D14" s="436">
        <f>SUM(D11:D13)</f>
        <v>1278000</v>
      </c>
      <c r="E14" s="437">
        <f t="shared" si="1"/>
        <v>78000</v>
      </c>
      <c r="F14" s="436">
        <f>SUM(F11:F13)</f>
        <v>300000</v>
      </c>
      <c r="G14" s="436">
        <v>365517.58119999996</v>
      </c>
      <c r="H14" s="437">
        <v>65517.581199999957</v>
      </c>
      <c r="I14" s="438">
        <f>AVERAGE(I11:I13)</f>
        <v>0.25</v>
      </c>
      <c r="J14" s="438">
        <v>0.28595259019981989</v>
      </c>
      <c r="K14" s="438">
        <v>3.5952590199819889E-2</v>
      </c>
      <c r="L14" s="439">
        <f>AVERAGE(L11:L13)</f>
        <v>6939.135578350084</v>
      </c>
      <c r="M14" s="439">
        <f>AVERAGE(M11:M13)</f>
        <v>494.51135222220273</v>
      </c>
      <c r="N14" s="439">
        <f>SUM(N11:N13)</f>
        <v>2651.8831365256819</v>
      </c>
      <c r="O14" s="439">
        <f>SUM(O11:O13)</f>
        <v>1800</v>
      </c>
      <c r="P14" s="440">
        <f t="shared" si="0"/>
        <v>-851.88313652568195</v>
      </c>
      <c r="Q14" s="441">
        <v>3.2967032967032968E-2</v>
      </c>
    </row>
    <row r="15" spans="2:18" ht="30" customHeight="1">
      <c r="B15" s="424" t="s">
        <v>182</v>
      </c>
      <c r="C15" s="425">
        <f>EINSTELLUNG!C12</f>
        <v>400000</v>
      </c>
      <c r="D15" s="425">
        <f>EINSTELLUNG!C28</f>
        <v>435000</v>
      </c>
      <c r="E15" s="426">
        <f t="shared" si="1"/>
        <v>35000</v>
      </c>
      <c r="F15" s="425">
        <f>EINSTELLUNG!D12</f>
        <v>100000</v>
      </c>
      <c r="G15" s="425">
        <v>116275.37420000001</v>
      </c>
      <c r="H15" s="426">
        <v>16275.374200000006</v>
      </c>
      <c r="I15" s="427">
        <f>EINSTELLUNG!E12</f>
        <v>0.25</v>
      </c>
      <c r="J15" s="427">
        <v>0.26729971080459769</v>
      </c>
      <c r="K15" s="427">
        <v>1.729971080459769E-2</v>
      </c>
      <c r="L15" s="428">
        <f>Juli!S40</f>
        <v>57.234131014846675</v>
      </c>
      <c r="M15" s="428">
        <f>Juli!S41</f>
        <v>4.0787541642764298</v>
      </c>
      <c r="N15" s="428">
        <f>Juli!O5</f>
        <v>803.01901638857532</v>
      </c>
      <c r="O15" s="428">
        <f>Juli!P5</f>
        <v>600</v>
      </c>
      <c r="P15" s="429">
        <f t="shared" si="0"/>
        <v>-203.01901638857532</v>
      </c>
      <c r="Q15" s="430">
        <v>1.6393442622950821E-2</v>
      </c>
    </row>
    <row r="16" spans="2:18" ht="30" customHeight="1">
      <c r="B16" s="357" t="s">
        <v>183</v>
      </c>
      <c r="C16" s="410">
        <f>EINSTELLUNG!C13</f>
        <v>400000</v>
      </c>
      <c r="D16" s="410">
        <f>EINSTELLUNG!C29</f>
        <v>435000</v>
      </c>
      <c r="E16" s="431">
        <f t="shared" si="1"/>
        <v>35000</v>
      </c>
      <c r="F16" s="410">
        <f>EINSTELLUNG!D13</f>
        <v>100000</v>
      </c>
      <c r="G16" s="410">
        <v>125232.6</v>
      </c>
      <c r="H16" s="431">
        <v>25232.600000000006</v>
      </c>
      <c r="I16" s="432">
        <f>EINSTELLUNG!E13</f>
        <v>0.25</v>
      </c>
      <c r="J16" s="432">
        <v>0.28789103448275866</v>
      </c>
      <c r="K16" s="432">
        <v>3.7891034482758656E-2</v>
      </c>
      <c r="L16" s="359">
        <f>August!S40</f>
        <v>52.490651234012986</v>
      </c>
      <c r="M16" s="359">
        <f>August!S41</f>
        <v>3.7407130764469025</v>
      </c>
      <c r="N16" s="359">
        <f>August!O5</f>
        <v>883.15397020697765</v>
      </c>
      <c r="O16" s="359">
        <f>August!P5</f>
        <v>620</v>
      </c>
      <c r="P16" s="433">
        <f t="shared" si="0"/>
        <v>-263.15397020697765</v>
      </c>
      <c r="Q16" s="434">
        <v>3.3898305084745763E-2</v>
      </c>
    </row>
    <row r="17" spans="2:17" ht="30" customHeight="1">
      <c r="B17" s="424" t="s">
        <v>184</v>
      </c>
      <c r="C17" s="425">
        <f>EINSTELLUNG!C14</f>
        <v>400000</v>
      </c>
      <c r="D17" s="425">
        <f>EINSTELLUNG!C30</f>
        <v>450000</v>
      </c>
      <c r="E17" s="426">
        <f t="shared" si="1"/>
        <v>50000</v>
      </c>
      <c r="F17" s="425">
        <f>EINSTELLUNG!D14</f>
        <v>100000</v>
      </c>
      <c r="G17" s="425">
        <v>122626.26669999999</v>
      </c>
      <c r="H17" s="426">
        <v>22626.266699999993</v>
      </c>
      <c r="I17" s="427">
        <f>EINSTELLUNG!E14</f>
        <v>0.25</v>
      </c>
      <c r="J17" s="427">
        <v>0.27250281488888889</v>
      </c>
      <c r="K17" s="427">
        <v>2.2502814888888889E-2</v>
      </c>
      <c r="L17" s="428">
        <f>September!S40</f>
        <v>55.405345507734594</v>
      </c>
      <c r="M17" s="428">
        <f>September!S41</f>
        <v>3.8168126905328275</v>
      </c>
      <c r="N17" s="428">
        <f>September!O5</f>
        <v>869.79814457057728</v>
      </c>
      <c r="O17" s="428">
        <f>September!P5</f>
        <v>600</v>
      </c>
      <c r="P17" s="429">
        <f t="shared" si="0"/>
        <v>-269.79814457057728</v>
      </c>
      <c r="Q17" s="430">
        <v>1.7241379310344827E-2</v>
      </c>
    </row>
    <row r="18" spans="2:17" ht="30" customHeight="1">
      <c r="B18" s="435" t="s">
        <v>185</v>
      </c>
      <c r="C18" s="436">
        <f>SUM(C15:C17)</f>
        <v>1200000</v>
      </c>
      <c r="D18" s="436">
        <f>SUM(D15:D17)</f>
        <v>1320000</v>
      </c>
      <c r="E18" s="437">
        <f>D18-C18</f>
        <v>120000</v>
      </c>
      <c r="F18" s="436">
        <f>SUM(F15:F17)</f>
        <v>300000</v>
      </c>
      <c r="G18" s="436">
        <v>364134.24089999998</v>
      </c>
      <c r="H18" s="437">
        <v>64134.240899999975</v>
      </c>
      <c r="I18" s="438">
        <f>AVERAGE(I15:I17)</f>
        <v>0.25</v>
      </c>
      <c r="J18" s="438">
        <v>0.27589785339208173</v>
      </c>
      <c r="K18" s="438">
        <v>2.5897853392081727E-2</v>
      </c>
      <c r="L18" s="439">
        <f>AVERAGE(L15:L17)</f>
        <v>55.043375918864761</v>
      </c>
      <c r="M18" s="439">
        <f>AVERAGE(M15:M17)</f>
        <v>3.8787599770853869</v>
      </c>
      <c r="N18" s="439">
        <f>SUM(N15:N17)</f>
        <v>2555.9711311661304</v>
      </c>
      <c r="O18" s="439">
        <f>SUM(O15:O17)</f>
        <v>1820</v>
      </c>
      <c r="P18" s="440">
        <f t="shared" si="0"/>
        <v>-735.97113116613036</v>
      </c>
      <c r="Q18" s="441">
        <v>6.741573033707865E-2</v>
      </c>
    </row>
    <row r="19" spans="2:17" ht="30" customHeight="1">
      <c r="B19" s="424" t="s">
        <v>186</v>
      </c>
      <c r="C19" s="425">
        <f>EINSTELLUNG!C15</f>
        <v>400000</v>
      </c>
      <c r="D19" s="425">
        <f>EINSTELLUNG!C31</f>
        <v>401000</v>
      </c>
      <c r="E19" s="426">
        <f>D19-C19</f>
        <v>1000</v>
      </c>
      <c r="F19" s="425">
        <f>EINSTELLUNG!D15</f>
        <v>100000</v>
      </c>
      <c r="G19" s="425">
        <v>120161.4387</v>
      </c>
      <c r="H19" s="426">
        <v>20161.438699999999</v>
      </c>
      <c r="I19" s="427">
        <f>EINSTELLUNG!E15</f>
        <v>0.25</v>
      </c>
      <c r="J19" s="427">
        <v>0.29965446059850376</v>
      </c>
      <c r="K19" s="427">
        <v>4.9654460598503758E-2</v>
      </c>
      <c r="L19" s="428">
        <f>Oktober!S40</f>
        <v>48.699918631058644</v>
      </c>
      <c r="M19" s="428">
        <f>Oktober!S41</f>
        <v>3.7648316148698702</v>
      </c>
      <c r="N19" s="428">
        <f>Oktober!O5</f>
        <v>853.1033625250767</v>
      </c>
      <c r="O19" s="428">
        <f>Oktober!P5</f>
        <v>600</v>
      </c>
      <c r="P19" s="429">
        <f t="shared" si="0"/>
        <v>-253.1033625250767</v>
      </c>
      <c r="Q19" s="430">
        <v>1.7543859649122806E-2</v>
      </c>
    </row>
    <row r="20" spans="2:17" ht="30" customHeight="1">
      <c r="B20" s="357" t="s">
        <v>187</v>
      </c>
      <c r="C20" s="410">
        <f>EINSTELLUNG!C16</f>
        <v>400000</v>
      </c>
      <c r="D20" s="410">
        <f>EINSTELLUNG!C32</f>
        <v>398000</v>
      </c>
      <c r="E20" s="431">
        <f>D20-C20</f>
        <v>-2000</v>
      </c>
      <c r="F20" s="410">
        <f>EINSTELLUNG!D16</f>
        <v>100000</v>
      </c>
      <c r="G20" s="410">
        <v>118009.9333</v>
      </c>
      <c r="H20" s="431">
        <v>18009.933300000004</v>
      </c>
      <c r="I20" s="432">
        <f>EINSTELLUNG!E16</f>
        <v>0.25</v>
      </c>
      <c r="J20" s="432">
        <v>0.29650737010050254</v>
      </c>
      <c r="K20" s="432">
        <v>4.6507370100502543E-2</v>
      </c>
      <c r="L20" s="359">
        <f>November!S40</f>
        <v>51.084847053508177</v>
      </c>
      <c r="M20" s="359">
        <f>November!S41</f>
        <v>3.9789704991425965</v>
      </c>
      <c r="N20" s="359">
        <f>November!O5</f>
        <v>836.40858047957613</v>
      </c>
      <c r="O20" s="359">
        <f>November!P5</f>
        <v>600</v>
      </c>
      <c r="P20" s="433">
        <f t="shared" si="0"/>
        <v>-236.40858047957613</v>
      </c>
      <c r="Q20" s="434">
        <v>1.7857142857142856E-2</v>
      </c>
    </row>
    <row r="21" spans="2:17" ht="30" customHeight="1">
      <c r="B21" s="424" t="s">
        <v>188</v>
      </c>
      <c r="C21" s="425">
        <f>EINSTELLUNG!C17</f>
        <v>400000</v>
      </c>
      <c r="D21" s="425">
        <f>EINSTELLUNG!C33</f>
        <v>390000</v>
      </c>
      <c r="E21" s="426">
        <f t="shared" si="1"/>
        <v>-10000</v>
      </c>
      <c r="F21" s="425">
        <f>EINSTELLUNG!D17</f>
        <v>100000</v>
      </c>
      <c r="G21" s="425">
        <v>117276.6</v>
      </c>
      <c r="H21" s="426">
        <v>17276.600000000006</v>
      </c>
      <c r="I21" s="427">
        <f>EINSTELLUNG!E17</f>
        <v>0.25</v>
      </c>
      <c r="J21" s="427">
        <v>0.30070923076923078</v>
      </c>
      <c r="K21" s="427">
        <v>5.0709230769230784E-2</v>
      </c>
      <c r="L21" s="428">
        <f>Dezember!S40</f>
        <v>50.094408693306619</v>
      </c>
      <c r="M21" s="428">
        <f>Dezember!S41</f>
        <v>3.9818632551089879</v>
      </c>
      <c r="N21" s="428">
        <f>Dezember!O5</f>
        <v>819.71379843407556</v>
      </c>
      <c r="O21" s="428">
        <f>Dezember!P5</f>
        <v>600</v>
      </c>
      <c r="P21" s="429">
        <f t="shared" si="0"/>
        <v>-219.71379843407556</v>
      </c>
      <c r="Q21" s="430">
        <v>0</v>
      </c>
    </row>
    <row r="22" spans="2:17" ht="30" customHeight="1">
      <c r="B22" s="435" t="s">
        <v>189</v>
      </c>
      <c r="C22" s="436">
        <f>SUM(C19:C21)</f>
        <v>1200000</v>
      </c>
      <c r="D22" s="436">
        <f>SUM(D19:D21)</f>
        <v>1189000</v>
      </c>
      <c r="E22" s="437">
        <f>D22-C22</f>
        <v>-11000</v>
      </c>
      <c r="F22" s="436">
        <f>SUM(F19:F21)</f>
        <v>300000</v>
      </c>
      <c r="G22" s="436">
        <v>355447.97200000001</v>
      </c>
      <c r="H22" s="437">
        <v>55447.972000000009</v>
      </c>
      <c r="I22" s="438">
        <f>AVERAGE(I19:I21)</f>
        <v>0.25</v>
      </c>
      <c r="J22" s="438">
        <v>0.29895702048941236</v>
      </c>
      <c r="K22" s="438">
        <v>4.8957020489412362E-2</v>
      </c>
      <c r="L22" s="439">
        <f>AVERAGE(L19:L21)</f>
        <v>49.959724792624478</v>
      </c>
      <c r="M22" s="439">
        <f>AVERAGE(M19:M21)</f>
        <v>3.9085551230404847</v>
      </c>
      <c r="N22" s="439">
        <f>SUM(N19:N21)</f>
        <v>2509.2257414387286</v>
      </c>
      <c r="O22" s="439">
        <f>SUM(O19:O21)</f>
        <v>1800</v>
      </c>
      <c r="P22" s="440">
        <f>O22-N22</f>
        <v>-709.22574143872862</v>
      </c>
      <c r="Q22" s="441">
        <v>3.5502958579881658E-2</v>
      </c>
    </row>
    <row r="23" spans="2:17" ht="32" customHeight="1" thickBot="1">
      <c r="B23" s="442" t="str">
        <f xml:space="preserve"> "GESAMT " &amp; EINSTELLUNG!C35</f>
        <v>GESAMT 2026</v>
      </c>
      <c r="C23" s="443">
        <f>SUM(C10,C14,C18,C22)</f>
        <v>4800000</v>
      </c>
      <c r="D23" s="443">
        <f>SUM(D10,D14,D18,D22)</f>
        <v>5067000</v>
      </c>
      <c r="E23" s="444">
        <f>D23-C23</f>
        <v>267000</v>
      </c>
      <c r="F23" s="443">
        <f>SUM(F10,F14,F18,F22)</f>
        <v>1200000</v>
      </c>
      <c r="G23" s="443">
        <v>1404253.8890999998</v>
      </c>
      <c r="H23" s="444">
        <v>204253.8890999998</v>
      </c>
      <c r="I23" s="445">
        <f>AVERAGE(I10,I14,I18,I22)</f>
        <v>0.25</v>
      </c>
      <c r="J23" s="445">
        <v>0.27752284430099428</v>
      </c>
      <c r="K23" s="446">
        <v>2.7522844300994276E-2</v>
      </c>
      <c r="L23" s="447">
        <f>AVERAGE(L22,L18,L14,L10)</f>
        <v>1774.7994118082386</v>
      </c>
      <c r="M23" s="447">
        <f>AVERAGE(M10,M14,M18,M22)</f>
        <v>126.51066349892747</v>
      </c>
      <c r="N23" s="447">
        <f>SUM(N10,N14,N18,N22)</f>
        <v>10159.945439462859</v>
      </c>
      <c r="O23" s="447">
        <f>SUM(O10,O14,O18,O22)</f>
        <v>7220</v>
      </c>
      <c r="P23" s="448">
        <f t="shared" si="0"/>
        <v>-2939.9454394628592</v>
      </c>
      <c r="Q23" s="449">
        <v>6.9204152249134954E-2</v>
      </c>
    </row>
    <row r="24" spans="2:17">
      <c r="O24" s="4"/>
    </row>
    <row r="25" spans="2:17">
      <c r="B25" s="176" t="s">
        <v>190</v>
      </c>
      <c r="C25" s="176"/>
      <c r="D25" s="176"/>
      <c r="E25" s="176"/>
    </row>
    <row r="26" spans="2:17">
      <c r="B26" s="176"/>
      <c r="C26" s="176"/>
      <c r="D26" s="176"/>
      <c r="E26" s="176"/>
    </row>
    <row r="27" spans="2:17" ht="14.5" thickBot="1">
      <c r="B27" s="176"/>
      <c r="C27" s="176"/>
      <c r="D27" s="176"/>
      <c r="E27" s="176"/>
    </row>
    <row r="28" spans="2:17" ht="28" customHeight="1">
      <c r="B28" s="342" t="str">
        <f xml:space="preserve"> "DURCHRECHNUNGSSTUNDEN - " &amp; EINSTELLUNG!C35</f>
        <v>DURCHRECHNUNGSSTUNDEN - 2026</v>
      </c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344"/>
    </row>
    <row r="29" spans="2:17" ht="48" customHeight="1" thickBot="1">
      <c r="B29" s="345" t="s">
        <v>526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  <c r="O29" s="346"/>
      <c r="P29" s="346"/>
      <c r="Q29" s="347"/>
    </row>
    <row r="30" spans="2:17" ht="40" customHeight="1" thickBot="1">
      <c r="B30" s="372" t="s">
        <v>527</v>
      </c>
      <c r="C30" s="373"/>
      <c r="D30" s="373"/>
      <c r="E30" s="374">
        <v>0</v>
      </c>
      <c r="F30" s="373" t="s">
        <v>528</v>
      </c>
      <c r="G30" s="373"/>
      <c r="H30" s="373"/>
      <c r="I30" s="374">
        <v>9000</v>
      </c>
      <c r="J30" s="375"/>
      <c r="K30" s="375"/>
      <c r="L30" s="375"/>
      <c r="M30" s="375"/>
      <c r="N30" s="375"/>
      <c r="O30" s="375"/>
      <c r="P30" s="375"/>
      <c r="Q30" s="376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339" t="s">
        <v>521</v>
      </c>
      <c r="F31" s="175" t="s">
        <v>98</v>
      </c>
      <c r="G31" s="175" t="s">
        <v>522</v>
      </c>
      <c r="H31" s="175" t="s">
        <v>523</v>
      </c>
      <c r="I31" s="340" t="s">
        <v>524</v>
      </c>
      <c r="J31" s="351" t="s">
        <v>525</v>
      </c>
      <c r="K31" s="352"/>
      <c r="L31" s="352"/>
      <c r="M31" s="352"/>
      <c r="N31" s="352"/>
      <c r="O31" s="352"/>
      <c r="P31" s="352"/>
      <c r="Q31" s="353"/>
    </row>
    <row r="32" spans="2:17" ht="42" customHeight="1">
      <c r="B32" s="354" t="s">
        <v>530</v>
      </c>
      <c r="C32" s="355" t="s">
        <v>178</v>
      </c>
      <c r="D32" s="356">
        <f>Februar!Q12+Marz!Q13+April!Q13</f>
        <v>25101.489999999998</v>
      </c>
      <c r="E32" s="356">
        <f>EINSTELLUNG!L7+EINSTELLUNG!L8+EINSTELLUNG!L9</f>
        <v>27900</v>
      </c>
      <c r="F32" s="356">
        <f>April!Q15</f>
        <v>-1002.8200000000015</v>
      </c>
      <c r="G32" s="409">
        <f>April!Q42</f>
        <v>12.005256827395531</v>
      </c>
      <c r="H32" s="356">
        <f>MAX(0,-F32)</f>
        <v>1002.8200000000015</v>
      </c>
      <c r="I32" s="412">
        <f>IF(OR(G32=0,H32=0),"",H32*G32*3/2)</f>
        <v>18058.667477473209</v>
      </c>
      <c r="J32" s="363" t="str">
        <f>IF(F32&lt;0,"ACHTUNG: Überstunden",IF(F32&gt;0,"Reserve möglich","OK"))</f>
        <v>ACHTUNG: Überstunden</v>
      </c>
      <c r="K32" s="364"/>
      <c r="L32" s="364"/>
      <c r="M32" s="364"/>
      <c r="N32" s="364"/>
      <c r="O32" s="364"/>
      <c r="P32" s="364"/>
      <c r="Q32" s="365"/>
    </row>
    <row r="33" spans="2:17" ht="42" customHeight="1">
      <c r="B33" s="357" t="s">
        <v>459</v>
      </c>
      <c r="C33" s="358" t="s">
        <v>182</v>
      </c>
      <c r="D33" s="359">
        <f>Mai!Q12+Juni!Q13+Juli!Q13</f>
        <v>24158.629999999997</v>
      </c>
      <c r="E33" s="359">
        <f>EINSTELLUNG!L10+EINSTELLUNG!L11+EINSTELLUNG!L12</f>
        <v>27900</v>
      </c>
      <c r="F33" s="359">
        <f>Juli!Q15</f>
        <v>-1699.6400000000012</v>
      </c>
      <c r="G33" s="410">
        <f>Juli!Q42</f>
        <v>13.438443429084396</v>
      </c>
      <c r="H33" s="359">
        <f>MAX(0,-F33)</f>
        <v>1699.6400000000012</v>
      </c>
      <c r="I33" s="413">
        <f>IF(OR(G33=0,H33=0),"",H33*G33*3/2)</f>
        <v>34260.773984713531</v>
      </c>
      <c r="J33" s="366" t="str">
        <f>IF(F33&lt;0,"ACHTUNG: Überstunden",IF(F33&gt;0,"Reserve möglich","OK"))</f>
        <v>ACHTUNG: Überstunden</v>
      </c>
      <c r="K33" s="367"/>
      <c r="L33" s="367"/>
      <c r="M33" s="367"/>
      <c r="N33" s="367"/>
      <c r="O33" s="367"/>
      <c r="P33" s="367"/>
      <c r="Q33" s="368"/>
    </row>
    <row r="34" spans="2:17" ht="42" customHeight="1">
      <c r="B34" s="354" t="s">
        <v>460</v>
      </c>
      <c r="C34" s="355" t="s">
        <v>186</v>
      </c>
      <c r="D34" s="356">
        <f>August!Q12+September!Q13+Oktober!Q13</f>
        <v>24643.25</v>
      </c>
      <c r="E34" s="356">
        <f>EINSTELLUNG!L13+EINSTELLUNG!L14+EINSTELLUNG!L15</f>
        <v>27900</v>
      </c>
      <c r="F34" s="356">
        <f>Oktober!Q15</f>
        <v>-1065.8999999999996</v>
      </c>
      <c r="G34" s="409">
        <f>Oktober!Q42</f>
        <v>13.058595993359864</v>
      </c>
      <c r="H34" s="356">
        <f>MAX(0,-F34)</f>
        <v>1065.8999999999996</v>
      </c>
      <c r="I34" s="412">
        <f>IF(OR(G34=0,H34=0),"",H34*G34*3/2)</f>
        <v>20878.736203983412</v>
      </c>
      <c r="J34" s="363" t="str">
        <f>IF(F34&lt;0,"ACHTUNG: Überstunden",IF(F34&gt;0,"Reserve möglich","OK"))</f>
        <v>ACHTUNG: Überstunden</v>
      </c>
      <c r="K34" s="364"/>
      <c r="L34" s="364"/>
      <c r="M34" s="364"/>
      <c r="N34" s="364"/>
      <c r="O34" s="364"/>
      <c r="P34" s="364"/>
      <c r="Q34" s="365"/>
    </row>
    <row r="35" spans="2:17" ht="42" customHeight="1" thickBot="1">
      <c r="B35" s="360" t="s">
        <v>531</v>
      </c>
      <c r="C35" s="361" t="s">
        <v>532</v>
      </c>
      <c r="D35" s="362">
        <f>November!Q12+Dezember!Q13+E30</f>
        <v>15576.259999999998</v>
      </c>
      <c r="E35" s="362">
        <f>EINSTELLUNG!L16+EINSTELLUNG!L17+I30</f>
        <v>27600</v>
      </c>
      <c r="F35" s="362">
        <f>D35-E35</f>
        <v>-12023.740000000002</v>
      </c>
      <c r="G35" s="411">
        <f>Dezember!Q42</f>
        <v>13.07071801090143</v>
      </c>
      <c r="H35" s="362">
        <f>MAX(0,-F35)</f>
        <v>12023.740000000002</v>
      </c>
      <c r="I35" s="414">
        <f>IF(OR(G35=0,H35=0),"",H35*G35*3/2)</f>
        <v>235738.37246459397</v>
      </c>
      <c r="J35" s="369" t="str">
        <f>IF(F35&lt;0,"ACHTUNG: Überstunden",IF(F35&gt;0,"Reserve möglich","OK"))</f>
        <v>ACHTUNG: Überstunden</v>
      </c>
      <c r="K35" s="370"/>
      <c r="L35" s="370"/>
      <c r="M35" s="370"/>
      <c r="N35" s="370"/>
      <c r="O35" s="370"/>
      <c r="P35" s="370"/>
      <c r="Q35" s="371"/>
    </row>
    <row r="36" spans="2:17" ht="40" customHeight="1" thickBot="1">
      <c r="B36" s="348" t="s">
        <v>533</v>
      </c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50"/>
    </row>
    <row r="37" spans="2:17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</row>
    <row r="38" spans="2:17" ht="40" customHeight="1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</row>
  </sheetData>
  <sheetProtection algorithmName="SHA-512" hashValue="oIhYiv/LSjqXu/DW+1b5wMrgkpKuDuFvWonD4MehKBkwi5mNE9XUoFeRJKCkkP64j4qioer7e35Tj4mbRr2apw==" saltValue="DAxMGOKzMjYvCqgm+K0ZJ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2aFWDrAawRL7pKiag4VGAwzUH11cr1vJKJcJpdHKsn3y5OPMgma3NtaXLq9CymKzGa5EHpgER3QqSqTlSQ2mJg==" saltValue="o4jAUCU7EDB50ryjaoXVF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377" customWidth="1"/>
    <col min="2" max="2" width="20.6328125" style="377" customWidth="1"/>
    <col min="3" max="5" width="26.6328125" style="377" customWidth="1"/>
    <col min="6" max="7" width="18.6328125" style="377" customWidth="1"/>
    <col min="8" max="8" width="22.6328125" style="377" customWidth="1"/>
    <col min="9" max="12" width="36.6328125" style="377" customWidth="1"/>
    <col min="13" max="15" width="10.81640625" style="377"/>
    <col min="16" max="19" width="2.6328125" style="377" customWidth="1"/>
    <col min="20" max="16384" width="10.81640625" style="377"/>
  </cols>
  <sheetData>
    <row r="1" spans="1:17" ht="44" customHeight="1">
      <c r="A1" s="379" t="s">
        <v>361</v>
      </c>
      <c r="B1" s="380"/>
      <c r="C1" s="380"/>
      <c r="D1" s="380"/>
      <c r="E1" s="380"/>
      <c r="P1" s="377" t="s">
        <v>217</v>
      </c>
      <c r="Q1" s="377" t="s">
        <v>229</v>
      </c>
    </row>
    <row r="2" spans="1:17" ht="15" customHeight="1">
      <c r="A2" s="381" t="s">
        <v>362</v>
      </c>
      <c r="B2" s="381">
        <v>2026</v>
      </c>
      <c r="C2" s="381" t="s">
        <v>363</v>
      </c>
      <c r="D2" s="382" t="s">
        <v>477</v>
      </c>
      <c r="P2" s="377" t="s">
        <v>289</v>
      </c>
      <c r="Q2" s="377">
        <v>1</v>
      </c>
    </row>
    <row r="3" spans="1:17" ht="15" customHeight="1">
      <c r="P3" s="377" t="s">
        <v>349</v>
      </c>
      <c r="Q3" s="377">
        <v>1</v>
      </c>
    </row>
    <row r="4" spans="1:17" ht="15" customHeight="1" thickBot="1">
      <c r="A4" s="383" t="s">
        <v>365</v>
      </c>
      <c r="B4" s="378"/>
      <c r="C4" s="378"/>
      <c r="D4" s="378"/>
      <c r="E4" s="378"/>
      <c r="P4" s="377" t="s">
        <v>321</v>
      </c>
      <c r="Q4" s="377">
        <v>1</v>
      </c>
    </row>
    <row r="5" spans="1:17" ht="30" customHeight="1">
      <c r="A5" s="385" t="s">
        <v>300</v>
      </c>
      <c r="B5" s="337" t="s">
        <v>481</v>
      </c>
      <c r="C5" s="387" t="s">
        <v>487</v>
      </c>
      <c r="D5" s="388"/>
      <c r="E5" s="389"/>
      <c r="P5" s="377" t="s">
        <v>179</v>
      </c>
      <c r="Q5" s="377">
        <v>1</v>
      </c>
    </row>
    <row r="6" spans="1:17" ht="30" customHeight="1" thickBot="1">
      <c r="A6" s="386"/>
      <c r="B6" s="386"/>
      <c r="C6" s="390"/>
      <c r="D6" s="391"/>
      <c r="E6" s="392"/>
      <c r="P6" s="377" t="s">
        <v>180</v>
      </c>
      <c r="Q6" s="377">
        <v>1</v>
      </c>
    </row>
    <row r="7" spans="1:17" ht="15" customHeight="1">
      <c r="P7" s="377" t="s">
        <v>182</v>
      </c>
      <c r="Q7" s="377">
        <v>1</v>
      </c>
    </row>
    <row r="8" spans="1:17" ht="30" customHeight="1">
      <c r="A8" s="394" t="s">
        <v>223</v>
      </c>
      <c r="B8" s="394" t="s">
        <v>366</v>
      </c>
      <c r="C8" s="394" t="s">
        <v>225</v>
      </c>
      <c r="D8" s="394" t="s">
        <v>367</v>
      </c>
      <c r="E8" s="394" t="s">
        <v>368</v>
      </c>
      <c r="P8" s="377" t="s">
        <v>183</v>
      </c>
      <c r="Q8" s="377">
        <v>2</v>
      </c>
    </row>
    <row r="9" spans="1:17" ht="22" customHeight="1">
      <c r="A9" s="395">
        <v>11</v>
      </c>
      <c r="B9" s="396">
        <v>6.9204152249134954E-2</v>
      </c>
      <c r="C9" s="397">
        <v>9.5</v>
      </c>
      <c r="D9" s="395">
        <v>7</v>
      </c>
      <c r="E9" s="395">
        <v>0</v>
      </c>
      <c r="P9" s="377" t="s">
        <v>184</v>
      </c>
      <c r="Q9" s="377">
        <v>1</v>
      </c>
    </row>
    <row r="10" spans="1:17" ht="15" customHeight="1">
      <c r="P10" s="377" t="s">
        <v>186</v>
      </c>
      <c r="Q10" s="377">
        <v>1</v>
      </c>
    </row>
    <row r="11" spans="1:17" ht="15" customHeight="1">
      <c r="A11" s="398" t="s">
        <v>369</v>
      </c>
      <c r="P11" s="377" t="s">
        <v>187</v>
      </c>
      <c r="Q11" s="377">
        <v>1</v>
      </c>
    </row>
    <row r="12" spans="1:17" ht="22" customHeight="1">
      <c r="A12" s="393" t="s">
        <v>370</v>
      </c>
      <c r="B12" s="393" t="s">
        <v>371</v>
      </c>
      <c r="C12" s="393" t="s">
        <v>372</v>
      </c>
      <c r="D12" s="399" t="s">
        <v>373</v>
      </c>
      <c r="E12" s="399"/>
    </row>
    <row r="13" spans="1:17" ht="57.25" customHeight="1">
      <c r="A13" s="395">
        <v>1</v>
      </c>
      <c r="B13" s="401" t="s">
        <v>230</v>
      </c>
      <c r="C13" s="401" t="s">
        <v>386</v>
      </c>
      <c r="D13" s="402" t="s">
        <v>374</v>
      </c>
      <c r="E13" s="402"/>
    </row>
    <row r="14" spans="1:17" ht="73" customHeight="1">
      <c r="A14" s="395">
        <v>2</v>
      </c>
      <c r="B14" s="401" t="s">
        <v>230</v>
      </c>
      <c r="C14" s="401" t="s">
        <v>387</v>
      </c>
      <c r="D14" s="402" t="s">
        <v>374</v>
      </c>
      <c r="E14" s="402"/>
    </row>
    <row r="15" spans="1:17" ht="57.25" customHeight="1">
      <c r="A15" s="395">
        <v>3</v>
      </c>
      <c r="B15" s="401" t="s">
        <v>231</v>
      </c>
      <c r="C15" s="401" t="s">
        <v>488</v>
      </c>
      <c r="D15" s="402" t="s">
        <v>377</v>
      </c>
      <c r="E15" s="402"/>
    </row>
    <row r="16" spans="1:17" ht="73" customHeight="1">
      <c r="A16" s="395">
        <v>4</v>
      </c>
      <c r="B16" s="401" t="s">
        <v>375</v>
      </c>
      <c r="C16" s="401" t="s">
        <v>388</v>
      </c>
      <c r="D16" s="402" t="s">
        <v>376</v>
      </c>
      <c r="E16" s="402"/>
    </row>
    <row r="17" spans="1:17" ht="57.25" customHeight="1">
      <c r="A17" s="395">
        <v>5</v>
      </c>
      <c r="B17" s="401" t="s">
        <v>231</v>
      </c>
      <c r="C17" s="401" t="s">
        <v>389</v>
      </c>
      <c r="D17" s="402" t="s">
        <v>377</v>
      </c>
      <c r="E17" s="402"/>
    </row>
    <row r="18" spans="1:17" ht="57.25" customHeight="1">
      <c r="A18" s="395">
        <v>6</v>
      </c>
      <c r="B18" s="401" t="s">
        <v>375</v>
      </c>
      <c r="C18" s="401" t="s">
        <v>390</v>
      </c>
      <c r="D18" s="402" t="s">
        <v>376</v>
      </c>
      <c r="E18" s="402"/>
    </row>
    <row r="19" spans="1:17" ht="57.25" customHeight="1">
      <c r="A19" s="395">
        <v>7</v>
      </c>
      <c r="B19" s="401" t="s">
        <v>231</v>
      </c>
      <c r="C19" s="401" t="s">
        <v>391</v>
      </c>
      <c r="D19" s="402" t="s">
        <v>377</v>
      </c>
      <c r="E19" s="402"/>
    </row>
    <row r="20" spans="1:17" ht="15" customHeight="1">
      <c r="P20" s="377" t="s">
        <v>222</v>
      </c>
      <c r="Q20" s="377" t="s">
        <v>382</v>
      </c>
    </row>
    <row r="21" spans="1:17" ht="15" customHeight="1">
      <c r="P21" s="377" t="s">
        <v>323</v>
      </c>
      <c r="Q21" s="377">
        <v>2</v>
      </c>
    </row>
    <row r="22" spans="1:17" ht="15" customHeight="1">
      <c r="A22" s="398" t="s">
        <v>378</v>
      </c>
      <c r="P22" s="377" t="s">
        <v>350</v>
      </c>
      <c r="Q22" s="377">
        <v>2</v>
      </c>
    </row>
    <row r="23" spans="1:17" ht="41.5" customHeight="1">
      <c r="A23" s="395">
        <v>1</v>
      </c>
      <c r="B23" s="402" t="s">
        <v>379</v>
      </c>
      <c r="C23" s="402"/>
      <c r="D23" s="402"/>
      <c r="E23" s="402"/>
      <c r="P23" s="377" t="s">
        <v>227</v>
      </c>
      <c r="Q23" s="377">
        <v>3</v>
      </c>
    </row>
    <row r="24" spans="1:17" ht="41.5" customHeight="1">
      <c r="A24" s="395">
        <v>2</v>
      </c>
      <c r="B24" s="402" t="s">
        <v>380</v>
      </c>
      <c r="C24" s="402"/>
      <c r="D24" s="402"/>
      <c r="E24" s="402"/>
      <c r="P24" s="377" t="s">
        <v>383</v>
      </c>
      <c r="Q24" s="377">
        <v>3</v>
      </c>
    </row>
    <row r="25" spans="1:17" ht="41.5" customHeight="1">
      <c r="A25" s="395">
        <v>3</v>
      </c>
      <c r="B25" s="402" t="s">
        <v>381</v>
      </c>
      <c r="C25" s="402"/>
      <c r="D25" s="402"/>
      <c r="E25" s="402"/>
      <c r="P25" s="377" t="s">
        <v>486</v>
      </c>
      <c r="Q25" s="377">
        <v>1</v>
      </c>
    </row>
    <row r="26" spans="1:17" ht="41.5" customHeight="1">
      <c r="A26" s="395">
        <v>4</v>
      </c>
      <c r="B26" s="402" t="s">
        <v>482</v>
      </c>
      <c r="C26" s="402"/>
      <c r="D26" s="402"/>
      <c r="E26" s="402"/>
    </row>
    <row r="28" spans="1:17" ht="15" customHeight="1">
      <c r="A28" s="407" t="s">
        <v>384</v>
      </c>
      <c r="B28" s="407"/>
      <c r="C28" s="407"/>
      <c r="D28" s="407"/>
      <c r="E28" s="407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77" t="s">
        <v>194</v>
      </c>
      <c r="S40" s="377" t="s">
        <v>382</v>
      </c>
    </row>
    <row r="41" spans="18:19" ht="18" customHeight="1">
      <c r="R41" s="377" t="s">
        <v>307</v>
      </c>
      <c r="S41" s="377">
        <v>3</v>
      </c>
    </row>
    <row r="42" spans="18:19" ht="18" customHeight="1">
      <c r="R42" s="377" t="s">
        <v>354</v>
      </c>
      <c r="S42" s="377">
        <v>1</v>
      </c>
    </row>
    <row r="43" spans="18:19" ht="18" customHeight="1">
      <c r="R43" s="377" t="s">
        <v>322</v>
      </c>
      <c r="S43" s="377">
        <v>5</v>
      </c>
    </row>
    <row r="44" spans="18:19" ht="18" customHeight="1">
      <c r="R44" s="377" t="s">
        <v>196</v>
      </c>
      <c r="S44" s="377">
        <v>1</v>
      </c>
    </row>
    <row r="45" spans="18:19" ht="18" customHeight="1">
      <c r="R45" s="377" t="s">
        <v>206</v>
      </c>
      <c r="S45" s="37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03" t="s">
        <v>385</v>
      </c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</row>
    <row r="64" spans="1:13" ht="15" customHeight="1">
      <c r="A64" s="395" t="s">
        <v>217</v>
      </c>
      <c r="B64" s="395" t="s">
        <v>229</v>
      </c>
      <c r="C64" s="395" t="s">
        <v>233</v>
      </c>
      <c r="D64" s="395" t="s">
        <v>225</v>
      </c>
      <c r="E64" s="395" t="s">
        <v>288</v>
      </c>
      <c r="F64" s="395" t="s">
        <v>323</v>
      </c>
      <c r="G64" s="395" t="s">
        <v>350</v>
      </c>
      <c r="H64" s="395" t="s">
        <v>227</v>
      </c>
      <c r="I64" s="395" t="s">
        <v>483</v>
      </c>
      <c r="J64" s="395" t="s">
        <v>308</v>
      </c>
      <c r="K64" s="395" t="s">
        <v>306</v>
      </c>
      <c r="L64" s="395"/>
      <c r="M64" s="395"/>
    </row>
    <row r="65" spans="1:13" ht="42" customHeight="1">
      <c r="A65" s="404" t="s">
        <v>289</v>
      </c>
      <c r="B65" s="404">
        <v>1</v>
      </c>
      <c r="C65" s="405">
        <v>1.9607843137254902E-2</v>
      </c>
      <c r="D65" s="406">
        <v>0.625</v>
      </c>
      <c r="E65" s="406">
        <v>0.625</v>
      </c>
      <c r="F65" s="404">
        <v>0</v>
      </c>
      <c r="G65" s="404">
        <v>0</v>
      </c>
      <c r="H65" s="404">
        <v>0</v>
      </c>
      <c r="I65" s="404">
        <v>0</v>
      </c>
      <c r="J65" s="401" t="s">
        <v>309</v>
      </c>
      <c r="K65" s="402" t="s">
        <v>291</v>
      </c>
      <c r="L65" s="402"/>
      <c r="M65" s="402"/>
    </row>
    <row r="66" spans="1:13" ht="42" customHeight="1">
      <c r="A66" s="404" t="s">
        <v>349</v>
      </c>
      <c r="B66" s="404">
        <v>1</v>
      </c>
      <c r="C66" s="405">
        <v>1.7241379310344827E-2</v>
      </c>
      <c r="D66" s="406">
        <v>0.22499999999999998</v>
      </c>
      <c r="E66" s="406">
        <v>0.22499999999999998</v>
      </c>
      <c r="F66" s="404">
        <v>1</v>
      </c>
      <c r="G66" s="404">
        <v>0</v>
      </c>
      <c r="H66" s="404">
        <v>0</v>
      </c>
      <c r="I66" s="404">
        <v>0</v>
      </c>
      <c r="J66" s="401" t="s">
        <v>360</v>
      </c>
      <c r="K66" s="402" t="s">
        <v>325</v>
      </c>
      <c r="L66" s="402"/>
      <c r="M66" s="402"/>
    </row>
    <row r="67" spans="1:13" ht="42" customHeight="1">
      <c r="A67" s="404" t="s">
        <v>321</v>
      </c>
      <c r="B67" s="404">
        <v>1</v>
      </c>
      <c r="C67" s="405">
        <v>1.6949152542372881E-2</v>
      </c>
      <c r="D67" s="406">
        <v>0.5</v>
      </c>
      <c r="E67" s="406">
        <v>0.5</v>
      </c>
      <c r="F67" s="404">
        <v>1</v>
      </c>
      <c r="G67" s="404">
        <v>0</v>
      </c>
      <c r="H67" s="404">
        <v>0</v>
      </c>
      <c r="I67" s="404">
        <v>0</v>
      </c>
      <c r="J67" s="401" t="s">
        <v>324</v>
      </c>
      <c r="K67" s="402" t="s">
        <v>325</v>
      </c>
      <c r="L67" s="402"/>
      <c r="M67" s="402"/>
    </row>
    <row r="68" spans="1:13" ht="42" customHeight="1">
      <c r="A68" s="404" t="s">
        <v>179</v>
      </c>
      <c r="B68" s="404">
        <v>1</v>
      </c>
      <c r="C68" s="405">
        <v>1.6393442622950821E-2</v>
      </c>
      <c r="D68" s="406">
        <v>1.25</v>
      </c>
      <c r="E68" s="406">
        <v>1.25</v>
      </c>
      <c r="F68" s="404">
        <v>0</v>
      </c>
      <c r="G68" s="404">
        <v>0</v>
      </c>
      <c r="H68" s="404">
        <v>1</v>
      </c>
      <c r="I68" s="404">
        <v>0</v>
      </c>
      <c r="J68" s="401" t="s">
        <v>324</v>
      </c>
      <c r="K68" s="402" t="s">
        <v>327</v>
      </c>
      <c r="L68" s="402"/>
      <c r="M68" s="402"/>
    </row>
    <row r="69" spans="1:13" ht="42" customHeight="1">
      <c r="A69" s="404" t="s">
        <v>180</v>
      </c>
      <c r="B69" s="404">
        <v>1</v>
      </c>
      <c r="C69" s="405">
        <v>1.6393442622950821E-2</v>
      </c>
      <c r="D69" s="406">
        <v>0</v>
      </c>
      <c r="E69" s="406">
        <v>0</v>
      </c>
      <c r="F69" s="404">
        <v>0</v>
      </c>
      <c r="G69" s="404">
        <v>0</v>
      </c>
      <c r="H69" s="404">
        <v>0</v>
      </c>
      <c r="I69" s="404">
        <v>1</v>
      </c>
      <c r="J69" s="401" t="s">
        <v>484</v>
      </c>
      <c r="K69" s="402" t="s">
        <v>485</v>
      </c>
      <c r="L69" s="402"/>
      <c r="M69" s="402"/>
    </row>
    <row r="70" spans="1:13" ht="42" customHeight="1">
      <c r="A70" s="404" t="s">
        <v>182</v>
      </c>
      <c r="B70" s="404">
        <v>1</v>
      </c>
      <c r="C70" s="405">
        <v>1.6393442622950821E-2</v>
      </c>
      <c r="D70" s="406">
        <v>1.6500000000000001</v>
      </c>
      <c r="E70" s="406">
        <v>1.6500000000000001</v>
      </c>
      <c r="F70" s="404">
        <v>0</v>
      </c>
      <c r="G70" s="404">
        <v>1</v>
      </c>
      <c r="H70" s="404">
        <v>0</v>
      </c>
      <c r="I70" s="404">
        <v>0</v>
      </c>
      <c r="J70" s="401" t="s">
        <v>359</v>
      </c>
      <c r="K70" s="402" t="s">
        <v>351</v>
      </c>
      <c r="L70" s="402"/>
      <c r="M70" s="402"/>
    </row>
    <row r="71" spans="1:13" ht="42" customHeight="1">
      <c r="A71" s="404" t="s">
        <v>183</v>
      </c>
      <c r="B71" s="404">
        <v>2</v>
      </c>
      <c r="C71" s="405">
        <v>3.3898305084745763E-2</v>
      </c>
      <c r="D71" s="406">
        <v>1.5</v>
      </c>
      <c r="E71" s="406">
        <v>0.75</v>
      </c>
      <c r="F71" s="404">
        <v>0</v>
      </c>
      <c r="G71" s="404">
        <v>0</v>
      </c>
      <c r="H71" s="404">
        <v>1</v>
      </c>
      <c r="I71" s="404">
        <v>0</v>
      </c>
      <c r="J71" s="401" t="s">
        <v>355</v>
      </c>
      <c r="K71" s="402" t="s">
        <v>327</v>
      </c>
      <c r="L71" s="402"/>
      <c r="M71" s="402"/>
    </row>
    <row r="72" spans="1:13" ht="42" customHeight="1">
      <c r="A72" s="404" t="s">
        <v>184</v>
      </c>
      <c r="B72" s="404">
        <v>1</v>
      </c>
      <c r="C72" s="405">
        <v>1.7241379310344827E-2</v>
      </c>
      <c r="D72" s="406">
        <v>0.75</v>
      </c>
      <c r="E72" s="406">
        <v>0.75</v>
      </c>
      <c r="F72" s="404">
        <v>0</v>
      </c>
      <c r="G72" s="404">
        <v>0</v>
      </c>
      <c r="H72" s="404">
        <v>0</v>
      </c>
      <c r="I72" s="404">
        <v>0</v>
      </c>
      <c r="J72" s="401" t="s">
        <v>309</v>
      </c>
      <c r="K72" s="402" t="s">
        <v>291</v>
      </c>
      <c r="L72" s="402"/>
      <c r="M72" s="402"/>
    </row>
    <row r="73" spans="1:13" ht="42" customHeight="1">
      <c r="A73" s="404" t="s">
        <v>186</v>
      </c>
      <c r="B73" s="404">
        <v>1</v>
      </c>
      <c r="C73" s="405">
        <v>1.7543859649122806E-2</v>
      </c>
      <c r="D73" s="406">
        <v>2</v>
      </c>
      <c r="E73" s="406">
        <v>2</v>
      </c>
      <c r="F73" s="404">
        <v>0</v>
      </c>
      <c r="G73" s="404">
        <v>1</v>
      </c>
      <c r="H73" s="404">
        <v>0</v>
      </c>
      <c r="I73" s="404">
        <v>0</v>
      </c>
      <c r="J73" s="401" t="s">
        <v>324</v>
      </c>
      <c r="K73" s="402" t="s">
        <v>351</v>
      </c>
      <c r="L73" s="402"/>
      <c r="M73" s="402"/>
    </row>
    <row r="74" spans="1:13" ht="42" customHeight="1">
      <c r="A74" s="404" t="s">
        <v>187</v>
      </c>
      <c r="B74" s="404">
        <v>1</v>
      </c>
      <c r="C74" s="405">
        <v>1.7857142857142856E-2</v>
      </c>
      <c r="D74" s="406">
        <v>1</v>
      </c>
      <c r="E74" s="406">
        <v>1</v>
      </c>
      <c r="F74" s="404">
        <v>0</v>
      </c>
      <c r="G74" s="404">
        <v>0</v>
      </c>
      <c r="H74" s="404">
        <v>1</v>
      </c>
      <c r="I74" s="404">
        <v>0</v>
      </c>
      <c r="J74" s="401" t="s">
        <v>324</v>
      </c>
      <c r="K74" s="402" t="s">
        <v>327</v>
      </c>
      <c r="L74" s="402"/>
      <c r="M74" s="402"/>
    </row>
    <row r="78" spans="1:13" ht="15" customHeight="1">
      <c r="A78" s="408" t="s">
        <v>310</v>
      </c>
      <c r="B78" s="384"/>
      <c r="C78" s="384"/>
      <c r="D78" s="384"/>
      <c r="E78" s="384"/>
    </row>
    <row r="79" spans="1:13" ht="41.5" customHeight="1">
      <c r="A79" s="393" t="s">
        <v>232</v>
      </c>
      <c r="B79" s="400" t="s">
        <v>234</v>
      </c>
      <c r="C79" s="400"/>
      <c r="D79" s="400"/>
      <c r="E79" s="400"/>
    </row>
    <row r="80" spans="1:13" ht="41.5" customHeight="1">
      <c r="A80" s="393" t="s">
        <v>225</v>
      </c>
      <c r="B80" s="400" t="s">
        <v>311</v>
      </c>
      <c r="C80" s="400"/>
      <c r="D80" s="400"/>
      <c r="E80" s="400"/>
    </row>
    <row r="81" spans="1:5" ht="41.5" customHeight="1">
      <c r="A81" s="393" t="s">
        <v>287</v>
      </c>
      <c r="B81" s="400" t="s">
        <v>312</v>
      </c>
      <c r="C81" s="400"/>
      <c r="D81" s="400"/>
      <c r="E81" s="400"/>
    </row>
    <row r="82" spans="1:5" ht="41.5" customHeight="1">
      <c r="A82" s="393" t="s">
        <v>230</v>
      </c>
      <c r="B82" s="400" t="s">
        <v>313</v>
      </c>
      <c r="C82" s="400"/>
      <c r="D82" s="400"/>
      <c r="E82" s="400"/>
    </row>
    <row r="83" spans="1:5" ht="41.5" customHeight="1">
      <c r="A83" s="393" t="s">
        <v>226</v>
      </c>
      <c r="B83" s="400" t="s">
        <v>314</v>
      </c>
      <c r="C83" s="400"/>
      <c r="D83" s="400"/>
      <c r="E83" s="400"/>
    </row>
    <row r="84" spans="1:5" ht="41.5" customHeight="1">
      <c r="A84" s="393" t="s">
        <v>231</v>
      </c>
      <c r="B84" s="400" t="s">
        <v>315</v>
      </c>
      <c r="C84" s="400"/>
      <c r="D84" s="400"/>
      <c r="E84" s="400"/>
    </row>
    <row r="85" spans="1:5" ht="28" customHeight="1">
      <c r="A85" s="393" t="s">
        <v>228</v>
      </c>
      <c r="B85" s="400" t="s">
        <v>316</v>
      </c>
      <c r="C85" s="400"/>
      <c r="D85" s="400"/>
      <c r="E85" s="400"/>
    </row>
    <row r="86" spans="1:5" ht="28" customHeight="1">
      <c r="A86" s="393" t="s">
        <v>317</v>
      </c>
      <c r="B86" s="400" t="s">
        <v>318</v>
      </c>
      <c r="C86" s="400"/>
      <c r="D86" s="400"/>
      <c r="E86" s="400"/>
    </row>
  </sheetData>
  <sheetProtection algorithmName="SHA-512" hashValue="+yos5T1wQj47p4jltwGaFr+Gfo9cmM8eqGa/FNY/8HAg522glTwq4m1/UY1zRfKqFMcgFAcnPFdPaw/oWBujFw==" saltValue="/aFWjQ+3pBacxRQ+qcUoKg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JZ5bLzy7x3fTvkNfZs+YpX02Ms49dIjvxQqq/dtv7x0/ttBa0NgvJ9l8ikiCwmnD1N0bypKGjj6HU624NEzIQ==" saltValue="0uGZoFnN2cfL9TDj1Ndh0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2Bw8ysOuQKnGDFWECOxjpjIGSnp25Damkh/wSY8eH9nNlUjP7/TefLLhjscxcdyAdgFsxMQwE0lAkBJYtNp4hg==" saltValue="u29WsoR0LspTtQW38IZSPQ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8L2XBE1wGn391thn1SRUxiNr9i+yfEYFTFajLYdjb8XsBRUFJ7VD1zBBFawHSMq4MWF/dbZ8QZkvvmbpSHf16Q==" saltValue="TcP/zk60Q3U5gZJDSln6Sw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FvmkZRAxnxAtcErSbhZwtBfokStbr1xlVYTocaC56DOaF1fEdqfgSspXA/13+64XHhH/4OwcygRcavdEIvRuxQ==" saltValue="ZBHzbaYa/11Ec6gbKISsHQ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2026-05-22T17:33:09Z</dcterms:modified>
  <cp:category/>
  <cp:contentStatus/>
</cp:coreProperties>
</file>
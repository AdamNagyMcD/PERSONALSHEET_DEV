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ECBF8EC9-C462-442E-8092-4A2556AA37B0}" xr6:coauthVersionLast="47" xr6:coauthVersionMax="47" xr10:uidLastSave="{00000000-0000-0000-0000-000000000000}"/>
  <bookViews>
    <workbookView xWindow="-110" yWindow="-110" windowWidth="38620" windowHeight="21100" tabRatio="677" firstSheet="1" activeTab="3"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9" i="35" l="1"/>
  <c r="K60" i="35"/>
  <c r="K61" i="35"/>
  <c r="K62" i="35"/>
  <c r="K63" i="35"/>
  <c r="K64" i="35"/>
  <c r="K65" i="35"/>
  <c r="K66" i="35"/>
  <c r="K67" i="35"/>
  <c r="K68" i="35"/>
  <c r="K69" i="35"/>
  <c r="K70" i="35"/>
  <c r="K71" i="35"/>
  <c r="K72" i="35"/>
  <c r="K73" i="35"/>
  <c r="K74" i="35"/>
  <c r="K75" i="35"/>
  <c r="K76" i="35"/>
  <c r="K77" i="35"/>
  <c r="K78" i="35"/>
  <c r="K79" i="35"/>
  <c r="K80" i="35"/>
  <c r="K81" i="35"/>
  <c r="K82" i="35"/>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59" i="36"/>
  <c r="K60" i="36"/>
  <c r="K61" i="36"/>
  <c r="K62" i="36"/>
  <c r="K63" i="36"/>
  <c r="K64" i="36"/>
  <c r="K65" i="36"/>
  <c r="K66" i="36"/>
  <c r="K67" i="36"/>
  <c r="K68" i="36"/>
  <c r="K69" i="36"/>
  <c r="K70" i="36"/>
  <c r="K71" i="36"/>
  <c r="K72" i="36"/>
  <c r="K73" i="36"/>
  <c r="K74" i="36"/>
  <c r="K75" i="36"/>
  <c r="K76" i="36"/>
  <c r="K77" i="36"/>
  <c r="K78" i="36"/>
  <c r="K79" i="36"/>
  <c r="K80" i="36"/>
  <c r="K81" i="36"/>
  <c r="K82" i="36"/>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59" i="33"/>
  <c r="K60" i="33"/>
  <c r="K61" i="33"/>
  <c r="K62" i="33"/>
  <c r="K63" i="33"/>
  <c r="K64" i="33"/>
  <c r="K65" i="33"/>
  <c r="K66" i="33"/>
  <c r="K67" i="33"/>
  <c r="K68" i="33"/>
  <c r="K69" i="33"/>
  <c r="K70" i="33"/>
  <c r="K71" i="33"/>
  <c r="K72" i="33"/>
  <c r="K73" i="33"/>
  <c r="K74" i="33"/>
  <c r="K75" i="33"/>
  <c r="K76" i="33"/>
  <c r="K77" i="33"/>
  <c r="K78" i="33"/>
  <c r="K79" i="33"/>
  <c r="K80" i="33"/>
  <c r="K81" i="33"/>
  <c r="K8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60" i="32"/>
  <c r="K61" i="32"/>
  <c r="K62" i="32"/>
  <c r="K63" i="32"/>
  <c r="K64" i="32"/>
  <c r="K65" i="32"/>
  <c r="K66" i="32"/>
  <c r="K67" i="32"/>
  <c r="K68" i="32"/>
  <c r="K69" i="32"/>
  <c r="K70" i="32"/>
  <c r="K71" i="32"/>
  <c r="K72" i="32"/>
  <c r="K73" i="32"/>
  <c r="K74" i="32"/>
  <c r="K75" i="32"/>
  <c r="K76" i="32"/>
  <c r="K77" i="32"/>
  <c r="K78" i="32"/>
  <c r="K79" i="32"/>
  <c r="K80" i="32"/>
  <c r="K81" i="32"/>
  <c r="K82" i="32"/>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60" i="31"/>
  <c r="K61" i="31"/>
  <c r="K62" i="31"/>
  <c r="K63" i="31"/>
  <c r="K64" i="31"/>
  <c r="K65" i="31"/>
  <c r="K66" i="31"/>
  <c r="K67" i="31"/>
  <c r="K68" i="31"/>
  <c r="K69" i="31"/>
  <c r="K70" i="31"/>
  <c r="K71" i="31"/>
  <c r="K72" i="31"/>
  <c r="K73" i="31"/>
  <c r="K74" i="31"/>
  <c r="K75" i="31"/>
  <c r="K76" i="31"/>
  <c r="K77" i="31"/>
  <c r="K78" i="31"/>
  <c r="K79" i="31"/>
  <c r="K80" i="31"/>
  <c r="K81" i="31"/>
  <c r="K82" i="31"/>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60" i="30"/>
  <c r="K61" i="30"/>
  <c r="K62" i="30"/>
  <c r="K63" i="30"/>
  <c r="K64" i="30"/>
  <c r="K65" i="30"/>
  <c r="K66" i="30"/>
  <c r="K67" i="30"/>
  <c r="K68" i="30"/>
  <c r="K69" i="30"/>
  <c r="K70" i="30"/>
  <c r="K71" i="30"/>
  <c r="K72" i="30"/>
  <c r="K73" i="30"/>
  <c r="K74" i="30"/>
  <c r="K75" i="30"/>
  <c r="K76" i="30"/>
  <c r="K77" i="30"/>
  <c r="K78" i="30"/>
  <c r="K79" i="30"/>
  <c r="K80" i="30"/>
  <c r="K81" i="30"/>
  <c r="K82" i="30"/>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61" i="37"/>
  <c r="K62" i="37"/>
  <c r="K63" i="37"/>
  <c r="K64" i="37"/>
  <c r="K65" i="37"/>
  <c r="K66" i="37"/>
  <c r="K67" i="37"/>
  <c r="K68" i="37"/>
  <c r="K69" i="37"/>
  <c r="K70" i="37"/>
  <c r="K71" i="37"/>
  <c r="K72" i="37"/>
  <c r="K73" i="37"/>
  <c r="K74" i="37"/>
  <c r="K75" i="37"/>
  <c r="K76" i="37"/>
  <c r="K77" i="37"/>
  <c r="K78" i="37"/>
  <c r="K79" i="37"/>
  <c r="K80" i="37"/>
  <c r="K81" i="37"/>
  <c r="K8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K63" i="28"/>
  <c r="K64" i="28"/>
  <c r="K65" i="28"/>
  <c r="K66" i="28"/>
  <c r="K67" i="28"/>
  <c r="K68" i="28"/>
  <c r="K69" i="28"/>
  <c r="K70" i="28"/>
  <c r="K71" i="28"/>
  <c r="K72" i="28"/>
  <c r="K73" i="28"/>
  <c r="K74" i="28"/>
  <c r="K75" i="28"/>
  <c r="K76" i="28"/>
  <c r="K77" i="28"/>
  <c r="K78" i="28"/>
  <c r="K79" i="28"/>
  <c r="K80" i="28"/>
  <c r="K81" i="28"/>
  <c r="K82" i="28"/>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66" i="27"/>
  <c r="K67" i="27"/>
  <c r="K68" i="27"/>
  <c r="K69" i="27"/>
  <c r="K70" i="27"/>
  <c r="K71" i="27"/>
  <c r="K72" i="27"/>
  <c r="K73" i="27"/>
  <c r="K74" i="27"/>
  <c r="K75" i="27"/>
  <c r="K76" i="27"/>
  <c r="K77" i="27"/>
  <c r="K78" i="27"/>
  <c r="K79" i="27"/>
  <c r="K80" i="27"/>
  <c r="K81" i="27"/>
  <c r="K82" i="27"/>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66" i="26"/>
  <c r="K67" i="26"/>
  <c r="K68" i="26"/>
  <c r="K69" i="26"/>
  <c r="K70" i="26"/>
  <c r="K71" i="26"/>
  <c r="K72" i="26"/>
  <c r="K73" i="26"/>
  <c r="K74" i="26"/>
  <c r="K75" i="26"/>
  <c r="K76" i="26"/>
  <c r="K77" i="26"/>
  <c r="K78" i="26"/>
  <c r="K79" i="26"/>
  <c r="K80" i="26"/>
  <c r="K81" i="26"/>
  <c r="K82" i="26"/>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K65" i="25"/>
  <c r="K66" i="25"/>
  <c r="K67" i="25"/>
  <c r="K68" i="25"/>
  <c r="K69" i="25"/>
  <c r="K70" i="25"/>
  <c r="K71" i="25"/>
  <c r="K72" i="25"/>
  <c r="K73" i="25"/>
  <c r="K74" i="25"/>
  <c r="K75" i="25"/>
  <c r="K76" i="25"/>
  <c r="K77" i="25"/>
  <c r="K78" i="25"/>
  <c r="K79" i="25"/>
  <c r="K80" i="25"/>
  <c r="K81" i="25"/>
  <c r="K82" i="25"/>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163" i="46"/>
  <c r="I163" i="46"/>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J22" i="15"/>
  <c r="G22" i="15"/>
  <c r="J18" i="15"/>
  <c r="G18" i="15"/>
  <c r="J14" i="15"/>
  <c r="G14" i="15"/>
  <c r="J10" i="15"/>
  <c r="G10" i="15"/>
  <c r="F21" i="15"/>
  <c r="F20" i="15"/>
  <c r="F19" i="15"/>
  <c r="F17" i="15"/>
  <c r="F16" i="15"/>
  <c r="F15" i="15"/>
  <c r="F13" i="15"/>
  <c r="F12" i="15"/>
  <c r="F11" i="15"/>
  <c r="F9" i="15"/>
  <c r="F8" i="15"/>
  <c r="F7" i="1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56" i="3"/>
  <c r="G57" i="3"/>
  <c r="G58" i="3"/>
  <c r="G59" i="3"/>
  <c r="G60" i="3"/>
  <c r="G61" i="3"/>
  <c r="G62" i="3"/>
  <c r="G63" i="3"/>
  <c r="G64" i="3"/>
  <c r="G65" i="3"/>
  <c r="G66" i="3"/>
  <c r="G67" i="3"/>
  <c r="G68" i="3"/>
  <c r="G69" i="3"/>
  <c r="G70" i="3"/>
  <c r="G71" i="3"/>
  <c r="G72" i="3"/>
  <c r="G73" i="3"/>
  <c r="G74" i="3"/>
  <c r="G75" i="3"/>
  <c r="G76" i="3"/>
  <c r="G77" i="3"/>
  <c r="G78" i="3"/>
  <c r="G79" i="3"/>
  <c r="G80" i="3"/>
  <c r="G81" i="3"/>
  <c r="G82" i="3"/>
  <c r="D25" i="2"/>
  <c r="D24" i="2"/>
  <c r="K3" i="35" l="1"/>
  <c r="K4" i="35"/>
  <c r="K5" i="35"/>
  <c r="K6" i="35"/>
  <c r="K7" i="35"/>
  <c r="K8" i="35"/>
  <c r="K9" i="35"/>
  <c r="K10" i="35"/>
  <c r="K11" i="35"/>
  <c r="K12" i="35"/>
  <c r="K13" i="35"/>
  <c r="K14" i="35"/>
  <c r="K15" i="35"/>
  <c r="K16" i="35"/>
  <c r="K17" i="35"/>
  <c r="K18" i="35"/>
  <c r="K19" i="35"/>
  <c r="K22" i="35"/>
  <c r="K25" i="35"/>
  <c r="K26" i="35"/>
  <c r="K27" i="35"/>
  <c r="K29" i="35"/>
  <c r="K33" i="35"/>
  <c r="K34" i="35"/>
  <c r="K38" i="35"/>
  <c r="K41" i="35"/>
  <c r="K44" i="35"/>
  <c r="K48" i="35"/>
  <c r="K50" i="35"/>
  <c r="K53" i="35"/>
  <c r="K56" i="35"/>
  <c r="K14" i="36"/>
  <c r="K19" i="36"/>
  <c r="K24" i="36"/>
  <c r="K33" i="36"/>
  <c r="K38" i="36"/>
  <c r="K44" i="36"/>
  <c r="K52" i="36"/>
  <c r="K31" i="33"/>
  <c r="K41" i="33"/>
  <c r="K47" i="33"/>
  <c r="K54" i="33"/>
  <c r="K10" i="32"/>
  <c r="K25" i="32"/>
  <c r="K39" i="32"/>
  <c r="K49" i="32"/>
  <c r="K3" i="31"/>
  <c r="K39" i="31"/>
  <c r="K51" i="31"/>
  <c r="K38" i="30"/>
  <c r="K56" i="30"/>
  <c r="K13" i="37"/>
  <c r="K35" i="26"/>
  <c r="K57" i="26"/>
  <c r="K15" i="25"/>
  <c r="K34" i="25"/>
  <c r="K11" i="36"/>
  <c r="K17" i="36"/>
  <c r="K22" i="36"/>
  <c r="K26" i="36"/>
  <c r="K30" i="36"/>
  <c r="K34" i="36"/>
  <c r="K40" i="36"/>
  <c r="K46" i="36"/>
  <c r="K51" i="36"/>
  <c r="K33" i="33"/>
  <c r="K36" i="33"/>
  <c r="K44" i="33"/>
  <c r="K52" i="33"/>
  <c r="K57" i="33"/>
  <c r="K11" i="32"/>
  <c r="K20" i="32"/>
  <c r="K30" i="32"/>
  <c r="K42" i="32"/>
  <c r="K51" i="32"/>
  <c r="K4" i="31"/>
  <c r="K34" i="31"/>
  <c r="K41" i="31"/>
  <c r="K50" i="31"/>
  <c r="K30" i="30"/>
  <c r="K46" i="30"/>
  <c r="K9" i="37"/>
  <c r="K23" i="27"/>
  <c r="K32" i="26"/>
  <c r="K48" i="26"/>
  <c r="K24" i="25"/>
  <c r="K3" i="36"/>
  <c r="K4" i="36"/>
  <c r="K5" i="36"/>
  <c r="K6" i="36"/>
  <c r="K7" i="36"/>
  <c r="K8" i="36"/>
  <c r="K10" i="36"/>
  <c r="K16" i="36"/>
  <c r="K23" i="36"/>
  <c r="K29" i="36"/>
  <c r="K35" i="36"/>
  <c r="K41" i="36"/>
  <c r="K43" i="36"/>
  <c r="K50" i="36"/>
  <c r="K3" i="33"/>
  <c r="K38" i="33"/>
  <c r="K45" i="33"/>
  <c r="K55" i="33"/>
  <c r="K15" i="32"/>
  <c r="K27" i="32"/>
  <c r="K31" i="32"/>
  <c r="K40" i="32"/>
  <c r="K53" i="32"/>
  <c r="K15" i="31"/>
  <c r="K45" i="31"/>
  <c r="K57" i="31"/>
  <c r="K32" i="30"/>
  <c r="K48" i="30"/>
  <c r="K57" i="30"/>
  <c r="K10" i="37"/>
  <c r="K22" i="27"/>
  <c r="K39" i="26"/>
  <c r="K58" i="26"/>
  <c r="K16" i="25"/>
  <c r="K33" i="25"/>
  <c r="K54" i="36"/>
  <c r="K55" i="36"/>
  <c r="K56" i="36"/>
  <c r="K57" i="36"/>
  <c r="K58" i="36"/>
  <c r="K5" i="33"/>
  <c r="K39" i="33"/>
  <c r="K49" i="33"/>
  <c r="K21" i="32"/>
  <c r="K29" i="32"/>
  <c r="K41" i="32"/>
  <c r="K46" i="32"/>
  <c r="K59" i="32"/>
  <c r="K13" i="31"/>
  <c r="K42" i="31"/>
  <c r="K52" i="31"/>
  <c r="K27" i="30"/>
  <c r="K40" i="30"/>
  <c r="K52" i="30"/>
  <c r="K14" i="37"/>
  <c r="K41" i="26"/>
  <c r="K54" i="26"/>
  <c r="K4" i="25"/>
  <c r="K30" i="25"/>
  <c r="K4" i="33"/>
  <c r="K51" i="33"/>
  <c r="K18" i="32"/>
  <c r="K36" i="32"/>
  <c r="K57" i="32"/>
  <c r="K9" i="31"/>
  <c r="K46" i="31"/>
  <c r="K44" i="30"/>
  <c r="K12" i="37"/>
  <c r="K12" i="25"/>
  <c r="K9" i="33"/>
  <c r="K10" i="33"/>
  <c r="K11" i="33"/>
  <c r="K12" i="33"/>
  <c r="K13" i="33"/>
  <c r="K14" i="33"/>
  <c r="K15" i="33"/>
  <c r="K16" i="33"/>
  <c r="K17" i="33"/>
  <c r="K18" i="33"/>
  <c r="K19" i="33"/>
  <c r="K20" i="33"/>
  <c r="K21" i="33"/>
  <c r="K22" i="33"/>
  <c r="K23" i="33"/>
  <c r="K24" i="33"/>
  <c r="K25" i="33"/>
  <c r="K26" i="33"/>
  <c r="K27" i="33"/>
  <c r="K28" i="33"/>
  <c r="K29" i="33"/>
  <c r="K30" i="33"/>
  <c r="K40" i="33"/>
  <c r="K53" i="33"/>
  <c r="K19" i="32"/>
  <c r="K35" i="32"/>
  <c r="K55" i="32"/>
  <c r="K8" i="31"/>
  <c r="K43" i="31"/>
  <c r="K59" i="31"/>
  <c r="K42" i="30"/>
  <c r="K17" i="37"/>
  <c r="K59" i="26"/>
  <c r="K26" i="25"/>
  <c r="K16" i="32"/>
  <c r="K28" i="32"/>
  <c r="K38" i="32"/>
  <c r="K54" i="32"/>
  <c r="K6" i="31"/>
  <c r="K38" i="31"/>
  <c r="K56" i="31"/>
  <c r="K28" i="30"/>
  <c r="K43" i="30"/>
  <c r="K50" i="30"/>
  <c r="K7" i="37"/>
  <c r="K42" i="26"/>
  <c r="K60" i="26"/>
  <c r="K25" i="25"/>
  <c r="K3" i="32"/>
  <c r="K4" i="32"/>
  <c r="K5" i="32"/>
  <c r="K6" i="32"/>
  <c r="K7" i="32"/>
  <c r="K8" i="32"/>
  <c r="K9" i="32"/>
  <c r="K22" i="32"/>
  <c r="K44" i="32"/>
  <c r="K58" i="32"/>
  <c r="K11" i="31"/>
  <c r="K47" i="31"/>
  <c r="K31" i="30"/>
  <c r="K51" i="30"/>
  <c r="K21" i="37"/>
  <c r="K44" i="26"/>
  <c r="K65" i="26"/>
  <c r="K8" i="25"/>
  <c r="K32" i="25"/>
  <c r="K5" i="31"/>
  <c r="K48" i="31"/>
  <c r="K25" i="30"/>
  <c r="K53" i="30"/>
  <c r="K11" i="37"/>
  <c r="K47" i="26"/>
  <c r="K18" i="25"/>
  <c r="K37" i="31"/>
  <c r="K39" i="30"/>
  <c r="K38" i="26"/>
  <c r="K21" i="25"/>
  <c r="K16" i="31"/>
  <c r="K17" i="31"/>
  <c r="K18" i="31"/>
  <c r="K19" i="31"/>
  <c r="K20" i="31"/>
  <c r="K21" i="31"/>
  <c r="K22" i="31"/>
  <c r="K23" i="31"/>
  <c r="K24" i="31"/>
  <c r="K25" i="31"/>
  <c r="K26" i="31"/>
  <c r="K27" i="31"/>
  <c r="K28" i="31"/>
  <c r="K29" i="31"/>
  <c r="K30" i="31"/>
  <c r="K31" i="31"/>
  <c r="K32" i="31"/>
  <c r="K33" i="31"/>
  <c r="K49" i="31"/>
  <c r="K36" i="30"/>
  <c r="K16" i="37"/>
  <c r="K64" i="26"/>
  <c r="K33" i="30"/>
  <c r="K10" i="25"/>
  <c r="K3" i="30"/>
  <c r="K4" i="30"/>
  <c r="K5" i="30"/>
  <c r="K6" i="30"/>
  <c r="K7" i="30"/>
  <c r="K8" i="30"/>
  <c r="K9" i="30"/>
  <c r="K10" i="30"/>
  <c r="K11" i="30"/>
  <c r="K12" i="30"/>
  <c r="K13" i="30"/>
  <c r="K14" i="30"/>
  <c r="K15" i="30"/>
  <c r="K16" i="30"/>
  <c r="K17" i="30"/>
  <c r="K18" i="30"/>
  <c r="K19" i="30"/>
  <c r="K20" i="30"/>
  <c r="K21" i="30"/>
  <c r="K22" i="30"/>
  <c r="K23" i="30"/>
  <c r="K24" i="30"/>
  <c r="K49" i="30"/>
  <c r="K18" i="37"/>
  <c r="K36" i="26"/>
  <c r="K17" i="25"/>
  <c r="K4" i="37"/>
  <c r="K5" i="37"/>
  <c r="K20" i="37"/>
  <c r="K37" i="26"/>
  <c r="K13" i="25"/>
  <c r="K3" i="37"/>
  <c r="K6" i="37"/>
  <c r="K52" i="26"/>
  <c r="K19" i="25"/>
  <c r="K22" i="37"/>
  <c r="K23" i="37"/>
  <c r="K24" i="37"/>
  <c r="K25" i="37"/>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46" i="28"/>
  <c r="K49" i="28"/>
  <c r="K52" i="28"/>
  <c r="K55" i="28"/>
  <c r="K58" i="28"/>
  <c r="K61" i="28"/>
  <c r="K5" i="27"/>
  <c r="K8" i="27"/>
  <c r="K11" i="27"/>
  <c r="K17" i="27"/>
  <c r="K20" i="27"/>
  <c r="K34" i="26"/>
  <c r="K50" i="26"/>
  <c r="K11" i="25"/>
  <c r="K47" i="28"/>
  <c r="K51" i="28"/>
  <c r="K54" i="28"/>
  <c r="K57" i="28"/>
  <c r="K60" i="28"/>
  <c r="K62" i="28"/>
  <c r="K4" i="27"/>
  <c r="K9" i="27"/>
  <c r="K12" i="27"/>
  <c r="K16" i="27"/>
  <c r="K19" i="27"/>
  <c r="K33" i="26"/>
  <c r="K51" i="26"/>
  <c r="K63" i="26"/>
  <c r="K27" i="25"/>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48" i="28"/>
  <c r="K50" i="28"/>
  <c r="K53" i="28"/>
  <c r="K56" i="28"/>
  <c r="K59" i="28"/>
  <c r="K3" i="27"/>
  <c r="K10" i="27"/>
  <c r="K13" i="27"/>
  <c r="K18" i="27"/>
  <c r="K24" i="27"/>
  <c r="K40" i="26"/>
  <c r="K53" i="26"/>
  <c r="K3" i="25"/>
  <c r="K31" i="25"/>
  <c r="K6" i="27"/>
  <c r="K15" i="27"/>
  <c r="K21" i="27"/>
  <c r="K7" i="27"/>
  <c r="K14" i="27"/>
  <c r="K27"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45" i="26"/>
  <c r="K20" i="25"/>
  <c r="K43" i="26"/>
  <c r="K7" i="25"/>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56" i="26"/>
  <c r="K9" i="25"/>
  <c r="K1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31" i="35"/>
  <c r="K42" i="35"/>
  <c r="K49" i="35"/>
  <c r="K55" i="35"/>
  <c r="K15" i="36"/>
  <c r="K31" i="36"/>
  <c r="K47" i="36"/>
  <c r="K6" i="33"/>
  <c r="K46" i="33"/>
  <c r="K13" i="32"/>
  <c r="K33" i="32"/>
  <c r="K47" i="32"/>
  <c r="K10" i="31"/>
  <c r="K54" i="31"/>
  <c r="K35" i="30"/>
  <c r="K54" i="30"/>
  <c r="K26" i="27"/>
  <c r="K55" i="26"/>
  <c r="K6" i="25"/>
  <c r="K21" i="35"/>
  <c r="K30" i="35"/>
  <c r="K37" i="35"/>
  <c r="K45" i="35"/>
  <c r="K52" i="35"/>
  <c r="K58" i="35"/>
  <c r="K18" i="36"/>
  <c r="K27" i="36"/>
  <c r="K39" i="36"/>
  <c r="K53" i="36"/>
  <c r="K7" i="33"/>
  <c r="K43" i="33"/>
  <c r="K58" i="33"/>
  <c r="K17" i="32"/>
  <c r="K37" i="32"/>
  <c r="K50" i="32"/>
  <c r="K12" i="31"/>
  <c r="K58" i="31"/>
  <c r="K29" i="30"/>
  <c r="K55" i="30"/>
  <c r="K61" i="26"/>
  <c r="K23" i="25"/>
  <c r="K20" i="35"/>
  <c r="K23" i="35"/>
  <c r="K36" i="35"/>
  <c r="K40" i="35"/>
  <c r="K57" i="35"/>
  <c r="K12" i="36"/>
  <c r="K21" i="36"/>
  <c r="K28" i="36"/>
  <c r="K37" i="36"/>
  <c r="K45" i="36"/>
  <c r="K8" i="33"/>
  <c r="K35" i="33"/>
  <c r="K42" i="33"/>
  <c r="K50" i="33"/>
  <c r="K12" i="32"/>
  <c r="K26" i="32"/>
  <c r="K32" i="32"/>
  <c r="K45" i="32"/>
  <c r="K52" i="32"/>
  <c r="K14" i="31"/>
  <c r="K40" i="31"/>
  <c r="K55" i="31"/>
  <c r="K26" i="30"/>
  <c r="K41" i="30"/>
  <c r="K47" i="30"/>
  <c r="K59" i="30"/>
  <c r="K8" i="37"/>
  <c r="K25" i="27"/>
  <c r="K49" i="26"/>
  <c r="K62" i="26"/>
  <c r="K5" i="25"/>
  <c r="K29" i="25"/>
  <c r="K46" i="35"/>
  <c r="K48" i="36"/>
  <c r="K34" i="33"/>
  <c r="K23" i="32"/>
  <c r="K48" i="32"/>
  <c r="K36" i="31"/>
  <c r="K37" i="30"/>
  <c r="K19" i="37"/>
  <c r="K22" i="25"/>
  <c r="K24" i="35"/>
  <c r="K28" i="35"/>
  <c r="K32" i="35"/>
  <c r="K35" i="35"/>
  <c r="K39" i="35"/>
  <c r="K43" i="35"/>
  <c r="K47" i="35"/>
  <c r="K51" i="35"/>
  <c r="K54" i="35"/>
  <c r="K9" i="36"/>
  <c r="K13" i="36"/>
  <c r="K20" i="36"/>
  <c r="K25" i="36"/>
  <c r="K32" i="36"/>
  <c r="K36" i="36"/>
  <c r="K42" i="36"/>
  <c r="K49" i="36"/>
  <c r="K32" i="33"/>
  <c r="K37" i="33"/>
  <c r="K48" i="33"/>
  <c r="K56" i="33"/>
  <c r="K14" i="32"/>
  <c r="K24" i="32"/>
  <c r="K34" i="32"/>
  <c r="K43" i="32"/>
  <c r="K56" i="32"/>
  <c r="K7" i="31"/>
  <c r="K35" i="31"/>
  <c r="K44" i="31"/>
  <c r="K53" i="31"/>
  <c r="K34" i="30"/>
  <c r="K45" i="30"/>
  <c r="K58" i="30"/>
  <c r="K15" i="37"/>
  <c r="K28" i="27"/>
  <c r="K46" i="26"/>
  <c r="K28" i="25"/>
  <c r="J23" i="15"/>
  <c r="G23" i="15"/>
  <c r="F22" i="15"/>
  <c r="F18" i="15"/>
  <c r="F14" i="15"/>
  <c r="F10" i="15"/>
  <c r="F23" i="15" s="1"/>
  <c r="H21" i="15"/>
  <c r="H20" i="15"/>
  <c r="H19" i="15"/>
  <c r="H17" i="15"/>
  <c r="H16" i="15"/>
  <c r="H15" i="15"/>
  <c r="H13" i="15"/>
  <c r="H12" i="15"/>
  <c r="H11" i="15"/>
  <c r="H9" i="15"/>
  <c r="H8" i="15"/>
  <c r="H7" i="15"/>
  <c r="K5" i="3"/>
  <c r="K6" i="3"/>
  <c r="K4" i="3"/>
  <c r="K7" i="3"/>
  <c r="K8" i="3"/>
  <c r="K3"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39" i="25"/>
  <c r="L47" i="25"/>
  <c r="L43" i="25"/>
  <c r="L25" i="25"/>
  <c r="L52" i="25"/>
  <c r="L11" i="25"/>
  <c r="L45" i="25"/>
  <c r="L24" i="25"/>
  <c r="L41" i="25"/>
  <c r="L22" i="25"/>
  <c r="L5" i="25"/>
  <c r="L14" i="25"/>
  <c r="L42" i="25"/>
  <c r="L36" i="25"/>
  <c r="L40" i="25"/>
  <c r="L4" i="25"/>
  <c r="L59" i="25"/>
  <c r="L17"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18" i="25"/>
  <c r="L37" i="25"/>
  <c r="L12" i="3"/>
  <c r="L4" i="3"/>
  <c r="L17" i="3"/>
  <c r="L48" i="3"/>
  <c r="L40" i="3"/>
  <c r="L8" i="3"/>
  <c r="L55" i="3"/>
  <c r="L47" i="3"/>
  <c r="L39" i="3"/>
  <c r="L7" i="3"/>
  <c r="L54" i="3"/>
  <c r="L22" i="3"/>
  <c r="L51" i="3"/>
  <c r="L43" i="3"/>
  <c r="L35" i="3"/>
  <c r="L27" i="3"/>
  <c r="L19" i="3"/>
  <c r="L11" i="3"/>
  <c r="L3" i="3"/>
  <c r="L63" i="25"/>
  <c r="L58" i="25"/>
  <c r="L29" i="25"/>
  <c r="L64" i="25"/>
  <c r="L32" i="25"/>
  <c r="L53" i="25"/>
  <c r="L51" i="25"/>
  <c r="L34" i="25"/>
  <c r="L27" i="25"/>
  <c r="L56" i="25"/>
  <c r="L10" i="25"/>
  <c r="L26" i="25"/>
  <c r="L35" i="25"/>
  <c r="L44" i="25"/>
  <c r="L62" i="25"/>
  <c r="L16" i="25"/>
  <c r="L9" i="25"/>
  <c r="L20" i="25"/>
  <c r="L13" i="25"/>
  <c r="L23" i="25"/>
  <c r="L30" i="25"/>
  <c r="L48" i="25"/>
  <c r="L38" i="25"/>
  <c r="L57" i="25"/>
  <c r="L7" i="25"/>
  <c r="L15" i="25"/>
  <c r="L61" i="25"/>
  <c r="L50" i="25"/>
  <c r="L46" i="25"/>
  <c r="L33" i="25"/>
  <c r="L60" i="25"/>
  <c r="L54" i="25"/>
  <c r="L55" i="25"/>
  <c r="L28" i="25"/>
  <c r="L12" i="25"/>
  <c r="L8" i="25"/>
  <c r="L21" i="25"/>
  <c r="L31" i="25"/>
  <c r="L19" i="25"/>
  <c r="L3" i="25"/>
  <c r="L67" i="26"/>
  <c r="L66" i="26"/>
  <c r="L68" i="26"/>
  <c r="L66" i="27"/>
  <c r="L71" i="26"/>
  <c r="L72" i="26"/>
  <c r="L76" i="26"/>
  <c r="L77" i="26"/>
  <c r="L82" i="26"/>
  <c r="L29" i="26"/>
  <c r="L7" i="26"/>
  <c r="L52" i="26"/>
  <c r="L47" i="26"/>
  <c r="L11" i="26"/>
  <c r="L63" i="26"/>
  <c r="L33" i="26"/>
  <c r="L55" i="26"/>
  <c r="L19" i="26"/>
  <c r="L69" i="26"/>
  <c r="L75" i="26"/>
  <c r="L78" i="26"/>
  <c r="L81" i="26"/>
  <c r="L79" i="26"/>
  <c r="L74" i="26"/>
  <c r="L73" i="26"/>
  <c r="L70" i="26"/>
  <c r="L80" i="26"/>
  <c r="L73" i="3"/>
  <c r="L57" i="3"/>
  <c r="L82" i="28"/>
  <c r="L81" i="28"/>
  <c r="L25" i="26"/>
  <c r="L32" i="26"/>
  <c r="L68" i="27"/>
  <c r="L67" i="27"/>
  <c r="L69" i="28"/>
  <c r="L68" i="28"/>
  <c r="L80" i="28"/>
  <c r="L72" i="27"/>
  <c r="L69" i="27"/>
  <c r="L77" i="27"/>
  <c r="L74" i="27"/>
  <c r="L71" i="27"/>
  <c r="L70" i="27"/>
  <c r="L73" i="27"/>
  <c r="L76" i="27"/>
  <c r="L39" i="37"/>
  <c r="L20" i="37"/>
  <c r="L24" i="37"/>
  <c r="L56" i="37"/>
  <c r="L9" i="37"/>
  <c r="L49" i="26"/>
  <c r="L37" i="26"/>
  <c r="L58" i="26"/>
  <c r="L51" i="26"/>
  <c r="L39" i="26"/>
  <c r="L34" i="26"/>
  <c r="L54" i="26"/>
  <c r="L4" i="26"/>
  <c r="L23" i="26"/>
  <c r="L8" i="26"/>
  <c r="L53" i="26"/>
  <c r="L16" i="26"/>
  <c r="L45" i="26"/>
  <c r="L60" i="26"/>
  <c r="L48" i="26"/>
  <c r="L38" i="26"/>
  <c r="L65" i="26"/>
  <c r="L59" i="26"/>
  <c r="L15" i="26"/>
  <c r="L9" i="26"/>
  <c r="L14" i="26"/>
  <c r="L26" i="26"/>
  <c r="L27" i="26"/>
  <c r="L24" i="26"/>
  <c r="L41" i="26"/>
  <c r="L50" i="26"/>
  <c r="L5" i="26"/>
  <c r="L36" i="26"/>
  <c r="L64" i="26"/>
  <c r="L6" i="26"/>
  <c r="L21" i="26"/>
  <c r="L43" i="26"/>
  <c r="L18" i="26"/>
  <c r="L35" i="26"/>
  <c r="L3" i="26"/>
  <c r="L56" i="26"/>
  <c r="L44" i="26"/>
  <c r="L28" i="26"/>
  <c r="L22" i="26"/>
  <c r="L13" i="26"/>
  <c r="L42" i="26"/>
  <c r="L57" i="26"/>
  <c r="L12" i="26"/>
  <c r="L17" i="26"/>
  <c r="L10" i="26"/>
  <c r="L46" i="26"/>
  <c r="L30" i="26"/>
  <c r="L62" i="26"/>
  <c r="L40" i="26"/>
  <c r="L20" i="26"/>
  <c r="L61" i="26"/>
  <c r="L31" i="26"/>
  <c r="L48" i="37"/>
  <c r="L82" i="27"/>
  <c r="L80" i="27"/>
  <c r="L78" i="30"/>
  <c r="L80" i="30"/>
  <c r="L81" i="30"/>
  <c r="L82" i="30"/>
  <c r="L79" i="30"/>
  <c r="L40" i="27"/>
  <c r="L81" i="27"/>
  <c r="L78" i="27"/>
  <c r="L79" i="27"/>
  <c r="L32" i="27"/>
  <c r="L44" i="37"/>
  <c r="L7" i="37"/>
  <c r="L64" i="37"/>
  <c r="L8" i="37"/>
  <c r="L37" i="37"/>
  <c r="L34" i="37"/>
  <c r="L47" i="37"/>
  <c r="L55" i="37"/>
  <c r="L17" i="37"/>
  <c r="L76" i="30"/>
  <c r="L65" i="30"/>
  <c r="L66" i="30"/>
  <c r="L73" i="28"/>
  <c r="L78" i="28"/>
  <c r="L74" i="28"/>
  <c r="L72" i="28"/>
  <c r="L79" i="28"/>
  <c r="L71" i="28"/>
  <c r="L77" i="28"/>
  <c r="L70" i="28"/>
  <c r="L76" i="28"/>
  <c r="L75" i="28"/>
  <c r="L67" i="28"/>
  <c r="L75" i="27"/>
  <c r="L28" i="37"/>
  <c r="L21" i="37"/>
  <c r="L15" i="37"/>
  <c r="L35" i="37"/>
  <c r="L59" i="37"/>
  <c r="L63" i="37"/>
  <c r="L36" i="37"/>
  <c r="L19" i="37"/>
  <c r="L30" i="37"/>
  <c r="L51" i="37"/>
  <c r="L58" i="37"/>
  <c r="L54" i="37"/>
  <c r="L64" i="30"/>
  <c r="L67" i="30"/>
  <c r="L70" i="30"/>
  <c r="L73" i="30"/>
  <c r="L68" i="30"/>
  <c r="L69" i="30"/>
  <c r="L72" i="30"/>
  <c r="L77" i="30"/>
  <c r="L75" i="30"/>
  <c r="L74" i="30"/>
  <c r="L71" i="30"/>
  <c r="L65" i="37"/>
  <c r="L66" i="37"/>
  <c r="L79" i="37"/>
  <c r="L68" i="37"/>
  <c r="L78" i="37"/>
  <c r="L67" i="37"/>
  <c r="L80" i="37"/>
  <c r="L70" i="37"/>
  <c r="L69" i="37"/>
  <c r="L13" i="28"/>
  <c r="L49" i="37"/>
  <c r="L53" i="37"/>
  <c r="L32" i="37"/>
  <c r="L11" i="37"/>
  <c r="L57" i="37"/>
  <c r="L52" i="37"/>
  <c r="L62" i="37"/>
  <c r="L3" i="37"/>
  <c r="L4" i="37"/>
  <c r="L5" i="37"/>
  <c r="L6" i="37"/>
  <c r="L41" i="37"/>
  <c r="L22" i="37"/>
  <c r="L29" i="37"/>
  <c r="L14" i="37"/>
  <c r="L23" i="37"/>
  <c r="L10" i="37"/>
  <c r="L27" i="37"/>
  <c r="L45" i="37"/>
  <c r="L33" i="37"/>
  <c r="L13" i="37"/>
  <c r="L31" i="37"/>
  <c r="L40" i="37"/>
  <c r="L42" i="37"/>
  <c r="L12" i="37"/>
  <c r="L25" i="37"/>
  <c r="L60" i="37"/>
  <c r="L26" i="37"/>
  <c r="L18" i="37"/>
  <c r="L16" i="37"/>
  <c r="L50" i="37"/>
  <c r="L61" i="37"/>
  <c r="L43" i="37"/>
  <c r="L38" i="37"/>
  <c r="L46" i="37"/>
  <c r="L76" i="37"/>
  <c r="L77" i="37"/>
  <c r="L82" i="37"/>
  <c r="L71" i="37"/>
  <c r="L72" i="37"/>
  <c r="L73" i="37"/>
  <c r="L74" i="37"/>
  <c r="L75" i="37"/>
  <c r="L81" i="37"/>
  <c r="L57" i="28"/>
  <c r="L36" i="28"/>
  <c r="L58" i="28"/>
  <c r="L16" i="28"/>
  <c r="L12" i="28"/>
  <c r="L48" i="28"/>
  <c r="L47" i="28"/>
  <c r="L31" i="28"/>
  <c r="L26" i="28"/>
  <c r="L24" i="28"/>
  <c r="L46" i="28"/>
  <c r="L51" i="28"/>
  <c r="L4" i="28"/>
  <c r="L25" i="28"/>
  <c r="L34" i="28"/>
  <c r="L38" i="28"/>
  <c r="L50" i="28"/>
  <c r="L64" i="28"/>
  <c r="L7" i="28"/>
  <c r="L35" i="28"/>
  <c r="L49" i="28"/>
  <c r="L29" i="28"/>
  <c r="L28" i="28"/>
  <c r="L41" i="28"/>
  <c r="L59" i="28"/>
  <c r="L54" i="28"/>
  <c r="L17" i="28"/>
  <c r="L37" i="28"/>
  <c r="L27" i="28"/>
  <c r="L40" i="28"/>
  <c r="L63" i="28"/>
  <c r="L22" i="28"/>
  <c r="L30" i="28"/>
  <c r="L53" i="28"/>
  <c r="L39" i="28"/>
  <c r="L66" i="28"/>
  <c r="L9" i="28"/>
  <c r="L5" i="28"/>
  <c r="L61" i="28"/>
  <c r="L42" i="28"/>
  <c r="L52" i="28"/>
  <c r="L14" i="28"/>
  <c r="L11" i="28"/>
  <c r="L32" i="28"/>
  <c r="L15" i="28"/>
  <c r="L8" i="28"/>
  <c r="L20" i="28"/>
  <c r="L45" i="28"/>
  <c r="L55" i="28"/>
  <c r="L18" i="28"/>
  <c r="L56" i="28"/>
  <c r="L33" i="28"/>
  <c r="L3" i="28"/>
  <c r="L62" i="28"/>
  <c r="L21" i="28"/>
  <c r="L65" i="28"/>
  <c r="L44" i="28"/>
  <c r="L19" i="28"/>
  <c r="L60" i="28"/>
  <c r="L6" i="28"/>
  <c r="L23" i="28"/>
  <c r="L10" i="28"/>
  <c r="L43" i="28"/>
  <c r="L12" i="27"/>
  <c r="L26" i="27"/>
  <c r="L61" i="27"/>
  <c r="L25" i="27"/>
  <c r="L37" i="27"/>
  <c r="L65" i="27"/>
  <c r="L9" i="27"/>
  <c r="L28" i="27"/>
  <c r="L58" i="27"/>
  <c r="L41" i="27"/>
  <c r="L44" i="27"/>
  <c r="L46" i="27"/>
  <c r="L13" i="27"/>
  <c r="L8" i="27"/>
  <c r="L30" i="27"/>
  <c r="L57" i="27"/>
  <c r="L21" i="27"/>
  <c r="L55" i="27"/>
  <c r="L54" i="27"/>
  <c r="L63" i="27"/>
  <c r="L45" i="27"/>
  <c r="L39" i="27"/>
  <c r="L29" i="27"/>
  <c r="L49" i="27"/>
  <c r="L15" i="27"/>
  <c r="L52" i="27"/>
  <c r="L34" i="27"/>
  <c r="L20" i="27"/>
  <c r="L27" i="27"/>
  <c r="L6" i="27"/>
  <c r="L22" i="27"/>
  <c r="L17" i="27"/>
  <c r="L62" i="27"/>
  <c r="L43" i="27"/>
  <c r="L19" i="27"/>
  <c r="L7" i="27"/>
  <c r="L51" i="27"/>
  <c r="L59" i="27"/>
  <c r="L50" i="27"/>
  <c r="L47" i="27"/>
  <c r="L11" i="27"/>
  <c r="L36" i="27"/>
  <c r="L35" i="27"/>
  <c r="L42" i="27"/>
  <c r="L56" i="27"/>
  <c r="L48" i="27"/>
  <c r="L5" i="27"/>
  <c r="L53" i="27"/>
  <c r="L60" i="27"/>
  <c r="L24" i="27"/>
  <c r="L18" i="27"/>
  <c r="L10" i="27"/>
  <c r="L64" i="27"/>
  <c r="L23" i="27"/>
  <c r="L16" i="27"/>
  <c r="L33" i="27"/>
  <c r="L14" i="27"/>
  <c r="L4" i="27"/>
  <c r="L31" i="27"/>
  <c r="L38" i="27"/>
  <c r="L3" i="27"/>
  <c r="L26" i="30"/>
  <c r="L38" i="30"/>
  <c r="L41" i="30"/>
  <c r="L43" i="30"/>
  <c r="L42" i="30"/>
  <c r="L53" i="30"/>
  <c r="L54" i="30"/>
  <c r="L35" i="30"/>
  <c r="L39" i="30"/>
  <c r="L37" i="30"/>
  <c r="L11" i="30"/>
  <c r="L28" i="30"/>
  <c r="L20" i="30"/>
  <c r="L62" i="30"/>
  <c r="L30" i="30"/>
  <c r="L3" i="30"/>
  <c r="L55" i="30"/>
  <c r="L47" i="30"/>
  <c r="L40" i="30"/>
  <c r="L46" i="30"/>
  <c r="L45" i="30"/>
  <c r="L32" i="30"/>
  <c r="L21" i="30"/>
  <c r="L14" i="30"/>
  <c r="L19" i="30"/>
  <c r="L23" i="30"/>
  <c r="L27" i="30"/>
  <c r="L60" i="30"/>
  <c r="L16" i="30"/>
  <c r="L13" i="30"/>
  <c r="L17" i="30"/>
  <c r="L31" i="30"/>
  <c r="L4" i="30"/>
  <c r="L36" i="30"/>
  <c r="L6" i="30"/>
  <c r="L63" i="30"/>
  <c r="L44" i="30"/>
  <c r="L24" i="30"/>
  <c r="L34" i="30"/>
  <c r="L52" i="30"/>
  <c r="L8" i="30"/>
  <c r="L15" i="30"/>
  <c r="L25" i="30"/>
  <c r="L29" i="30"/>
  <c r="L33" i="30"/>
  <c r="L18" i="30"/>
  <c r="L49" i="30"/>
  <c r="L59" i="30"/>
  <c r="L9" i="30"/>
  <c r="L22" i="30"/>
  <c r="L50" i="30"/>
  <c r="L51" i="30"/>
  <c r="L5" i="30"/>
  <c r="L7" i="30"/>
  <c r="L48" i="30"/>
  <c r="L58" i="30"/>
  <c r="L10" i="30"/>
  <c r="L61" i="30"/>
  <c r="L56" i="30"/>
  <c r="L12" i="30"/>
  <c r="L57" i="30"/>
  <c r="L57"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47"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41" i="35" l="1"/>
  <c r="L31" i="35"/>
  <c r="L32" i="35"/>
  <c r="L54" i="35"/>
  <c r="L20" i="35"/>
  <c r="L45" i="35"/>
  <c r="L51" i="35"/>
  <c r="L25" i="35"/>
  <c r="L16" i="35"/>
  <c r="L59" i="35"/>
  <c r="L24" i="35"/>
  <c r="L40" i="35"/>
  <c r="L46" i="35"/>
  <c r="L13" i="35"/>
  <c r="L9" i="35"/>
  <c r="L48" i="35"/>
  <c r="L38" i="35"/>
  <c r="L21" i="35"/>
  <c r="L27" i="35"/>
  <c r="L55" i="35"/>
  <c r="L34" i="35"/>
  <c r="L22" i="35"/>
  <c r="L61" i="35"/>
  <c r="L35" i="35"/>
  <c r="L50" i="35"/>
  <c r="L18" i="35"/>
  <c r="L53" i="35"/>
  <c r="L52" i="35"/>
  <c r="L10" i="35"/>
  <c r="L33" i="35"/>
  <c r="L12" i="35"/>
  <c r="L29" i="35"/>
  <c r="L44" i="35"/>
  <c r="L49" i="35"/>
  <c r="L23" i="35"/>
  <c r="L37" i="35"/>
  <c r="L39" i="35"/>
  <c r="L58" i="35"/>
  <c r="L11" i="35"/>
  <c r="L15" i="35"/>
  <c r="L56" i="35"/>
  <c r="L14" i="35"/>
  <c r="L19" i="35"/>
  <c r="L28" i="35"/>
  <c r="L7" i="35"/>
  <c r="L30" i="35"/>
  <c r="L8" i="35"/>
  <c r="L17" i="35"/>
  <c r="L42" i="35"/>
  <c r="L43" i="35"/>
  <c r="L36" i="35"/>
  <c r="L6" i="35"/>
  <c r="L26" i="35"/>
  <c r="L5" i="35"/>
  <c r="L4" i="35"/>
  <c r="L3" i="35"/>
  <c r="L61" i="36"/>
  <c r="L48" i="36"/>
  <c r="L33" i="36"/>
  <c r="L12" i="36"/>
  <c r="L29" i="36"/>
  <c r="L24" i="36"/>
  <c r="L50" i="36"/>
  <c r="L56" i="36"/>
  <c r="L54" i="36"/>
  <c r="L22" i="36"/>
  <c r="L58" i="36"/>
  <c r="L23" i="36"/>
  <c r="L37" i="36"/>
  <c r="L39" i="36"/>
  <c r="L47" i="36"/>
  <c r="L11" i="36"/>
  <c r="L15" i="36"/>
  <c r="L57" i="36"/>
  <c r="L28" i="36"/>
  <c r="L7" i="36"/>
  <c r="L30" i="36"/>
  <c r="L8" i="36"/>
  <c r="L55" i="36"/>
  <c r="L41" i="36"/>
  <c r="L42" i="36"/>
  <c r="L43" i="36"/>
  <c r="L36" i="36"/>
  <c r="L6" i="36"/>
  <c r="L26" i="36"/>
  <c r="L52" i="36"/>
  <c r="L40" i="36"/>
  <c r="L49" i="36"/>
  <c r="L46" i="36"/>
  <c r="L31" i="36"/>
  <c r="L13" i="36"/>
  <c r="L32" i="36"/>
  <c r="L9" i="36"/>
  <c r="L4" i="36"/>
  <c r="L35" i="36"/>
  <c r="L59" i="36"/>
  <c r="L38" i="36"/>
  <c r="L20" i="36"/>
  <c r="L21" i="36"/>
  <c r="L45" i="36"/>
  <c r="L27" i="36"/>
  <c r="L3" i="36"/>
  <c r="L57" i="31"/>
  <c r="L35" i="31"/>
  <c r="L59" i="31"/>
  <c r="L7" i="31"/>
  <c r="L57" i="32"/>
  <c r="L35" i="32"/>
  <c r="L59" i="32"/>
  <c r="L7" i="32"/>
  <c r="L39" i="31"/>
  <c r="L38" i="31"/>
  <c r="L48" i="31"/>
  <c r="L16" i="31"/>
  <c r="L39" i="32"/>
  <c r="L38" i="32"/>
  <c r="L48" i="32"/>
  <c r="L16" i="32"/>
  <c r="L54" i="31"/>
  <c r="L20" i="31"/>
  <c r="L9" i="31"/>
  <c r="L40" i="31"/>
  <c r="L54" i="32"/>
  <c r="L20" i="32"/>
  <c r="L9" i="32"/>
  <c r="L40" i="32"/>
  <c r="L49" i="31"/>
  <c r="L36" i="31"/>
  <c r="L52" i="31"/>
  <c r="L23" i="31"/>
  <c r="L49" i="32"/>
  <c r="L36" i="32"/>
  <c r="L52" i="32"/>
  <c r="L23" i="32"/>
  <c r="L51" i="31"/>
  <c r="L26" i="31"/>
  <c r="L33" i="31"/>
  <c r="L51" i="32"/>
  <c r="L26" i="32"/>
  <c r="L33" i="32"/>
  <c r="L24" i="31"/>
  <c r="L19" i="31"/>
  <c r="L47" i="31"/>
  <c r="L24" i="32"/>
  <c r="L19" i="32"/>
  <c r="L47" i="32"/>
  <c r="L10" i="31"/>
  <c r="L29" i="31"/>
  <c r="L41" i="31"/>
  <c r="L10" i="32"/>
  <c r="L29" i="32"/>
  <c r="L41" i="32"/>
  <c r="L60" i="31"/>
  <c r="L25" i="31"/>
  <c r="L27" i="31"/>
  <c r="L60" i="32"/>
  <c r="L25" i="32"/>
  <c r="L27" i="32"/>
  <c r="L55" i="31"/>
  <c r="L61" i="31"/>
  <c r="L43" i="31"/>
  <c r="L45" i="31"/>
  <c r="L17" i="31"/>
  <c r="L13" i="31"/>
  <c r="L30" i="31"/>
  <c r="L37" i="31"/>
  <c r="L55" i="32"/>
  <c r="L61" i="32"/>
  <c r="L43" i="32"/>
  <c r="L45" i="32"/>
  <c r="L17" i="32"/>
  <c r="L13" i="32"/>
  <c r="L30" i="32"/>
  <c r="L37" i="32"/>
  <c r="L62" i="31"/>
  <c r="L58" i="31"/>
  <c r="L15" i="31"/>
  <c r="L32" i="31"/>
  <c r="L12" i="31"/>
  <c r="L14" i="31"/>
  <c r="L44" i="31"/>
  <c r="L5" i="31"/>
  <c r="L62" i="32"/>
  <c r="L58" i="32"/>
  <c r="L15" i="32"/>
  <c r="L32" i="32"/>
  <c r="L12" i="32"/>
  <c r="L14" i="32"/>
  <c r="L44" i="32"/>
  <c r="L5" i="32"/>
  <c r="L56" i="31"/>
  <c r="L53" i="31"/>
  <c r="L31" i="31"/>
  <c r="L28" i="31"/>
  <c r="L22" i="31"/>
  <c r="L46" i="31"/>
  <c r="L42" i="31"/>
  <c r="L4" i="31"/>
  <c r="L56" i="32"/>
  <c r="L53" i="32"/>
  <c r="L31" i="32"/>
  <c r="L28" i="32"/>
  <c r="L22" i="32"/>
  <c r="L46" i="32"/>
  <c r="L42" i="32"/>
  <c r="L4" i="32"/>
  <c r="L18" i="31"/>
  <c r="L50" i="31"/>
  <c r="L6" i="31"/>
  <c r="L34" i="31"/>
  <c r="L21" i="31"/>
  <c r="L11" i="31"/>
  <c r="L8" i="31"/>
  <c r="L3" i="31"/>
  <c r="L18" i="32"/>
  <c r="L50" i="32"/>
  <c r="L6" i="32"/>
  <c r="L34" i="32"/>
  <c r="L21" i="32"/>
  <c r="L11" i="32"/>
  <c r="L8" i="32"/>
  <c r="L3" i="32"/>
  <c r="L49" i="33"/>
  <c r="L33" i="33"/>
  <c r="L29" i="33"/>
  <c r="L17" i="36"/>
  <c r="L23" i="33"/>
  <c r="L39" i="33"/>
  <c r="L11" i="33"/>
  <c r="L59" i="33"/>
  <c r="L24" i="33"/>
  <c r="L40" i="33"/>
  <c r="L54" i="33"/>
  <c r="L42" i="33"/>
  <c r="L36" i="33"/>
  <c r="L26" i="33"/>
  <c r="L41" i="33"/>
  <c r="L37" i="33"/>
  <c r="L47" i="33"/>
  <c r="L15" i="33"/>
  <c r="L51" i="36"/>
  <c r="L48" i="33"/>
  <c r="L35" i="33"/>
  <c r="L51" i="33"/>
  <c r="L18" i="33"/>
  <c r="L10" i="36"/>
  <c r="L44" i="36"/>
  <c r="L17" i="33"/>
  <c r="L10" i="33"/>
  <c r="L12" i="33"/>
  <c r="L44" i="33"/>
  <c r="L60" i="33"/>
  <c r="L43" i="33"/>
  <c r="L6" i="33"/>
  <c r="L5" i="33"/>
  <c r="L56" i="33"/>
  <c r="L50" i="33"/>
  <c r="L34" i="33"/>
  <c r="L25" i="33"/>
  <c r="L58" i="33"/>
  <c r="L16" i="33"/>
  <c r="L22" i="33"/>
  <c r="L34" i="36"/>
  <c r="L53" i="33"/>
  <c r="L14" i="33"/>
  <c r="L19" i="33"/>
  <c r="L28" i="33"/>
  <c r="L7" i="33"/>
  <c r="L30" i="33"/>
  <c r="L8" i="33"/>
  <c r="L14" i="36"/>
  <c r="L19" i="36"/>
  <c r="L61" i="33"/>
  <c r="L57" i="33"/>
  <c r="L46" i="33"/>
  <c r="L31" i="33"/>
  <c r="L13" i="33"/>
  <c r="L32" i="33"/>
  <c r="L9" i="33"/>
  <c r="L4" i="33"/>
  <c r="L53" i="36"/>
  <c r="L55" i="33"/>
  <c r="L52" i="33"/>
  <c r="L38" i="33"/>
  <c r="L20" i="33"/>
  <c r="L21" i="33"/>
  <c r="L45" i="33"/>
  <c r="L27"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25" i="36"/>
  <c r="L16" i="36"/>
  <c r="L18"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<sst xmlns="http://schemas.openxmlformats.org/spreadsheetml/2006/main" count="3932" uniqueCount="438">
  <si>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</si>
  <si>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</si>
  <si>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</si>
  <si>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</si>
  <si>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</si>
  <si>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</si>
  <si>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</si>
  <si>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</si>
  <si>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</si>
  <si>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</si>
  <si>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</si>
  <si>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</si>
  <si>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</si>
  <si>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</si>
  <si>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</si>
  <si>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</si>
  <si>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</si>
  <si>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</si>
  <si>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</si>
  <si>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</si>
  <si>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</si>
  <si>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</si>
  <si>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</si>
  <si>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</si>
  <si>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</si>
  <si>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</si>
  <si>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</si>
  <si>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</si>
  <si>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</si>
  <si>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</si>
  <si>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</si>
  <si>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</si>
  <si>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</si>
  <si>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</si>
  <si>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</si>
  <si>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</si>
  <si>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</si>
  <si>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</si>
  <si>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</si>
  <si>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</si>
  <si>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</si>
  <si>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</si>
  <si>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</si>
  <si>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</si>
  <si>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</si>
  <si>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</si>
  <si>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</si>
  <si>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</si>
  <si>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</si>
  <si>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</si>
  <si>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</si>
  <si>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</si>
  <si>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</si>
  <si>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</si>
  <si>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</si>
  <si>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</si>
  <si>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</si>
  <si>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</si>
  <si>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</si>
  <si>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</si>
  <si>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</si>
  <si>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</si>
  <si>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</si>
  <si>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</si>
  <si>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</si>
  <si>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</si>
  <si>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</si>
  <si>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</si>
  <si>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</si>
  <si>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</si>
  <si>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</si>
  <si>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</si>
  <si>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</si>
  <si>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</si>
  <si>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</si>
  <si>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</si>
  <si>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</si>
  <si>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</si>
  <si>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</si>
  <si>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</si>
  <si>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</si>
  <si>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</si>
  <si>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</si>
  <si>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</si>
  <si>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</si>
  <si>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</si>
  <si>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</si>
  <si>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</si>
  <si>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</si>
  <si>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</si>
  <si>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</si>
  <si>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</si>
  <si>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</si>
  <si>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</si>
  <si>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</si>
  <si>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</si>
  <si>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</si>
  <si>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</si>
  <si>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</si>
  <si>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</si>
  <si>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</si>
  <si>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</si>
  <si>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</si>
  <si>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</si>
  <si>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</si>
  <si>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</si>
  <si>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</si>
  <si>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</si>
  <si>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</si>
  <si>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</si>
  <si>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</si>
  <si>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</si>
  <si>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</si>
  <si>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</si>
  <si>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</si>
  <si>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</si>
  <si>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</si>
  <si>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</si>
  <si>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</si>
  <si>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</si>
  <si>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</si>
  <si>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</si>
  <si>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</si>
  <si>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</si>
  <si>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</si>
  <si>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</si>
  <si>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</si>
  <si>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</si>
  <si>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</si>
  <si>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</si>
  <si>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</si>
  <si>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</si>
  <si>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</si>
  <si>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</si>
  <si>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</si>
  <si>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</si>
  <si>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</si>
  <si>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</si>
  <si>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</si>
  <si>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</si>
  <si>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</si>
  <si>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</si>
  <si>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</si>
  <si>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</si>
  <si>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</si>
  <si>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</si>
  <si>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</si>
  <si>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</si>
  <si>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</si>
  <si>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</si>
  <si>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</si>
  <si>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</si>
  <si>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</si>
  <si>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</si>
  <si>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</si>
  <si>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</si>
  <si>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</si>
  <si>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</si>
  <si>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</si>
  <si>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</si>
  <si>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</si>
  <si>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</si>
  <si>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</si>
  <si>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</si>
  <si>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</si>
  <si>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</si>
  <si>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</si>
  <si>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</si>
  <si>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</si>
  <si>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</si>
  <si>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</si>
  <si>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</si>
  <si>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</si>
  <si>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</si>
  <si>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</si>
  <si>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</si>
  <si>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</si>
  <si>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</si>
  <si>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</si>
  <si>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</si>
  <si>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</si>
  <si>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</si>
  <si>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</si>
  <si>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</si>
  <si>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</si>
  <si>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</si>
  <si>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</si>
  <si>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</si>
  <si>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</si>
  <si>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</si>
  <si>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</si>
  <si>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</si>
  <si>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</si>
  <si>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</si>
  <si>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</si>
  <si>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</si>
  <si>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</si>
  <si>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</si>
  <si>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</si>
  <si>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</si>
  <si>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</si>
  <si>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</si>
  <si>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</si>
  <si>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</si>
  <si>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</si>
  <si>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</si>
  <si>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</si>
  <si>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</si>
  <si>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</si>
  <si>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</si>
  <si>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</si>
  <si>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</si>
  <si>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</si>
  <si>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</si>
  <si>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</si>
  <si>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</si>
  <si>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</si>
  <si>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</si>
  <si>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</si>
  <si>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</si>
  <si>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</si>
  <si>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</si>
  <si>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</si>
  <si>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</si>
  <si>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</si>
  <si>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</si>
  <si>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</si>
  <si>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</si>
  <si>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</si>
  <si>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</si>
  <si>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</si>
  <si>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</si>
  <si>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</si>
  <si>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</si>
  <si>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</si>
  <si>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</si>
  <si>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</si>
  <si>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</si>
  <si>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</si>
  <si>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</si>
  <si>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</si>
  <si>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</si>
  <si>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</si>
  <si>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</si>
  <si>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</si>
  <si>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</si>
  <si>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</si>
  <si>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</si>
  <si>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</si>
  <si>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</si>
  <si>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</si>
  <si>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</si>
  <si>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</si>
  <si>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</si>
  <si>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</si>
  <si>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</si>
  <si>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</si>
  <si>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</si>
  <si>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</si>
  <si>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</si>
  <si>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</si>
  <si>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</si>
  <si>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</si>
  <si>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</si>
  <si>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</si>
  <si>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</si>
  <si>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</si>
  <si>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</si>
  <si>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</si>
  <si>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</si>
  <si>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</si>
  <si>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</si>
  <si>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</si>
  <si>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</si>
  <si>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</si>
  <si>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</si>
  <si>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</si>
  <si>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</si>
  <si>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</si>
  <si>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</si>
  <si>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</si>
  <si>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</si>
  <si>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</si>
  <si>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</si>
  <si>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</si>
  <si>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</si>
  <si>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</si>
  <si>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</si>
  <si>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</si>
  <si>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</si>
  <si>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</si>
  <si>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</si>
  <si>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</si>
  <si>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</si>
  <si>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</si>
  <si>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</si>
  <si>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</si>
  <si>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</si>
  <si>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</si>
  <si>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</si>
  <si>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</si>
  <si>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</si>
  <si>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</si>
  <si>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</si>
  <si>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</si>
  <si>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</si>
  <si>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</si>
  <si>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</si>
  <si>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</si>
  <si>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</si>
  <si>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</si>
  <si>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</si>
  <si>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</si>
  <si>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</si>
  <si>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</si>
  <si>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</si>
  <si>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</si>
  <si>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</si>
  <si>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</si>
  <si>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</si>
  <si>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</si>
  <si>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</si>
  <si>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</si>
  <si>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</si>
  <si>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</si>
  <si>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</si>
  <si>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</si>
  <si>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</si>
  <si>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</si>
  <si>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</si>
  <si>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</si>
  <si>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</si>
  <si>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</si>
  <si>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</si>
  <si>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</si>
  <si>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</si>
  <si>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</si>
  <si>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</si>
  <si>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</si>
  <si>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</si>
  <si>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</si>
  <si>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</si>
  <si>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</si>
  <si>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</si>
  <si>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</si>
  <si>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</si>
  <si>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</si>
  <si>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</si>
  <si>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</si>
  <si>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</si>
  <si>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</si>
  <si>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</si>
  <si>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</si>
  <si>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</si>
  <si>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</si>
  <si>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</si>
  <si>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</si>
  <si>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</si>
  <si>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</si>
  <si>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</si>
  <si>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</si>
  <si>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</si>
  <si>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</si>
  <si>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</si>
  <si>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Wichtige Austritte analysieren: Austrittsgrund, Arbeitsklima, Kommunikation und Führung im betroffenen Bereich besprechen.</t>
  </si>
  <si>
    <t>Monatsübersicht im Detail</t>
  </si>
  <si>
    <t>Austrittsgründe</t>
  </si>
  <si>
    <t>Wichtiger Austritt. Arbeitsklima, Führung und Kommunikation prüfen.</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</si>
  <si>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</si>
  <si>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</si>
  <si>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</si>
  <si>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</si>
  <si>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</si>
  <si>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</si>
  <si>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</si>
  <si>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</si>
  <si>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</si>
  <si>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</si>
  <si>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</si>
  <si>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</si>
  <si>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</si>
  <si>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</si>
  <si>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</si>
  <si>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</si>
  <si>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 Adam Nagy · McOpCo · Personalsheet 2026</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</si>
  <si>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</si>
  <si>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</si>
  <si>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</si>
  <si>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</si>
  <si>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</si>
  <si>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</si>
  <si>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Monat April, Name: MOISA Marian, Grund: Einvernehmliche Auflösung</t>
  </si>
  <si>
    <t>SAHBAZ Refikas</t>
  </si>
  <si>
    <t>Piros Paprika</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</si>
  <si>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</si>
  <si>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</si>
  <si>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</si>
  <si>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</si>
  <si>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</si>
  <si>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</si>
  <si>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</si>
  <si>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</si>
  <si>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</si>
  <si>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</si>
  <si>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</si>
  <si>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</si>
  <si>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</si>
  <si>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</si>
  <si>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</si>
  <si>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</si>
  <si>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</si>
  <si>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</si>
  <si>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</si>
  <si>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</si>
  <si>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</si>
  <si>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</si>
  <si>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</si>
  <si>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</si>
  <si>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</si>
  <si>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</si>
  <si>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</si>
  <si>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</si>
  <si>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Gut</t>
  </si>
  <si>
    <t>Monat April, Name: Piros Paprika, Grund: Dienstnehmer Kündigung</t>
  </si>
  <si>
    <t>Monat April, Name: SENG Dalin, Grund: Dienstnehmer Kündigung</t>
  </si>
  <si>
    <t>Monat April, Name: PAIOR Imre-Oliver, Grund: Unberechtigter vorzeitiger Austritt</t>
  </si>
  <si>
    <t>Monat April, Name: DJEKANOVIC Obrenka, Grund: Einvernehmliche Auflösung</t>
  </si>
  <si>
    <t>Einvernehmliche Auflösung (2), Dienstnehmer Kündigung (2), Unberechtigter vorzeitiger Austritt (1)</t>
  </si>
  <si>
    <t>400002|JA</t>
  </si>
  <si>
    <t>401010|KNEISSL ERNA</t>
  </si>
  <si>
    <t>Jahresfluktuation (YTD): 22,02% - Bewertung: Gut / normal. Basis: 13 Austritt(e) im Jahr 2026, bezogen auf den durchschnittlichen Personalbestand. Ziel: unter 20 % Jahresfluktuation (Sehr gut / stabil). Handlungsbedarf: Entwicklung beobachten.</t>
  </si>
  <si>
    <t>Dienstnehmer Kündigung (1), Einvernehmliche Auflösung (1)</t>
  </si>
  <si>
    <t>Betriebszugehörigkeit: 35 Jahre und 1 Monat</t>
  </si>
  <si>
    <t>Beförderung (1)</t>
  </si>
  <si>
    <t>Storetransfer (1)</t>
  </si>
  <si>
    <t>Nicht eingetreten (1)</t>
  </si>
  <si>
    <t>19.06.2026</t>
  </si>
  <si>
    <t>Betriebszugehörigkeit: 9 Monate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</si>
</sst>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375623"/>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E2EFDA"/>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
      <left/>
      <right style="thin">
        <color indexed="64"/>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34">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3" xfId="0" applyNumberFormat="1" applyFont="1" applyFill="1" applyBorder="1" applyAlignment="1" applyProtection="1">
      <alignment horizontal="center" vertical="center" wrapText="1"/>
      <protection locked="0"/>
    </xf>
    <xf numFmtId="166" fontId="47" fillId="4" borderId="53"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3" xfId="0" applyNumberFormat="1" applyFont="1" applyFill="1" applyBorder="1" applyAlignment="1" applyProtection="1">
      <alignment horizontal="center" vertical="center" wrapText="1"/>
      <protection locked="0"/>
    </xf>
    <xf numFmtId="166" fontId="47" fillId="2" borderId="53"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3" xfId="0" applyNumberFormat="1" applyFont="1" applyFill="1" applyBorder="1" applyAlignment="1" applyProtection="1">
      <alignment horizontal="center" vertical="center" wrapText="1"/>
      <protection locked="0"/>
    </xf>
    <xf numFmtId="166" fontId="47" fillId="7" borderId="53"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33" fillId="7" borderId="22" xfId="0" applyFont="1" applyFill="1" applyBorder="1" applyAlignment="1">
      <alignment horizontal="left" vertical="center"/>
    </xf>
    <xf numFmtId="169" fontId="47" fillId="4" borderId="53" xfId="0" applyNumberFormat="1" applyFont="1" applyFill="1" applyBorder="1" applyAlignment="1">
      <alignment horizontal="center" vertical="center" wrapText="1"/>
    </xf>
    <xf numFmtId="0" fontId="47" fillId="4" borderId="53" xfId="0" applyFont="1" applyFill="1" applyBorder="1" applyAlignment="1">
      <alignment horizontal="center" vertical="center" wrapText="1"/>
    </xf>
    <xf numFmtId="0" fontId="47" fillId="4" borderId="53" xfId="0" applyFont="1" applyFill="1" applyBorder="1" applyAlignment="1">
      <alignment horizontal="center" vertical="center"/>
    </xf>
    <xf numFmtId="169" fontId="47" fillId="4" borderId="47" xfId="0" applyNumberFormat="1" applyFont="1" applyFill="1" applyBorder="1" applyAlignment="1">
      <alignment horizontal="center" vertical="center" wrapText="1"/>
    </xf>
    <xf numFmtId="0" fontId="47" fillId="4" borderId="47" xfId="0" applyFont="1" applyFill="1" applyBorder="1" applyAlignment="1">
      <alignment horizontal="center" vertical="center" wrapText="1"/>
    </xf>
    <xf numFmtId="0" fontId="47" fillId="4" borderId="47" xfId="0" applyFont="1" applyFill="1" applyBorder="1" applyAlignment="1">
      <alignment horizontal="center" vertical="center"/>
    </xf>
    <xf numFmtId="169" fontId="47" fillId="2" borderId="53" xfId="0" applyNumberFormat="1" applyFont="1" applyFill="1" applyBorder="1" applyAlignment="1">
      <alignment horizontal="center" vertical="center" wrapText="1"/>
    </xf>
    <xf numFmtId="0" fontId="47" fillId="2" borderId="53" xfId="0" applyFont="1" applyFill="1" applyBorder="1" applyAlignment="1">
      <alignment horizontal="center" vertical="center" wrapText="1"/>
    </xf>
    <xf numFmtId="0" fontId="47" fillId="2" borderId="53" xfId="0" applyFont="1" applyFill="1" applyBorder="1" applyAlignment="1">
      <alignment horizontal="center" vertical="center"/>
    </xf>
    <xf numFmtId="169" fontId="47" fillId="2" borderId="47" xfId="0" applyNumberFormat="1"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47" xfId="0" applyFont="1" applyFill="1" applyBorder="1" applyAlignment="1">
      <alignment horizontal="center" vertical="center"/>
    </xf>
    <xf numFmtId="169" fontId="47" fillId="7" borderId="53" xfId="0" applyNumberFormat="1" applyFont="1" applyFill="1" applyBorder="1" applyAlignment="1">
      <alignment horizontal="center" vertical="center" wrapText="1"/>
    </xf>
    <xf numFmtId="0" fontId="47" fillId="7" borderId="53" xfId="0" applyFont="1" applyFill="1" applyBorder="1" applyAlignment="1">
      <alignment horizontal="center" vertical="center" wrapText="1"/>
    </xf>
    <xf numFmtId="0" fontId="47" fillId="7" borderId="53" xfId="0" applyFont="1" applyFill="1" applyBorder="1" applyAlignment="1">
      <alignment horizontal="center" vertical="center"/>
    </xf>
    <xf numFmtId="169" fontId="47" fillId="7" borderId="47" xfId="0" applyNumberFormat="1" applyFont="1" applyFill="1" applyBorder="1" applyAlignment="1">
      <alignment horizontal="center" vertical="center" wrapText="1"/>
    </xf>
    <xf numFmtId="0" fontId="47" fillId="7" borderId="47" xfId="0" applyFont="1" applyFill="1" applyBorder="1" applyAlignment="1">
      <alignment horizontal="center" vertical="center" wrapText="1"/>
    </xf>
    <xf numFmtId="0" fontId="47" fillId="7" borderId="47" xfId="0" applyFont="1" applyFill="1" applyBorder="1" applyAlignment="1">
      <alignment horizontal="center" vertical="center"/>
    </xf>
    <xf numFmtId="49" fontId="47" fillId="4" borderId="54" xfId="0" applyNumberFormat="1" applyFont="1" applyFill="1" applyBorder="1" applyAlignment="1">
      <alignment horizontal="center" vertical="center" wrapText="1"/>
    </xf>
    <xf numFmtId="49" fontId="47" fillId="4" borderId="46" xfId="0" applyNumberFormat="1" applyFont="1" applyFill="1" applyBorder="1" applyAlignment="1">
      <alignment horizontal="center" vertical="center" wrapText="1"/>
    </xf>
    <xf numFmtId="49" fontId="47" fillId="2" borderId="54" xfId="0" applyNumberFormat="1" applyFont="1" applyFill="1" applyBorder="1" applyAlignment="1">
      <alignment horizontal="center" vertical="center" wrapText="1"/>
    </xf>
    <xf numFmtId="49" fontId="47" fillId="2" borderId="46" xfId="0" applyNumberFormat="1" applyFont="1" applyFill="1" applyBorder="1" applyAlignment="1">
      <alignment horizontal="center" vertical="center" wrapText="1"/>
    </xf>
    <xf numFmtId="49" fontId="47" fillId="7" borderId="54" xfId="0" applyNumberFormat="1" applyFont="1" applyFill="1" applyBorder="1" applyAlignment="1">
      <alignment horizontal="center" vertical="center" wrapText="1"/>
    </xf>
    <xf numFmtId="49" fontId="47" fillId="7" borderId="46" xfId="0" applyNumberFormat="1" applyFont="1" applyFill="1" applyBorder="1" applyAlignment="1">
      <alignment horizontal="center" vertical="center" wrapText="1"/>
    </xf>
    <xf numFmtId="0" fontId="47" fillId="4" borderId="55" xfId="0" applyFont="1" applyFill="1" applyBorder="1" applyAlignment="1">
      <alignment horizontal="center" vertical="center"/>
    </xf>
    <xf numFmtId="0" fontId="47" fillId="4" borderId="48" xfId="0" applyFont="1" applyFill="1" applyBorder="1" applyAlignment="1">
      <alignment horizontal="center" vertical="center"/>
    </xf>
    <xf numFmtId="0" fontId="47" fillId="2" borderId="55" xfId="0" applyFont="1" applyFill="1" applyBorder="1" applyAlignment="1">
      <alignment horizontal="center" vertical="center"/>
    </xf>
    <xf numFmtId="0" fontId="47" fillId="2" borderId="48" xfId="0" applyFont="1" applyFill="1" applyBorder="1" applyAlignment="1">
      <alignment horizontal="center" vertical="center"/>
    </xf>
    <xf numFmtId="0" fontId="47" fillId="7" borderId="55" xfId="0" applyFont="1" applyFill="1" applyBorder="1" applyAlignment="1">
      <alignment horizontal="center" vertical="center"/>
    </xf>
    <xf numFmtId="0" fontId="47" fillId="7" borderId="48" xfId="0" applyFont="1" applyFill="1" applyBorder="1" applyAlignment="1">
      <alignment horizontal="center" vertical="center"/>
    </xf>
    <xf numFmtId="49" fontId="47" fillId="7" borderId="24" xfId="0" applyNumberFormat="1" applyFont="1" applyFill="1" applyBorder="1" applyAlignment="1">
      <alignment horizontal="center" vertical="center" wrapText="1"/>
    </xf>
    <xf numFmtId="169" fontId="47" fillId="7" borderId="25" xfId="0" applyNumberFormat="1" applyFont="1" applyFill="1" applyBorder="1" applyAlignment="1">
      <alignment horizontal="center" vertical="center" wrapText="1"/>
    </xf>
    <xf numFmtId="0" fontId="47" fillId="7" borderId="25" xfId="0" applyFont="1" applyFill="1" applyBorder="1" applyAlignment="1">
      <alignment horizontal="center" vertical="center" wrapText="1"/>
    </xf>
    <xf numFmtId="0" fontId="47" fillId="7" borderId="25" xfId="0" applyFont="1" applyFill="1" applyBorder="1" applyAlignment="1">
      <alignment horizontal="center" vertical="center"/>
    </xf>
    <xf numFmtId="0" fontId="47" fillId="7" borderId="26" xfId="0" applyFont="1" applyFill="1" applyBorder="1" applyAlignment="1">
      <alignment horizontal="center" vertical="center"/>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46" fillId="0" borderId="0" xfId="0" applyFont="1" applyAlignment="1">
      <alignment horizontal="left" vertical="center"/>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49" fontId="44" fillId="4" borderId="54" xfId="0" applyNumberFormat="1" applyFont="1" applyFill="1" applyBorder="1" applyAlignment="1">
      <alignment horizontal="center" vertical="center" wrapText="1"/>
    </xf>
    <xf numFmtId="169" fontId="44" fillId="4" borderId="53" xfId="0" applyNumberFormat="1" applyFont="1" applyFill="1" applyBorder="1" applyAlignment="1">
      <alignment horizontal="center" vertical="center" wrapText="1"/>
    </xf>
    <xf numFmtId="0" fontId="44" fillId="4" borderId="53" xfId="0" applyFont="1" applyFill="1" applyBorder="1" applyAlignment="1">
      <alignment horizontal="center" vertical="center" wrapText="1"/>
    </xf>
    <xf numFmtId="2" fontId="44" fillId="4" borderId="53" xfId="0" applyNumberFormat="1" applyFont="1" applyFill="1" applyBorder="1" applyAlignment="1">
      <alignment horizontal="center" vertical="center" wrapText="1"/>
    </xf>
    <xf numFmtId="166" fontId="44" fillId="4" borderId="53" xfId="0" applyNumberFormat="1" applyFont="1" applyFill="1" applyBorder="1" applyAlignment="1">
      <alignment horizontal="center" vertical="center" wrapText="1"/>
    </xf>
    <xf numFmtId="0" fontId="44" fillId="4" borderId="55" xfId="0" applyFont="1" applyFill="1" applyBorder="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6" xfId="0" applyFont="1" applyFill="1" applyBorder="1" applyAlignment="1">
      <alignment horizontal="center" vertical="center" wrapText="1"/>
    </xf>
    <xf numFmtId="0" fontId="25" fillId="5" borderId="67" xfId="0" applyFont="1" applyFill="1" applyBorder="1" applyAlignment="1">
      <alignment horizontal="center" vertical="center" wrapText="1"/>
    </xf>
    <xf numFmtId="0" fontId="27" fillId="4" borderId="0" xfId="0" applyFont="1" applyFill="1" applyAlignment="1">
      <alignment horizontal="left" vertical="center" wrapText="1"/>
    </xf>
    <xf numFmtId="0" fontId="27" fillId="4" borderId="13" xfId="0" applyFont="1" applyFill="1" applyBorder="1" applyAlignment="1">
      <alignment horizontal="left"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26" fillId="7" borderId="25" xfId="0" applyFont="1" applyFill="1" applyBorder="1" applyAlignment="1">
      <alignment horizontal="center"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7"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6"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2" fontId="41" fillId="7" borderId="26" xfId="0" applyNumberFormat="1" applyFont="1" applyFill="1" applyBorder="1" applyAlignment="1" applyProtection="1">
      <alignment horizontal="center" vertical="center"/>
    </xf>
    <xf numFmtId="0" fontId="40" fillId="2" borderId="0" xfId="0" applyFont="1" applyFill="1" applyAlignment="1" applyProtection="1">
      <alignment vertical="center"/>
    </xf>
    <xf numFmtId="0" fontId="35" fillId="2" borderId="63" xfId="0" applyFont="1" applyFill="1" applyBorder="1" applyAlignment="1" applyProtection="1">
      <alignment horizontal="center" vertical="center" wrapText="1"/>
    </xf>
    <xf numFmtId="0" fontId="35" fillId="2" borderId="51" xfId="0" applyFont="1" applyFill="1" applyBorder="1" applyAlignment="1" applyProtection="1">
      <alignment horizontal="center" vertical="center" wrapText="1"/>
    </xf>
    <xf numFmtId="0" fontId="35" fillId="2" borderId="64" xfId="0" applyFont="1" applyFill="1" applyBorder="1" applyAlignment="1" applyProtection="1">
      <alignment horizontal="center" vertical="center" wrapText="1"/>
    </xf>
    <xf numFmtId="0" fontId="48" fillId="2" borderId="0" xfId="0" applyFont="1" applyFill="1" applyAlignment="1" applyProtection="1">
      <alignment horizontal="left" vertical="center" wrapText="1"/>
    </xf>
    <xf numFmtId="0" fontId="4" fillId="0" borderId="0" xfId="0" applyFont="1" applyProtection="1"/>
    <xf numFmtId="0" fontId="43" fillId="7" borderId="58" xfId="0" applyFont="1" applyFill="1" applyBorder="1" applyAlignment="1" applyProtection="1">
      <alignment horizontal="center" vertical="center"/>
    </xf>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59"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61"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2"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8"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59"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0" fontId="43" fillId="7" borderId="59" xfId="0" applyFont="1" applyFill="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60"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166" fontId="41" fillId="7" borderId="47" xfId="0" applyNumberFormat="1" applyFont="1" applyFill="1" applyBorder="1" applyAlignment="1" applyProtection="1">
      <alignment horizontal="center" vertical="center"/>
    </xf>
    <xf numFmtId="166" fontId="41" fillId="7" borderId="48"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16" fontId="4" fillId="0" borderId="0" xfId="0" applyNumberFormat="1" applyFont="1" applyAlignment="1" applyProtection="1">
      <alignment horizontal="right"/>
    </xf>
    <xf numFmtId="0" fontId="4" fillId="0" borderId="0" xfId="0" applyFont="1" applyAlignment="1" applyProtection="1">
      <alignment horizontal="right"/>
    </xf>
    <xf numFmtId="0" fontId="0" fillId="0" borderId="0" xfId="0" applyFont="1"/>
    <xf numFmtId="1" fontId="54" fillId="4" borderId="0" xfId="0" applyNumberFormat="1" applyFont="1" applyFill="1" applyAlignment="1" applyProtection="1">
      <alignment horizontal="center" vertical="center" wrapText="1"/>
    </xf>
    <xf numFmtId="1" fontId="35" fillId="4" borderId="22" xfId="0" applyNumberFormat="1" applyFont="1" applyFill="1" applyBorder="1" applyAlignment="1" applyProtection="1">
      <alignment horizontal="center" vertical="center" wrapText="1"/>
    </xf>
    <xf numFmtId="49" fontId="53" fillId="0" borderId="0" xfId="0" applyNumberFormat="1" applyFont="1" applyAlignment="1" applyProtection="1">
      <alignment horizontal="center"/>
    </xf>
    <xf numFmtId="0" fontId="35" fillId="2" borderId="52" xfId="0" applyFont="1" applyFill="1" applyBorder="1" applyAlignment="1" applyProtection="1">
      <alignment horizontal="center" vertical="center" wrapText="1"/>
    </xf>
    <xf numFmtId="0" fontId="35" fillId="7" borderId="21" xfId="0" applyFont="1" applyFill="1" applyBorder="1" applyAlignment="1" applyProtection="1">
      <alignment horizontal="left" vertical="center" indent="1"/>
    </xf>
    <xf numFmtId="10" fontId="43" fillId="7" borderId="44"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1" xfId="0" applyFont="1" applyFill="1" applyBorder="1" applyAlignment="1" applyProtection="1">
      <alignment vertical="center"/>
    </xf>
    <xf numFmtId="0" fontId="43" fillId="7" borderId="46" xfId="0" applyFont="1" applyFill="1" applyBorder="1" applyAlignment="1" applyProtection="1">
      <alignment horizontal="center" vertical="center"/>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0" fontId="49" fillId="2" borderId="65" xfId="0" applyNumberFormat="1" applyFont="1" applyFill="1" applyBorder="1" applyAlignment="1" applyProtection="1">
      <alignment horizontal="center" vertical="center" wrapText="1"/>
    </xf>
    <xf numFmtId="2" fontId="41" fillId="7" borderId="20" xfId="0" applyNumberFormat="1" applyFont="1" applyFill="1" applyBorder="1" applyAlignment="1" applyProtection="1">
      <alignment horizontal="center" vertical="center"/>
    </xf>
    <xf numFmtId="2" fontId="41" fillId="7" borderId="42" xfId="0" applyNumberFormat="1" applyFont="1" applyFill="1" applyBorder="1" applyAlignment="1" applyProtection="1">
      <alignment horizontal="center" vertical="center"/>
    </xf>
    <xf numFmtId="0" fontId="35" fillId="2" borderId="12" xfId="0" applyFont="1" applyFill="1" applyBorder="1" applyAlignment="1" applyProtection="1">
      <alignment horizontal="center" vertical="center" wrapText="1"/>
    </xf>
    <xf numFmtId="0" fontId="35" fillId="2" borderId="13" xfId="0" applyFont="1" applyFill="1" applyBorder="1" applyAlignment="1" applyProtection="1">
      <alignment horizontal="center" vertical="center" wrapText="1"/>
    </xf>
    <xf numFmtId="0" fontId="42" fillId="2" borderId="63" xfId="0" applyFont="1" applyFill="1" applyBorder="1" applyAlignment="1" applyProtection="1">
      <alignment horizontal="left" vertical="center" wrapText="1" indent="1"/>
    </xf>
    <xf numFmtId="0" fontId="42" fillId="2" borderId="51" xfId="0" applyFont="1" applyFill="1" applyBorder="1" applyAlignment="1" applyProtection="1">
      <alignment horizontal="left" vertical="center" wrapText="1" indent="1"/>
    </xf>
    <xf numFmtId="0" fontId="42" fillId="2" borderId="64" xfId="0" applyFont="1" applyFill="1" applyBorder="1" applyAlignment="1" applyProtection="1">
      <alignment horizontal="left" vertical="center" wrapText="1" indent="1"/>
    </xf>
    <xf numFmtId="0" fontId="3" fillId="3" borderId="0" xfId="0" applyFont="1" applyFill="1" applyProtection="1"/>
    <xf numFmtId="0" fontId="35" fillId="2" borderId="10" xfId="0" applyFont="1" applyFill="1" applyBorder="1" applyAlignment="1" applyProtection="1">
      <alignment horizontal="center" vertical="center" wrapText="1"/>
    </xf>
    <xf numFmtId="0" fontId="35" fillId="2" borderId="0" xfId="0" applyFont="1" applyFill="1" applyAlignment="1" applyProtection="1">
      <alignment horizontal="center" vertical="center" wrapText="1"/>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FLUKTUATION!$P$2:$P$8</c:f>
              <c:strCache>
                <c:ptCount val="7"/>
                <c:pt idx="0">
                  <c:v>Januar</c:v>
                </c:pt>
                <c:pt idx="1">
                  <c:v>Februar</c:v>
                </c:pt>
                <c:pt idx="2">
                  <c:v>April</c:v>
                </c:pt>
                <c:pt idx="3">
                  <c:v>Mai</c:v>
                </c:pt>
                <c:pt idx="4">
                  <c:v>Juni</c:v>
                </c:pt>
                <c:pt idx="5">
                  <c:v>September</c:v>
                </c:pt>
                <c:pt idx="6">
                  <c:v>Oktober</c:v>
                </c:pt>
              </c:strCache>
            </c:strRef>
          </c:cat>
          <c:val>
            <c:numRef>
              <c:f>FLUKTUATION!$Q$2:$Q$8</c:f>
              <c:numCache>
                <c:formatCode>General</c:formatCode>
                <c:ptCount val="7"/>
                <c:pt idx="0">
                  <c:v>2</c:v>
                </c:pt>
                <c:pt idx="1">
                  <c:v>1</c:v>
                </c:pt>
                <c:pt idx="2">
                  <c:v>5</c:v>
                </c:pt>
                <c:pt idx="3">
                  <c:v>2</c:v>
                </c:pt>
                <c:pt idx="4">
                  <c:v>1</c:v>
                </c:pt>
                <c:pt idx="5">
                  <c:v>1</c:v>
                </c:pt>
                <c:pt idx="6">
                  <c:v>1</c:v>
                </c:pt>
              </c:numCache>
            </c:numRef>
          </c:val>
          <c:extLst>
            <c:ext xmlns:c16="http://schemas.microsoft.com/office/drawing/2014/chart" uri="{C3380CC4-5D6E-409C-BE32-E72D297353CC}">
              <c16:uniqueId val="{00000001-0950-4033-A368-1B03C44F0CD2}"/>
            </c:ext>
          </c:extLst>
        </c:ser>
        <c:dLbls>
          <c:showLegendKey val="0"/>
          <c:showVal val="0"/>
          <c:showCatName val="0"/>
          <c:showSerName val="0"/>
          <c:showPercent val="0"/>
          <c:showBubbleSize val="0"/>
        </c:dLbls>
        <c:gapWidth val="150"/>
        <c:axId val="1730118511"/>
        <c:axId val="1612745439"/>
      </c:barChart>
      <c:catAx>
        <c:axId val="1730118511"/>
        <c:scaling>
          <c:orientation val="minMax"/>
        </c:scaling>
        <c:delete val="0"/>
        <c:axPos val="b"/>
        <c:numFmt formatCode="General" sourceLinked="1"/>
        <c:majorTickMark val="out"/>
        <c:minorTickMark val="none"/>
        <c:tickLblPos val="nextTo"/>
        <c:crossAx val="1612745439"/>
        <c:crosses val="autoZero"/>
        <c:auto val="1"/>
        <c:lblAlgn val="ctr"/>
        <c:lblOffset val="100"/>
        <c:noMultiLvlLbl val="0"/>
      </c:catAx>
      <c:valAx>
        <c:axId val="1612745439"/>
        <c:scaling>
          <c:orientation val="minMax"/>
        </c:scaling>
        <c:delete val="0"/>
        <c:axPos val="l"/>
        <c:majorGridlines/>
        <c:numFmt formatCode="General" sourceLinked="1"/>
        <c:majorTickMark val="out"/>
        <c:minorTickMark val="none"/>
        <c:tickLblPos val="nextTo"/>
        <c:crossAx val="173011851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FLUKTUATION!$P$21:$P$24</c:f>
              <c:strCache>
                <c:ptCount val="4"/>
                <c:pt idx="0">
                  <c:v>Erfahrene MA</c:v>
                </c:pt>
                <c:pt idx="1">
                  <c:v>Wichtige Austritte</c:v>
                </c:pt>
                <c:pt idx="2">
                  <c:v>Normal</c:v>
                </c:pt>
                <c:pt idx="3">
                  <c:v>Neutral</c:v>
                </c:pt>
              </c:strCache>
            </c:strRef>
          </c:cat>
          <c:val>
            <c:numRef>
              <c:f>FLUKTUATION!$Q$21:$Q$24</c:f>
              <c:numCache>
                <c:formatCode>General</c:formatCode>
                <c:ptCount val="4"/>
                <c:pt idx="0">
                  <c:v>6</c:v>
                </c:pt>
                <c:pt idx="1">
                  <c:v>1</c:v>
                </c:pt>
                <c:pt idx="2">
                  <c:v>2</c:v>
                </c:pt>
                <c:pt idx="3">
                  <c:v>4</c:v>
                </c:pt>
              </c:numCache>
            </c:numRef>
          </c:val>
          <c:extLst>
            <c:ext xmlns:c16="http://schemas.microsoft.com/office/drawing/2014/chart" uri="{C3380CC4-5D6E-409C-BE32-E72D297353CC}">
              <c16:uniqueId val="{00000001-BE23-4D0F-B7F8-992E9DDE1DF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FLUKTUATION!$R$41:$R$48</c:f>
              <c:strCache>
                <c:ptCount val="8"/>
                <c:pt idx="0">
                  <c:v>Dienstnehmer Kündigung</c:v>
                </c:pt>
                <c:pt idx="1">
                  <c:v>Einvernehmliche Auflösung</c:v>
                </c:pt>
                <c:pt idx="2">
                  <c:v>Nicht eingetreten</c:v>
                </c:pt>
                <c:pt idx="3">
                  <c:v>Unberechtigter vorzeitiger Austritt</c:v>
                </c:pt>
                <c:pt idx="4">
                  <c:v>Dienstgeber Kündigung</c:v>
                </c:pt>
                <c:pt idx="5">
                  <c:v>Karenz</c:v>
                </c:pt>
                <c:pt idx="6">
                  <c:v>Beförderung</c:v>
                </c:pt>
                <c:pt idx="7">
                  <c:v>Storetransfer</c:v>
                </c:pt>
              </c:strCache>
            </c:strRef>
          </c:cat>
          <c:val>
            <c:numRef>
              <c:f>FLUKTUATION!$S$41:$S$48</c:f>
              <c:numCache>
                <c:formatCode>General</c:formatCode>
                <c:ptCount val="8"/>
                <c:pt idx="0">
                  <c:v>5</c:v>
                </c:pt>
                <c:pt idx="1">
                  <c:v>3</c:v>
                </c:pt>
                <c:pt idx="2">
                  <c:v>1</c:v>
                </c:pt>
                <c:pt idx="3">
                  <c:v>1</c:v>
                </c:pt>
                <c:pt idx="4">
                  <c:v>1</c:v>
                </c:pt>
                <c:pt idx="5">
                  <c:v>1</c:v>
                </c:pt>
                <c:pt idx="6">
                  <c:v>1</c:v>
                </c:pt>
                <c:pt idx="7">
                  <c:v>1</c:v>
                </c:pt>
              </c:numCache>
            </c:numRef>
          </c:val>
          <c:extLst>
            <c:ext xmlns:c16="http://schemas.microsoft.com/office/drawing/2014/chart" uri="{C3380CC4-5D6E-409C-BE32-E72D297353CC}">
              <c16:uniqueId val="{00000001-B7E4-45E5-A41B-21121E234446}"/>
            </c:ext>
          </c:extLst>
        </c:ser>
        <c:dLbls>
          <c:showLegendKey val="0"/>
          <c:showVal val="0"/>
          <c:showCatName val="0"/>
          <c:showSerName val="0"/>
          <c:showPercent val="0"/>
          <c:showBubbleSize val="0"/>
        </c:dLbls>
        <c:gapWidth val="150"/>
        <c:axId val="1739865999"/>
        <c:axId val="1739867919"/>
      </c:barChart>
      <c:catAx>
        <c:axId val="1739865999"/>
        <c:scaling>
          <c:orientation val="minMax"/>
        </c:scaling>
        <c:delete val="0"/>
        <c:axPos val="l"/>
        <c:numFmt formatCode="General" sourceLinked="1"/>
        <c:majorTickMark val="out"/>
        <c:minorTickMark val="none"/>
        <c:tickLblPos val="nextTo"/>
        <c:crossAx val="1739867919"/>
        <c:crosses val="autoZero"/>
        <c:auto val="1"/>
        <c:lblAlgn val="ctr"/>
        <c:lblOffset val="100"/>
        <c:noMultiLvlLbl val="0"/>
      </c:catAx>
      <c:valAx>
        <c:axId val="1739867919"/>
        <c:scaling>
          <c:orientation val="minMax"/>
        </c:scaling>
        <c:delete val="0"/>
        <c:axPos val="b"/>
        <c:majorGridlines/>
        <c:numFmt formatCode="General" sourceLinked="1"/>
        <c:majorTickMark val="out"/>
        <c:minorTickMark val="none"/>
        <c:tickLblPos val="nextTo"/>
        <c:crossAx val="1739865999"/>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16" name="btn_Admin_Smoke">
          <a:extLst>
            <a:ext uri="{FF2B5EF4-FFF2-40B4-BE49-F238E27FC236}">
              <a16:creationId xmlns:a16="http://schemas.microsoft.com/office/drawing/2014/main" id="{CADB1990-ACC6-28B8-6A37-83BDB362C143}"/>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17" name="btn_Admin_Refresh">
          <a:extLst>
            <a:ext uri="{FF2B5EF4-FFF2-40B4-BE49-F238E27FC236}">
              <a16:creationId xmlns:a16="http://schemas.microsoft.com/office/drawing/2014/main" id="{6CA60F48-18FB-A5C8-C359-5EE16EA9CCCE}"/>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18" name="btn_Admin_Quick">
          <a:extLst>
            <a:ext uri="{FF2B5EF4-FFF2-40B4-BE49-F238E27FC236}">
              <a16:creationId xmlns:a16="http://schemas.microsoft.com/office/drawing/2014/main" id="{C5F46BB0-2C74-74B0-E4BF-75DA2FF41EEF}"/>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19" name="btn_Admin_Format">
          <a:extLst>
            <a:ext uri="{FF2B5EF4-FFF2-40B4-BE49-F238E27FC236}">
              <a16:creationId xmlns:a16="http://schemas.microsoft.com/office/drawing/2014/main" id="{21893E5D-329F-188F-3E1C-036412E7376A}"/>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20" name="btn_Admin_Import">
          <a:extLst>
            <a:ext uri="{FF2B5EF4-FFF2-40B4-BE49-F238E27FC236}">
              <a16:creationId xmlns:a16="http://schemas.microsoft.com/office/drawing/2014/main" id="{D68646B6-9F38-4199-D362-D656F4878939}"/>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21" name="btn_Admin_Perf">
          <a:extLst>
            <a:ext uri="{FF2B5EF4-FFF2-40B4-BE49-F238E27FC236}">
              <a16:creationId xmlns:a16="http://schemas.microsoft.com/office/drawing/2014/main" id="{F1D611CF-E439-4D12-7A05-A01F854C2104}"/>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22" name="btn_Admin_Protect">
          <a:extLst>
            <a:ext uri="{FF2B5EF4-FFF2-40B4-BE49-F238E27FC236}">
              <a16:creationId xmlns:a16="http://schemas.microsoft.com/office/drawing/2014/main" id="{A7FBB3C2-5916-F96D-2270-62AF98C3567E}"/>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23" name="btn_Admin_Unprotect">
          <a:extLst>
            <a:ext uri="{FF2B5EF4-FFF2-40B4-BE49-F238E27FC236}">
              <a16:creationId xmlns:a16="http://schemas.microsoft.com/office/drawing/2014/main" id="{7F047704-2379-9E2A-CE63-8DBF1C83C24F}"/>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24" name="btn_Admin_ShowTech">
          <a:extLst>
            <a:ext uri="{FF2B5EF4-FFF2-40B4-BE49-F238E27FC236}">
              <a16:creationId xmlns:a16="http://schemas.microsoft.com/office/drawing/2014/main" id="{D1CBC8B5-6441-AAB3-E2B2-1D3ECCA905A1}"/>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25" name="btn_Admin_HideTech">
          <a:extLst>
            <a:ext uri="{FF2B5EF4-FFF2-40B4-BE49-F238E27FC236}">
              <a16:creationId xmlns:a16="http://schemas.microsoft.com/office/drawing/2014/main" id="{9DDBF685-3560-202F-3CB4-A52C11C1C01C}"/>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26" name="btn_Admin_Lohn">
          <a:extLst>
            <a:ext uri="{FF2B5EF4-FFF2-40B4-BE49-F238E27FC236}">
              <a16:creationId xmlns:a16="http://schemas.microsoft.com/office/drawing/2014/main" id="{46489920-5496-0E70-1474-8270041ECC93}"/>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27" name="btn_Admin_ResetHours">
          <a:extLst>
            <a:ext uri="{FF2B5EF4-FFF2-40B4-BE49-F238E27FC236}">
              <a16:creationId xmlns:a16="http://schemas.microsoft.com/office/drawing/2014/main" id="{FFB62609-5047-DA46-9C6B-00BF121411E7}"/>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28" name="btn_Admin_SmokeSheet">
          <a:extLst>
            <a:ext uri="{FF2B5EF4-FFF2-40B4-BE49-F238E27FC236}">
              <a16:creationId xmlns:a16="http://schemas.microsoft.com/office/drawing/2014/main" id="{B9304DDF-3F6F-97C9-6623-7413F1543010}"/>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29" name="btn_Admin_Hide">
          <a:extLst>
            <a:ext uri="{FF2B5EF4-FFF2-40B4-BE49-F238E27FC236}">
              <a16:creationId xmlns:a16="http://schemas.microsoft.com/office/drawing/2014/main" id="{12FBEAC4-AB86-3C2D-995B-9273494FFE8A}"/>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1585384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29</xdr:row>
      <xdr:rowOff>0</xdr:rowOff>
    </xdr:from>
    <xdr:to>
      <xdr:col>2</xdr:col>
      <xdr:colOff>552450</xdr:colOff>
      <xdr:row>43</xdr:row>
      <xdr:rowOff>0</xdr:rowOff>
    </xdr:to>
    <xdr:graphicFrame macro="">
      <xdr:nvGraphicFramePr>
        <xdr:cNvPr id="5" name="Diagramm 4">
          <a:extLst>
            <a:ext uri="{FF2B5EF4-FFF2-40B4-BE49-F238E27FC236}">
              <a16:creationId xmlns:a16="http://schemas.microsoft.com/office/drawing/2014/main" id="{66DDEDB2-9301-861C-2D27-93B44A774B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755650</xdr:colOff>
      <xdr:row>29</xdr:row>
      <xdr:rowOff>0</xdr:rowOff>
    </xdr:from>
    <xdr:to>
      <xdr:col>4</xdr:col>
      <xdr:colOff>844550</xdr:colOff>
      <xdr:row>43</xdr:row>
      <xdr:rowOff>0</xdr:rowOff>
    </xdr:to>
    <xdr:graphicFrame macro="">
      <xdr:nvGraphicFramePr>
        <xdr:cNvPr id="6" name="Diagramm 5">
          <a:extLst>
            <a:ext uri="{FF2B5EF4-FFF2-40B4-BE49-F238E27FC236}">
              <a16:creationId xmlns:a16="http://schemas.microsoft.com/office/drawing/2014/main" id="{AC70AD92-8697-2337-118A-CEFB4F5667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43</xdr:row>
      <xdr:rowOff>152400</xdr:rowOff>
    </xdr:from>
    <xdr:to>
      <xdr:col>4</xdr:col>
      <xdr:colOff>844550</xdr:colOff>
      <xdr:row>57</xdr:row>
      <xdr:rowOff>152400</xdr:rowOff>
    </xdr:to>
    <xdr:graphicFrame macro="">
      <xdr:nvGraphicFramePr>
        <xdr:cNvPr id="7" name="Diagramm 6">
          <a:extLst>
            <a:ext uri="{FF2B5EF4-FFF2-40B4-BE49-F238E27FC236}">
              <a16:creationId xmlns:a16="http://schemas.microsoft.com/office/drawing/2014/main" id="{EF63A2FD-99BA-F19B-EC17-FA9F3C5C19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H18" sqref="H18"/>
    </sheetView>
  </sheetViews>
  <sheetFormatPr baseColWidth="10" defaultRowHeight="14.5"/>
  <cols>
    <col min="1" max="1" width="2.6328125" style="393" customWidth="1"/>
    <col min="2" max="5" width="22.6328125" style="393" customWidth="1"/>
    <col min="6" max="16384" width="10.90625" style="393"/>
  </cols>
  <sheetData>
    <row r="1" spans="2:5" ht="21">
      <c r="B1" s="170" t="s">
        <v>394</v>
      </c>
      <c r="C1" s="171"/>
      <c r="D1" s="171"/>
      <c r="E1" s="171"/>
    </row>
    <row r="2" spans="2:5">
      <c r="B2" s="172" t="s">
        <v>395</v>
      </c>
      <c r="C2" s="173"/>
      <c r="D2" s="173"/>
      <c r="E2" s="173"/>
    </row>
    <row r="3" spans="2:5">
      <c r="B3" s="99" t="s">
        <v>396</v>
      </c>
      <c r="C3" s="99">
        <v>2026</v>
      </c>
      <c r="D3" s="99" t="s">
        <v>397</v>
      </c>
      <c r="E3" s="99">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3"/>
  <sheetViews>
    <sheetView showGridLines="0" zoomScale="120" zoomScaleNormal="120" workbookViewId="0">
      <pane ySplit="3" topLeftCell="A4" activePane="bottomLeft" state="frozen"/>
      <selection pane="bottomLeft" activeCell="L8" sqref="L8"/>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74" t="s">
        <v>278</v>
      </c>
      <c r="B1" s="174"/>
      <c r="C1" s="174"/>
      <c r="D1" s="174"/>
      <c r="E1" s="174"/>
      <c r="F1" s="174"/>
      <c r="G1" s="174"/>
      <c r="H1" s="174"/>
      <c r="I1" s="174"/>
      <c r="J1" s="174"/>
    </row>
    <row r="2" spans="1:15" ht="24" customHeight="1">
      <c r="A2" s="423"/>
      <c r="B2" s="423"/>
      <c r="C2" s="423"/>
      <c r="D2" s="423"/>
      <c r="E2" s="423"/>
      <c r="F2" s="423"/>
      <c r="G2" s="423"/>
      <c r="H2" s="424"/>
      <c r="I2" s="425"/>
      <c r="J2" s="425"/>
      <c r="L2" s="169" t="s">
        <v>384</v>
      </c>
      <c r="M2" s="169"/>
      <c r="N2" s="169"/>
      <c r="O2" s="80"/>
    </row>
    <row r="3" spans="1:15" ht="18" customHeight="1" thickBot="1">
      <c r="A3" s="67" t="s">
        <v>283</v>
      </c>
      <c r="B3" s="67" t="s">
        <v>349</v>
      </c>
      <c r="C3" s="67" t="s">
        <v>350</v>
      </c>
      <c r="D3" s="67" t="s">
        <v>287</v>
      </c>
      <c r="E3" s="67" t="s">
        <v>284</v>
      </c>
      <c r="F3" s="67" t="s">
        <v>351</v>
      </c>
      <c r="G3" s="67" t="s">
        <v>285</v>
      </c>
      <c r="H3" s="68" t="s">
        <v>1</v>
      </c>
      <c r="I3" s="67" t="s">
        <v>286</v>
      </c>
      <c r="J3" s="67" t="s">
        <v>352</v>
      </c>
    </row>
    <row r="4" spans="1:15" ht="24" customHeight="1" thickBot="1">
      <c r="A4" s="175" t="s">
        <v>353</v>
      </c>
      <c r="B4" s="176"/>
      <c r="C4" s="176"/>
      <c r="D4" s="177"/>
      <c r="E4" s="177"/>
      <c r="F4" s="177"/>
      <c r="G4" s="178"/>
      <c r="H4" s="179"/>
      <c r="I4" s="177"/>
      <c r="J4" s="180"/>
    </row>
    <row r="5" spans="1:15" ht="24" customHeight="1">
      <c r="A5" s="150" t="s">
        <v>291</v>
      </c>
      <c r="B5" s="132">
        <v>45778</v>
      </c>
      <c r="C5" s="132">
        <v>46142</v>
      </c>
      <c r="D5" s="133" t="s">
        <v>288</v>
      </c>
      <c r="E5" s="133" t="s">
        <v>2</v>
      </c>
      <c r="F5" s="133" t="s">
        <v>279</v>
      </c>
      <c r="G5" s="81">
        <v>173</v>
      </c>
      <c r="H5" s="82">
        <v>2021</v>
      </c>
      <c r="I5" s="134" t="str">
        <f t="shared" ref="I5:I36" si="0">IF($A5="","",IF(OR($B5="",$C5="",$D5="",$E5="",$F5=""),"Stammdaten fehlen",IF(AND($G5="",$H5=""),"Werte fehlen",IF($G5="","Monatsstunden fehlen",IF($H5="","Monatslohn fehlt","OK")))))</f>
        <v>OK</v>
      </c>
      <c r="J5" s="156" t="str">
        <f t="shared" ref="J5:J36" si="1">IF($G5="","",IF(COUNTIFS($A:$A,$A5,$D:$D,$D5,$G:$G,$G5)&gt;1,"Doppelte Monatsstunden",""))</f>
        <v/>
      </c>
    </row>
    <row r="6" spans="1:15" ht="24" customHeight="1">
      <c r="A6" s="151" t="s">
        <v>291</v>
      </c>
      <c r="B6" s="135">
        <v>45778</v>
      </c>
      <c r="C6" s="135">
        <v>46142</v>
      </c>
      <c r="D6" s="136" t="s">
        <v>288</v>
      </c>
      <c r="E6" s="136" t="s">
        <v>2</v>
      </c>
      <c r="F6" s="136" t="s">
        <v>279</v>
      </c>
      <c r="G6" s="83">
        <v>171</v>
      </c>
      <c r="H6" s="84">
        <v>2500</v>
      </c>
      <c r="I6" s="137" t="str">
        <f t="shared" si="0"/>
        <v>OK</v>
      </c>
      <c r="J6" s="157" t="str">
        <f t="shared" si="1"/>
        <v/>
      </c>
      <c r="K6" t="s">
        <v>390</v>
      </c>
    </row>
    <row r="7" spans="1:15" ht="24" customHeight="1">
      <c r="A7" s="151" t="s">
        <v>291</v>
      </c>
      <c r="B7" s="135">
        <v>45778</v>
      </c>
      <c r="C7" s="135">
        <v>46142</v>
      </c>
      <c r="D7" s="136" t="s">
        <v>288</v>
      </c>
      <c r="E7" s="136" t="s">
        <v>2</v>
      </c>
      <c r="F7" s="136" t="s">
        <v>279</v>
      </c>
      <c r="G7" s="83">
        <v>169</v>
      </c>
      <c r="H7" s="84">
        <v>2000</v>
      </c>
      <c r="I7" s="137" t="str">
        <f t="shared" si="0"/>
        <v>OK</v>
      </c>
      <c r="J7" s="157" t="str">
        <f t="shared" si="1"/>
        <v/>
      </c>
      <c r="K7" t="s">
        <v>390</v>
      </c>
    </row>
    <row r="8" spans="1:15" ht="24" customHeight="1">
      <c r="A8" s="151" t="s">
        <v>291</v>
      </c>
      <c r="B8" s="135">
        <v>45778</v>
      </c>
      <c r="C8" s="135">
        <v>46142</v>
      </c>
      <c r="D8" s="136" t="s">
        <v>288</v>
      </c>
      <c r="E8" s="136" t="s">
        <v>2</v>
      </c>
      <c r="F8" s="136" t="s">
        <v>279</v>
      </c>
      <c r="G8" s="83">
        <v>151.38</v>
      </c>
      <c r="H8" s="84">
        <v>1768.38</v>
      </c>
      <c r="I8" s="137" t="str">
        <f t="shared" si="0"/>
        <v>OK</v>
      </c>
      <c r="J8" s="157" t="str">
        <f t="shared" si="1"/>
        <v/>
      </c>
    </row>
    <row r="9" spans="1:15" ht="24" customHeight="1">
      <c r="A9" s="151" t="s">
        <v>291</v>
      </c>
      <c r="B9" s="135">
        <v>45778</v>
      </c>
      <c r="C9" s="135">
        <v>46142</v>
      </c>
      <c r="D9" s="136" t="s">
        <v>288</v>
      </c>
      <c r="E9" s="136" t="s">
        <v>2</v>
      </c>
      <c r="F9" s="136" t="s">
        <v>279</v>
      </c>
      <c r="G9" s="83">
        <v>138.4</v>
      </c>
      <c r="H9" s="84">
        <v>1616.8</v>
      </c>
      <c r="I9" s="137" t="str">
        <f t="shared" si="0"/>
        <v>OK</v>
      </c>
      <c r="J9" s="157" t="str">
        <f t="shared" si="1"/>
        <v/>
      </c>
    </row>
    <row r="10" spans="1:15" ht="24" customHeight="1">
      <c r="A10" s="151" t="s">
        <v>291</v>
      </c>
      <c r="B10" s="135">
        <v>45778</v>
      </c>
      <c r="C10" s="135">
        <v>46142</v>
      </c>
      <c r="D10" s="136" t="s">
        <v>288</v>
      </c>
      <c r="E10" s="136" t="s">
        <v>2</v>
      </c>
      <c r="F10" s="136" t="s">
        <v>279</v>
      </c>
      <c r="G10" s="83">
        <v>129.75</v>
      </c>
      <c r="H10" s="84">
        <v>1515.75</v>
      </c>
      <c r="I10" s="137" t="str">
        <f t="shared" si="0"/>
        <v>OK</v>
      </c>
      <c r="J10" s="157" t="str">
        <f t="shared" si="1"/>
        <v/>
      </c>
    </row>
    <row r="11" spans="1:15" ht="24" customHeight="1">
      <c r="A11" s="151" t="s">
        <v>291</v>
      </c>
      <c r="B11" s="135">
        <v>45778</v>
      </c>
      <c r="C11" s="135">
        <v>46142</v>
      </c>
      <c r="D11" s="136" t="s">
        <v>288</v>
      </c>
      <c r="E11" s="136" t="s">
        <v>2</v>
      </c>
      <c r="F11" s="136" t="s">
        <v>279</v>
      </c>
      <c r="G11" s="83">
        <v>108.13</v>
      </c>
      <c r="H11" s="84">
        <v>1263.1300000000001</v>
      </c>
      <c r="I11" s="137" t="str">
        <f t="shared" si="0"/>
        <v>OK</v>
      </c>
      <c r="J11" s="157" t="str">
        <f t="shared" si="1"/>
        <v/>
      </c>
    </row>
    <row r="12" spans="1:15" ht="24" customHeight="1">
      <c r="A12" s="151" t="s">
        <v>291</v>
      </c>
      <c r="B12" s="135">
        <v>45778</v>
      </c>
      <c r="C12" s="135">
        <v>46142</v>
      </c>
      <c r="D12" s="136" t="s">
        <v>288</v>
      </c>
      <c r="E12" s="136" t="s">
        <v>2</v>
      </c>
      <c r="F12" s="136" t="s">
        <v>279</v>
      </c>
      <c r="G12" s="83">
        <v>103.8</v>
      </c>
      <c r="H12" s="84">
        <v>1212.5999999999999</v>
      </c>
      <c r="I12" s="137" t="str">
        <f t="shared" si="0"/>
        <v>OK</v>
      </c>
      <c r="J12" s="157" t="str">
        <f t="shared" si="1"/>
        <v/>
      </c>
    </row>
    <row r="13" spans="1:15" ht="24" customHeight="1">
      <c r="A13" s="151" t="s">
        <v>291</v>
      </c>
      <c r="B13" s="135">
        <v>45778</v>
      </c>
      <c r="C13" s="135">
        <v>46142</v>
      </c>
      <c r="D13" s="136" t="s">
        <v>288</v>
      </c>
      <c r="E13" s="136" t="s">
        <v>2</v>
      </c>
      <c r="F13" s="136" t="s">
        <v>279</v>
      </c>
      <c r="G13" s="83">
        <v>86.5</v>
      </c>
      <c r="H13" s="84">
        <v>1010.5</v>
      </c>
      <c r="I13" s="137" t="str">
        <f t="shared" si="0"/>
        <v>OK</v>
      </c>
      <c r="J13" s="157" t="str">
        <f t="shared" si="1"/>
        <v/>
      </c>
    </row>
    <row r="14" spans="1:15" ht="24" customHeight="1">
      <c r="A14" s="151" t="s">
        <v>291</v>
      </c>
      <c r="B14" s="135">
        <v>45778</v>
      </c>
      <c r="C14" s="135">
        <v>46142</v>
      </c>
      <c r="D14" s="136" t="s">
        <v>288</v>
      </c>
      <c r="E14" s="136" t="s">
        <v>2</v>
      </c>
      <c r="F14" s="136" t="s">
        <v>279</v>
      </c>
      <c r="G14" s="83">
        <v>69.2</v>
      </c>
      <c r="H14" s="84">
        <v>808.4</v>
      </c>
      <c r="I14" s="137" t="str">
        <f t="shared" si="0"/>
        <v>OK</v>
      </c>
      <c r="J14" s="157" t="str">
        <f t="shared" si="1"/>
        <v/>
      </c>
    </row>
    <row r="15" spans="1:15" ht="24" customHeight="1">
      <c r="A15" s="151" t="s">
        <v>291</v>
      </c>
      <c r="B15" s="135">
        <v>45778</v>
      </c>
      <c r="C15" s="135">
        <v>46142</v>
      </c>
      <c r="D15" s="136" t="s">
        <v>288</v>
      </c>
      <c r="E15" s="136" t="s">
        <v>2</v>
      </c>
      <c r="F15" s="136" t="s">
        <v>279</v>
      </c>
      <c r="G15" s="83">
        <v>55</v>
      </c>
      <c r="H15" s="84">
        <v>666</v>
      </c>
      <c r="I15" s="137" t="str">
        <f t="shared" si="0"/>
        <v>OK</v>
      </c>
      <c r="J15" s="157" t="str">
        <f t="shared" si="1"/>
        <v/>
      </c>
      <c r="K15" t="s">
        <v>390</v>
      </c>
    </row>
    <row r="16" spans="1:15" ht="24" customHeight="1">
      <c r="A16" s="151" t="s">
        <v>291</v>
      </c>
      <c r="B16" s="135">
        <v>45778</v>
      </c>
      <c r="C16" s="135">
        <v>46142</v>
      </c>
      <c r="D16" s="136" t="s">
        <v>288</v>
      </c>
      <c r="E16" s="136" t="s">
        <v>2</v>
      </c>
      <c r="F16" s="136" t="s">
        <v>279</v>
      </c>
      <c r="G16" s="83">
        <v>51.9</v>
      </c>
      <c r="H16" s="84">
        <v>606.29999999999995</v>
      </c>
      <c r="I16" s="137" t="str">
        <f t="shared" si="0"/>
        <v>OK</v>
      </c>
      <c r="J16" s="157" t="str">
        <f t="shared" si="1"/>
        <v/>
      </c>
    </row>
    <row r="17" spans="1:10" ht="24" customHeight="1">
      <c r="A17" s="151" t="s">
        <v>291</v>
      </c>
      <c r="B17" s="135">
        <v>45778</v>
      </c>
      <c r="C17" s="135">
        <v>46142</v>
      </c>
      <c r="D17" s="136" t="s">
        <v>288</v>
      </c>
      <c r="E17" s="136" t="s">
        <v>2</v>
      </c>
      <c r="F17" s="136" t="s">
        <v>279</v>
      </c>
      <c r="G17" s="83">
        <v>47.58</v>
      </c>
      <c r="H17" s="84">
        <v>555.78</v>
      </c>
      <c r="I17" s="137" t="str">
        <f t="shared" si="0"/>
        <v>OK</v>
      </c>
      <c r="J17" s="157" t="str">
        <f t="shared" si="1"/>
        <v/>
      </c>
    </row>
    <row r="18" spans="1:10" ht="24" customHeight="1">
      <c r="A18" s="151" t="s">
        <v>291</v>
      </c>
      <c r="B18" s="135">
        <v>45778</v>
      </c>
      <c r="C18" s="135">
        <v>46142</v>
      </c>
      <c r="D18" s="136" t="s">
        <v>288</v>
      </c>
      <c r="E18" s="136" t="s">
        <v>2</v>
      </c>
      <c r="F18" s="136" t="s">
        <v>279</v>
      </c>
      <c r="G18" s="83">
        <v>43.25</v>
      </c>
      <c r="H18" s="84">
        <v>505.25</v>
      </c>
      <c r="I18" s="137" t="str">
        <f t="shared" si="0"/>
        <v>OK</v>
      </c>
      <c r="J18" s="157" t="str">
        <f t="shared" si="1"/>
        <v/>
      </c>
    </row>
    <row r="19" spans="1:10" ht="24" customHeight="1">
      <c r="A19" s="151" t="s">
        <v>291</v>
      </c>
      <c r="B19" s="135">
        <v>45778</v>
      </c>
      <c r="C19" s="135">
        <v>46142</v>
      </c>
      <c r="D19" s="136" t="s">
        <v>288</v>
      </c>
      <c r="E19" s="136" t="s">
        <v>2</v>
      </c>
      <c r="F19" s="136" t="s">
        <v>279</v>
      </c>
      <c r="G19" s="83">
        <v>34.6</v>
      </c>
      <c r="H19" s="84">
        <v>404.2</v>
      </c>
      <c r="I19" s="137" t="str">
        <f t="shared" si="0"/>
        <v>OK</v>
      </c>
      <c r="J19" s="157" t="str">
        <f t="shared" si="1"/>
        <v/>
      </c>
    </row>
    <row r="20" spans="1:10" ht="24" customHeight="1" thickBot="1">
      <c r="A20" s="151" t="s">
        <v>291</v>
      </c>
      <c r="B20" s="135">
        <v>45778</v>
      </c>
      <c r="C20" s="135">
        <v>46142</v>
      </c>
      <c r="D20" s="136" t="s">
        <v>288</v>
      </c>
      <c r="E20" s="136" t="s">
        <v>2</v>
      </c>
      <c r="F20" s="136" t="s">
        <v>279</v>
      </c>
      <c r="G20" s="83">
        <v>32.01</v>
      </c>
      <c r="H20" s="84">
        <v>373.89</v>
      </c>
      <c r="I20" s="137" t="str">
        <f t="shared" si="0"/>
        <v>OK</v>
      </c>
      <c r="J20" s="157" t="str">
        <f t="shared" si="1"/>
        <v/>
      </c>
    </row>
    <row r="21" spans="1:10" ht="24" customHeight="1">
      <c r="A21" s="150" t="s">
        <v>291</v>
      </c>
      <c r="B21" s="132">
        <v>45778</v>
      </c>
      <c r="C21" s="132">
        <v>46142</v>
      </c>
      <c r="D21" s="133" t="s">
        <v>3</v>
      </c>
      <c r="E21" s="133" t="s">
        <v>2</v>
      </c>
      <c r="F21" s="133" t="s">
        <v>280</v>
      </c>
      <c r="G21" s="81">
        <v>173</v>
      </c>
      <c r="H21" s="82">
        <v>2082</v>
      </c>
      <c r="I21" s="134" t="str">
        <f t="shared" si="0"/>
        <v>OK</v>
      </c>
      <c r="J21" s="156" t="str">
        <f t="shared" si="1"/>
        <v/>
      </c>
    </row>
    <row r="22" spans="1:10" ht="24" customHeight="1">
      <c r="A22" s="151" t="s">
        <v>291</v>
      </c>
      <c r="B22" s="135">
        <v>45778</v>
      </c>
      <c r="C22" s="135">
        <v>46142</v>
      </c>
      <c r="D22" s="136" t="s">
        <v>3</v>
      </c>
      <c r="E22" s="136" t="s">
        <v>2</v>
      </c>
      <c r="F22" s="136" t="s">
        <v>280</v>
      </c>
      <c r="G22" s="83">
        <v>151.38</v>
      </c>
      <c r="H22" s="84">
        <v>1821.75</v>
      </c>
      <c r="I22" s="137" t="str">
        <f t="shared" si="0"/>
        <v>OK</v>
      </c>
      <c r="J22" s="157" t="str">
        <f t="shared" si="1"/>
        <v/>
      </c>
    </row>
    <row r="23" spans="1:10" ht="24" customHeight="1">
      <c r="A23" s="151" t="s">
        <v>291</v>
      </c>
      <c r="B23" s="135">
        <v>45778</v>
      </c>
      <c r="C23" s="135">
        <v>46142</v>
      </c>
      <c r="D23" s="136" t="s">
        <v>3</v>
      </c>
      <c r="E23" s="136" t="s">
        <v>2</v>
      </c>
      <c r="F23" s="136" t="s">
        <v>280</v>
      </c>
      <c r="G23" s="83">
        <v>138.4</v>
      </c>
      <c r="H23" s="84">
        <v>1665.6</v>
      </c>
      <c r="I23" s="137" t="str">
        <f t="shared" si="0"/>
        <v>OK</v>
      </c>
      <c r="J23" s="157" t="str">
        <f t="shared" si="1"/>
        <v/>
      </c>
    </row>
    <row r="24" spans="1:10" ht="24" customHeight="1">
      <c r="A24" s="151" t="s">
        <v>291</v>
      </c>
      <c r="B24" s="135">
        <v>45778</v>
      </c>
      <c r="C24" s="135">
        <v>46142</v>
      </c>
      <c r="D24" s="136" t="s">
        <v>3</v>
      </c>
      <c r="E24" s="136" t="s">
        <v>2</v>
      </c>
      <c r="F24" s="136" t="s">
        <v>280</v>
      </c>
      <c r="G24" s="83">
        <v>129.75</v>
      </c>
      <c r="H24" s="84">
        <v>1561.5</v>
      </c>
      <c r="I24" s="137" t="str">
        <f t="shared" si="0"/>
        <v>OK</v>
      </c>
      <c r="J24" s="157" t="str">
        <f t="shared" si="1"/>
        <v/>
      </c>
    </row>
    <row r="25" spans="1:10" ht="24" customHeight="1">
      <c r="A25" s="151" t="s">
        <v>291</v>
      </c>
      <c r="B25" s="135">
        <v>45778</v>
      </c>
      <c r="C25" s="135">
        <v>46142</v>
      </c>
      <c r="D25" s="136" t="s">
        <v>3</v>
      </c>
      <c r="E25" s="136" t="s">
        <v>2</v>
      </c>
      <c r="F25" s="136" t="s">
        <v>280</v>
      </c>
      <c r="G25" s="83">
        <v>108.13</v>
      </c>
      <c r="H25" s="84">
        <v>1301.25</v>
      </c>
      <c r="I25" s="137" t="str">
        <f t="shared" si="0"/>
        <v>OK</v>
      </c>
      <c r="J25" s="157" t="str">
        <f t="shared" si="1"/>
        <v/>
      </c>
    </row>
    <row r="26" spans="1:10" ht="24" customHeight="1">
      <c r="A26" s="151" t="s">
        <v>291</v>
      </c>
      <c r="B26" s="135">
        <v>45778</v>
      </c>
      <c r="C26" s="135">
        <v>46142</v>
      </c>
      <c r="D26" s="136" t="s">
        <v>3</v>
      </c>
      <c r="E26" s="136" t="s">
        <v>2</v>
      </c>
      <c r="F26" s="136" t="s">
        <v>280</v>
      </c>
      <c r="G26" s="83">
        <v>103.8</v>
      </c>
      <c r="H26" s="84">
        <v>1249.2</v>
      </c>
      <c r="I26" s="137" t="str">
        <f t="shared" si="0"/>
        <v>OK</v>
      </c>
      <c r="J26" s="157" t="str">
        <f t="shared" si="1"/>
        <v/>
      </c>
    </row>
    <row r="27" spans="1:10" ht="24" customHeight="1">
      <c r="A27" s="151" t="s">
        <v>291</v>
      </c>
      <c r="B27" s="135">
        <v>45778</v>
      </c>
      <c r="C27" s="135">
        <v>46142</v>
      </c>
      <c r="D27" s="136" t="s">
        <v>3</v>
      </c>
      <c r="E27" s="136" t="s">
        <v>2</v>
      </c>
      <c r="F27" s="136" t="s">
        <v>280</v>
      </c>
      <c r="G27" s="83">
        <v>86.5</v>
      </c>
      <c r="H27" s="84">
        <v>1041.2</v>
      </c>
      <c r="I27" s="137" t="str">
        <f t="shared" si="0"/>
        <v>OK</v>
      </c>
      <c r="J27" s="157" t="str">
        <f t="shared" si="1"/>
        <v/>
      </c>
    </row>
    <row r="28" spans="1:10" ht="24" customHeight="1">
      <c r="A28" s="151" t="s">
        <v>291</v>
      </c>
      <c r="B28" s="135">
        <v>45778</v>
      </c>
      <c r="C28" s="135">
        <v>46142</v>
      </c>
      <c r="D28" s="136" t="s">
        <v>3</v>
      </c>
      <c r="E28" s="136" t="s">
        <v>2</v>
      </c>
      <c r="F28" s="136" t="s">
        <v>280</v>
      </c>
      <c r="G28" s="83">
        <v>69.2</v>
      </c>
      <c r="H28" s="84">
        <v>832.8</v>
      </c>
      <c r="I28" s="137" t="str">
        <f t="shared" si="0"/>
        <v>OK</v>
      </c>
      <c r="J28" s="157" t="str">
        <f t="shared" si="1"/>
        <v/>
      </c>
    </row>
    <row r="29" spans="1:10" ht="24" customHeight="1">
      <c r="A29" s="151" t="s">
        <v>291</v>
      </c>
      <c r="B29" s="135">
        <v>45778</v>
      </c>
      <c r="C29" s="135">
        <v>46142</v>
      </c>
      <c r="D29" s="136" t="s">
        <v>3</v>
      </c>
      <c r="E29" s="136" t="s">
        <v>2</v>
      </c>
      <c r="F29" s="136" t="s">
        <v>280</v>
      </c>
      <c r="G29" s="83">
        <v>51.9</v>
      </c>
      <c r="H29" s="84">
        <v>624.6</v>
      </c>
      <c r="I29" s="137" t="str">
        <f t="shared" si="0"/>
        <v>OK</v>
      </c>
      <c r="J29" s="157" t="str">
        <f t="shared" si="1"/>
        <v/>
      </c>
    </row>
    <row r="30" spans="1:10" ht="24" customHeight="1">
      <c r="A30" s="151" t="s">
        <v>291</v>
      </c>
      <c r="B30" s="135">
        <v>45778</v>
      </c>
      <c r="C30" s="135">
        <v>46142</v>
      </c>
      <c r="D30" s="136" t="s">
        <v>3</v>
      </c>
      <c r="E30" s="136" t="s">
        <v>2</v>
      </c>
      <c r="F30" s="136" t="s">
        <v>280</v>
      </c>
      <c r="G30" s="83">
        <v>47.58</v>
      </c>
      <c r="H30" s="84">
        <v>575.54999999999995</v>
      </c>
      <c r="I30" s="137" t="str">
        <f t="shared" si="0"/>
        <v>OK</v>
      </c>
      <c r="J30" s="157" t="str">
        <f t="shared" si="1"/>
        <v/>
      </c>
    </row>
    <row r="31" spans="1:10" ht="24" customHeight="1">
      <c r="A31" s="151" t="s">
        <v>291</v>
      </c>
      <c r="B31" s="135">
        <v>45778</v>
      </c>
      <c r="C31" s="135">
        <v>46142</v>
      </c>
      <c r="D31" s="136" t="s">
        <v>3</v>
      </c>
      <c r="E31" s="136" t="s">
        <v>2</v>
      </c>
      <c r="F31" s="136" t="s">
        <v>280</v>
      </c>
      <c r="G31" s="83">
        <v>43.25</v>
      </c>
      <c r="H31" s="84">
        <v>520.5</v>
      </c>
      <c r="I31" s="137" t="str">
        <f t="shared" si="0"/>
        <v>OK</v>
      </c>
      <c r="J31" s="157" t="str">
        <f t="shared" si="1"/>
        <v/>
      </c>
    </row>
    <row r="32" spans="1:10" ht="24" customHeight="1">
      <c r="A32" s="151" t="s">
        <v>291</v>
      </c>
      <c r="B32" s="135">
        <v>45778</v>
      </c>
      <c r="C32" s="135">
        <v>46142</v>
      </c>
      <c r="D32" s="136" t="s">
        <v>3</v>
      </c>
      <c r="E32" s="136" t="s">
        <v>2</v>
      </c>
      <c r="F32" s="136" t="s">
        <v>280</v>
      </c>
      <c r="G32" s="83">
        <v>34.6</v>
      </c>
      <c r="H32" s="84">
        <v>416.4</v>
      </c>
      <c r="I32" s="137" t="str">
        <f t="shared" si="0"/>
        <v>OK</v>
      </c>
      <c r="J32" s="157" t="str">
        <f t="shared" si="1"/>
        <v/>
      </c>
    </row>
    <row r="33" spans="1:10" ht="24" customHeight="1" thickBot="1">
      <c r="A33" s="151" t="s">
        <v>291</v>
      </c>
      <c r="B33" s="135">
        <v>45778</v>
      </c>
      <c r="C33" s="135">
        <v>46142</v>
      </c>
      <c r="D33" s="136" t="s">
        <v>3</v>
      </c>
      <c r="E33" s="136" t="s">
        <v>2</v>
      </c>
      <c r="F33" s="136" t="s">
        <v>280</v>
      </c>
      <c r="G33" s="83">
        <v>32.01</v>
      </c>
      <c r="H33" s="84">
        <v>385.17</v>
      </c>
      <c r="I33" s="137" t="str">
        <f t="shared" si="0"/>
        <v>OK</v>
      </c>
      <c r="J33" s="157" t="str">
        <f t="shared" si="1"/>
        <v/>
      </c>
    </row>
    <row r="34" spans="1:10" ht="24" customHeight="1">
      <c r="A34" s="150" t="s">
        <v>291</v>
      </c>
      <c r="B34" s="132">
        <v>45778</v>
      </c>
      <c r="C34" s="132">
        <v>46142</v>
      </c>
      <c r="D34" s="133" t="s">
        <v>4</v>
      </c>
      <c r="E34" s="133" t="s">
        <v>2</v>
      </c>
      <c r="F34" s="133" t="s">
        <v>281</v>
      </c>
      <c r="G34" s="81">
        <v>173</v>
      </c>
      <c r="H34" s="82">
        <v>2123</v>
      </c>
      <c r="I34" s="134" t="str">
        <f t="shared" si="0"/>
        <v>OK</v>
      </c>
      <c r="J34" s="156" t="str">
        <f t="shared" si="1"/>
        <v/>
      </c>
    </row>
    <row r="35" spans="1:10" ht="24" customHeight="1">
      <c r="A35" s="151" t="s">
        <v>291</v>
      </c>
      <c r="B35" s="135">
        <v>45778</v>
      </c>
      <c r="C35" s="135">
        <v>46142</v>
      </c>
      <c r="D35" s="136" t="s">
        <v>4</v>
      </c>
      <c r="E35" s="136" t="s">
        <v>2</v>
      </c>
      <c r="F35" s="136" t="s">
        <v>281</v>
      </c>
      <c r="G35" s="83">
        <v>151.38</v>
      </c>
      <c r="H35" s="84">
        <v>1857.63</v>
      </c>
      <c r="I35" s="137" t="str">
        <f t="shared" si="0"/>
        <v>OK</v>
      </c>
      <c r="J35" s="157" t="str">
        <f t="shared" si="1"/>
        <v/>
      </c>
    </row>
    <row r="36" spans="1:10" ht="24" customHeight="1">
      <c r="A36" s="151" t="s">
        <v>291</v>
      </c>
      <c r="B36" s="135">
        <v>45778</v>
      </c>
      <c r="C36" s="135">
        <v>46142</v>
      </c>
      <c r="D36" s="136" t="s">
        <v>4</v>
      </c>
      <c r="E36" s="136" t="s">
        <v>2</v>
      </c>
      <c r="F36" s="136" t="s">
        <v>281</v>
      </c>
      <c r="G36" s="83">
        <v>138.4</v>
      </c>
      <c r="H36" s="84">
        <v>1698.4</v>
      </c>
      <c r="I36" s="137" t="str">
        <f t="shared" si="0"/>
        <v>OK</v>
      </c>
      <c r="J36" s="157" t="str">
        <f t="shared" si="1"/>
        <v/>
      </c>
    </row>
    <row r="37" spans="1:10" ht="24" customHeight="1">
      <c r="A37" s="151" t="s">
        <v>291</v>
      </c>
      <c r="B37" s="135">
        <v>45778</v>
      </c>
      <c r="C37" s="135">
        <v>46142</v>
      </c>
      <c r="D37" s="136" t="s">
        <v>4</v>
      </c>
      <c r="E37" s="136" t="s">
        <v>2</v>
      </c>
      <c r="F37" s="136" t="s">
        <v>281</v>
      </c>
      <c r="G37" s="83">
        <v>129.75</v>
      </c>
      <c r="H37" s="84">
        <v>1592.25</v>
      </c>
      <c r="I37" s="137" t="str">
        <f t="shared" ref="I37:I68" si="2">IF($A37="","",IF(OR($B37="",$C37="",$D37="",$E37="",$F37=""),"Stammdaten fehlen",IF(AND($G37="",$H37=""),"Werte fehlen",IF($G37="","Monatsstunden fehlen",IF($H37="","Monatslohn fehlt","OK")))))</f>
        <v>OK</v>
      </c>
      <c r="J37" s="157" t="str">
        <f t="shared" ref="J37:J68" si="3">IF($G37="","",IF(COUNTIFS($A:$A,$A37,$D:$D,$D37,$G:$G,$G37)&gt;1,"Doppelte Monatsstunden",""))</f>
        <v/>
      </c>
    </row>
    <row r="38" spans="1:10" ht="24" customHeight="1">
      <c r="A38" s="151" t="s">
        <v>291</v>
      </c>
      <c r="B38" s="135">
        <v>45778</v>
      </c>
      <c r="C38" s="135">
        <v>46142</v>
      </c>
      <c r="D38" s="136" t="s">
        <v>4</v>
      </c>
      <c r="E38" s="136" t="s">
        <v>2</v>
      </c>
      <c r="F38" s="136" t="s">
        <v>281</v>
      </c>
      <c r="G38" s="83">
        <v>108.13</v>
      </c>
      <c r="H38" s="84">
        <v>1326.88</v>
      </c>
      <c r="I38" s="137" t="str">
        <f t="shared" si="2"/>
        <v>OK</v>
      </c>
      <c r="J38" s="157" t="str">
        <f t="shared" si="3"/>
        <v/>
      </c>
    </row>
    <row r="39" spans="1:10" ht="24" customHeight="1">
      <c r="A39" s="151" t="s">
        <v>291</v>
      </c>
      <c r="B39" s="135">
        <v>45778</v>
      </c>
      <c r="C39" s="135">
        <v>46142</v>
      </c>
      <c r="D39" s="136" t="s">
        <v>4</v>
      </c>
      <c r="E39" s="136" t="s">
        <v>2</v>
      </c>
      <c r="F39" s="136" t="s">
        <v>281</v>
      </c>
      <c r="G39" s="83">
        <v>103.8</v>
      </c>
      <c r="H39" s="84">
        <v>1273.8</v>
      </c>
      <c r="I39" s="137" t="str">
        <f t="shared" si="2"/>
        <v>OK</v>
      </c>
      <c r="J39" s="157" t="str">
        <f t="shared" si="3"/>
        <v/>
      </c>
    </row>
    <row r="40" spans="1:10" ht="24" customHeight="1">
      <c r="A40" s="151" t="s">
        <v>291</v>
      </c>
      <c r="B40" s="135">
        <v>45778</v>
      </c>
      <c r="C40" s="135">
        <v>46142</v>
      </c>
      <c r="D40" s="136" t="s">
        <v>4</v>
      </c>
      <c r="E40" s="136" t="s">
        <v>2</v>
      </c>
      <c r="F40" s="136" t="s">
        <v>281</v>
      </c>
      <c r="G40" s="83">
        <v>86.5</v>
      </c>
      <c r="H40" s="84">
        <v>1061.5</v>
      </c>
      <c r="I40" s="137" t="str">
        <f t="shared" si="2"/>
        <v>OK</v>
      </c>
      <c r="J40" s="157" t="str">
        <f t="shared" si="3"/>
        <v/>
      </c>
    </row>
    <row r="41" spans="1:10" ht="24" customHeight="1">
      <c r="A41" s="151" t="s">
        <v>291</v>
      </c>
      <c r="B41" s="135">
        <v>45778</v>
      </c>
      <c r="C41" s="135">
        <v>46142</v>
      </c>
      <c r="D41" s="136" t="s">
        <v>4</v>
      </c>
      <c r="E41" s="136" t="s">
        <v>2</v>
      </c>
      <c r="F41" s="136" t="s">
        <v>281</v>
      </c>
      <c r="G41" s="83">
        <v>69.2</v>
      </c>
      <c r="H41" s="84">
        <v>849.2</v>
      </c>
      <c r="I41" s="137" t="str">
        <f t="shared" si="2"/>
        <v>OK</v>
      </c>
      <c r="J41" s="157" t="str">
        <f t="shared" si="3"/>
        <v/>
      </c>
    </row>
    <row r="42" spans="1:10" ht="24" customHeight="1">
      <c r="A42" s="151" t="s">
        <v>291</v>
      </c>
      <c r="B42" s="135">
        <v>45778</v>
      </c>
      <c r="C42" s="135">
        <v>46142</v>
      </c>
      <c r="D42" s="136" t="s">
        <v>4</v>
      </c>
      <c r="E42" s="136" t="s">
        <v>2</v>
      </c>
      <c r="F42" s="136" t="s">
        <v>281</v>
      </c>
      <c r="G42" s="83">
        <v>51.9</v>
      </c>
      <c r="H42" s="84">
        <v>636.9</v>
      </c>
      <c r="I42" s="137" t="str">
        <f t="shared" si="2"/>
        <v>OK</v>
      </c>
      <c r="J42" s="157" t="str">
        <f t="shared" si="3"/>
        <v/>
      </c>
    </row>
    <row r="43" spans="1:10" ht="24" customHeight="1">
      <c r="A43" s="151" t="s">
        <v>291</v>
      </c>
      <c r="B43" s="135">
        <v>45778</v>
      </c>
      <c r="C43" s="135">
        <v>46142</v>
      </c>
      <c r="D43" s="136" t="s">
        <v>4</v>
      </c>
      <c r="E43" s="136" t="s">
        <v>2</v>
      </c>
      <c r="F43" s="136" t="s">
        <v>281</v>
      </c>
      <c r="G43" s="83">
        <v>47.58</v>
      </c>
      <c r="H43" s="84">
        <v>583.83000000000004</v>
      </c>
      <c r="I43" s="137" t="str">
        <f t="shared" si="2"/>
        <v>OK</v>
      </c>
      <c r="J43" s="157" t="str">
        <f t="shared" si="3"/>
        <v/>
      </c>
    </row>
    <row r="44" spans="1:10" ht="24" customHeight="1">
      <c r="A44" s="151" t="s">
        <v>291</v>
      </c>
      <c r="B44" s="135">
        <v>45778</v>
      </c>
      <c r="C44" s="135">
        <v>46142</v>
      </c>
      <c r="D44" s="136" t="s">
        <v>4</v>
      </c>
      <c r="E44" s="136" t="s">
        <v>2</v>
      </c>
      <c r="F44" s="136" t="s">
        <v>281</v>
      </c>
      <c r="G44" s="83">
        <v>43.25</v>
      </c>
      <c r="H44" s="84">
        <v>530.75</v>
      </c>
      <c r="I44" s="137" t="str">
        <f t="shared" si="2"/>
        <v>OK</v>
      </c>
      <c r="J44" s="157" t="str">
        <f t="shared" si="3"/>
        <v/>
      </c>
    </row>
    <row r="45" spans="1:10" ht="24" customHeight="1">
      <c r="A45" s="151" t="s">
        <v>291</v>
      </c>
      <c r="B45" s="135">
        <v>45778</v>
      </c>
      <c r="C45" s="135">
        <v>46142</v>
      </c>
      <c r="D45" s="136" t="s">
        <v>4</v>
      </c>
      <c r="E45" s="136" t="s">
        <v>2</v>
      </c>
      <c r="F45" s="136" t="s">
        <v>281</v>
      </c>
      <c r="G45" s="83">
        <v>34.6</v>
      </c>
      <c r="H45" s="84">
        <v>424.6</v>
      </c>
      <c r="I45" s="137" t="str">
        <f t="shared" si="2"/>
        <v>OK</v>
      </c>
      <c r="J45" s="157" t="str">
        <f t="shared" si="3"/>
        <v/>
      </c>
    </row>
    <row r="46" spans="1:10" ht="24" customHeight="1" thickBot="1">
      <c r="A46" s="151" t="s">
        <v>291</v>
      </c>
      <c r="B46" s="135">
        <v>45778</v>
      </c>
      <c r="C46" s="135">
        <v>46142</v>
      </c>
      <c r="D46" s="136" t="s">
        <v>4</v>
      </c>
      <c r="E46" s="136" t="s">
        <v>2</v>
      </c>
      <c r="F46" s="136" t="s">
        <v>281</v>
      </c>
      <c r="G46" s="83">
        <v>32.01</v>
      </c>
      <c r="H46" s="84">
        <v>392.76</v>
      </c>
      <c r="I46" s="137" t="str">
        <f t="shared" si="2"/>
        <v>OK</v>
      </c>
      <c r="J46" s="157" t="str">
        <f t="shared" si="3"/>
        <v/>
      </c>
    </row>
    <row r="47" spans="1:10" ht="24" customHeight="1">
      <c r="A47" s="150" t="s">
        <v>291</v>
      </c>
      <c r="B47" s="132">
        <v>45778</v>
      </c>
      <c r="C47" s="132">
        <v>46142</v>
      </c>
      <c r="D47" s="133" t="s">
        <v>5</v>
      </c>
      <c r="E47" s="133" t="s">
        <v>2</v>
      </c>
      <c r="F47" s="133" t="s">
        <v>282</v>
      </c>
      <c r="G47" s="81">
        <v>173</v>
      </c>
      <c r="H47" s="82">
        <v>2183</v>
      </c>
      <c r="I47" s="134" t="str">
        <f t="shared" si="2"/>
        <v>OK</v>
      </c>
      <c r="J47" s="156" t="str">
        <f t="shared" si="3"/>
        <v/>
      </c>
    </row>
    <row r="48" spans="1:10" ht="24" customHeight="1">
      <c r="A48" s="151" t="s">
        <v>291</v>
      </c>
      <c r="B48" s="135">
        <v>45778</v>
      </c>
      <c r="C48" s="135">
        <v>46142</v>
      </c>
      <c r="D48" s="136" t="s">
        <v>5</v>
      </c>
      <c r="E48" s="136" t="s">
        <v>2</v>
      </c>
      <c r="F48" s="136" t="s">
        <v>282</v>
      </c>
      <c r="G48" s="83">
        <v>151.38</v>
      </c>
      <c r="H48" s="84">
        <v>1910.13</v>
      </c>
      <c r="I48" s="137" t="str">
        <f t="shared" si="2"/>
        <v>OK</v>
      </c>
      <c r="J48" s="157" t="str">
        <f t="shared" si="3"/>
        <v/>
      </c>
    </row>
    <row r="49" spans="1:10" ht="24" customHeight="1">
      <c r="A49" s="151" t="s">
        <v>291</v>
      </c>
      <c r="B49" s="135">
        <v>45778</v>
      </c>
      <c r="C49" s="135">
        <v>46142</v>
      </c>
      <c r="D49" s="136" t="s">
        <v>5</v>
      </c>
      <c r="E49" s="136" t="s">
        <v>2</v>
      </c>
      <c r="F49" s="136" t="s">
        <v>282</v>
      </c>
      <c r="G49" s="83">
        <v>138.4</v>
      </c>
      <c r="H49" s="84">
        <v>1746.4</v>
      </c>
      <c r="I49" s="137" t="str">
        <f t="shared" si="2"/>
        <v>OK</v>
      </c>
      <c r="J49" s="157" t="str">
        <f t="shared" si="3"/>
        <v/>
      </c>
    </row>
    <row r="50" spans="1:10" ht="24" customHeight="1">
      <c r="A50" s="151" t="s">
        <v>291</v>
      </c>
      <c r="B50" s="135">
        <v>45778</v>
      </c>
      <c r="C50" s="135">
        <v>46142</v>
      </c>
      <c r="D50" s="136" t="s">
        <v>5</v>
      </c>
      <c r="E50" s="136" t="s">
        <v>2</v>
      </c>
      <c r="F50" s="136" t="s">
        <v>282</v>
      </c>
      <c r="G50" s="83">
        <v>129.75</v>
      </c>
      <c r="H50" s="84">
        <v>1637.25</v>
      </c>
      <c r="I50" s="137" t="str">
        <f t="shared" si="2"/>
        <v>OK</v>
      </c>
      <c r="J50" s="157" t="str">
        <f t="shared" si="3"/>
        <v/>
      </c>
    </row>
    <row r="51" spans="1:10" ht="24" customHeight="1">
      <c r="A51" s="151" t="s">
        <v>291</v>
      </c>
      <c r="B51" s="135">
        <v>45778</v>
      </c>
      <c r="C51" s="135">
        <v>46142</v>
      </c>
      <c r="D51" s="136" t="s">
        <v>5</v>
      </c>
      <c r="E51" s="136" t="s">
        <v>2</v>
      </c>
      <c r="F51" s="136" t="s">
        <v>282</v>
      </c>
      <c r="G51" s="83">
        <v>108.13</v>
      </c>
      <c r="H51" s="84">
        <v>1364.38</v>
      </c>
      <c r="I51" s="137" t="str">
        <f t="shared" si="2"/>
        <v>OK</v>
      </c>
      <c r="J51" s="157" t="str">
        <f t="shared" si="3"/>
        <v/>
      </c>
    </row>
    <row r="52" spans="1:10" ht="24" customHeight="1">
      <c r="A52" s="151" t="s">
        <v>291</v>
      </c>
      <c r="B52" s="135">
        <v>45778</v>
      </c>
      <c r="C52" s="135">
        <v>46142</v>
      </c>
      <c r="D52" s="136" t="s">
        <v>5</v>
      </c>
      <c r="E52" s="136" t="s">
        <v>2</v>
      </c>
      <c r="F52" s="136" t="s">
        <v>282</v>
      </c>
      <c r="G52" s="83">
        <v>103.8</v>
      </c>
      <c r="H52" s="84">
        <v>1309.8</v>
      </c>
      <c r="I52" s="137" t="str">
        <f t="shared" si="2"/>
        <v>OK</v>
      </c>
      <c r="J52" s="157" t="str">
        <f t="shared" si="3"/>
        <v/>
      </c>
    </row>
    <row r="53" spans="1:10" ht="24" customHeight="1">
      <c r="A53" s="151" t="s">
        <v>291</v>
      </c>
      <c r="B53" s="135">
        <v>45778</v>
      </c>
      <c r="C53" s="135">
        <v>46142</v>
      </c>
      <c r="D53" s="136" t="s">
        <v>5</v>
      </c>
      <c r="E53" s="136" t="s">
        <v>2</v>
      </c>
      <c r="F53" s="136" t="s">
        <v>282</v>
      </c>
      <c r="G53" s="83">
        <v>86.5</v>
      </c>
      <c r="H53" s="84">
        <v>1091.5</v>
      </c>
      <c r="I53" s="137" t="str">
        <f t="shared" si="2"/>
        <v>OK</v>
      </c>
      <c r="J53" s="157" t="str">
        <f t="shared" si="3"/>
        <v/>
      </c>
    </row>
    <row r="54" spans="1:10" ht="24" customHeight="1">
      <c r="A54" s="151" t="s">
        <v>291</v>
      </c>
      <c r="B54" s="135">
        <v>45778</v>
      </c>
      <c r="C54" s="135">
        <v>46142</v>
      </c>
      <c r="D54" s="136" t="s">
        <v>5</v>
      </c>
      <c r="E54" s="136" t="s">
        <v>2</v>
      </c>
      <c r="F54" s="136" t="s">
        <v>282</v>
      </c>
      <c r="G54" s="83">
        <v>69.2</v>
      </c>
      <c r="H54" s="84">
        <v>873.2</v>
      </c>
      <c r="I54" s="137" t="str">
        <f t="shared" si="2"/>
        <v>OK</v>
      </c>
      <c r="J54" s="157" t="str">
        <f t="shared" si="3"/>
        <v/>
      </c>
    </row>
    <row r="55" spans="1:10" ht="24" customHeight="1">
      <c r="A55" s="151" t="s">
        <v>291</v>
      </c>
      <c r="B55" s="135">
        <v>45778</v>
      </c>
      <c r="C55" s="135">
        <v>46142</v>
      </c>
      <c r="D55" s="136" t="s">
        <v>5</v>
      </c>
      <c r="E55" s="136" t="s">
        <v>2</v>
      </c>
      <c r="F55" s="136" t="s">
        <v>282</v>
      </c>
      <c r="G55" s="83">
        <v>51.9</v>
      </c>
      <c r="H55" s="84">
        <v>654.9</v>
      </c>
      <c r="I55" s="137" t="str">
        <f t="shared" si="2"/>
        <v>OK</v>
      </c>
      <c r="J55" s="157" t="str">
        <f t="shared" si="3"/>
        <v/>
      </c>
    </row>
    <row r="56" spans="1:10" ht="24" customHeight="1">
      <c r="A56" s="151" t="s">
        <v>291</v>
      </c>
      <c r="B56" s="135">
        <v>45778</v>
      </c>
      <c r="C56" s="135">
        <v>46142</v>
      </c>
      <c r="D56" s="136" t="s">
        <v>5</v>
      </c>
      <c r="E56" s="136" t="s">
        <v>2</v>
      </c>
      <c r="F56" s="136" t="s">
        <v>282</v>
      </c>
      <c r="G56" s="83">
        <v>47.58</v>
      </c>
      <c r="H56" s="84">
        <v>600.33000000000004</v>
      </c>
      <c r="I56" s="137" t="str">
        <f t="shared" si="2"/>
        <v>OK</v>
      </c>
      <c r="J56" s="157" t="str">
        <f t="shared" si="3"/>
        <v/>
      </c>
    </row>
    <row r="57" spans="1:10" ht="24" customHeight="1">
      <c r="A57" s="151" t="s">
        <v>291</v>
      </c>
      <c r="B57" s="135">
        <v>45778</v>
      </c>
      <c r="C57" s="135">
        <v>46142</v>
      </c>
      <c r="D57" s="136" t="s">
        <v>5</v>
      </c>
      <c r="E57" s="136" t="s">
        <v>2</v>
      </c>
      <c r="F57" s="136" t="s">
        <v>282</v>
      </c>
      <c r="G57" s="83">
        <v>43.25</v>
      </c>
      <c r="H57" s="84">
        <v>545.75</v>
      </c>
      <c r="I57" s="137" t="str">
        <f t="shared" si="2"/>
        <v>OK</v>
      </c>
      <c r="J57" s="157" t="str">
        <f t="shared" si="3"/>
        <v/>
      </c>
    </row>
    <row r="58" spans="1:10" ht="24" customHeight="1">
      <c r="A58" s="151" t="s">
        <v>291</v>
      </c>
      <c r="B58" s="135">
        <v>45778</v>
      </c>
      <c r="C58" s="135">
        <v>46142</v>
      </c>
      <c r="D58" s="136" t="s">
        <v>5</v>
      </c>
      <c r="E58" s="136" t="s">
        <v>2</v>
      </c>
      <c r="F58" s="136" t="s">
        <v>282</v>
      </c>
      <c r="G58" s="83">
        <v>34.6</v>
      </c>
      <c r="H58" s="84">
        <v>436.6</v>
      </c>
      <c r="I58" s="137" t="str">
        <f t="shared" si="2"/>
        <v>OK</v>
      </c>
      <c r="J58" s="157" t="str">
        <f t="shared" si="3"/>
        <v/>
      </c>
    </row>
    <row r="59" spans="1:10" ht="24" customHeight="1" thickBot="1">
      <c r="A59" s="151" t="s">
        <v>291</v>
      </c>
      <c r="B59" s="135">
        <v>45778</v>
      </c>
      <c r="C59" s="135">
        <v>46142</v>
      </c>
      <c r="D59" s="136" t="s">
        <v>5</v>
      </c>
      <c r="E59" s="136" t="s">
        <v>2</v>
      </c>
      <c r="F59" s="136" t="s">
        <v>282</v>
      </c>
      <c r="G59" s="83">
        <v>32.01</v>
      </c>
      <c r="H59" s="84">
        <v>403.86</v>
      </c>
      <c r="I59" s="137" t="str">
        <f t="shared" si="2"/>
        <v>OK</v>
      </c>
      <c r="J59" s="157" t="str">
        <f t="shared" si="3"/>
        <v/>
      </c>
    </row>
    <row r="60" spans="1:10" ht="24" customHeight="1">
      <c r="A60" s="152" t="s">
        <v>291</v>
      </c>
      <c r="B60" s="138">
        <v>45778</v>
      </c>
      <c r="C60" s="138">
        <v>46142</v>
      </c>
      <c r="D60" s="139" t="s">
        <v>289</v>
      </c>
      <c r="E60" s="139" t="s">
        <v>6</v>
      </c>
      <c r="F60" s="139" t="s">
        <v>279</v>
      </c>
      <c r="G60" s="85">
        <v>173</v>
      </c>
      <c r="H60" s="86">
        <v>2160</v>
      </c>
      <c r="I60" s="140" t="str">
        <f t="shared" si="2"/>
        <v>OK</v>
      </c>
      <c r="J60" s="158" t="str">
        <f t="shared" si="3"/>
        <v/>
      </c>
    </row>
    <row r="61" spans="1:10" ht="24" customHeight="1">
      <c r="A61" s="153" t="s">
        <v>291</v>
      </c>
      <c r="B61" s="141">
        <v>45778</v>
      </c>
      <c r="C61" s="141">
        <v>46142</v>
      </c>
      <c r="D61" s="142" t="s">
        <v>289</v>
      </c>
      <c r="E61" s="142" t="s">
        <v>6</v>
      </c>
      <c r="F61" s="142" t="s">
        <v>279</v>
      </c>
      <c r="G61" s="87">
        <v>151.38</v>
      </c>
      <c r="H61" s="88">
        <v>1890</v>
      </c>
      <c r="I61" s="143" t="str">
        <f t="shared" si="2"/>
        <v>OK</v>
      </c>
      <c r="J61" s="159" t="str">
        <f t="shared" si="3"/>
        <v/>
      </c>
    </row>
    <row r="62" spans="1:10" ht="24" customHeight="1">
      <c r="A62" s="153" t="s">
        <v>291</v>
      </c>
      <c r="B62" s="141">
        <v>45778</v>
      </c>
      <c r="C62" s="141">
        <v>46142</v>
      </c>
      <c r="D62" s="142" t="s">
        <v>289</v>
      </c>
      <c r="E62" s="142" t="s">
        <v>6</v>
      </c>
      <c r="F62" s="142" t="s">
        <v>279</v>
      </c>
      <c r="G62" s="87">
        <v>138.4</v>
      </c>
      <c r="H62" s="88">
        <v>1728</v>
      </c>
      <c r="I62" s="143" t="str">
        <f t="shared" si="2"/>
        <v>OK</v>
      </c>
      <c r="J62" s="159" t="str">
        <f t="shared" si="3"/>
        <v/>
      </c>
    </row>
    <row r="63" spans="1:10" ht="24" customHeight="1">
      <c r="A63" s="153" t="s">
        <v>291</v>
      </c>
      <c r="B63" s="141">
        <v>45778</v>
      </c>
      <c r="C63" s="141">
        <v>46142</v>
      </c>
      <c r="D63" s="142" t="s">
        <v>289</v>
      </c>
      <c r="E63" s="142" t="s">
        <v>6</v>
      </c>
      <c r="F63" s="142" t="s">
        <v>279</v>
      </c>
      <c r="G63" s="87">
        <v>129.75</v>
      </c>
      <c r="H63" s="88">
        <v>1620</v>
      </c>
      <c r="I63" s="143" t="str">
        <f t="shared" si="2"/>
        <v>OK</v>
      </c>
      <c r="J63" s="159" t="str">
        <f t="shared" si="3"/>
        <v/>
      </c>
    </row>
    <row r="64" spans="1:10" ht="24" customHeight="1">
      <c r="A64" s="153" t="s">
        <v>291</v>
      </c>
      <c r="B64" s="141">
        <v>45778</v>
      </c>
      <c r="C64" s="141">
        <v>46142</v>
      </c>
      <c r="D64" s="142" t="s">
        <v>289</v>
      </c>
      <c r="E64" s="142" t="s">
        <v>6</v>
      </c>
      <c r="F64" s="142" t="s">
        <v>279</v>
      </c>
      <c r="G64" s="87">
        <v>108.13</v>
      </c>
      <c r="H64" s="88">
        <v>1350</v>
      </c>
      <c r="I64" s="143" t="str">
        <f t="shared" si="2"/>
        <v>OK</v>
      </c>
      <c r="J64" s="159" t="str">
        <f t="shared" si="3"/>
        <v/>
      </c>
    </row>
    <row r="65" spans="1:10" ht="24" customHeight="1">
      <c r="A65" s="153" t="s">
        <v>291</v>
      </c>
      <c r="B65" s="141">
        <v>45778</v>
      </c>
      <c r="C65" s="141">
        <v>46142</v>
      </c>
      <c r="D65" s="142" t="s">
        <v>289</v>
      </c>
      <c r="E65" s="142" t="s">
        <v>6</v>
      </c>
      <c r="F65" s="142" t="s">
        <v>279</v>
      </c>
      <c r="G65" s="87">
        <v>103.8</v>
      </c>
      <c r="H65" s="88">
        <v>1296</v>
      </c>
      <c r="I65" s="143" t="str">
        <f t="shared" si="2"/>
        <v>OK</v>
      </c>
      <c r="J65" s="159" t="str">
        <f t="shared" si="3"/>
        <v/>
      </c>
    </row>
    <row r="66" spans="1:10" ht="24" customHeight="1">
      <c r="A66" s="153" t="s">
        <v>291</v>
      </c>
      <c r="B66" s="141">
        <v>45778</v>
      </c>
      <c r="C66" s="141">
        <v>46142</v>
      </c>
      <c r="D66" s="142" t="s">
        <v>289</v>
      </c>
      <c r="E66" s="142" t="s">
        <v>6</v>
      </c>
      <c r="F66" s="142" t="s">
        <v>279</v>
      </c>
      <c r="G66" s="87">
        <v>86.5</v>
      </c>
      <c r="H66" s="88">
        <v>1080</v>
      </c>
      <c r="I66" s="143" t="str">
        <f t="shared" si="2"/>
        <v>OK</v>
      </c>
      <c r="J66" s="159" t="str">
        <f t="shared" si="3"/>
        <v/>
      </c>
    </row>
    <row r="67" spans="1:10" ht="24" customHeight="1">
      <c r="A67" s="153" t="s">
        <v>291</v>
      </c>
      <c r="B67" s="141">
        <v>45778</v>
      </c>
      <c r="C67" s="141">
        <v>46142</v>
      </c>
      <c r="D67" s="142" t="s">
        <v>289</v>
      </c>
      <c r="E67" s="142" t="s">
        <v>6</v>
      </c>
      <c r="F67" s="142" t="s">
        <v>279</v>
      </c>
      <c r="G67" s="87">
        <v>69.2</v>
      </c>
      <c r="H67" s="88">
        <v>864</v>
      </c>
      <c r="I67" s="143" t="str">
        <f t="shared" si="2"/>
        <v>OK</v>
      </c>
      <c r="J67" s="159" t="str">
        <f t="shared" si="3"/>
        <v/>
      </c>
    </row>
    <row r="68" spans="1:10" ht="24" customHeight="1">
      <c r="A68" s="153" t="s">
        <v>291</v>
      </c>
      <c r="B68" s="141">
        <v>45778</v>
      </c>
      <c r="C68" s="141">
        <v>46142</v>
      </c>
      <c r="D68" s="142" t="s">
        <v>289</v>
      </c>
      <c r="E68" s="142" t="s">
        <v>6</v>
      </c>
      <c r="F68" s="142" t="s">
        <v>279</v>
      </c>
      <c r="G68" s="87">
        <v>51.9</v>
      </c>
      <c r="H68" s="88">
        <v>648</v>
      </c>
      <c r="I68" s="143" t="str">
        <f t="shared" si="2"/>
        <v>OK</v>
      </c>
      <c r="J68" s="159" t="str">
        <f t="shared" si="3"/>
        <v/>
      </c>
    </row>
    <row r="69" spans="1:10" ht="24" customHeight="1">
      <c r="A69" s="153" t="s">
        <v>291</v>
      </c>
      <c r="B69" s="141">
        <v>45778</v>
      </c>
      <c r="C69" s="141">
        <v>46142</v>
      </c>
      <c r="D69" s="142" t="s">
        <v>289</v>
      </c>
      <c r="E69" s="142" t="s">
        <v>6</v>
      </c>
      <c r="F69" s="142" t="s">
        <v>279</v>
      </c>
      <c r="G69" s="87">
        <v>47.58</v>
      </c>
      <c r="H69" s="88">
        <v>594</v>
      </c>
      <c r="I69" s="143" t="str">
        <f t="shared" ref="I69:I100" si="4">IF($A69="","",IF(OR($B69="",$C69="",$D69="",$E69="",$F69=""),"Stammdaten fehlen",IF(AND($G69="",$H69=""),"Werte fehlen",IF($G69="","Monatsstunden fehlen",IF($H69="","Monatslohn fehlt","OK")))))</f>
        <v>OK</v>
      </c>
      <c r="J69" s="159" t="str">
        <f t="shared" ref="J69:J100" si="5">IF($G69="","",IF(COUNTIFS($A:$A,$A69,$D:$D,$D69,$G:$G,$G69)&gt;1,"Doppelte Monatsstunden",""))</f>
        <v/>
      </c>
    </row>
    <row r="70" spans="1:10" ht="24" customHeight="1">
      <c r="A70" s="153" t="s">
        <v>291</v>
      </c>
      <c r="B70" s="141">
        <v>45778</v>
      </c>
      <c r="C70" s="141">
        <v>46142</v>
      </c>
      <c r="D70" s="142" t="s">
        <v>289</v>
      </c>
      <c r="E70" s="142" t="s">
        <v>6</v>
      </c>
      <c r="F70" s="142" t="s">
        <v>279</v>
      </c>
      <c r="G70" s="87">
        <v>43.25</v>
      </c>
      <c r="H70" s="88">
        <v>540</v>
      </c>
      <c r="I70" s="143" t="str">
        <f t="shared" si="4"/>
        <v>OK</v>
      </c>
      <c r="J70" s="159" t="str">
        <f t="shared" si="5"/>
        <v/>
      </c>
    </row>
    <row r="71" spans="1:10" ht="24" customHeight="1">
      <c r="A71" s="153" t="s">
        <v>291</v>
      </c>
      <c r="B71" s="141">
        <v>45778</v>
      </c>
      <c r="C71" s="141">
        <v>46142</v>
      </c>
      <c r="D71" s="142" t="s">
        <v>289</v>
      </c>
      <c r="E71" s="142" t="s">
        <v>6</v>
      </c>
      <c r="F71" s="142" t="s">
        <v>279</v>
      </c>
      <c r="G71" s="87">
        <v>34.6</v>
      </c>
      <c r="H71" s="88">
        <v>432</v>
      </c>
      <c r="I71" s="143" t="str">
        <f t="shared" si="4"/>
        <v>OK</v>
      </c>
      <c r="J71" s="159" t="str">
        <f t="shared" si="5"/>
        <v/>
      </c>
    </row>
    <row r="72" spans="1:10" ht="24" customHeight="1" thickBot="1">
      <c r="A72" s="153" t="s">
        <v>291</v>
      </c>
      <c r="B72" s="141">
        <v>45778</v>
      </c>
      <c r="C72" s="141">
        <v>46142</v>
      </c>
      <c r="D72" s="142" t="s">
        <v>289</v>
      </c>
      <c r="E72" s="142" t="s">
        <v>6</v>
      </c>
      <c r="F72" s="142" t="s">
        <v>279</v>
      </c>
      <c r="G72" s="87">
        <v>32.01</v>
      </c>
      <c r="H72" s="88">
        <v>399.6</v>
      </c>
      <c r="I72" s="143" t="str">
        <f t="shared" si="4"/>
        <v>OK</v>
      </c>
      <c r="J72" s="159" t="str">
        <f t="shared" si="5"/>
        <v/>
      </c>
    </row>
    <row r="73" spans="1:10" ht="24" customHeight="1">
      <c r="A73" s="152" t="s">
        <v>291</v>
      </c>
      <c r="B73" s="138">
        <v>45778</v>
      </c>
      <c r="C73" s="138">
        <v>46142</v>
      </c>
      <c r="D73" s="139" t="s">
        <v>7</v>
      </c>
      <c r="E73" s="139" t="s">
        <v>6</v>
      </c>
      <c r="F73" s="139" t="s">
        <v>280</v>
      </c>
      <c r="G73" s="85">
        <v>173</v>
      </c>
      <c r="H73" s="86">
        <v>2160</v>
      </c>
      <c r="I73" s="140" t="str">
        <f t="shared" si="4"/>
        <v>OK</v>
      </c>
      <c r="J73" s="158" t="str">
        <f t="shared" si="5"/>
        <v/>
      </c>
    </row>
    <row r="74" spans="1:10" ht="24" customHeight="1">
      <c r="A74" s="153" t="s">
        <v>291</v>
      </c>
      <c r="B74" s="141">
        <v>45778</v>
      </c>
      <c r="C74" s="141">
        <v>46142</v>
      </c>
      <c r="D74" s="142" t="s">
        <v>7</v>
      </c>
      <c r="E74" s="142" t="s">
        <v>6</v>
      </c>
      <c r="F74" s="142" t="s">
        <v>280</v>
      </c>
      <c r="G74" s="87">
        <v>151.38</v>
      </c>
      <c r="H74" s="88">
        <v>1890</v>
      </c>
      <c r="I74" s="143" t="str">
        <f t="shared" si="4"/>
        <v>OK</v>
      </c>
      <c r="J74" s="159" t="str">
        <f t="shared" si="5"/>
        <v/>
      </c>
    </row>
    <row r="75" spans="1:10" ht="24" customHeight="1">
      <c r="A75" s="153" t="s">
        <v>291</v>
      </c>
      <c r="B75" s="141">
        <v>45778</v>
      </c>
      <c r="C75" s="141">
        <v>46142</v>
      </c>
      <c r="D75" s="142" t="s">
        <v>7</v>
      </c>
      <c r="E75" s="142" t="s">
        <v>6</v>
      </c>
      <c r="F75" s="142" t="s">
        <v>280</v>
      </c>
      <c r="G75" s="87">
        <v>138.4</v>
      </c>
      <c r="H75" s="88">
        <v>1728</v>
      </c>
      <c r="I75" s="143" t="str">
        <f t="shared" si="4"/>
        <v>OK</v>
      </c>
      <c r="J75" s="159" t="str">
        <f t="shared" si="5"/>
        <v/>
      </c>
    </row>
    <row r="76" spans="1:10" ht="24" customHeight="1">
      <c r="A76" s="153" t="s">
        <v>291</v>
      </c>
      <c r="B76" s="141">
        <v>45778</v>
      </c>
      <c r="C76" s="141">
        <v>46142</v>
      </c>
      <c r="D76" s="142" t="s">
        <v>7</v>
      </c>
      <c r="E76" s="142" t="s">
        <v>6</v>
      </c>
      <c r="F76" s="142" t="s">
        <v>280</v>
      </c>
      <c r="G76" s="87">
        <v>129.75</v>
      </c>
      <c r="H76" s="88">
        <v>1620</v>
      </c>
      <c r="I76" s="143" t="str">
        <f t="shared" si="4"/>
        <v>OK</v>
      </c>
      <c r="J76" s="159" t="str">
        <f t="shared" si="5"/>
        <v/>
      </c>
    </row>
    <row r="77" spans="1:10" ht="24" customHeight="1">
      <c r="A77" s="153" t="s">
        <v>291</v>
      </c>
      <c r="B77" s="141">
        <v>45778</v>
      </c>
      <c r="C77" s="141">
        <v>46142</v>
      </c>
      <c r="D77" s="142" t="s">
        <v>7</v>
      </c>
      <c r="E77" s="142" t="s">
        <v>6</v>
      </c>
      <c r="F77" s="142" t="s">
        <v>280</v>
      </c>
      <c r="G77" s="87">
        <v>108.13</v>
      </c>
      <c r="H77" s="88">
        <v>1350</v>
      </c>
      <c r="I77" s="143" t="str">
        <f t="shared" si="4"/>
        <v>OK</v>
      </c>
      <c r="J77" s="159" t="str">
        <f t="shared" si="5"/>
        <v/>
      </c>
    </row>
    <row r="78" spans="1:10" ht="24" customHeight="1">
      <c r="A78" s="153" t="s">
        <v>291</v>
      </c>
      <c r="B78" s="141">
        <v>45778</v>
      </c>
      <c r="C78" s="141">
        <v>46142</v>
      </c>
      <c r="D78" s="142" t="s">
        <v>7</v>
      </c>
      <c r="E78" s="142" t="s">
        <v>6</v>
      </c>
      <c r="F78" s="142" t="s">
        <v>280</v>
      </c>
      <c r="G78" s="87">
        <v>103.8</v>
      </c>
      <c r="H78" s="88">
        <v>1296</v>
      </c>
      <c r="I78" s="143" t="str">
        <f t="shared" si="4"/>
        <v>OK</v>
      </c>
      <c r="J78" s="159" t="str">
        <f t="shared" si="5"/>
        <v/>
      </c>
    </row>
    <row r="79" spans="1:10" ht="24" customHeight="1">
      <c r="A79" s="153" t="s">
        <v>291</v>
      </c>
      <c r="B79" s="141">
        <v>45778</v>
      </c>
      <c r="C79" s="141">
        <v>46142</v>
      </c>
      <c r="D79" s="142" t="s">
        <v>7</v>
      </c>
      <c r="E79" s="142" t="s">
        <v>6</v>
      </c>
      <c r="F79" s="142" t="s">
        <v>280</v>
      </c>
      <c r="G79" s="87">
        <v>86.5</v>
      </c>
      <c r="H79" s="88">
        <v>1080</v>
      </c>
      <c r="I79" s="143" t="str">
        <f t="shared" si="4"/>
        <v>OK</v>
      </c>
      <c r="J79" s="159" t="str">
        <f t="shared" si="5"/>
        <v/>
      </c>
    </row>
    <row r="80" spans="1:10" ht="24" customHeight="1">
      <c r="A80" s="153" t="s">
        <v>291</v>
      </c>
      <c r="B80" s="141">
        <v>45778</v>
      </c>
      <c r="C80" s="141">
        <v>46142</v>
      </c>
      <c r="D80" s="142" t="s">
        <v>7</v>
      </c>
      <c r="E80" s="142" t="s">
        <v>6</v>
      </c>
      <c r="F80" s="142" t="s">
        <v>280</v>
      </c>
      <c r="G80" s="87">
        <v>69.2</v>
      </c>
      <c r="H80" s="88">
        <v>864</v>
      </c>
      <c r="I80" s="143" t="str">
        <f t="shared" si="4"/>
        <v>OK</v>
      </c>
      <c r="J80" s="159" t="str">
        <f t="shared" si="5"/>
        <v/>
      </c>
    </row>
    <row r="81" spans="1:10" ht="24" customHeight="1">
      <c r="A81" s="153" t="s">
        <v>291</v>
      </c>
      <c r="B81" s="141">
        <v>45778</v>
      </c>
      <c r="C81" s="141">
        <v>46142</v>
      </c>
      <c r="D81" s="142" t="s">
        <v>7</v>
      </c>
      <c r="E81" s="142" t="s">
        <v>6</v>
      </c>
      <c r="F81" s="142" t="s">
        <v>280</v>
      </c>
      <c r="G81" s="87">
        <v>51.9</v>
      </c>
      <c r="H81" s="88">
        <v>648</v>
      </c>
      <c r="I81" s="143" t="str">
        <f t="shared" si="4"/>
        <v>OK</v>
      </c>
      <c r="J81" s="159" t="str">
        <f t="shared" si="5"/>
        <v/>
      </c>
    </row>
    <row r="82" spans="1:10" ht="24" customHeight="1">
      <c r="A82" s="153" t="s">
        <v>291</v>
      </c>
      <c r="B82" s="141">
        <v>45778</v>
      </c>
      <c r="C82" s="141">
        <v>46142</v>
      </c>
      <c r="D82" s="142" t="s">
        <v>7</v>
      </c>
      <c r="E82" s="142" t="s">
        <v>6</v>
      </c>
      <c r="F82" s="142" t="s">
        <v>280</v>
      </c>
      <c r="G82" s="87">
        <v>47.58</v>
      </c>
      <c r="H82" s="88">
        <v>594</v>
      </c>
      <c r="I82" s="143" t="str">
        <f t="shared" si="4"/>
        <v>OK</v>
      </c>
      <c r="J82" s="159" t="str">
        <f t="shared" si="5"/>
        <v/>
      </c>
    </row>
    <row r="83" spans="1:10" ht="24" customHeight="1">
      <c r="A83" s="153" t="s">
        <v>291</v>
      </c>
      <c r="B83" s="141">
        <v>45778</v>
      </c>
      <c r="C83" s="141">
        <v>46142</v>
      </c>
      <c r="D83" s="142" t="s">
        <v>7</v>
      </c>
      <c r="E83" s="142" t="s">
        <v>6</v>
      </c>
      <c r="F83" s="142" t="s">
        <v>280</v>
      </c>
      <c r="G83" s="87">
        <v>43.25</v>
      </c>
      <c r="H83" s="88">
        <v>540</v>
      </c>
      <c r="I83" s="143" t="str">
        <f t="shared" si="4"/>
        <v>OK</v>
      </c>
      <c r="J83" s="159" t="str">
        <f t="shared" si="5"/>
        <v/>
      </c>
    </row>
    <row r="84" spans="1:10" ht="24" customHeight="1">
      <c r="A84" s="153" t="s">
        <v>291</v>
      </c>
      <c r="B84" s="141">
        <v>45778</v>
      </c>
      <c r="C84" s="141">
        <v>46142</v>
      </c>
      <c r="D84" s="142" t="s">
        <v>7</v>
      </c>
      <c r="E84" s="142" t="s">
        <v>6</v>
      </c>
      <c r="F84" s="142" t="s">
        <v>280</v>
      </c>
      <c r="G84" s="87">
        <v>34.6</v>
      </c>
      <c r="H84" s="88">
        <v>432</v>
      </c>
      <c r="I84" s="143" t="str">
        <f t="shared" si="4"/>
        <v>OK</v>
      </c>
      <c r="J84" s="159" t="str">
        <f t="shared" si="5"/>
        <v/>
      </c>
    </row>
    <row r="85" spans="1:10" ht="24" customHeight="1" thickBot="1">
      <c r="A85" s="153" t="s">
        <v>291</v>
      </c>
      <c r="B85" s="141">
        <v>45778</v>
      </c>
      <c r="C85" s="141">
        <v>46142</v>
      </c>
      <c r="D85" s="142" t="s">
        <v>7</v>
      </c>
      <c r="E85" s="142" t="s">
        <v>6</v>
      </c>
      <c r="F85" s="142" t="s">
        <v>280</v>
      </c>
      <c r="G85" s="87">
        <v>32.01</v>
      </c>
      <c r="H85" s="88">
        <v>399.6</v>
      </c>
      <c r="I85" s="143" t="str">
        <f t="shared" si="4"/>
        <v>OK</v>
      </c>
      <c r="J85" s="159" t="str">
        <f t="shared" si="5"/>
        <v/>
      </c>
    </row>
    <row r="86" spans="1:10" ht="24" customHeight="1">
      <c r="A86" s="152" t="s">
        <v>291</v>
      </c>
      <c r="B86" s="138">
        <v>45778</v>
      </c>
      <c r="C86" s="138">
        <v>46142</v>
      </c>
      <c r="D86" s="139" t="s">
        <v>8</v>
      </c>
      <c r="E86" s="139" t="s">
        <v>6</v>
      </c>
      <c r="F86" s="139" t="s">
        <v>281</v>
      </c>
      <c r="G86" s="85">
        <v>173</v>
      </c>
      <c r="H86" s="86">
        <v>2163</v>
      </c>
      <c r="I86" s="140" t="str">
        <f t="shared" si="4"/>
        <v>OK</v>
      </c>
      <c r="J86" s="158" t="str">
        <f t="shared" si="5"/>
        <v/>
      </c>
    </row>
    <row r="87" spans="1:10" ht="24" customHeight="1">
      <c r="A87" s="153" t="s">
        <v>291</v>
      </c>
      <c r="B87" s="141">
        <v>45778</v>
      </c>
      <c r="C87" s="141">
        <v>46142</v>
      </c>
      <c r="D87" s="142" t="s">
        <v>8</v>
      </c>
      <c r="E87" s="142" t="s">
        <v>6</v>
      </c>
      <c r="F87" s="142" t="s">
        <v>281</v>
      </c>
      <c r="G87" s="87">
        <v>151.38</v>
      </c>
      <c r="H87" s="88">
        <v>1892.63</v>
      </c>
      <c r="I87" s="143" t="str">
        <f t="shared" si="4"/>
        <v>OK</v>
      </c>
      <c r="J87" s="159" t="str">
        <f t="shared" si="5"/>
        <v/>
      </c>
    </row>
    <row r="88" spans="1:10" ht="24" customHeight="1">
      <c r="A88" s="153" t="s">
        <v>291</v>
      </c>
      <c r="B88" s="141">
        <v>45778</v>
      </c>
      <c r="C88" s="141">
        <v>46142</v>
      </c>
      <c r="D88" s="142" t="s">
        <v>8</v>
      </c>
      <c r="E88" s="142" t="s">
        <v>6</v>
      </c>
      <c r="F88" s="142" t="s">
        <v>281</v>
      </c>
      <c r="G88" s="87">
        <v>138.4</v>
      </c>
      <c r="H88" s="88">
        <v>1730.4</v>
      </c>
      <c r="I88" s="143" t="str">
        <f t="shared" si="4"/>
        <v>OK</v>
      </c>
      <c r="J88" s="159" t="str">
        <f t="shared" si="5"/>
        <v/>
      </c>
    </row>
    <row r="89" spans="1:10" ht="24" customHeight="1">
      <c r="A89" s="153" t="s">
        <v>291</v>
      </c>
      <c r="B89" s="141">
        <v>45778</v>
      </c>
      <c r="C89" s="141">
        <v>46142</v>
      </c>
      <c r="D89" s="142" t="s">
        <v>8</v>
      </c>
      <c r="E89" s="142" t="s">
        <v>6</v>
      </c>
      <c r="F89" s="142" t="s">
        <v>281</v>
      </c>
      <c r="G89" s="87">
        <v>129.75</v>
      </c>
      <c r="H89" s="88">
        <v>1622.25</v>
      </c>
      <c r="I89" s="143" t="str">
        <f t="shared" si="4"/>
        <v>OK</v>
      </c>
      <c r="J89" s="159" t="str">
        <f t="shared" si="5"/>
        <v/>
      </c>
    </row>
    <row r="90" spans="1:10" ht="24" customHeight="1">
      <c r="A90" s="153" t="s">
        <v>291</v>
      </c>
      <c r="B90" s="141">
        <v>45778</v>
      </c>
      <c r="C90" s="141">
        <v>46142</v>
      </c>
      <c r="D90" s="142" t="s">
        <v>8</v>
      </c>
      <c r="E90" s="142" t="s">
        <v>6</v>
      </c>
      <c r="F90" s="142" t="s">
        <v>281</v>
      </c>
      <c r="G90" s="87">
        <v>108.13</v>
      </c>
      <c r="H90" s="88">
        <v>1351.88</v>
      </c>
      <c r="I90" s="143" t="str">
        <f t="shared" si="4"/>
        <v>OK</v>
      </c>
      <c r="J90" s="159" t="str">
        <f t="shared" si="5"/>
        <v/>
      </c>
    </row>
    <row r="91" spans="1:10" ht="24" customHeight="1">
      <c r="A91" s="153" t="s">
        <v>291</v>
      </c>
      <c r="B91" s="141">
        <v>45778</v>
      </c>
      <c r="C91" s="141">
        <v>46142</v>
      </c>
      <c r="D91" s="142" t="s">
        <v>8</v>
      </c>
      <c r="E91" s="142" t="s">
        <v>6</v>
      </c>
      <c r="F91" s="142" t="s">
        <v>281</v>
      </c>
      <c r="G91" s="87">
        <v>103.8</v>
      </c>
      <c r="H91" s="88">
        <v>1297.8</v>
      </c>
      <c r="I91" s="143" t="str">
        <f t="shared" si="4"/>
        <v>OK</v>
      </c>
      <c r="J91" s="159" t="str">
        <f t="shared" si="5"/>
        <v/>
      </c>
    </row>
    <row r="92" spans="1:10" ht="24" customHeight="1">
      <c r="A92" s="153" t="s">
        <v>291</v>
      </c>
      <c r="B92" s="141">
        <v>45778</v>
      </c>
      <c r="C92" s="141">
        <v>46142</v>
      </c>
      <c r="D92" s="142" t="s">
        <v>8</v>
      </c>
      <c r="E92" s="142" t="s">
        <v>6</v>
      </c>
      <c r="F92" s="142" t="s">
        <v>281</v>
      </c>
      <c r="G92" s="87">
        <v>86.5</v>
      </c>
      <c r="H92" s="88">
        <v>1081.5</v>
      </c>
      <c r="I92" s="143" t="str">
        <f t="shared" si="4"/>
        <v>OK</v>
      </c>
      <c r="J92" s="159" t="str">
        <f t="shared" si="5"/>
        <v/>
      </c>
    </row>
    <row r="93" spans="1:10" ht="24" customHeight="1">
      <c r="A93" s="153" t="s">
        <v>291</v>
      </c>
      <c r="B93" s="141">
        <v>45778</v>
      </c>
      <c r="C93" s="141">
        <v>46142</v>
      </c>
      <c r="D93" s="142" t="s">
        <v>8</v>
      </c>
      <c r="E93" s="142" t="s">
        <v>6</v>
      </c>
      <c r="F93" s="142" t="s">
        <v>281</v>
      </c>
      <c r="G93" s="87">
        <v>69.2</v>
      </c>
      <c r="H93" s="88">
        <v>865.2</v>
      </c>
      <c r="I93" s="143" t="str">
        <f t="shared" si="4"/>
        <v>OK</v>
      </c>
      <c r="J93" s="159" t="str">
        <f t="shared" si="5"/>
        <v/>
      </c>
    </row>
    <row r="94" spans="1:10" ht="24" customHeight="1">
      <c r="A94" s="153" t="s">
        <v>291</v>
      </c>
      <c r="B94" s="141">
        <v>45778</v>
      </c>
      <c r="C94" s="141">
        <v>46142</v>
      </c>
      <c r="D94" s="142" t="s">
        <v>8</v>
      </c>
      <c r="E94" s="142" t="s">
        <v>6</v>
      </c>
      <c r="F94" s="142" t="s">
        <v>281</v>
      </c>
      <c r="G94" s="87">
        <v>51.9</v>
      </c>
      <c r="H94" s="88">
        <v>648.9</v>
      </c>
      <c r="I94" s="143" t="str">
        <f t="shared" si="4"/>
        <v>OK</v>
      </c>
      <c r="J94" s="159" t="str">
        <f t="shared" si="5"/>
        <v/>
      </c>
    </row>
    <row r="95" spans="1:10" ht="24" customHeight="1">
      <c r="A95" s="153" t="s">
        <v>291</v>
      </c>
      <c r="B95" s="141">
        <v>45778</v>
      </c>
      <c r="C95" s="141">
        <v>46142</v>
      </c>
      <c r="D95" s="142" t="s">
        <v>8</v>
      </c>
      <c r="E95" s="142" t="s">
        <v>6</v>
      </c>
      <c r="F95" s="142" t="s">
        <v>281</v>
      </c>
      <c r="G95" s="87">
        <v>47.58</v>
      </c>
      <c r="H95" s="88">
        <v>594.83000000000004</v>
      </c>
      <c r="I95" s="143" t="str">
        <f t="shared" si="4"/>
        <v>OK</v>
      </c>
      <c r="J95" s="159" t="str">
        <f t="shared" si="5"/>
        <v/>
      </c>
    </row>
    <row r="96" spans="1:10" ht="24" customHeight="1">
      <c r="A96" s="153" t="s">
        <v>291</v>
      </c>
      <c r="B96" s="141">
        <v>45778</v>
      </c>
      <c r="C96" s="141">
        <v>46142</v>
      </c>
      <c r="D96" s="142" t="s">
        <v>8</v>
      </c>
      <c r="E96" s="142" t="s">
        <v>6</v>
      </c>
      <c r="F96" s="142" t="s">
        <v>281</v>
      </c>
      <c r="G96" s="87">
        <v>43.25</v>
      </c>
      <c r="H96" s="88">
        <v>540.75</v>
      </c>
      <c r="I96" s="143" t="str">
        <f t="shared" si="4"/>
        <v>OK</v>
      </c>
      <c r="J96" s="159" t="str">
        <f t="shared" si="5"/>
        <v/>
      </c>
    </row>
    <row r="97" spans="1:10" ht="24" customHeight="1">
      <c r="A97" s="153" t="s">
        <v>291</v>
      </c>
      <c r="B97" s="141">
        <v>45778</v>
      </c>
      <c r="C97" s="141">
        <v>46142</v>
      </c>
      <c r="D97" s="142" t="s">
        <v>8</v>
      </c>
      <c r="E97" s="142" t="s">
        <v>6</v>
      </c>
      <c r="F97" s="142" t="s">
        <v>281</v>
      </c>
      <c r="G97" s="87">
        <v>34.6</v>
      </c>
      <c r="H97" s="88">
        <v>432.6</v>
      </c>
      <c r="I97" s="143" t="str">
        <f t="shared" si="4"/>
        <v>OK</v>
      </c>
      <c r="J97" s="159" t="str">
        <f t="shared" si="5"/>
        <v/>
      </c>
    </row>
    <row r="98" spans="1:10" ht="24" customHeight="1" thickBot="1">
      <c r="A98" s="153" t="s">
        <v>291</v>
      </c>
      <c r="B98" s="141">
        <v>45778</v>
      </c>
      <c r="C98" s="141">
        <v>46142</v>
      </c>
      <c r="D98" s="142" t="s">
        <v>8</v>
      </c>
      <c r="E98" s="142" t="s">
        <v>6</v>
      </c>
      <c r="F98" s="142" t="s">
        <v>281</v>
      </c>
      <c r="G98" s="87">
        <v>32.01</v>
      </c>
      <c r="H98" s="88">
        <v>400.16</v>
      </c>
      <c r="I98" s="143" t="str">
        <f t="shared" si="4"/>
        <v>OK</v>
      </c>
      <c r="J98" s="159" t="str">
        <f t="shared" si="5"/>
        <v/>
      </c>
    </row>
    <row r="99" spans="1:10" ht="24" customHeight="1">
      <c r="A99" s="152" t="s">
        <v>291</v>
      </c>
      <c r="B99" s="138">
        <v>45778</v>
      </c>
      <c r="C99" s="138">
        <v>46142</v>
      </c>
      <c r="D99" s="139" t="s">
        <v>9</v>
      </c>
      <c r="E99" s="139" t="s">
        <v>6</v>
      </c>
      <c r="F99" s="139" t="s">
        <v>282</v>
      </c>
      <c r="G99" s="85">
        <v>173</v>
      </c>
      <c r="H99" s="86">
        <v>2225</v>
      </c>
      <c r="I99" s="140" t="str">
        <f t="shared" si="4"/>
        <v>OK</v>
      </c>
      <c r="J99" s="158" t="str">
        <f t="shared" si="5"/>
        <v/>
      </c>
    </row>
    <row r="100" spans="1:10" ht="24" customHeight="1">
      <c r="A100" s="153" t="s">
        <v>291</v>
      </c>
      <c r="B100" s="141">
        <v>45778</v>
      </c>
      <c r="C100" s="141">
        <v>46142</v>
      </c>
      <c r="D100" s="142" t="s">
        <v>9</v>
      </c>
      <c r="E100" s="142" t="s">
        <v>6</v>
      </c>
      <c r="F100" s="142" t="s">
        <v>282</v>
      </c>
      <c r="G100" s="87">
        <v>151.38</v>
      </c>
      <c r="H100" s="88">
        <v>1946.88</v>
      </c>
      <c r="I100" s="143" t="str">
        <f t="shared" si="4"/>
        <v>OK</v>
      </c>
      <c r="J100" s="159" t="str">
        <f t="shared" si="5"/>
        <v/>
      </c>
    </row>
    <row r="101" spans="1:10" ht="24" customHeight="1">
      <c r="A101" s="153" t="s">
        <v>291</v>
      </c>
      <c r="B101" s="141">
        <v>45778</v>
      </c>
      <c r="C101" s="141">
        <v>46142</v>
      </c>
      <c r="D101" s="142" t="s">
        <v>9</v>
      </c>
      <c r="E101" s="142" t="s">
        <v>6</v>
      </c>
      <c r="F101" s="142" t="s">
        <v>282</v>
      </c>
      <c r="G101" s="87">
        <v>138.4</v>
      </c>
      <c r="H101" s="88">
        <v>1780</v>
      </c>
      <c r="I101" s="143" t="str">
        <f t="shared" ref="I101:I132" si="6">IF($A101="","",IF(OR($B101="",$C101="",$D101="",$E101="",$F101=""),"Stammdaten fehlen",IF(AND($G101="",$H101=""),"Werte fehlen",IF($G101="","Monatsstunden fehlen",IF($H101="","Monatslohn fehlt","OK")))))</f>
        <v>OK</v>
      </c>
      <c r="J101" s="159" t="str">
        <f t="shared" ref="J101:J132" si="7">IF($G101="","",IF(COUNTIFS($A:$A,$A101,$D:$D,$D101,$G:$G,$G101)&gt;1,"Doppelte Monatsstunden",""))</f>
        <v/>
      </c>
    </row>
    <row r="102" spans="1:10" ht="24" customHeight="1">
      <c r="A102" s="153" t="s">
        <v>291</v>
      </c>
      <c r="B102" s="141">
        <v>45778</v>
      </c>
      <c r="C102" s="141">
        <v>46142</v>
      </c>
      <c r="D102" s="142" t="s">
        <v>9</v>
      </c>
      <c r="E102" s="142" t="s">
        <v>6</v>
      </c>
      <c r="F102" s="142" t="s">
        <v>282</v>
      </c>
      <c r="G102" s="87">
        <v>129.75</v>
      </c>
      <c r="H102" s="88">
        <v>1668.75</v>
      </c>
      <c r="I102" s="143" t="str">
        <f t="shared" si="6"/>
        <v>OK</v>
      </c>
      <c r="J102" s="159" t="str">
        <f t="shared" si="7"/>
        <v/>
      </c>
    </row>
    <row r="103" spans="1:10" ht="24" customHeight="1">
      <c r="A103" s="153" t="s">
        <v>291</v>
      </c>
      <c r="B103" s="141">
        <v>45778</v>
      </c>
      <c r="C103" s="141">
        <v>46142</v>
      </c>
      <c r="D103" s="142" t="s">
        <v>9</v>
      </c>
      <c r="E103" s="142" t="s">
        <v>6</v>
      </c>
      <c r="F103" s="142" t="s">
        <v>282</v>
      </c>
      <c r="G103" s="87">
        <v>108.13</v>
      </c>
      <c r="H103" s="88">
        <v>1390.63</v>
      </c>
      <c r="I103" s="143" t="str">
        <f t="shared" si="6"/>
        <v>OK</v>
      </c>
      <c r="J103" s="159" t="str">
        <f t="shared" si="7"/>
        <v/>
      </c>
    </row>
    <row r="104" spans="1:10" ht="24" customHeight="1">
      <c r="A104" s="153" t="s">
        <v>291</v>
      </c>
      <c r="B104" s="141">
        <v>45778</v>
      </c>
      <c r="C104" s="141">
        <v>46142</v>
      </c>
      <c r="D104" s="142" t="s">
        <v>9</v>
      </c>
      <c r="E104" s="142" t="s">
        <v>6</v>
      </c>
      <c r="F104" s="142" t="s">
        <v>282</v>
      </c>
      <c r="G104" s="87">
        <v>103.8</v>
      </c>
      <c r="H104" s="88">
        <v>1335</v>
      </c>
      <c r="I104" s="143" t="str">
        <f t="shared" si="6"/>
        <v>OK</v>
      </c>
      <c r="J104" s="159" t="str">
        <f t="shared" si="7"/>
        <v/>
      </c>
    </row>
    <row r="105" spans="1:10" ht="24" customHeight="1">
      <c r="A105" s="153" t="s">
        <v>291</v>
      </c>
      <c r="B105" s="141">
        <v>45778</v>
      </c>
      <c r="C105" s="141">
        <v>46142</v>
      </c>
      <c r="D105" s="142" t="s">
        <v>9</v>
      </c>
      <c r="E105" s="142" t="s">
        <v>6</v>
      </c>
      <c r="F105" s="142" t="s">
        <v>282</v>
      </c>
      <c r="G105" s="87">
        <v>86.5</v>
      </c>
      <c r="H105" s="88">
        <v>1112.5</v>
      </c>
      <c r="I105" s="143" t="str">
        <f t="shared" si="6"/>
        <v>OK</v>
      </c>
      <c r="J105" s="159" t="str">
        <f t="shared" si="7"/>
        <v/>
      </c>
    </row>
    <row r="106" spans="1:10" ht="24" customHeight="1">
      <c r="A106" s="153" t="s">
        <v>291</v>
      </c>
      <c r="B106" s="141">
        <v>45778</v>
      </c>
      <c r="C106" s="141">
        <v>46142</v>
      </c>
      <c r="D106" s="142" t="s">
        <v>9</v>
      </c>
      <c r="E106" s="142" t="s">
        <v>6</v>
      </c>
      <c r="F106" s="142" t="s">
        <v>282</v>
      </c>
      <c r="G106" s="87">
        <v>69.2</v>
      </c>
      <c r="H106" s="88">
        <v>890</v>
      </c>
      <c r="I106" s="143" t="str">
        <f t="shared" si="6"/>
        <v>OK</v>
      </c>
      <c r="J106" s="159" t="str">
        <f t="shared" si="7"/>
        <v/>
      </c>
    </row>
    <row r="107" spans="1:10" ht="24" customHeight="1">
      <c r="A107" s="153" t="s">
        <v>291</v>
      </c>
      <c r="B107" s="141">
        <v>45778</v>
      </c>
      <c r="C107" s="141">
        <v>46142</v>
      </c>
      <c r="D107" s="142" t="s">
        <v>9</v>
      </c>
      <c r="E107" s="142" t="s">
        <v>6</v>
      </c>
      <c r="F107" s="142" t="s">
        <v>282</v>
      </c>
      <c r="G107" s="87">
        <v>51.9</v>
      </c>
      <c r="H107" s="88">
        <v>667.5</v>
      </c>
      <c r="I107" s="143" t="str">
        <f t="shared" si="6"/>
        <v>OK</v>
      </c>
      <c r="J107" s="159" t="str">
        <f t="shared" si="7"/>
        <v/>
      </c>
    </row>
    <row r="108" spans="1:10" ht="24" customHeight="1">
      <c r="A108" s="153" t="s">
        <v>291</v>
      </c>
      <c r="B108" s="141">
        <v>45778</v>
      </c>
      <c r="C108" s="141">
        <v>46142</v>
      </c>
      <c r="D108" s="142" t="s">
        <v>9</v>
      </c>
      <c r="E108" s="142" t="s">
        <v>6</v>
      </c>
      <c r="F108" s="142" t="s">
        <v>282</v>
      </c>
      <c r="G108" s="87">
        <v>47.58</v>
      </c>
      <c r="H108" s="88">
        <v>611.88</v>
      </c>
      <c r="I108" s="143" t="str">
        <f t="shared" si="6"/>
        <v>OK</v>
      </c>
      <c r="J108" s="159" t="str">
        <f t="shared" si="7"/>
        <v/>
      </c>
    </row>
    <row r="109" spans="1:10" ht="24" customHeight="1">
      <c r="A109" s="153" t="s">
        <v>291</v>
      </c>
      <c r="B109" s="141">
        <v>45778</v>
      </c>
      <c r="C109" s="141">
        <v>46142</v>
      </c>
      <c r="D109" s="142" t="s">
        <v>9</v>
      </c>
      <c r="E109" s="142" t="s">
        <v>6</v>
      </c>
      <c r="F109" s="142" t="s">
        <v>282</v>
      </c>
      <c r="G109" s="87">
        <v>43.25</v>
      </c>
      <c r="H109" s="88">
        <v>556.25</v>
      </c>
      <c r="I109" s="143" t="str">
        <f t="shared" si="6"/>
        <v>OK</v>
      </c>
      <c r="J109" s="159" t="str">
        <f t="shared" si="7"/>
        <v/>
      </c>
    </row>
    <row r="110" spans="1:10" ht="24" customHeight="1">
      <c r="A110" s="153" t="s">
        <v>291</v>
      </c>
      <c r="B110" s="141">
        <v>45778</v>
      </c>
      <c r="C110" s="141">
        <v>46142</v>
      </c>
      <c r="D110" s="142" t="s">
        <v>9</v>
      </c>
      <c r="E110" s="142" t="s">
        <v>6</v>
      </c>
      <c r="F110" s="142" t="s">
        <v>282</v>
      </c>
      <c r="G110" s="87">
        <v>34.6</v>
      </c>
      <c r="H110" s="88">
        <v>445</v>
      </c>
      <c r="I110" s="143" t="str">
        <f t="shared" si="6"/>
        <v>OK</v>
      </c>
      <c r="J110" s="159" t="str">
        <f t="shared" si="7"/>
        <v/>
      </c>
    </row>
    <row r="111" spans="1:10" ht="24" customHeight="1" thickBot="1">
      <c r="A111" s="153" t="s">
        <v>291</v>
      </c>
      <c r="B111" s="141">
        <v>45778</v>
      </c>
      <c r="C111" s="141">
        <v>46142</v>
      </c>
      <c r="D111" s="142" t="s">
        <v>9</v>
      </c>
      <c r="E111" s="142" t="s">
        <v>6</v>
      </c>
      <c r="F111" s="142" t="s">
        <v>282</v>
      </c>
      <c r="G111" s="87">
        <v>32.01</v>
      </c>
      <c r="H111" s="88">
        <v>411.63</v>
      </c>
      <c r="I111" s="143" t="str">
        <f t="shared" si="6"/>
        <v>OK</v>
      </c>
      <c r="J111" s="159" t="str">
        <f t="shared" si="7"/>
        <v/>
      </c>
    </row>
    <row r="112" spans="1:10" ht="24" customHeight="1">
      <c r="A112" s="154" t="s">
        <v>291</v>
      </c>
      <c r="B112" s="144">
        <v>45778</v>
      </c>
      <c r="C112" s="144">
        <v>46142</v>
      </c>
      <c r="D112" s="145" t="s">
        <v>290</v>
      </c>
      <c r="E112" s="145" t="s">
        <v>10</v>
      </c>
      <c r="F112" s="145" t="s">
        <v>279</v>
      </c>
      <c r="G112" s="89">
        <v>173</v>
      </c>
      <c r="H112" s="90">
        <v>2300</v>
      </c>
      <c r="I112" s="146" t="str">
        <f t="shared" si="6"/>
        <v>OK</v>
      </c>
      <c r="J112" s="160" t="str">
        <f t="shared" si="7"/>
        <v/>
      </c>
    </row>
    <row r="113" spans="1:10" ht="24" customHeight="1">
      <c r="A113" s="155" t="s">
        <v>291</v>
      </c>
      <c r="B113" s="147">
        <v>45778</v>
      </c>
      <c r="C113" s="147">
        <v>46142</v>
      </c>
      <c r="D113" s="148" t="s">
        <v>290</v>
      </c>
      <c r="E113" s="148" t="s">
        <v>10</v>
      </c>
      <c r="F113" s="148" t="s">
        <v>279</v>
      </c>
      <c r="G113" s="91">
        <v>151.38</v>
      </c>
      <c r="H113" s="92">
        <v>2012.5</v>
      </c>
      <c r="I113" s="149" t="str">
        <f t="shared" si="6"/>
        <v>OK</v>
      </c>
      <c r="J113" s="161" t="str">
        <f t="shared" si="7"/>
        <v/>
      </c>
    </row>
    <row r="114" spans="1:10" ht="24" customHeight="1">
      <c r="A114" s="155" t="s">
        <v>291</v>
      </c>
      <c r="B114" s="147">
        <v>45778</v>
      </c>
      <c r="C114" s="147">
        <v>46142</v>
      </c>
      <c r="D114" s="148" t="s">
        <v>290</v>
      </c>
      <c r="E114" s="148" t="s">
        <v>10</v>
      </c>
      <c r="F114" s="148" t="s">
        <v>279</v>
      </c>
      <c r="G114" s="91">
        <v>138.4</v>
      </c>
      <c r="H114" s="92">
        <v>1840</v>
      </c>
      <c r="I114" s="149" t="str">
        <f t="shared" si="6"/>
        <v>OK</v>
      </c>
      <c r="J114" s="161" t="str">
        <f t="shared" si="7"/>
        <v/>
      </c>
    </row>
    <row r="115" spans="1:10" ht="24" customHeight="1">
      <c r="A115" s="155" t="s">
        <v>291</v>
      </c>
      <c r="B115" s="147">
        <v>45778</v>
      </c>
      <c r="C115" s="147">
        <v>46142</v>
      </c>
      <c r="D115" s="148" t="s">
        <v>290</v>
      </c>
      <c r="E115" s="148" t="s">
        <v>10</v>
      </c>
      <c r="F115" s="148" t="s">
        <v>279</v>
      </c>
      <c r="G115" s="91">
        <v>129.75</v>
      </c>
      <c r="H115" s="92">
        <v>1725</v>
      </c>
      <c r="I115" s="149" t="str">
        <f t="shared" si="6"/>
        <v>OK</v>
      </c>
      <c r="J115" s="161" t="str">
        <f t="shared" si="7"/>
        <v/>
      </c>
    </row>
    <row r="116" spans="1:10" ht="24" customHeight="1">
      <c r="A116" s="155" t="s">
        <v>291</v>
      </c>
      <c r="B116" s="147">
        <v>45778</v>
      </c>
      <c r="C116" s="147">
        <v>46142</v>
      </c>
      <c r="D116" s="148" t="s">
        <v>290</v>
      </c>
      <c r="E116" s="148" t="s">
        <v>10</v>
      </c>
      <c r="F116" s="148" t="s">
        <v>279</v>
      </c>
      <c r="G116" s="91">
        <v>108.13</v>
      </c>
      <c r="H116" s="92">
        <v>1437.5</v>
      </c>
      <c r="I116" s="149" t="str">
        <f t="shared" si="6"/>
        <v>OK</v>
      </c>
      <c r="J116" s="161" t="str">
        <f t="shared" si="7"/>
        <v/>
      </c>
    </row>
    <row r="117" spans="1:10" ht="24" customHeight="1">
      <c r="A117" s="155" t="s">
        <v>291</v>
      </c>
      <c r="B117" s="147">
        <v>45778</v>
      </c>
      <c r="C117" s="147">
        <v>46142</v>
      </c>
      <c r="D117" s="148" t="s">
        <v>290</v>
      </c>
      <c r="E117" s="148" t="s">
        <v>10</v>
      </c>
      <c r="F117" s="148" t="s">
        <v>279</v>
      </c>
      <c r="G117" s="91">
        <v>103.8</v>
      </c>
      <c r="H117" s="92">
        <v>1380</v>
      </c>
      <c r="I117" s="149" t="str">
        <f t="shared" si="6"/>
        <v>OK</v>
      </c>
      <c r="J117" s="161" t="str">
        <f t="shared" si="7"/>
        <v/>
      </c>
    </row>
    <row r="118" spans="1:10" ht="24" customHeight="1">
      <c r="A118" s="155" t="s">
        <v>291</v>
      </c>
      <c r="B118" s="147">
        <v>45778</v>
      </c>
      <c r="C118" s="147">
        <v>46142</v>
      </c>
      <c r="D118" s="148" t="s">
        <v>290</v>
      </c>
      <c r="E118" s="148" t="s">
        <v>10</v>
      </c>
      <c r="F118" s="148" t="s">
        <v>279</v>
      </c>
      <c r="G118" s="91">
        <v>86.5</v>
      </c>
      <c r="H118" s="92">
        <v>1150</v>
      </c>
      <c r="I118" s="149" t="str">
        <f t="shared" si="6"/>
        <v>OK</v>
      </c>
      <c r="J118" s="161" t="str">
        <f t="shared" si="7"/>
        <v/>
      </c>
    </row>
    <row r="119" spans="1:10" ht="24" customHeight="1">
      <c r="A119" s="155" t="s">
        <v>291</v>
      </c>
      <c r="B119" s="147">
        <v>45778</v>
      </c>
      <c r="C119" s="147">
        <v>46142</v>
      </c>
      <c r="D119" s="148" t="s">
        <v>290</v>
      </c>
      <c r="E119" s="148" t="s">
        <v>10</v>
      </c>
      <c r="F119" s="148" t="s">
        <v>279</v>
      </c>
      <c r="G119" s="91">
        <v>69.2</v>
      </c>
      <c r="H119" s="92">
        <v>920</v>
      </c>
      <c r="I119" s="149" t="str">
        <f t="shared" si="6"/>
        <v>OK</v>
      </c>
      <c r="J119" s="161" t="str">
        <f t="shared" si="7"/>
        <v/>
      </c>
    </row>
    <row r="120" spans="1:10" ht="24" customHeight="1">
      <c r="A120" s="155" t="s">
        <v>291</v>
      </c>
      <c r="B120" s="147">
        <v>45778</v>
      </c>
      <c r="C120" s="147">
        <v>46142</v>
      </c>
      <c r="D120" s="148" t="s">
        <v>290</v>
      </c>
      <c r="E120" s="148" t="s">
        <v>10</v>
      </c>
      <c r="F120" s="148" t="s">
        <v>279</v>
      </c>
      <c r="G120" s="91">
        <v>51.9</v>
      </c>
      <c r="H120" s="92">
        <v>690</v>
      </c>
      <c r="I120" s="149" t="str">
        <f t="shared" si="6"/>
        <v>OK</v>
      </c>
      <c r="J120" s="161" t="str">
        <f t="shared" si="7"/>
        <v/>
      </c>
    </row>
    <row r="121" spans="1:10" ht="24" customHeight="1">
      <c r="A121" s="155" t="s">
        <v>291</v>
      </c>
      <c r="B121" s="147">
        <v>45778</v>
      </c>
      <c r="C121" s="147">
        <v>46142</v>
      </c>
      <c r="D121" s="148" t="s">
        <v>290</v>
      </c>
      <c r="E121" s="148" t="s">
        <v>10</v>
      </c>
      <c r="F121" s="148" t="s">
        <v>279</v>
      </c>
      <c r="G121" s="91">
        <v>47.58</v>
      </c>
      <c r="H121" s="92">
        <v>632.5</v>
      </c>
      <c r="I121" s="149" t="str">
        <f t="shared" si="6"/>
        <v>OK</v>
      </c>
      <c r="J121" s="161" t="str">
        <f t="shared" si="7"/>
        <v/>
      </c>
    </row>
    <row r="122" spans="1:10" ht="24" customHeight="1">
      <c r="A122" s="155" t="s">
        <v>291</v>
      </c>
      <c r="B122" s="147">
        <v>45778</v>
      </c>
      <c r="C122" s="147">
        <v>46142</v>
      </c>
      <c r="D122" s="148" t="s">
        <v>290</v>
      </c>
      <c r="E122" s="148" t="s">
        <v>10</v>
      </c>
      <c r="F122" s="148" t="s">
        <v>279</v>
      </c>
      <c r="G122" s="91">
        <v>43.25</v>
      </c>
      <c r="H122" s="92">
        <v>575</v>
      </c>
      <c r="I122" s="149" t="str">
        <f t="shared" si="6"/>
        <v>OK</v>
      </c>
      <c r="J122" s="161" t="str">
        <f t="shared" si="7"/>
        <v/>
      </c>
    </row>
    <row r="123" spans="1:10" ht="24" customHeight="1">
      <c r="A123" s="155" t="s">
        <v>291</v>
      </c>
      <c r="B123" s="147">
        <v>45778</v>
      </c>
      <c r="C123" s="147">
        <v>46142</v>
      </c>
      <c r="D123" s="148" t="s">
        <v>290</v>
      </c>
      <c r="E123" s="148" t="s">
        <v>10</v>
      </c>
      <c r="F123" s="148" t="s">
        <v>279</v>
      </c>
      <c r="G123" s="91">
        <v>34.6</v>
      </c>
      <c r="H123" s="92">
        <v>460</v>
      </c>
      <c r="I123" s="149" t="str">
        <f t="shared" si="6"/>
        <v>OK</v>
      </c>
      <c r="J123" s="161" t="str">
        <f t="shared" si="7"/>
        <v/>
      </c>
    </row>
    <row r="124" spans="1:10" ht="24" customHeight="1" thickBot="1">
      <c r="A124" s="155" t="s">
        <v>291</v>
      </c>
      <c r="B124" s="147">
        <v>45778</v>
      </c>
      <c r="C124" s="147">
        <v>46142</v>
      </c>
      <c r="D124" s="148" t="s">
        <v>290</v>
      </c>
      <c r="E124" s="148" t="s">
        <v>10</v>
      </c>
      <c r="F124" s="148" t="s">
        <v>279</v>
      </c>
      <c r="G124" s="91">
        <v>32.01</v>
      </c>
      <c r="H124" s="92">
        <v>425.5</v>
      </c>
      <c r="I124" s="149" t="str">
        <f t="shared" si="6"/>
        <v>OK</v>
      </c>
      <c r="J124" s="161" t="str">
        <f t="shared" si="7"/>
        <v/>
      </c>
    </row>
    <row r="125" spans="1:10" ht="24" customHeight="1">
      <c r="A125" s="154" t="s">
        <v>291</v>
      </c>
      <c r="B125" s="144">
        <v>45778</v>
      </c>
      <c r="C125" s="144">
        <v>46142</v>
      </c>
      <c r="D125" s="145" t="s">
        <v>11</v>
      </c>
      <c r="E125" s="145" t="s">
        <v>10</v>
      </c>
      <c r="F125" s="145" t="s">
        <v>280</v>
      </c>
      <c r="G125" s="89">
        <v>173</v>
      </c>
      <c r="H125" s="90">
        <v>2300</v>
      </c>
      <c r="I125" s="146" t="str">
        <f t="shared" si="6"/>
        <v>OK</v>
      </c>
      <c r="J125" s="160" t="str">
        <f t="shared" si="7"/>
        <v/>
      </c>
    </row>
    <row r="126" spans="1:10" ht="24" customHeight="1">
      <c r="A126" s="155" t="s">
        <v>291</v>
      </c>
      <c r="B126" s="147">
        <v>45778</v>
      </c>
      <c r="C126" s="147">
        <v>46142</v>
      </c>
      <c r="D126" s="148" t="s">
        <v>11</v>
      </c>
      <c r="E126" s="148" t="s">
        <v>10</v>
      </c>
      <c r="F126" s="148" t="s">
        <v>280</v>
      </c>
      <c r="G126" s="91">
        <v>151.38</v>
      </c>
      <c r="H126" s="92">
        <v>2012.5</v>
      </c>
      <c r="I126" s="149" t="str">
        <f t="shared" si="6"/>
        <v>OK</v>
      </c>
      <c r="J126" s="161" t="str">
        <f t="shared" si="7"/>
        <v/>
      </c>
    </row>
    <row r="127" spans="1:10" ht="24" customHeight="1">
      <c r="A127" s="155" t="s">
        <v>291</v>
      </c>
      <c r="B127" s="147">
        <v>45778</v>
      </c>
      <c r="C127" s="147">
        <v>46142</v>
      </c>
      <c r="D127" s="148" t="s">
        <v>11</v>
      </c>
      <c r="E127" s="148" t="s">
        <v>10</v>
      </c>
      <c r="F127" s="148" t="s">
        <v>280</v>
      </c>
      <c r="G127" s="91">
        <v>138.4</v>
      </c>
      <c r="H127" s="92">
        <v>1840</v>
      </c>
      <c r="I127" s="149" t="str">
        <f t="shared" si="6"/>
        <v>OK</v>
      </c>
      <c r="J127" s="161" t="str">
        <f t="shared" si="7"/>
        <v/>
      </c>
    </row>
    <row r="128" spans="1:10" ht="24" customHeight="1">
      <c r="A128" s="155" t="s">
        <v>291</v>
      </c>
      <c r="B128" s="147">
        <v>45778</v>
      </c>
      <c r="C128" s="147">
        <v>46142</v>
      </c>
      <c r="D128" s="148" t="s">
        <v>11</v>
      </c>
      <c r="E128" s="148" t="s">
        <v>10</v>
      </c>
      <c r="F128" s="148" t="s">
        <v>280</v>
      </c>
      <c r="G128" s="91">
        <v>129.75</v>
      </c>
      <c r="H128" s="92">
        <v>1725</v>
      </c>
      <c r="I128" s="149" t="str">
        <f t="shared" si="6"/>
        <v>OK</v>
      </c>
      <c r="J128" s="161" t="str">
        <f t="shared" si="7"/>
        <v/>
      </c>
    </row>
    <row r="129" spans="1:10" ht="24" customHeight="1">
      <c r="A129" s="155" t="s">
        <v>291</v>
      </c>
      <c r="B129" s="147">
        <v>45778</v>
      </c>
      <c r="C129" s="147">
        <v>46142</v>
      </c>
      <c r="D129" s="148" t="s">
        <v>11</v>
      </c>
      <c r="E129" s="148" t="s">
        <v>10</v>
      </c>
      <c r="F129" s="148" t="s">
        <v>280</v>
      </c>
      <c r="G129" s="91">
        <v>108.13</v>
      </c>
      <c r="H129" s="92">
        <v>1437.5</v>
      </c>
      <c r="I129" s="149" t="str">
        <f t="shared" si="6"/>
        <v>OK</v>
      </c>
      <c r="J129" s="161" t="str">
        <f t="shared" si="7"/>
        <v/>
      </c>
    </row>
    <row r="130" spans="1:10" ht="24" customHeight="1">
      <c r="A130" s="155" t="s">
        <v>291</v>
      </c>
      <c r="B130" s="147">
        <v>45778</v>
      </c>
      <c r="C130" s="147">
        <v>46142</v>
      </c>
      <c r="D130" s="148" t="s">
        <v>11</v>
      </c>
      <c r="E130" s="148" t="s">
        <v>10</v>
      </c>
      <c r="F130" s="148" t="s">
        <v>280</v>
      </c>
      <c r="G130" s="91">
        <v>103.8</v>
      </c>
      <c r="H130" s="92">
        <v>1380</v>
      </c>
      <c r="I130" s="149" t="str">
        <f t="shared" si="6"/>
        <v>OK</v>
      </c>
      <c r="J130" s="161" t="str">
        <f t="shared" si="7"/>
        <v/>
      </c>
    </row>
    <row r="131" spans="1:10" ht="24" customHeight="1">
      <c r="A131" s="155" t="s">
        <v>291</v>
      </c>
      <c r="B131" s="147">
        <v>45778</v>
      </c>
      <c r="C131" s="147">
        <v>46142</v>
      </c>
      <c r="D131" s="148" t="s">
        <v>11</v>
      </c>
      <c r="E131" s="148" t="s">
        <v>10</v>
      </c>
      <c r="F131" s="148" t="s">
        <v>280</v>
      </c>
      <c r="G131" s="91">
        <v>86.5</v>
      </c>
      <c r="H131" s="92">
        <v>1150</v>
      </c>
      <c r="I131" s="149" t="str">
        <f t="shared" si="6"/>
        <v>OK</v>
      </c>
      <c r="J131" s="161" t="str">
        <f t="shared" si="7"/>
        <v/>
      </c>
    </row>
    <row r="132" spans="1:10" ht="24" customHeight="1">
      <c r="A132" s="155" t="s">
        <v>291</v>
      </c>
      <c r="B132" s="147">
        <v>45778</v>
      </c>
      <c r="C132" s="147">
        <v>46142</v>
      </c>
      <c r="D132" s="148" t="s">
        <v>11</v>
      </c>
      <c r="E132" s="148" t="s">
        <v>10</v>
      </c>
      <c r="F132" s="148" t="s">
        <v>280</v>
      </c>
      <c r="G132" s="91">
        <v>69.2</v>
      </c>
      <c r="H132" s="92">
        <v>920</v>
      </c>
      <c r="I132" s="149" t="str">
        <f t="shared" si="6"/>
        <v>OK</v>
      </c>
      <c r="J132" s="161" t="str">
        <f t="shared" si="7"/>
        <v/>
      </c>
    </row>
    <row r="133" spans="1:10" ht="24" customHeight="1">
      <c r="A133" s="155" t="s">
        <v>291</v>
      </c>
      <c r="B133" s="147">
        <v>45778</v>
      </c>
      <c r="C133" s="147">
        <v>46142</v>
      </c>
      <c r="D133" s="148" t="s">
        <v>11</v>
      </c>
      <c r="E133" s="148" t="s">
        <v>10</v>
      </c>
      <c r="F133" s="148" t="s">
        <v>280</v>
      </c>
      <c r="G133" s="91">
        <v>51.9</v>
      </c>
      <c r="H133" s="92">
        <v>690</v>
      </c>
      <c r="I133" s="149" t="str">
        <f t="shared" ref="I133:I163" si="8">IF($A133="","",IF(OR($B133="",$C133="",$D133="",$E133="",$F133=""),"Stammdaten fehlen",IF(AND($G133="",$H133=""),"Werte fehlen",IF($G133="","Monatsstunden fehlen",IF($H133="","Monatslohn fehlt","OK")))))</f>
        <v>OK</v>
      </c>
      <c r="J133" s="161" t="str">
        <f t="shared" ref="J133:J163" si="9">IF($G133="","",IF(COUNTIFS($A:$A,$A133,$D:$D,$D133,$G:$G,$G133)&gt;1,"Doppelte Monatsstunden",""))</f>
        <v/>
      </c>
    </row>
    <row r="134" spans="1:10" ht="24" customHeight="1">
      <c r="A134" s="155" t="s">
        <v>291</v>
      </c>
      <c r="B134" s="147">
        <v>45778</v>
      </c>
      <c r="C134" s="147">
        <v>46142</v>
      </c>
      <c r="D134" s="148" t="s">
        <v>11</v>
      </c>
      <c r="E134" s="148" t="s">
        <v>10</v>
      </c>
      <c r="F134" s="148" t="s">
        <v>280</v>
      </c>
      <c r="G134" s="91">
        <v>47.58</v>
      </c>
      <c r="H134" s="92">
        <v>632.5</v>
      </c>
      <c r="I134" s="149" t="str">
        <f t="shared" si="8"/>
        <v>OK</v>
      </c>
      <c r="J134" s="161" t="str">
        <f t="shared" si="9"/>
        <v/>
      </c>
    </row>
    <row r="135" spans="1:10" ht="24" customHeight="1">
      <c r="A135" s="155" t="s">
        <v>291</v>
      </c>
      <c r="B135" s="147">
        <v>45778</v>
      </c>
      <c r="C135" s="147">
        <v>46142</v>
      </c>
      <c r="D135" s="148" t="s">
        <v>11</v>
      </c>
      <c r="E135" s="148" t="s">
        <v>10</v>
      </c>
      <c r="F135" s="148" t="s">
        <v>280</v>
      </c>
      <c r="G135" s="91">
        <v>43.25</v>
      </c>
      <c r="H135" s="92">
        <v>575</v>
      </c>
      <c r="I135" s="149" t="str">
        <f t="shared" si="8"/>
        <v>OK</v>
      </c>
      <c r="J135" s="161" t="str">
        <f t="shared" si="9"/>
        <v/>
      </c>
    </row>
    <row r="136" spans="1:10" ht="24" customHeight="1">
      <c r="A136" s="155" t="s">
        <v>291</v>
      </c>
      <c r="B136" s="147">
        <v>45778</v>
      </c>
      <c r="C136" s="147">
        <v>46142</v>
      </c>
      <c r="D136" s="148" t="s">
        <v>11</v>
      </c>
      <c r="E136" s="148" t="s">
        <v>10</v>
      </c>
      <c r="F136" s="148" t="s">
        <v>280</v>
      </c>
      <c r="G136" s="91">
        <v>34.6</v>
      </c>
      <c r="H136" s="92">
        <v>460</v>
      </c>
      <c r="I136" s="149" t="str">
        <f t="shared" si="8"/>
        <v>OK</v>
      </c>
      <c r="J136" s="161" t="str">
        <f t="shared" si="9"/>
        <v/>
      </c>
    </row>
    <row r="137" spans="1:10" ht="24" customHeight="1" thickBot="1">
      <c r="A137" s="155" t="s">
        <v>291</v>
      </c>
      <c r="B137" s="147">
        <v>45778</v>
      </c>
      <c r="C137" s="147">
        <v>46142</v>
      </c>
      <c r="D137" s="148" t="s">
        <v>11</v>
      </c>
      <c r="E137" s="148" t="s">
        <v>10</v>
      </c>
      <c r="F137" s="148" t="s">
        <v>280</v>
      </c>
      <c r="G137" s="91">
        <v>32.01</v>
      </c>
      <c r="H137" s="92">
        <v>425.5</v>
      </c>
      <c r="I137" s="149" t="str">
        <f t="shared" si="8"/>
        <v>OK</v>
      </c>
      <c r="J137" s="161" t="str">
        <f t="shared" si="9"/>
        <v/>
      </c>
    </row>
    <row r="138" spans="1:10" ht="24" customHeight="1">
      <c r="A138" s="154" t="s">
        <v>291</v>
      </c>
      <c r="B138" s="144">
        <v>45778</v>
      </c>
      <c r="C138" s="144">
        <v>46142</v>
      </c>
      <c r="D138" s="145" t="s">
        <v>12</v>
      </c>
      <c r="E138" s="145" t="s">
        <v>10</v>
      </c>
      <c r="F138" s="145" t="s">
        <v>281</v>
      </c>
      <c r="G138" s="89">
        <v>173</v>
      </c>
      <c r="H138" s="90">
        <v>2300</v>
      </c>
      <c r="I138" s="146" t="str">
        <f t="shared" si="8"/>
        <v>OK</v>
      </c>
      <c r="J138" s="160" t="str">
        <f t="shared" si="9"/>
        <v/>
      </c>
    </row>
    <row r="139" spans="1:10" ht="24" customHeight="1">
      <c r="A139" s="155" t="s">
        <v>291</v>
      </c>
      <c r="B139" s="147">
        <v>45778</v>
      </c>
      <c r="C139" s="147">
        <v>46142</v>
      </c>
      <c r="D139" s="148" t="s">
        <v>12</v>
      </c>
      <c r="E139" s="148" t="s">
        <v>10</v>
      </c>
      <c r="F139" s="148" t="s">
        <v>281</v>
      </c>
      <c r="G139" s="91">
        <v>151.38</v>
      </c>
      <c r="H139" s="92">
        <v>2012.5</v>
      </c>
      <c r="I139" s="149" t="str">
        <f t="shared" si="8"/>
        <v>OK</v>
      </c>
      <c r="J139" s="161" t="str">
        <f t="shared" si="9"/>
        <v/>
      </c>
    </row>
    <row r="140" spans="1:10" ht="24" customHeight="1">
      <c r="A140" s="155" t="s">
        <v>291</v>
      </c>
      <c r="B140" s="147">
        <v>45778</v>
      </c>
      <c r="C140" s="147">
        <v>46142</v>
      </c>
      <c r="D140" s="148" t="s">
        <v>12</v>
      </c>
      <c r="E140" s="148" t="s">
        <v>10</v>
      </c>
      <c r="F140" s="148" t="s">
        <v>281</v>
      </c>
      <c r="G140" s="91">
        <v>138.4</v>
      </c>
      <c r="H140" s="92">
        <v>1840</v>
      </c>
      <c r="I140" s="149" t="str">
        <f t="shared" si="8"/>
        <v>OK</v>
      </c>
      <c r="J140" s="161" t="str">
        <f t="shared" si="9"/>
        <v/>
      </c>
    </row>
    <row r="141" spans="1:10" ht="24" customHeight="1">
      <c r="A141" s="155" t="s">
        <v>291</v>
      </c>
      <c r="B141" s="147">
        <v>45778</v>
      </c>
      <c r="C141" s="147">
        <v>46142</v>
      </c>
      <c r="D141" s="148" t="s">
        <v>12</v>
      </c>
      <c r="E141" s="148" t="s">
        <v>10</v>
      </c>
      <c r="F141" s="148" t="s">
        <v>281</v>
      </c>
      <c r="G141" s="91">
        <v>129.75</v>
      </c>
      <c r="H141" s="92">
        <v>1725</v>
      </c>
      <c r="I141" s="149" t="str">
        <f t="shared" si="8"/>
        <v>OK</v>
      </c>
      <c r="J141" s="161" t="str">
        <f t="shared" si="9"/>
        <v/>
      </c>
    </row>
    <row r="142" spans="1:10" ht="24" customHeight="1">
      <c r="A142" s="155" t="s">
        <v>291</v>
      </c>
      <c r="B142" s="147">
        <v>45778</v>
      </c>
      <c r="C142" s="147">
        <v>46142</v>
      </c>
      <c r="D142" s="148" t="s">
        <v>12</v>
      </c>
      <c r="E142" s="148" t="s">
        <v>10</v>
      </c>
      <c r="F142" s="148" t="s">
        <v>281</v>
      </c>
      <c r="G142" s="91">
        <v>108.13</v>
      </c>
      <c r="H142" s="92">
        <v>1437.5</v>
      </c>
      <c r="I142" s="149" t="str">
        <f t="shared" si="8"/>
        <v>OK</v>
      </c>
      <c r="J142" s="161" t="str">
        <f t="shared" si="9"/>
        <v/>
      </c>
    </row>
    <row r="143" spans="1:10" ht="24" customHeight="1">
      <c r="A143" s="155" t="s">
        <v>291</v>
      </c>
      <c r="B143" s="147">
        <v>45778</v>
      </c>
      <c r="C143" s="147">
        <v>46142</v>
      </c>
      <c r="D143" s="148" t="s">
        <v>12</v>
      </c>
      <c r="E143" s="148" t="s">
        <v>10</v>
      </c>
      <c r="F143" s="148" t="s">
        <v>281</v>
      </c>
      <c r="G143" s="91">
        <v>103.8</v>
      </c>
      <c r="H143" s="92">
        <v>1380</v>
      </c>
      <c r="I143" s="149" t="str">
        <f t="shared" si="8"/>
        <v>OK</v>
      </c>
      <c r="J143" s="161" t="str">
        <f t="shared" si="9"/>
        <v/>
      </c>
    </row>
    <row r="144" spans="1:10" ht="24" customHeight="1">
      <c r="A144" s="155" t="s">
        <v>291</v>
      </c>
      <c r="B144" s="147">
        <v>45778</v>
      </c>
      <c r="C144" s="147">
        <v>46142</v>
      </c>
      <c r="D144" s="148" t="s">
        <v>12</v>
      </c>
      <c r="E144" s="148" t="s">
        <v>10</v>
      </c>
      <c r="F144" s="148" t="s">
        <v>281</v>
      </c>
      <c r="G144" s="91">
        <v>86.5</v>
      </c>
      <c r="H144" s="92">
        <v>1150</v>
      </c>
      <c r="I144" s="149" t="str">
        <f t="shared" si="8"/>
        <v>OK</v>
      </c>
      <c r="J144" s="161" t="str">
        <f t="shared" si="9"/>
        <v/>
      </c>
    </row>
    <row r="145" spans="1:10" ht="24" customHeight="1">
      <c r="A145" s="155" t="s">
        <v>291</v>
      </c>
      <c r="B145" s="147">
        <v>45778</v>
      </c>
      <c r="C145" s="147">
        <v>46142</v>
      </c>
      <c r="D145" s="148" t="s">
        <v>12</v>
      </c>
      <c r="E145" s="148" t="s">
        <v>10</v>
      </c>
      <c r="F145" s="148" t="s">
        <v>281</v>
      </c>
      <c r="G145" s="91">
        <v>69.2</v>
      </c>
      <c r="H145" s="92">
        <v>920</v>
      </c>
      <c r="I145" s="149" t="str">
        <f t="shared" si="8"/>
        <v>OK</v>
      </c>
      <c r="J145" s="161" t="str">
        <f t="shared" si="9"/>
        <v/>
      </c>
    </row>
    <row r="146" spans="1:10" ht="24" customHeight="1">
      <c r="A146" s="155" t="s">
        <v>291</v>
      </c>
      <c r="B146" s="147">
        <v>45778</v>
      </c>
      <c r="C146" s="147">
        <v>46142</v>
      </c>
      <c r="D146" s="148" t="s">
        <v>12</v>
      </c>
      <c r="E146" s="148" t="s">
        <v>10</v>
      </c>
      <c r="F146" s="148" t="s">
        <v>281</v>
      </c>
      <c r="G146" s="91">
        <v>51.9</v>
      </c>
      <c r="H146" s="92">
        <v>690</v>
      </c>
      <c r="I146" s="149" t="str">
        <f t="shared" si="8"/>
        <v>OK</v>
      </c>
      <c r="J146" s="161" t="str">
        <f t="shared" si="9"/>
        <v/>
      </c>
    </row>
    <row r="147" spans="1:10" ht="24" customHeight="1">
      <c r="A147" s="155" t="s">
        <v>291</v>
      </c>
      <c r="B147" s="147">
        <v>45778</v>
      </c>
      <c r="C147" s="147">
        <v>46142</v>
      </c>
      <c r="D147" s="148" t="s">
        <v>12</v>
      </c>
      <c r="E147" s="148" t="s">
        <v>10</v>
      </c>
      <c r="F147" s="148" t="s">
        <v>281</v>
      </c>
      <c r="G147" s="91">
        <v>47.58</v>
      </c>
      <c r="H147" s="92">
        <v>632.5</v>
      </c>
      <c r="I147" s="149" t="str">
        <f t="shared" si="8"/>
        <v>OK</v>
      </c>
      <c r="J147" s="161" t="str">
        <f t="shared" si="9"/>
        <v/>
      </c>
    </row>
    <row r="148" spans="1:10" ht="24" customHeight="1">
      <c r="A148" s="155" t="s">
        <v>291</v>
      </c>
      <c r="B148" s="147">
        <v>45778</v>
      </c>
      <c r="C148" s="147">
        <v>46142</v>
      </c>
      <c r="D148" s="148" t="s">
        <v>12</v>
      </c>
      <c r="E148" s="148" t="s">
        <v>10</v>
      </c>
      <c r="F148" s="148" t="s">
        <v>281</v>
      </c>
      <c r="G148" s="91">
        <v>43.25</v>
      </c>
      <c r="H148" s="92">
        <v>575</v>
      </c>
      <c r="I148" s="149" t="str">
        <f t="shared" si="8"/>
        <v>OK</v>
      </c>
      <c r="J148" s="161" t="str">
        <f t="shared" si="9"/>
        <v/>
      </c>
    </row>
    <row r="149" spans="1:10" ht="24" customHeight="1">
      <c r="A149" s="155" t="s">
        <v>291</v>
      </c>
      <c r="B149" s="147">
        <v>45778</v>
      </c>
      <c r="C149" s="147">
        <v>46142</v>
      </c>
      <c r="D149" s="148" t="s">
        <v>12</v>
      </c>
      <c r="E149" s="148" t="s">
        <v>10</v>
      </c>
      <c r="F149" s="148" t="s">
        <v>281</v>
      </c>
      <c r="G149" s="91">
        <v>34.6</v>
      </c>
      <c r="H149" s="92">
        <v>460</v>
      </c>
      <c r="I149" s="149" t="str">
        <f t="shared" si="8"/>
        <v>OK</v>
      </c>
      <c r="J149" s="161" t="str">
        <f t="shared" si="9"/>
        <v/>
      </c>
    </row>
    <row r="150" spans="1:10" ht="24" customHeight="1" thickBot="1">
      <c r="A150" s="155" t="s">
        <v>291</v>
      </c>
      <c r="B150" s="147">
        <v>45778</v>
      </c>
      <c r="C150" s="147">
        <v>46142</v>
      </c>
      <c r="D150" s="148" t="s">
        <v>12</v>
      </c>
      <c r="E150" s="148" t="s">
        <v>10</v>
      </c>
      <c r="F150" s="148" t="s">
        <v>281</v>
      </c>
      <c r="G150" s="91">
        <v>32.01</v>
      </c>
      <c r="H150" s="92">
        <v>425.5</v>
      </c>
      <c r="I150" s="149" t="str">
        <f t="shared" si="8"/>
        <v>OK</v>
      </c>
      <c r="J150" s="161" t="str">
        <f t="shared" si="9"/>
        <v/>
      </c>
    </row>
    <row r="151" spans="1:10" ht="24" customHeight="1">
      <c r="A151" s="154" t="s">
        <v>291</v>
      </c>
      <c r="B151" s="144">
        <v>45778</v>
      </c>
      <c r="C151" s="144">
        <v>46142</v>
      </c>
      <c r="D151" s="145" t="s">
        <v>13</v>
      </c>
      <c r="E151" s="145" t="s">
        <v>10</v>
      </c>
      <c r="F151" s="145" t="s">
        <v>282</v>
      </c>
      <c r="G151" s="89">
        <v>173</v>
      </c>
      <c r="H151" s="90">
        <v>2328</v>
      </c>
      <c r="I151" s="146" t="str">
        <f t="shared" si="8"/>
        <v>OK</v>
      </c>
      <c r="J151" s="160" t="str">
        <f t="shared" si="9"/>
        <v/>
      </c>
    </row>
    <row r="152" spans="1:10" ht="24" customHeight="1">
      <c r="A152" s="155" t="s">
        <v>291</v>
      </c>
      <c r="B152" s="147">
        <v>45778</v>
      </c>
      <c r="C152" s="147">
        <v>46142</v>
      </c>
      <c r="D152" s="148" t="s">
        <v>13</v>
      </c>
      <c r="E152" s="148" t="s">
        <v>10</v>
      </c>
      <c r="F152" s="148" t="s">
        <v>282</v>
      </c>
      <c r="G152" s="91">
        <v>151.38</v>
      </c>
      <c r="H152" s="92">
        <v>2037</v>
      </c>
      <c r="I152" s="149" t="str">
        <f t="shared" si="8"/>
        <v>OK</v>
      </c>
      <c r="J152" s="161" t="str">
        <f t="shared" si="9"/>
        <v/>
      </c>
    </row>
    <row r="153" spans="1:10" ht="24" customHeight="1">
      <c r="A153" s="155" t="s">
        <v>291</v>
      </c>
      <c r="B153" s="147">
        <v>45778</v>
      </c>
      <c r="C153" s="147">
        <v>46142</v>
      </c>
      <c r="D153" s="148" t="s">
        <v>13</v>
      </c>
      <c r="E153" s="148" t="s">
        <v>10</v>
      </c>
      <c r="F153" s="148" t="s">
        <v>282</v>
      </c>
      <c r="G153" s="91">
        <v>138.4</v>
      </c>
      <c r="H153" s="92">
        <v>1862.4</v>
      </c>
      <c r="I153" s="149" t="str">
        <f t="shared" si="8"/>
        <v>OK</v>
      </c>
      <c r="J153" s="161" t="str">
        <f t="shared" si="9"/>
        <v/>
      </c>
    </row>
    <row r="154" spans="1:10" ht="24" customHeight="1">
      <c r="A154" s="155" t="s">
        <v>291</v>
      </c>
      <c r="B154" s="147">
        <v>45778</v>
      </c>
      <c r="C154" s="147">
        <v>46142</v>
      </c>
      <c r="D154" s="148" t="s">
        <v>13</v>
      </c>
      <c r="E154" s="148" t="s">
        <v>10</v>
      </c>
      <c r="F154" s="148" t="s">
        <v>282</v>
      </c>
      <c r="G154" s="91">
        <v>129.75</v>
      </c>
      <c r="H154" s="92">
        <v>1476</v>
      </c>
      <c r="I154" s="149" t="str">
        <f t="shared" si="8"/>
        <v>OK</v>
      </c>
      <c r="J154" s="161" t="str">
        <f t="shared" si="9"/>
        <v/>
      </c>
    </row>
    <row r="155" spans="1:10" ht="24" customHeight="1">
      <c r="A155" s="155" t="s">
        <v>291</v>
      </c>
      <c r="B155" s="147">
        <v>45778</v>
      </c>
      <c r="C155" s="147">
        <v>46142</v>
      </c>
      <c r="D155" s="148" t="s">
        <v>13</v>
      </c>
      <c r="E155" s="148" t="s">
        <v>10</v>
      </c>
      <c r="F155" s="148" t="s">
        <v>282</v>
      </c>
      <c r="G155" s="91">
        <v>108.13</v>
      </c>
      <c r="H155" s="92">
        <v>1455</v>
      </c>
      <c r="I155" s="149" t="str">
        <f t="shared" si="8"/>
        <v>OK</v>
      </c>
      <c r="J155" s="161" t="str">
        <f t="shared" si="9"/>
        <v/>
      </c>
    </row>
    <row r="156" spans="1:10" ht="24" customHeight="1">
      <c r="A156" s="155" t="s">
        <v>291</v>
      </c>
      <c r="B156" s="147">
        <v>45778</v>
      </c>
      <c r="C156" s="147">
        <v>46142</v>
      </c>
      <c r="D156" s="148" t="s">
        <v>13</v>
      </c>
      <c r="E156" s="148" t="s">
        <v>10</v>
      </c>
      <c r="F156" s="148" t="s">
        <v>282</v>
      </c>
      <c r="G156" s="91">
        <v>103.8</v>
      </c>
      <c r="H156" s="92">
        <v>1396.8</v>
      </c>
      <c r="I156" s="149" t="str">
        <f t="shared" si="8"/>
        <v>OK</v>
      </c>
      <c r="J156" s="161" t="str">
        <f t="shared" si="9"/>
        <v/>
      </c>
    </row>
    <row r="157" spans="1:10" ht="24" customHeight="1">
      <c r="A157" s="155" t="s">
        <v>291</v>
      </c>
      <c r="B157" s="147">
        <v>45778</v>
      </c>
      <c r="C157" s="147">
        <v>46142</v>
      </c>
      <c r="D157" s="148" t="s">
        <v>13</v>
      </c>
      <c r="E157" s="148" t="s">
        <v>10</v>
      </c>
      <c r="F157" s="148" t="s">
        <v>282</v>
      </c>
      <c r="G157" s="91">
        <v>86.5</v>
      </c>
      <c r="H157" s="92">
        <v>1164</v>
      </c>
      <c r="I157" s="149" t="str">
        <f t="shared" si="8"/>
        <v>OK</v>
      </c>
      <c r="J157" s="161" t="str">
        <f t="shared" si="9"/>
        <v/>
      </c>
    </row>
    <row r="158" spans="1:10" ht="24" customHeight="1">
      <c r="A158" s="155" t="s">
        <v>291</v>
      </c>
      <c r="B158" s="147">
        <v>45778</v>
      </c>
      <c r="C158" s="147">
        <v>46142</v>
      </c>
      <c r="D158" s="148" t="s">
        <v>13</v>
      </c>
      <c r="E158" s="148" t="s">
        <v>10</v>
      </c>
      <c r="F158" s="148" t="s">
        <v>282</v>
      </c>
      <c r="G158" s="91">
        <v>69.2</v>
      </c>
      <c r="H158" s="92">
        <v>931.2</v>
      </c>
      <c r="I158" s="149" t="str">
        <f t="shared" si="8"/>
        <v>OK</v>
      </c>
      <c r="J158" s="161" t="str">
        <f t="shared" si="9"/>
        <v/>
      </c>
    </row>
    <row r="159" spans="1:10" ht="24" customHeight="1">
      <c r="A159" s="155" t="s">
        <v>291</v>
      </c>
      <c r="B159" s="147">
        <v>45778</v>
      </c>
      <c r="C159" s="147">
        <v>46142</v>
      </c>
      <c r="D159" s="148" t="s">
        <v>13</v>
      </c>
      <c r="E159" s="148" t="s">
        <v>10</v>
      </c>
      <c r="F159" s="148" t="s">
        <v>282</v>
      </c>
      <c r="G159" s="91">
        <v>51.9</v>
      </c>
      <c r="H159" s="92">
        <v>698.4</v>
      </c>
      <c r="I159" s="149" t="str">
        <f t="shared" si="8"/>
        <v>OK</v>
      </c>
      <c r="J159" s="161" t="str">
        <f t="shared" si="9"/>
        <v/>
      </c>
    </row>
    <row r="160" spans="1:10" ht="24" customHeight="1">
      <c r="A160" s="155" t="s">
        <v>291</v>
      </c>
      <c r="B160" s="147">
        <v>45778</v>
      </c>
      <c r="C160" s="147">
        <v>46142</v>
      </c>
      <c r="D160" s="148" t="s">
        <v>13</v>
      </c>
      <c r="E160" s="148" t="s">
        <v>10</v>
      </c>
      <c r="F160" s="148" t="s">
        <v>282</v>
      </c>
      <c r="G160" s="91">
        <v>47.58</v>
      </c>
      <c r="H160" s="92">
        <v>640</v>
      </c>
      <c r="I160" s="149" t="str">
        <f t="shared" si="8"/>
        <v>OK</v>
      </c>
      <c r="J160" s="161" t="str">
        <f t="shared" si="9"/>
        <v/>
      </c>
    </row>
    <row r="161" spans="1:10" ht="24" customHeight="1">
      <c r="A161" s="155" t="s">
        <v>291</v>
      </c>
      <c r="B161" s="147">
        <v>45778</v>
      </c>
      <c r="C161" s="147">
        <v>46142</v>
      </c>
      <c r="D161" s="148" t="s">
        <v>13</v>
      </c>
      <c r="E161" s="148" t="s">
        <v>10</v>
      </c>
      <c r="F161" s="148" t="s">
        <v>282</v>
      </c>
      <c r="G161" s="91">
        <v>43.25</v>
      </c>
      <c r="H161" s="92">
        <v>582</v>
      </c>
      <c r="I161" s="149" t="str">
        <f t="shared" si="8"/>
        <v>OK</v>
      </c>
      <c r="J161" s="161" t="str">
        <f t="shared" si="9"/>
        <v/>
      </c>
    </row>
    <row r="162" spans="1:10" ht="24" customHeight="1">
      <c r="A162" s="155" t="s">
        <v>291</v>
      </c>
      <c r="B162" s="147">
        <v>45778</v>
      </c>
      <c r="C162" s="147">
        <v>46142</v>
      </c>
      <c r="D162" s="148" t="s">
        <v>13</v>
      </c>
      <c r="E162" s="148" t="s">
        <v>10</v>
      </c>
      <c r="F162" s="148" t="s">
        <v>282</v>
      </c>
      <c r="G162" s="91">
        <v>34.6</v>
      </c>
      <c r="H162" s="92">
        <v>465.6</v>
      </c>
      <c r="I162" s="149" t="str">
        <f t="shared" si="8"/>
        <v>OK</v>
      </c>
      <c r="J162" s="161" t="str">
        <f t="shared" si="9"/>
        <v/>
      </c>
    </row>
    <row r="163" spans="1:10" ht="24" customHeight="1" thickBot="1">
      <c r="A163" s="162" t="s">
        <v>291</v>
      </c>
      <c r="B163" s="163">
        <v>45778</v>
      </c>
      <c r="C163" s="163">
        <v>46142</v>
      </c>
      <c r="D163" s="164" t="s">
        <v>13</v>
      </c>
      <c r="E163" s="164" t="s">
        <v>10</v>
      </c>
      <c r="F163" s="164" t="s">
        <v>282</v>
      </c>
      <c r="G163" s="93">
        <v>32.01</v>
      </c>
      <c r="H163" s="94">
        <v>430.68</v>
      </c>
      <c r="I163" s="165" t="str">
        <f t="shared" si="8"/>
        <v>OK</v>
      </c>
      <c r="J163" s="166" t="str">
        <f t="shared" si="9"/>
        <v/>
      </c>
    </row>
  </sheetData>
  <sheetProtection algorithmName="SHA-512" hashValue="DraQwume9yv3q15qcWZP2VENrfTNW2V5XNiT7fnqevk0Nx9RVNbhdWYZVA8NtkR2yaFTZOI/CeK4RjWmTHXxYg==" saltValue="DWKMbdu7oQr9T9ZrU5TyRA=="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L10" sqref="L10"/>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81" t="s">
        <v>347</v>
      </c>
      <c r="C1" s="181"/>
      <c r="D1" s="181"/>
      <c r="E1" s="181"/>
      <c r="F1" s="181"/>
      <c r="G1" s="181"/>
      <c r="H1" s="181"/>
      <c r="I1" s="181"/>
      <c r="J1" s="181"/>
      <c r="K1" s="181"/>
      <c r="L1" s="181"/>
      <c r="M1" s="181"/>
      <c r="N1" s="181"/>
      <c r="O1" s="181"/>
      <c r="P1" s="181"/>
      <c r="Q1" s="181"/>
      <c r="R1" s="181"/>
      <c r="S1" s="181"/>
      <c r="T1" s="181"/>
      <c r="U1" s="181"/>
    </row>
    <row r="2" spans="2:21" ht="17.25" customHeight="1">
      <c r="B2" s="102"/>
      <c r="C2" s="102"/>
      <c r="D2" s="102"/>
      <c r="E2" s="102"/>
      <c r="F2" s="102"/>
      <c r="G2" s="102"/>
      <c r="H2" s="102"/>
      <c r="I2" s="102"/>
      <c r="J2" s="102"/>
      <c r="K2" s="102"/>
      <c r="L2" s="102"/>
      <c r="M2" s="102"/>
      <c r="N2" s="102"/>
      <c r="O2" s="102"/>
      <c r="P2" s="103"/>
      <c r="Q2" s="103"/>
      <c r="R2" s="103"/>
      <c r="S2" s="186" t="s">
        <v>384</v>
      </c>
      <c r="T2" s="186"/>
      <c r="U2" s="186"/>
    </row>
    <row r="3" spans="2:21" ht="20" customHeight="1">
      <c r="B3" s="187" t="s">
        <v>93</v>
      </c>
      <c r="C3" s="188"/>
      <c r="D3" s="188"/>
      <c r="E3" s="188"/>
      <c r="F3" s="189"/>
      <c r="G3" s="103"/>
      <c r="H3" s="182" t="s">
        <v>14</v>
      </c>
      <c r="I3" s="182"/>
      <c r="J3" s="103"/>
      <c r="K3" s="182" t="s">
        <v>15</v>
      </c>
      <c r="L3" s="182"/>
      <c r="M3" s="103"/>
      <c r="N3" s="182" t="s">
        <v>16</v>
      </c>
      <c r="O3" s="182"/>
      <c r="P3" s="103"/>
      <c r="Q3" s="103"/>
      <c r="R3" s="103"/>
      <c r="S3" s="103"/>
      <c r="T3" s="103"/>
      <c r="U3" s="103"/>
    </row>
    <row r="4" spans="2:21" ht="20" customHeight="1" thickBot="1">
      <c r="B4" s="190"/>
      <c r="C4" s="181"/>
      <c r="D4" s="181"/>
      <c r="E4" s="181"/>
      <c r="F4" s="191"/>
      <c r="G4" s="103"/>
      <c r="H4" s="183"/>
      <c r="I4" s="183"/>
      <c r="J4" s="103"/>
      <c r="K4" s="183"/>
      <c r="L4" s="183"/>
      <c r="M4" s="103"/>
      <c r="N4" s="183"/>
      <c r="O4" s="183"/>
      <c r="P4" s="103"/>
      <c r="Q4" s="103"/>
      <c r="R4" s="103"/>
      <c r="S4" s="103"/>
      <c r="T4" s="103"/>
      <c r="U4" s="103"/>
    </row>
    <row r="5" spans="2:21" ht="18" customHeight="1">
      <c r="B5" s="104"/>
      <c r="C5" s="105" t="s">
        <v>17</v>
      </c>
      <c r="D5" s="106" t="s">
        <v>18</v>
      </c>
      <c r="E5" s="106" t="s">
        <v>19</v>
      </c>
      <c r="F5" s="107" t="s">
        <v>20</v>
      </c>
      <c r="G5" s="103"/>
      <c r="H5" s="184" t="s">
        <v>21</v>
      </c>
      <c r="I5" s="185"/>
      <c r="J5" s="103"/>
      <c r="K5" s="184" t="s">
        <v>21</v>
      </c>
      <c r="L5" s="185"/>
      <c r="M5" s="103"/>
      <c r="N5" s="184" t="s">
        <v>22</v>
      </c>
      <c r="O5" s="185"/>
      <c r="P5" s="103"/>
      <c r="Q5" s="103"/>
      <c r="R5" s="103"/>
      <c r="S5" s="103"/>
      <c r="T5" s="103"/>
      <c r="U5" s="103"/>
    </row>
    <row r="6" spans="2:21" ht="22" customHeight="1">
      <c r="B6" s="122" t="s">
        <v>23</v>
      </c>
      <c r="C6" s="12">
        <v>450000</v>
      </c>
      <c r="D6" s="13">
        <v>100000</v>
      </c>
      <c r="E6" s="108">
        <f>Januar!$Q$37</f>
        <v>0.22222222222222221</v>
      </c>
      <c r="F6" s="14">
        <v>30000</v>
      </c>
      <c r="G6" s="103"/>
      <c r="H6" s="123" t="s">
        <v>23</v>
      </c>
      <c r="I6" s="15">
        <v>600</v>
      </c>
      <c r="J6" s="103"/>
      <c r="K6" s="123" t="s">
        <v>23</v>
      </c>
      <c r="L6" s="15">
        <v>9300</v>
      </c>
      <c r="M6" s="103"/>
      <c r="N6" s="123" t="s">
        <v>23</v>
      </c>
      <c r="O6" s="15">
        <v>1250</v>
      </c>
      <c r="P6" s="103"/>
      <c r="Q6" s="103"/>
      <c r="R6" s="103"/>
      <c r="S6" s="103"/>
      <c r="T6" s="103"/>
      <c r="U6" s="103"/>
    </row>
    <row r="7" spans="2:21" ht="22" customHeight="1">
      <c r="B7" s="122" t="s">
        <v>24</v>
      </c>
      <c r="C7" s="12">
        <v>400000</v>
      </c>
      <c r="D7" s="13">
        <v>100000</v>
      </c>
      <c r="E7" s="108">
        <f>Februar!$Q$37</f>
        <v>0.25</v>
      </c>
      <c r="F7" s="14">
        <v>30000</v>
      </c>
      <c r="G7" s="103"/>
      <c r="H7" s="123" t="s">
        <v>25</v>
      </c>
      <c r="I7" s="15">
        <v>600</v>
      </c>
      <c r="J7" s="103"/>
      <c r="K7" s="123" t="s">
        <v>25</v>
      </c>
      <c r="L7" s="15">
        <v>9300</v>
      </c>
      <c r="M7" s="103"/>
      <c r="N7" s="123" t="s">
        <v>25</v>
      </c>
      <c r="O7" s="15">
        <v>1250</v>
      </c>
      <c r="P7" s="103"/>
      <c r="Q7" s="103"/>
      <c r="R7" s="103"/>
      <c r="S7" s="103"/>
      <c r="T7" s="103"/>
      <c r="U7" s="103"/>
    </row>
    <row r="8" spans="2:21" ht="22" customHeight="1">
      <c r="B8" s="122" t="s">
        <v>26</v>
      </c>
      <c r="C8" s="12">
        <v>400000</v>
      </c>
      <c r="D8" s="13">
        <v>100000</v>
      </c>
      <c r="E8" s="108">
        <f>Marz!$Q$37</f>
        <v>0.25</v>
      </c>
      <c r="F8" s="14">
        <v>30000</v>
      </c>
      <c r="G8" s="103"/>
      <c r="H8" s="123" t="s">
        <v>26</v>
      </c>
      <c r="I8" s="15">
        <v>600</v>
      </c>
      <c r="J8" s="103"/>
      <c r="K8" s="123" t="s">
        <v>26</v>
      </c>
      <c r="L8" s="15">
        <v>9300</v>
      </c>
      <c r="M8" s="103"/>
      <c r="N8" s="123" t="s">
        <v>26</v>
      </c>
      <c r="O8" s="15">
        <v>1250</v>
      </c>
      <c r="P8" s="103"/>
      <c r="Q8" s="103"/>
      <c r="R8" s="103"/>
      <c r="S8" s="103"/>
      <c r="T8" s="103"/>
      <c r="U8" s="103"/>
    </row>
    <row r="9" spans="2:21" ht="22" customHeight="1">
      <c r="B9" s="122" t="s">
        <v>27</v>
      </c>
      <c r="C9" s="12">
        <v>400000</v>
      </c>
      <c r="D9" s="13">
        <v>100000</v>
      </c>
      <c r="E9" s="108">
        <f>April!$Q$37</f>
        <v>0.25</v>
      </c>
      <c r="F9" s="14">
        <v>30000</v>
      </c>
      <c r="G9" s="103"/>
      <c r="H9" s="123" t="s">
        <v>27</v>
      </c>
      <c r="I9" s="15">
        <v>600</v>
      </c>
      <c r="J9" s="103"/>
      <c r="K9" s="123" t="s">
        <v>27</v>
      </c>
      <c r="L9" s="15">
        <v>1500</v>
      </c>
      <c r="M9" s="103"/>
      <c r="N9" s="123" t="s">
        <v>27</v>
      </c>
      <c r="O9" s="15">
        <v>1250</v>
      </c>
      <c r="P9" s="103"/>
      <c r="Q9" s="103"/>
      <c r="R9" s="103"/>
      <c r="S9" s="103"/>
      <c r="T9" s="103"/>
      <c r="U9" s="103"/>
    </row>
    <row r="10" spans="2:21" ht="22" customHeight="1">
      <c r="B10" s="122" t="s">
        <v>28</v>
      </c>
      <c r="C10" s="12">
        <v>400000</v>
      </c>
      <c r="D10" s="13">
        <v>100000</v>
      </c>
      <c r="E10" s="108">
        <f>Mai!$Q$37</f>
        <v>0.25</v>
      </c>
      <c r="F10" s="14">
        <v>30000</v>
      </c>
      <c r="G10" s="103"/>
      <c r="H10" s="123" t="s">
        <v>28</v>
      </c>
      <c r="I10" s="15">
        <v>600</v>
      </c>
      <c r="J10" s="103"/>
      <c r="K10" s="123" t="s">
        <v>28</v>
      </c>
      <c r="L10" s="15">
        <v>9300</v>
      </c>
      <c r="M10" s="103"/>
      <c r="N10" s="123" t="s">
        <v>28</v>
      </c>
      <c r="O10" s="15">
        <v>1250</v>
      </c>
      <c r="P10" s="103"/>
      <c r="Q10" s="103"/>
      <c r="R10" s="103"/>
      <c r="S10" s="103"/>
      <c r="T10" s="103"/>
      <c r="U10" s="103"/>
    </row>
    <row r="11" spans="2:21" ht="22" customHeight="1">
      <c r="B11" s="122" t="s">
        <v>29</v>
      </c>
      <c r="C11" s="12">
        <v>400000</v>
      </c>
      <c r="D11" s="13">
        <v>100000</v>
      </c>
      <c r="E11" s="108">
        <f>Juni!$Q$37</f>
        <v>0.25</v>
      </c>
      <c r="F11" s="14">
        <v>30000</v>
      </c>
      <c r="G11" s="103"/>
      <c r="H11" s="123" t="s">
        <v>29</v>
      </c>
      <c r="I11" s="15">
        <v>600</v>
      </c>
      <c r="J11" s="103"/>
      <c r="K11" s="123" t="s">
        <v>29</v>
      </c>
      <c r="L11" s="15">
        <v>9300</v>
      </c>
      <c r="M11" s="103"/>
      <c r="N11" s="123" t="s">
        <v>29</v>
      </c>
      <c r="O11" s="15">
        <v>1250</v>
      </c>
      <c r="P11" s="103"/>
      <c r="Q11" s="103"/>
      <c r="R11" s="103"/>
      <c r="S11" s="103"/>
      <c r="T11" s="103"/>
      <c r="U11" s="103"/>
    </row>
    <row r="12" spans="2:21" ht="22" customHeight="1">
      <c r="B12" s="122" t="s">
        <v>30</v>
      </c>
      <c r="C12" s="12">
        <v>400000</v>
      </c>
      <c r="D12" s="13">
        <v>100000</v>
      </c>
      <c r="E12" s="108">
        <f>Juli!$Q$37</f>
        <v>0.25</v>
      </c>
      <c r="F12" s="14">
        <v>30000</v>
      </c>
      <c r="G12" s="103"/>
      <c r="H12" s="123" t="s">
        <v>30</v>
      </c>
      <c r="I12" s="15">
        <v>600</v>
      </c>
      <c r="J12" s="103"/>
      <c r="K12" s="123" t="s">
        <v>30</v>
      </c>
      <c r="L12" s="15">
        <v>9300</v>
      </c>
      <c r="M12" s="103"/>
      <c r="N12" s="123" t="s">
        <v>30</v>
      </c>
      <c r="O12" s="15">
        <v>1250</v>
      </c>
      <c r="P12" s="103"/>
      <c r="Q12" s="103"/>
      <c r="R12" s="103"/>
      <c r="S12" s="103"/>
      <c r="T12" s="103"/>
      <c r="U12" s="103"/>
    </row>
    <row r="13" spans="2:21" ht="22" customHeight="1">
      <c r="B13" s="122" t="s">
        <v>31</v>
      </c>
      <c r="C13" s="12">
        <v>400000</v>
      </c>
      <c r="D13" s="13">
        <v>100000</v>
      </c>
      <c r="E13" s="108">
        <f>August!$Q$37</f>
        <v>0.25</v>
      </c>
      <c r="F13" s="14">
        <v>30000</v>
      </c>
      <c r="G13" s="103"/>
      <c r="H13" s="123" t="s">
        <v>31</v>
      </c>
      <c r="I13" s="15">
        <v>620</v>
      </c>
      <c r="J13" s="103"/>
      <c r="K13" s="123" t="s">
        <v>31</v>
      </c>
      <c r="L13" s="15">
        <v>9300</v>
      </c>
      <c r="M13" s="103"/>
      <c r="N13" s="123" t="s">
        <v>31</v>
      </c>
      <c r="O13" s="15">
        <v>1250</v>
      </c>
      <c r="P13" s="103"/>
      <c r="Q13" s="103"/>
      <c r="R13" s="103"/>
      <c r="S13" s="103"/>
      <c r="T13" s="103"/>
      <c r="U13" s="103"/>
    </row>
    <row r="14" spans="2:21" ht="22" customHeight="1">
      <c r="B14" s="122" t="s">
        <v>32</v>
      </c>
      <c r="C14" s="12">
        <v>400000</v>
      </c>
      <c r="D14" s="13">
        <v>100000</v>
      </c>
      <c r="E14" s="108">
        <f>September!$Q$37</f>
        <v>0.25</v>
      </c>
      <c r="F14" s="14">
        <v>30000</v>
      </c>
      <c r="G14" s="103"/>
      <c r="H14" s="123" t="s">
        <v>32</v>
      </c>
      <c r="I14" s="15">
        <v>600</v>
      </c>
      <c r="J14" s="103"/>
      <c r="K14" s="123" t="s">
        <v>32</v>
      </c>
      <c r="L14" s="15">
        <v>9300</v>
      </c>
      <c r="M14" s="103"/>
      <c r="N14" s="123" t="s">
        <v>32</v>
      </c>
      <c r="O14" s="15">
        <v>1250</v>
      </c>
      <c r="P14" s="103"/>
      <c r="Q14" s="103"/>
      <c r="R14" s="103"/>
      <c r="S14" s="103"/>
      <c r="T14" s="103"/>
      <c r="U14" s="103"/>
    </row>
    <row r="15" spans="2:21" ht="22" customHeight="1">
      <c r="B15" s="122" t="s">
        <v>33</v>
      </c>
      <c r="C15" s="12">
        <v>400000</v>
      </c>
      <c r="D15" s="13">
        <v>100000</v>
      </c>
      <c r="E15" s="108">
        <f>Oktober!$Q$37</f>
        <v>0.25</v>
      </c>
      <c r="F15" s="14">
        <v>30000</v>
      </c>
      <c r="G15" s="103"/>
      <c r="H15" s="123" t="s">
        <v>33</v>
      </c>
      <c r="I15" s="15">
        <v>600</v>
      </c>
      <c r="J15" s="103"/>
      <c r="K15" s="123" t="s">
        <v>33</v>
      </c>
      <c r="L15" s="15">
        <v>9300</v>
      </c>
      <c r="M15" s="103"/>
      <c r="N15" s="123" t="s">
        <v>33</v>
      </c>
      <c r="O15" s="15">
        <v>1250</v>
      </c>
      <c r="P15" s="103"/>
      <c r="Q15" s="103"/>
      <c r="R15" s="103"/>
      <c r="S15" s="103"/>
      <c r="T15" s="103"/>
      <c r="U15" s="103"/>
    </row>
    <row r="16" spans="2:21" ht="22" customHeight="1">
      <c r="B16" s="122" t="s">
        <v>34</v>
      </c>
      <c r="C16" s="12">
        <v>400000</v>
      </c>
      <c r="D16" s="13">
        <v>100000</v>
      </c>
      <c r="E16" s="108">
        <f>November!$Q$37</f>
        <v>0.25</v>
      </c>
      <c r="F16" s="14">
        <v>30000</v>
      </c>
      <c r="G16" s="103"/>
      <c r="H16" s="123" t="s">
        <v>34</v>
      </c>
      <c r="I16" s="15">
        <v>600</v>
      </c>
      <c r="J16" s="103"/>
      <c r="K16" s="123" t="s">
        <v>34</v>
      </c>
      <c r="L16" s="15">
        <v>9300</v>
      </c>
      <c r="M16" s="103"/>
      <c r="N16" s="123" t="s">
        <v>34</v>
      </c>
      <c r="O16" s="15">
        <v>1250</v>
      </c>
      <c r="P16" s="103"/>
      <c r="Q16" s="103"/>
      <c r="R16" s="103"/>
      <c r="S16" s="103"/>
      <c r="T16" s="103"/>
      <c r="U16" s="103"/>
    </row>
    <row r="17" spans="2:21" ht="22" customHeight="1" thickBot="1">
      <c r="B17" s="122" t="s">
        <v>35</v>
      </c>
      <c r="C17" s="17">
        <v>400000</v>
      </c>
      <c r="D17" s="18">
        <v>100000</v>
      </c>
      <c r="E17" s="109">
        <f>Dezember!$Q$37</f>
        <v>0.25</v>
      </c>
      <c r="F17" s="19">
        <v>30000</v>
      </c>
      <c r="G17" s="103"/>
      <c r="H17" s="124" t="s">
        <v>35</v>
      </c>
      <c r="I17" s="20">
        <v>600</v>
      </c>
      <c r="J17" s="103"/>
      <c r="K17" s="124" t="s">
        <v>35</v>
      </c>
      <c r="L17" s="20">
        <v>9300</v>
      </c>
      <c r="M17" s="103"/>
      <c r="N17" s="124" t="s">
        <v>35</v>
      </c>
      <c r="O17" s="20">
        <v>1250</v>
      </c>
      <c r="P17" s="103"/>
      <c r="Q17" s="103"/>
      <c r="R17" s="103"/>
      <c r="S17" s="103"/>
      <c r="T17" s="103"/>
      <c r="U17" s="103"/>
    </row>
    <row r="18" spans="2:21">
      <c r="B18" s="103"/>
      <c r="C18" s="103"/>
      <c r="D18" s="103"/>
      <c r="E18" s="103"/>
      <c r="F18" s="103"/>
      <c r="G18" s="103"/>
      <c r="H18" s="103"/>
      <c r="I18" s="103"/>
      <c r="J18" s="103"/>
      <c r="K18" s="103"/>
      <c r="L18" s="103"/>
      <c r="M18" s="103"/>
      <c r="N18" s="103"/>
      <c r="O18" s="103"/>
      <c r="P18" s="103"/>
      <c r="Q18" s="103"/>
      <c r="R18" s="103"/>
      <c r="S18" s="103"/>
      <c r="T18" s="103"/>
      <c r="U18" s="103"/>
    </row>
    <row r="19" spans="2:21" ht="20" customHeight="1">
      <c r="B19" s="182" t="s">
        <v>36</v>
      </c>
      <c r="C19" s="182"/>
      <c r="D19" s="182"/>
      <c r="E19" s="182"/>
      <c r="F19" s="182"/>
      <c r="G19" s="103"/>
      <c r="H19" s="182" t="s">
        <v>37</v>
      </c>
      <c r="I19" s="182"/>
      <c r="J19" s="103"/>
      <c r="K19" s="182" t="s">
        <v>38</v>
      </c>
      <c r="L19" s="182"/>
      <c r="M19" s="103"/>
      <c r="N19" s="110"/>
      <c r="O19" s="110"/>
      <c r="P19" s="110"/>
      <c r="Q19" s="110"/>
      <c r="R19" s="110"/>
      <c r="S19" s="110"/>
      <c r="T19" s="110"/>
      <c r="U19" s="110"/>
    </row>
    <row r="20" spans="2:21" ht="20" customHeight="1" thickBot="1">
      <c r="B20" s="182"/>
      <c r="C20" s="183"/>
      <c r="D20" s="183"/>
      <c r="E20" s="183"/>
      <c r="F20" s="183"/>
      <c r="G20" s="103"/>
      <c r="H20" s="183"/>
      <c r="I20" s="183"/>
      <c r="J20" s="103"/>
      <c r="K20" s="183"/>
      <c r="L20" s="183"/>
      <c r="M20" s="103"/>
      <c r="N20" s="110"/>
      <c r="O20" s="110"/>
      <c r="P20" s="110"/>
      <c r="Q20" s="110"/>
      <c r="R20" s="110"/>
      <c r="S20" s="110"/>
      <c r="T20" s="110"/>
      <c r="U20" s="110"/>
    </row>
    <row r="21" spans="2:21" ht="18" customHeight="1">
      <c r="B21" s="104"/>
      <c r="C21" s="105" t="s">
        <v>17</v>
      </c>
      <c r="D21" s="106" t="s">
        <v>18</v>
      </c>
      <c r="E21" s="106" t="s">
        <v>19</v>
      </c>
      <c r="F21" s="107" t="s">
        <v>20</v>
      </c>
      <c r="G21" s="103"/>
      <c r="H21" s="184" t="s">
        <v>21</v>
      </c>
      <c r="I21" s="185"/>
      <c r="J21" s="103"/>
      <c r="K21" s="184" t="s">
        <v>21</v>
      </c>
      <c r="L21" s="185"/>
      <c r="M21" s="103"/>
      <c r="N21" s="110"/>
      <c r="O21" s="110"/>
      <c r="P21" s="110"/>
      <c r="Q21" s="110"/>
      <c r="R21" s="110"/>
      <c r="S21" s="110"/>
      <c r="T21" s="110"/>
      <c r="U21" s="110"/>
    </row>
    <row r="22" spans="2:21" ht="22" customHeight="1">
      <c r="B22" s="122" t="s">
        <v>23</v>
      </c>
      <c r="C22" s="12">
        <v>450000</v>
      </c>
      <c r="D22" s="111">
        <f>UBERSICHT!G7</f>
        <v>95068.188500000004</v>
      </c>
      <c r="E22" s="108">
        <v>0.21126264111111112</v>
      </c>
      <c r="F22" s="14">
        <v>29000</v>
      </c>
      <c r="G22" s="103"/>
      <c r="H22" s="123" t="s">
        <v>23</v>
      </c>
      <c r="I22" s="15">
        <v>150</v>
      </c>
      <c r="J22" s="103"/>
      <c r="K22" s="123" t="s">
        <v>23</v>
      </c>
      <c r="L22" s="15">
        <v>1</v>
      </c>
      <c r="M22" s="103"/>
      <c r="N22" s="110"/>
      <c r="O22" s="110"/>
      <c r="P22" s="110"/>
      <c r="Q22" s="110"/>
      <c r="R22" s="110"/>
      <c r="S22" s="110"/>
      <c r="T22" s="110"/>
      <c r="U22" s="110"/>
    </row>
    <row r="23" spans="2:21" ht="22" customHeight="1">
      <c r="B23" s="122" t="s">
        <v>24</v>
      </c>
      <c r="C23" s="12">
        <v>425000</v>
      </c>
      <c r="D23" s="111">
        <f>UBERSICHT!G8</f>
        <v>112083.4129</v>
      </c>
      <c r="E23" s="108">
        <v>0.26372567741176467</v>
      </c>
      <c r="F23" s="14">
        <v>29000</v>
      </c>
      <c r="G23" s="103"/>
      <c r="H23" s="123" t="s">
        <v>25</v>
      </c>
      <c r="I23" s="15">
        <v>0</v>
      </c>
      <c r="J23" s="103"/>
      <c r="K23" s="123" t="s">
        <v>25</v>
      </c>
      <c r="L23" s="15">
        <v>2</v>
      </c>
      <c r="M23" s="103"/>
      <c r="N23" s="110"/>
      <c r="O23" s="110"/>
      <c r="P23" s="110"/>
      <c r="Q23" s="110"/>
      <c r="R23" s="110"/>
      <c r="S23" s="110"/>
      <c r="T23" s="110"/>
      <c r="U23" s="110"/>
    </row>
    <row r="24" spans="2:21" ht="22" customHeight="1">
      <c r="B24" s="122" t="s">
        <v>26</v>
      </c>
      <c r="C24" s="12">
        <v>430000</v>
      </c>
      <c r="D24" s="111">
        <f>UBERSICHT!G9</f>
        <v>114630.03419999999</v>
      </c>
      <c r="E24" s="108">
        <v>0.26658147488372091</v>
      </c>
      <c r="F24" s="14">
        <v>29000</v>
      </c>
      <c r="G24" s="103"/>
      <c r="H24" s="123" t="s">
        <v>26</v>
      </c>
      <c r="I24" s="15">
        <v>0</v>
      </c>
      <c r="J24" s="103"/>
      <c r="K24" s="123" t="s">
        <v>26</v>
      </c>
      <c r="L24" s="15">
        <v>3</v>
      </c>
      <c r="M24" s="103"/>
      <c r="N24" s="110"/>
      <c r="O24" s="110"/>
      <c r="P24" s="110"/>
      <c r="Q24" s="110"/>
      <c r="R24" s="110"/>
      <c r="S24" s="110"/>
      <c r="T24" s="110"/>
      <c r="U24" s="110"/>
    </row>
    <row r="25" spans="2:21" ht="22" customHeight="1">
      <c r="B25" s="122" t="s">
        <v>27</v>
      </c>
      <c r="C25" s="12">
        <v>300000</v>
      </c>
      <c r="D25" s="111">
        <f>UBERSICHT!G11</f>
        <v>112179.0267</v>
      </c>
      <c r="E25" s="108">
        <v>0.37393008900000002</v>
      </c>
      <c r="F25" s="14">
        <v>25000</v>
      </c>
      <c r="G25" s="103"/>
      <c r="H25" s="123" t="s">
        <v>27</v>
      </c>
      <c r="I25" s="15">
        <v>150</v>
      </c>
      <c r="J25" s="103"/>
      <c r="K25" s="123" t="s">
        <v>27</v>
      </c>
      <c r="L25" s="15">
        <v>4</v>
      </c>
      <c r="M25" s="103"/>
      <c r="N25" s="110"/>
      <c r="O25" s="110"/>
      <c r="P25" s="110"/>
      <c r="Q25" s="110"/>
      <c r="R25" s="110"/>
      <c r="S25" s="110"/>
      <c r="T25" s="110"/>
      <c r="U25" s="110"/>
    </row>
    <row r="26" spans="2:21" ht="22" customHeight="1">
      <c r="B26" s="122" t="s">
        <v>28</v>
      </c>
      <c r="C26" s="12">
        <v>420000</v>
      </c>
      <c r="D26" s="111">
        <f>UBERSICHT!G12</f>
        <v>107952.6223</v>
      </c>
      <c r="E26" s="108">
        <v>0.25703005309523808</v>
      </c>
      <c r="F26" s="14">
        <v>31000</v>
      </c>
      <c r="G26" s="103"/>
      <c r="H26" s="123" t="s">
        <v>28</v>
      </c>
      <c r="I26" s="15">
        <v>450</v>
      </c>
      <c r="J26" s="103"/>
      <c r="K26" s="123" t="s">
        <v>28</v>
      </c>
      <c r="L26" s="15">
        <v>5</v>
      </c>
      <c r="M26" s="112"/>
      <c r="N26" s="110"/>
      <c r="O26" s="110"/>
      <c r="P26" s="110"/>
      <c r="Q26" s="110"/>
      <c r="R26" s="110"/>
      <c r="S26" s="110"/>
      <c r="T26" s="110"/>
      <c r="U26" s="110"/>
    </row>
    <row r="27" spans="2:21" ht="22" customHeight="1">
      <c r="B27" s="122" t="s">
        <v>29</v>
      </c>
      <c r="C27" s="12">
        <v>435000</v>
      </c>
      <c r="D27" s="111">
        <f>UBERSICHT!G13</f>
        <v>106914.2567</v>
      </c>
      <c r="E27" s="108">
        <v>0.24577990045977011</v>
      </c>
      <c r="F27" s="14">
        <v>31000</v>
      </c>
      <c r="G27" s="103"/>
      <c r="H27" s="123" t="s">
        <v>29</v>
      </c>
      <c r="I27" s="15">
        <v>150</v>
      </c>
      <c r="J27" s="103"/>
      <c r="K27" s="123" t="s">
        <v>29</v>
      </c>
      <c r="L27" s="15">
        <v>6</v>
      </c>
      <c r="M27" s="112"/>
      <c r="N27" s="110"/>
      <c r="O27" s="110"/>
      <c r="P27" s="110"/>
      <c r="Q27" s="110"/>
      <c r="R27" s="110"/>
      <c r="S27" s="110"/>
      <c r="T27" s="110"/>
      <c r="U27" s="110"/>
    </row>
    <row r="28" spans="2:21" ht="22" customHeight="1">
      <c r="B28" s="122" t="s">
        <v>30</v>
      </c>
      <c r="C28" s="12">
        <v>435000</v>
      </c>
      <c r="D28" s="111">
        <f>UBERSICHT!G15</f>
        <v>104235.64</v>
      </c>
      <c r="E28" s="108">
        <v>0.23962216091954022</v>
      </c>
      <c r="F28" s="14">
        <v>31000</v>
      </c>
      <c r="G28" s="103"/>
      <c r="H28" s="123" t="s">
        <v>30</v>
      </c>
      <c r="I28" s="15">
        <v>0</v>
      </c>
      <c r="J28" s="103"/>
      <c r="K28" s="123" t="s">
        <v>30</v>
      </c>
      <c r="L28" s="15">
        <v>7</v>
      </c>
      <c r="M28" s="112"/>
      <c r="N28" s="110"/>
      <c r="O28" s="110"/>
      <c r="P28" s="110"/>
      <c r="Q28" s="110"/>
      <c r="R28" s="110"/>
      <c r="S28" s="110"/>
      <c r="T28" s="110"/>
      <c r="U28" s="110"/>
    </row>
    <row r="29" spans="2:21" ht="22" customHeight="1">
      <c r="B29" s="122" t="s">
        <v>31</v>
      </c>
      <c r="C29" s="12">
        <v>435000</v>
      </c>
      <c r="D29" s="111">
        <f>UBERSICHT!G16</f>
        <v>104235.64</v>
      </c>
      <c r="E29" s="108">
        <v>0.23962216091954022</v>
      </c>
      <c r="F29" s="14">
        <v>31000</v>
      </c>
      <c r="G29" s="103"/>
      <c r="H29" s="123" t="s">
        <v>31</v>
      </c>
      <c r="I29" s="15">
        <v>150</v>
      </c>
      <c r="J29" s="103"/>
      <c r="K29" s="123" t="s">
        <v>31</v>
      </c>
      <c r="L29" s="15">
        <v>8</v>
      </c>
      <c r="M29" s="112"/>
      <c r="N29" s="110"/>
      <c r="O29" s="110"/>
      <c r="P29" s="110"/>
      <c r="Q29" s="110"/>
      <c r="R29" s="110"/>
      <c r="S29" s="110"/>
      <c r="T29" s="110"/>
      <c r="U29" s="110"/>
    </row>
    <row r="30" spans="2:21" ht="22" customHeight="1">
      <c r="B30" s="122" t="s">
        <v>32</v>
      </c>
      <c r="C30" s="12">
        <v>450000</v>
      </c>
      <c r="D30" s="111">
        <f>UBERSICHT!G17</f>
        <v>102652.5233</v>
      </c>
      <c r="E30" s="108">
        <v>0.22811671844444445</v>
      </c>
      <c r="F30" s="14">
        <v>31000</v>
      </c>
      <c r="G30" s="103"/>
      <c r="H30" s="123" t="s">
        <v>32</v>
      </c>
      <c r="I30" s="15">
        <v>0</v>
      </c>
      <c r="J30" s="103"/>
      <c r="K30" s="123" t="s">
        <v>32</v>
      </c>
      <c r="L30" s="15">
        <v>9</v>
      </c>
      <c r="M30" s="103"/>
      <c r="N30" s="110"/>
      <c r="O30" s="110"/>
      <c r="P30" s="110"/>
      <c r="Q30" s="110"/>
      <c r="R30" s="110"/>
      <c r="S30" s="110"/>
      <c r="T30" s="110"/>
      <c r="U30" s="110"/>
    </row>
    <row r="31" spans="2:21" ht="22" customHeight="1">
      <c r="B31" s="122" t="s">
        <v>33</v>
      </c>
      <c r="C31" s="12">
        <v>401000</v>
      </c>
      <c r="D31" s="111">
        <f>UBERSICHT!G19</f>
        <v>100340.32550000001</v>
      </c>
      <c r="E31" s="108">
        <v>0.25022525062344142</v>
      </c>
      <c r="F31" s="14">
        <v>31000</v>
      </c>
      <c r="G31" s="103"/>
      <c r="H31" s="123" t="s">
        <v>33</v>
      </c>
      <c r="I31" s="15">
        <v>0</v>
      </c>
      <c r="J31" s="103"/>
      <c r="K31" s="123" t="s">
        <v>33</v>
      </c>
      <c r="L31" s="15">
        <v>10</v>
      </c>
      <c r="M31" s="103"/>
      <c r="N31" s="110"/>
      <c r="O31" s="110"/>
      <c r="P31" s="110"/>
      <c r="Q31" s="110"/>
      <c r="R31" s="110"/>
      <c r="S31" s="110"/>
      <c r="T31" s="110"/>
      <c r="U31" s="110"/>
    </row>
    <row r="32" spans="2:21" ht="22" customHeight="1">
      <c r="B32" s="122" t="s">
        <v>34</v>
      </c>
      <c r="C32" s="12">
        <v>398000</v>
      </c>
      <c r="D32" s="111">
        <f>UBERSICHT!G20</f>
        <v>96656.89</v>
      </c>
      <c r="E32" s="108">
        <v>0.24285650753768845</v>
      </c>
      <c r="F32" s="14">
        <v>31000</v>
      </c>
      <c r="G32" s="103"/>
      <c r="H32" s="123" t="s">
        <v>34</v>
      </c>
      <c r="I32" s="15">
        <v>150</v>
      </c>
      <c r="J32" s="103"/>
      <c r="K32" s="123" t="s">
        <v>34</v>
      </c>
      <c r="L32" s="15">
        <v>11</v>
      </c>
      <c r="M32" s="103"/>
      <c r="N32" s="110"/>
      <c r="O32" s="110"/>
      <c r="P32" s="110"/>
      <c r="Q32" s="110"/>
      <c r="R32" s="110"/>
      <c r="S32" s="110"/>
      <c r="T32" s="110"/>
      <c r="U32" s="110"/>
    </row>
    <row r="33" spans="2:21" ht="22" customHeight="1" thickBot="1">
      <c r="B33" s="122" t="s">
        <v>35</v>
      </c>
      <c r="C33" s="17">
        <v>390000</v>
      </c>
      <c r="D33" s="113">
        <f>UBERSICHT!G21</f>
        <v>96656.89</v>
      </c>
      <c r="E33" s="109">
        <v>0.24783817948717948</v>
      </c>
      <c r="F33" s="19">
        <v>31000</v>
      </c>
      <c r="G33" s="103"/>
      <c r="H33" s="124" t="s">
        <v>35</v>
      </c>
      <c r="I33" s="20">
        <v>400</v>
      </c>
      <c r="J33" s="103"/>
      <c r="K33" s="124" t="s">
        <v>35</v>
      </c>
      <c r="L33" s="20">
        <v>12</v>
      </c>
      <c r="M33" s="103"/>
      <c r="N33" s="110"/>
      <c r="O33" s="110"/>
      <c r="P33" s="110"/>
      <c r="Q33" s="110"/>
      <c r="R33" s="110"/>
      <c r="S33" s="110"/>
      <c r="T33" s="110"/>
      <c r="U33" s="110"/>
    </row>
    <row r="34" spans="2:21" ht="15" thickBot="1">
      <c r="B34" s="103"/>
      <c r="C34" s="103"/>
      <c r="D34" s="103"/>
      <c r="E34" s="103"/>
      <c r="F34" s="103"/>
      <c r="G34" s="103"/>
      <c r="H34" s="103"/>
      <c r="I34" s="103"/>
      <c r="J34" s="103"/>
      <c r="K34" s="103"/>
      <c r="L34" s="103"/>
      <c r="M34" s="103"/>
      <c r="N34" s="110"/>
      <c r="O34" s="110"/>
      <c r="P34" s="110"/>
      <c r="Q34" s="110"/>
      <c r="R34" s="110"/>
      <c r="S34" s="110"/>
      <c r="T34" s="110"/>
      <c r="U34" s="110"/>
    </row>
    <row r="35" spans="2:21" ht="24" customHeight="1" thickBot="1">
      <c r="B35" s="125" t="s">
        <v>312</v>
      </c>
      <c r="C35" s="16">
        <v>2026</v>
      </c>
      <c r="D35" s="114"/>
      <c r="E35" s="114"/>
      <c r="F35" s="103"/>
      <c r="G35" s="103"/>
      <c r="H35" s="103"/>
      <c r="I35" s="103"/>
      <c r="J35" s="103"/>
      <c r="K35" s="103"/>
      <c r="L35" s="103"/>
      <c r="M35" s="103"/>
      <c r="N35" s="110"/>
      <c r="O35" s="110"/>
      <c r="P35" s="110"/>
      <c r="Q35" s="110"/>
      <c r="R35" s="110"/>
      <c r="S35" s="110"/>
      <c r="T35" s="110"/>
      <c r="U35" s="110"/>
    </row>
    <row r="36" spans="2:21">
      <c r="B36" s="114"/>
      <c r="C36" s="114"/>
      <c r="D36" s="114"/>
      <c r="E36" s="103"/>
      <c r="F36" s="103"/>
      <c r="G36" s="103"/>
      <c r="H36" s="103"/>
      <c r="I36" s="103"/>
      <c r="J36" s="103"/>
      <c r="K36" s="103"/>
      <c r="L36" s="103"/>
      <c r="M36" s="103"/>
      <c r="N36" s="110"/>
      <c r="O36" s="110"/>
      <c r="P36" s="110"/>
      <c r="Q36" s="110"/>
      <c r="R36" s="110"/>
      <c r="S36" s="110"/>
      <c r="T36" s="110"/>
      <c r="U36" s="110"/>
    </row>
    <row r="37" spans="2:21" ht="18" hidden="1" customHeight="1">
      <c r="B37" s="115" t="s">
        <v>183</v>
      </c>
      <c r="C37" s="116" t="s">
        <v>187</v>
      </c>
      <c r="D37" s="103"/>
      <c r="E37" s="103"/>
      <c r="F37" s="103"/>
      <c r="G37" s="103"/>
      <c r="H37" s="103"/>
      <c r="I37" s="103"/>
      <c r="J37" s="103"/>
      <c r="K37" s="103"/>
      <c r="L37" s="103"/>
      <c r="M37" s="103"/>
      <c r="N37" s="110"/>
      <c r="O37" s="110"/>
      <c r="P37" s="110"/>
      <c r="Q37" s="110"/>
      <c r="R37" s="110"/>
      <c r="S37" s="110"/>
      <c r="T37" s="110"/>
      <c r="U37" s="110"/>
    </row>
    <row r="38" spans="2:21" ht="22" hidden="1" customHeight="1">
      <c r="B38" s="117" t="s">
        <v>188</v>
      </c>
      <c r="C38" s="118">
        <v>0</v>
      </c>
      <c r="D38" s="103"/>
      <c r="E38" s="103"/>
      <c r="F38" s="103"/>
      <c r="G38" s="103"/>
      <c r="H38" s="103"/>
      <c r="I38" s="103"/>
      <c r="J38" s="103"/>
      <c r="K38" s="103"/>
      <c r="L38" s="103"/>
      <c r="M38" s="103"/>
      <c r="N38" s="110"/>
      <c r="O38" s="110"/>
      <c r="P38" s="110"/>
      <c r="Q38" s="110"/>
      <c r="R38" s="110"/>
      <c r="S38" s="110"/>
      <c r="T38" s="110"/>
      <c r="U38" s="110"/>
    </row>
    <row r="39" spans="2:21" ht="22" hidden="1" customHeight="1">
      <c r="B39" s="117" t="s">
        <v>189</v>
      </c>
      <c r="C39" s="118">
        <v>0</v>
      </c>
      <c r="D39" s="103"/>
      <c r="E39" s="103"/>
      <c r="F39" s="103"/>
      <c r="G39" s="103"/>
      <c r="H39" s="103"/>
      <c r="I39" s="103"/>
      <c r="J39" s="103"/>
      <c r="K39" s="103"/>
      <c r="L39" s="103"/>
      <c r="M39" s="103"/>
      <c r="N39" s="110"/>
      <c r="O39" s="110"/>
      <c r="P39" s="110"/>
      <c r="Q39" s="110"/>
      <c r="R39" s="110"/>
      <c r="S39" s="110"/>
      <c r="T39" s="110"/>
      <c r="U39" s="110"/>
    </row>
    <row r="40" spans="2:21" ht="22" hidden="1" customHeight="1">
      <c r="B40" s="117" t="s">
        <v>185</v>
      </c>
      <c r="C40" s="118">
        <v>0</v>
      </c>
      <c r="D40" s="103"/>
      <c r="E40" s="103"/>
      <c r="F40" s="103"/>
      <c r="G40" s="103"/>
      <c r="H40" s="103"/>
      <c r="I40" s="103"/>
      <c r="J40" s="103"/>
      <c r="K40" s="103"/>
      <c r="L40" s="103"/>
      <c r="M40" s="103"/>
      <c r="N40" s="110"/>
      <c r="O40" s="110"/>
      <c r="P40" s="110"/>
      <c r="Q40" s="110"/>
      <c r="R40" s="110"/>
      <c r="S40" s="110"/>
      <c r="T40" s="110"/>
      <c r="U40" s="110"/>
    </row>
    <row r="41" spans="2:21" ht="22" hidden="1" customHeight="1">
      <c r="B41" s="117" t="s">
        <v>190</v>
      </c>
      <c r="C41" s="118">
        <v>0</v>
      </c>
      <c r="D41" s="103"/>
      <c r="E41" s="103"/>
      <c r="F41" s="103"/>
      <c r="G41" s="103"/>
      <c r="H41" s="103"/>
      <c r="I41" s="103"/>
      <c r="J41" s="103"/>
      <c r="K41" s="103"/>
      <c r="L41" s="103"/>
      <c r="M41" s="103"/>
      <c r="N41" s="110"/>
      <c r="O41" s="110"/>
      <c r="P41" s="110"/>
      <c r="Q41" s="110"/>
      <c r="R41" s="110"/>
      <c r="S41" s="110"/>
      <c r="T41" s="110"/>
      <c r="U41" s="110"/>
    </row>
    <row r="42" spans="2:21" ht="22" hidden="1" customHeight="1">
      <c r="B42" s="117" t="s">
        <v>191</v>
      </c>
      <c r="C42" s="118">
        <v>0.35</v>
      </c>
      <c r="D42" s="103"/>
      <c r="E42" s="103"/>
      <c r="F42" s="103"/>
      <c r="G42" s="103"/>
      <c r="H42" s="103"/>
      <c r="I42" s="103"/>
      <c r="J42" s="103"/>
      <c r="K42" s="103"/>
      <c r="L42" s="103"/>
      <c r="M42" s="103"/>
      <c r="N42" s="110"/>
      <c r="O42" s="110"/>
      <c r="P42" s="110"/>
      <c r="Q42" s="110"/>
      <c r="R42" s="110"/>
      <c r="S42" s="110"/>
      <c r="T42" s="110"/>
      <c r="U42" s="110"/>
    </row>
    <row r="43" spans="2:21" ht="22" hidden="1" customHeight="1">
      <c r="B43" s="117" t="s">
        <v>192</v>
      </c>
      <c r="C43" s="118">
        <v>0.35</v>
      </c>
      <c r="D43" s="103"/>
      <c r="E43" s="103"/>
      <c r="F43" s="103"/>
      <c r="G43" s="103"/>
      <c r="H43" s="103"/>
      <c r="I43" s="103"/>
      <c r="J43" s="103"/>
      <c r="K43" s="103"/>
      <c r="L43" s="103"/>
      <c r="M43" s="103"/>
      <c r="N43" s="103"/>
      <c r="O43" s="103"/>
      <c r="P43" s="103"/>
      <c r="Q43" s="103"/>
      <c r="R43" s="103"/>
      <c r="S43" s="103"/>
      <c r="T43" s="103"/>
      <c r="U43" s="103"/>
    </row>
    <row r="44" spans="2:21" ht="22" hidden="1" customHeight="1">
      <c r="B44" s="117" t="s">
        <v>186</v>
      </c>
      <c r="C44" s="118">
        <v>0.5</v>
      </c>
      <c r="D44" s="103"/>
      <c r="E44" s="103"/>
      <c r="F44" s="103"/>
      <c r="G44" s="103"/>
      <c r="H44" s="103"/>
      <c r="I44" s="103"/>
      <c r="J44" s="103"/>
      <c r="K44" s="103"/>
      <c r="L44" s="103"/>
      <c r="M44" s="103"/>
      <c r="N44" s="103"/>
      <c r="O44" s="103"/>
      <c r="P44" s="103"/>
      <c r="Q44" s="103"/>
      <c r="R44" s="103"/>
      <c r="S44" s="103"/>
      <c r="T44" s="103"/>
      <c r="U44" s="103"/>
    </row>
    <row r="45" spans="2:21" ht="22" hidden="1" customHeight="1">
      <c r="B45" s="117" t="s">
        <v>193</v>
      </c>
      <c r="C45" s="118">
        <v>0.6</v>
      </c>
      <c r="D45" s="103"/>
      <c r="E45" s="103"/>
      <c r="F45" s="103"/>
      <c r="G45" s="103"/>
      <c r="H45" s="103"/>
      <c r="I45" s="103"/>
      <c r="J45" s="103"/>
      <c r="K45" s="103"/>
      <c r="L45" s="103"/>
      <c r="M45" s="103"/>
      <c r="N45" s="103"/>
      <c r="O45" s="103"/>
      <c r="P45" s="103"/>
      <c r="Q45" s="103"/>
      <c r="R45" s="103"/>
      <c r="S45" s="103"/>
      <c r="T45" s="103"/>
      <c r="U45" s="103"/>
    </row>
    <row r="46" spans="2:21" ht="22" hidden="1" customHeight="1">
      <c r="B46" s="117" t="s">
        <v>184</v>
      </c>
      <c r="C46" s="118">
        <v>0.75</v>
      </c>
      <c r="D46" s="103"/>
      <c r="E46" s="103"/>
      <c r="F46" s="103"/>
      <c r="G46" s="103"/>
      <c r="H46" s="103"/>
      <c r="I46" s="103"/>
      <c r="J46" s="103"/>
      <c r="K46" s="103"/>
      <c r="L46" s="103"/>
      <c r="M46" s="103"/>
      <c r="N46" s="103"/>
      <c r="O46" s="103"/>
      <c r="P46" s="103"/>
      <c r="Q46" s="103"/>
      <c r="R46" s="103"/>
      <c r="S46" s="103"/>
      <c r="T46" s="103"/>
      <c r="U46" s="103"/>
    </row>
    <row r="47" spans="2:21" ht="22" hidden="1" customHeight="1">
      <c r="B47" s="117" t="s">
        <v>194</v>
      </c>
      <c r="C47" s="118">
        <v>1</v>
      </c>
      <c r="D47" s="103"/>
      <c r="E47" s="103"/>
      <c r="F47" s="103"/>
      <c r="G47" s="103"/>
      <c r="H47" s="103"/>
      <c r="I47" s="103"/>
      <c r="J47" s="103"/>
      <c r="K47" s="103"/>
      <c r="L47" s="103"/>
      <c r="M47" s="103"/>
      <c r="N47" s="103"/>
      <c r="O47" s="103"/>
      <c r="P47" s="103"/>
      <c r="Q47" s="103"/>
      <c r="R47" s="103"/>
      <c r="S47" s="103"/>
      <c r="T47" s="103"/>
      <c r="U47" s="103"/>
    </row>
    <row r="48" spans="2:21" ht="22" hidden="1" customHeight="1">
      <c r="B48" s="117" t="s">
        <v>195</v>
      </c>
      <c r="C48" s="118">
        <v>1.1000000000000001</v>
      </c>
      <c r="D48" s="103"/>
      <c r="E48" s="103"/>
      <c r="F48" s="103"/>
      <c r="G48" s="103"/>
      <c r="H48" s="103"/>
      <c r="I48" s="103"/>
      <c r="J48" s="103"/>
      <c r="K48" s="103"/>
      <c r="L48" s="103"/>
      <c r="M48" s="103"/>
      <c r="N48" s="103"/>
      <c r="O48" s="103"/>
      <c r="P48" s="103"/>
      <c r="Q48" s="103"/>
      <c r="R48" s="103"/>
      <c r="S48" s="103"/>
      <c r="T48" s="103"/>
      <c r="U48" s="103"/>
    </row>
    <row r="49" spans="2:21" ht="22" hidden="1" customHeight="1" thickBot="1">
      <c r="B49" s="119" t="s">
        <v>196</v>
      </c>
      <c r="C49" s="120">
        <v>0.7</v>
      </c>
      <c r="D49" s="103"/>
      <c r="E49" s="103"/>
      <c r="F49" s="103"/>
      <c r="G49" s="103"/>
      <c r="H49" s="103"/>
      <c r="I49" s="103"/>
      <c r="J49" s="103"/>
      <c r="K49" s="103"/>
      <c r="L49" s="103"/>
      <c r="M49" s="103"/>
      <c r="N49" s="103"/>
      <c r="O49" s="103"/>
      <c r="P49" s="103"/>
      <c r="Q49" s="103"/>
      <c r="R49" s="103"/>
      <c r="S49" s="103"/>
      <c r="T49" s="103"/>
      <c r="U49" s="103"/>
    </row>
    <row r="50" spans="2:21" ht="15.5" hidden="1">
      <c r="B50" s="121"/>
      <c r="C50" s="121"/>
      <c r="D50" s="103"/>
      <c r="E50" s="103"/>
      <c r="F50" s="103"/>
      <c r="G50" s="103"/>
      <c r="H50" s="103"/>
      <c r="I50" s="103"/>
      <c r="J50" s="103"/>
      <c r="K50" s="103"/>
      <c r="L50" s="103"/>
      <c r="M50" s="103"/>
      <c r="N50" s="103"/>
      <c r="O50" s="103"/>
      <c r="P50" s="103"/>
      <c r="Q50" s="103"/>
      <c r="R50" s="103"/>
      <c r="S50" s="103"/>
      <c r="T50" s="103"/>
      <c r="U50" s="103"/>
    </row>
    <row r="51" spans="2:21" ht="15.5" hidden="1">
      <c r="B51" s="121"/>
      <c r="C51" s="121"/>
      <c r="D51" s="103"/>
      <c r="E51" s="103"/>
      <c r="F51" s="103"/>
      <c r="G51" s="103"/>
      <c r="H51" s="103"/>
      <c r="I51" s="103"/>
      <c r="J51" s="103"/>
      <c r="K51" s="103"/>
      <c r="L51" s="103"/>
      <c r="M51" s="103"/>
      <c r="N51" s="103"/>
      <c r="O51" s="103"/>
      <c r="P51" s="103"/>
      <c r="Q51" s="103"/>
      <c r="R51" s="103"/>
      <c r="S51" s="103"/>
      <c r="T51" s="103"/>
      <c r="U51" s="103"/>
    </row>
    <row r="52" spans="2:21" ht="18" hidden="1" customHeight="1">
      <c r="B52" s="115" t="s">
        <v>197</v>
      </c>
      <c r="C52" s="116" t="s">
        <v>198</v>
      </c>
      <c r="D52" s="103"/>
      <c r="E52" s="103"/>
      <c r="F52" s="103"/>
      <c r="G52" s="103"/>
      <c r="H52" s="103"/>
      <c r="I52" s="103"/>
      <c r="J52" s="103"/>
      <c r="K52" s="103"/>
      <c r="L52" s="103"/>
      <c r="M52" s="103"/>
      <c r="N52" s="103"/>
      <c r="O52" s="103"/>
      <c r="P52" s="103"/>
      <c r="Q52" s="103"/>
      <c r="R52" s="103"/>
      <c r="S52" s="103"/>
      <c r="T52" s="103"/>
      <c r="U52" s="103"/>
    </row>
    <row r="53" spans="2:21" ht="22" hidden="1" customHeight="1">
      <c r="B53" s="117" t="s">
        <v>199</v>
      </c>
      <c r="C53" s="118">
        <v>0.3</v>
      </c>
      <c r="D53" s="103"/>
      <c r="E53" s="103"/>
      <c r="F53" s="103"/>
      <c r="G53" s="103"/>
      <c r="H53" s="103"/>
      <c r="I53" s="103"/>
      <c r="J53" s="103"/>
      <c r="K53" s="103"/>
      <c r="L53" s="103"/>
      <c r="M53" s="103"/>
      <c r="N53" s="103"/>
      <c r="O53" s="103"/>
      <c r="P53" s="103"/>
      <c r="Q53" s="103"/>
      <c r="R53" s="103"/>
      <c r="S53" s="103"/>
      <c r="T53" s="103"/>
      <c r="U53" s="103"/>
    </row>
    <row r="54" spans="2:21" ht="22" hidden="1" customHeight="1">
      <c r="B54" s="117" t="s">
        <v>200</v>
      </c>
      <c r="C54" s="118">
        <v>0.5</v>
      </c>
      <c r="D54" s="103"/>
      <c r="E54" s="103"/>
      <c r="F54" s="103"/>
      <c r="G54" s="103"/>
      <c r="H54" s="103"/>
      <c r="I54" s="103"/>
      <c r="J54" s="103"/>
      <c r="K54" s="103"/>
      <c r="L54" s="103"/>
      <c r="M54" s="103"/>
      <c r="N54" s="103"/>
      <c r="O54" s="103"/>
      <c r="P54" s="103"/>
      <c r="Q54" s="103"/>
      <c r="R54" s="103"/>
      <c r="S54" s="103"/>
      <c r="T54" s="103"/>
      <c r="U54" s="103"/>
    </row>
    <row r="55" spans="2:21" ht="22" hidden="1" customHeight="1">
      <c r="B55" s="117" t="s">
        <v>201</v>
      </c>
      <c r="C55" s="118">
        <v>0.75</v>
      </c>
      <c r="D55" s="103"/>
      <c r="E55" s="103"/>
      <c r="F55" s="103"/>
      <c r="G55" s="103"/>
      <c r="H55" s="103"/>
      <c r="I55" s="103"/>
      <c r="J55" s="103"/>
      <c r="K55" s="103"/>
      <c r="L55" s="103"/>
      <c r="M55" s="103"/>
      <c r="N55" s="103"/>
      <c r="O55" s="103"/>
      <c r="P55" s="103"/>
      <c r="Q55" s="103"/>
      <c r="R55" s="103"/>
      <c r="S55" s="103"/>
      <c r="T55" s="103"/>
      <c r="U55" s="103"/>
    </row>
    <row r="56" spans="2:21" ht="22" hidden="1" customHeight="1">
      <c r="B56" s="117" t="s">
        <v>202</v>
      </c>
      <c r="C56" s="118">
        <v>1</v>
      </c>
      <c r="D56" s="103"/>
      <c r="E56" s="103"/>
      <c r="F56" s="103"/>
      <c r="G56" s="103"/>
      <c r="H56" s="103"/>
      <c r="I56" s="103"/>
      <c r="J56" s="103"/>
      <c r="K56" s="103"/>
      <c r="L56" s="103"/>
      <c r="M56" s="103"/>
      <c r="N56" s="103"/>
      <c r="O56" s="103"/>
      <c r="P56" s="103"/>
      <c r="Q56" s="103"/>
      <c r="R56" s="103"/>
      <c r="S56" s="103"/>
      <c r="T56" s="103"/>
      <c r="U56" s="103"/>
    </row>
    <row r="57" spans="2:21" ht="22" hidden="1" customHeight="1">
      <c r="B57" s="117" t="s">
        <v>203</v>
      </c>
      <c r="C57" s="118">
        <v>1.25</v>
      </c>
      <c r="D57" s="103"/>
      <c r="E57" s="103"/>
      <c r="F57" s="103"/>
      <c r="G57" s="103"/>
      <c r="H57" s="103"/>
      <c r="I57" s="103"/>
      <c r="J57" s="103"/>
      <c r="K57" s="103"/>
      <c r="L57" s="103"/>
      <c r="M57" s="103"/>
      <c r="N57" s="103"/>
      <c r="O57" s="103"/>
      <c r="P57" s="103"/>
      <c r="Q57" s="103"/>
      <c r="R57" s="103"/>
      <c r="S57" s="103"/>
      <c r="T57" s="103"/>
      <c r="U57" s="103"/>
    </row>
    <row r="58" spans="2:21" ht="22" hidden="1" customHeight="1">
      <c r="B58" s="117" t="s">
        <v>204</v>
      </c>
      <c r="C58" s="118">
        <v>1.5</v>
      </c>
      <c r="D58" s="103"/>
      <c r="E58" s="103"/>
      <c r="F58" s="103"/>
      <c r="G58" s="103"/>
      <c r="H58" s="103"/>
      <c r="I58" s="103"/>
      <c r="J58" s="103"/>
      <c r="K58" s="103"/>
      <c r="L58" s="103"/>
      <c r="M58" s="103"/>
      <c r="N58" s="103"/>
      <c r="O58" s="103"/>
      <c r="P58" s="103"/>
      <c r="Q58" s="103"/>
      <c r="R58" s="103"/>
      <c r="S58" s="103"/>
      <c r="T58" s="103"/>
      <c r="U58" s="103"/>
    </row>
    <row r="59" spans="2:21" ht="22" hidden="1" customHeight="1" thickBot="1">
      <c r="B59" s="119" t="s">
        <v>205</v>
      </c>
      <c r="C59" s="120">
        <v>2</v>
      </c>
      <c r="D59" s="103"/>
      <c r="E59" s="103"/>
      <c r="F59" s="103"/>
      <c r="G59" s="103"/>
      <c r="H59" s="103"/>
      <c r="I59" s="103"/>
      <c r="J59" s="103"/>
      <c r="K59" s="103"/>
      <c r="L59" s="103"/>
      <c r="M59" s="103"/>
      <c r="N59" s="103"/>
      <c r="O59" s="103"/>
      <c r="P59" s="103"/>
      <c r="Q59" s="103"/>
      <c r="R59" s="103"/>
      <c r="S59" s="103"/>
      <c r="T59" s="103"/>
      <c r="U59" s="103"/>
    </row>
    <row r="100" spans="26:26">
      <c r="Z100" s="101"/>
    </row>
  </sheetData>
  <sheetProtection algorithmName="SHA-512" hashValue="E2ZDUNYR4ng/sDJmbfzrvgF95fS7872RQVfsN7GGqHKKccO3EScV+MRP+Vx5KNRu6II91uqgr1lkxp6ub4PfoA==" saltValue="fZqjM/NaWjawr85JoC+hCw=="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tabSelected="1"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3.816406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1796875" style="221" bestFit="1" customWidth="1"/>
    <col min="29" max="16384" width="9.1796875" style="221"/>
  </cols>
  <sheetData>
    <row r="1" spans="1:28" ht="18" customHeight="1">
      <c r="A1" s="394">
        <v>1</v>
      </c>
      <c r="B1" s="395"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46023</v>
      </c>
    </row>
    <row r="2" spans="1:28" ht="18" customHeight="1" thickBot="1">
      <c r="A2" s="394"/>
      <c r="B2" s="307"/>
      <c r="C2" s="309"/>
      <c r="D2" s="309"/>
      <c r="E2" s="309"/>
      <c r="F2" s="309"/>
      <c r="G2" s="309"/>
      <c r="H2" s="309"/>
      <c r="I2" s="309"/>
      <c r="J2" s="309"/>
      <c r="K2" s="309"/>
      <c r="L2" s="309"/>
      <c r="M2" s="309"/>
      <c r="N2" s="310"/>
      <c r="O2" s="311"/>
      <c r="P2" s="311"/>
      <c r="Q2" s="311"/>
      <c r="S2" s="312" t="s">
        <v>384</v>
      </c>
      <c r="T2" s="312"/>
      <c r="U2" s="312"/>
      <c r="V2" s="312"/>
      <c r="AB2" s="306">
        <f>EOMONTH(DATE(EINSTELLUNG!$C$35,$A$1,1),0)</f>
        <v>46053</v>
      </c>
    </row>
    <row r="3" spans="1:28" ht="22" customHeight="1">
      <c r="A3" s="396">
        <v>1</v>
      </c>
      <c r="B3" s="32">
        <v>400002</v>
      </c>
      <c r="C3" s="33" t="s">
        <v>386</v>
      </c>
      <c r="D3" s="34">
        <v>33359</v>
      </c>
      <c r="E3" s="35" t="s">
        <v>2</v>
      </c>
      <c r="F3" s="36">
        <v>171</v>
      </c>
      <c r="G3" s="314">
        <v>2500</v>
      </c>
      <c r="H3" s="315">
        <f>IF(AND(ISNUMBER(D3),ISNUMBER(F3)),ROUNDDOWN(MIN(IF(OR(ISBLANK(I3),I3=""),EOMONTH(DATE(EINSTELLUNG!$C$35,$A$1,1),0),I3)-MAX(D3,DATE(EINSTELLUNG!$C$35,$A$1,1))+1)/DAY(EOMONTH(DATE(EINSTELLUNG!$C$35,$A$1,1),0))*F3,2),"")</f>
        <v>82.74</v>
      </c>
      <c r="I3" s="37">
        <v>46037</v>
      </c>
      <c r="J3" s="38">
        <v>2</v>
      </c>
      <c r="K3" s="314">
        <f t="shared" ref="K3:K34" si="0">IF(OR(B3="",C3=""),"",IFERROR(IF(OR(MONTH(D3)=1,MONTH(D3)=3,MONTH(D3)=5,MONTH(D3)=7,MONTH(D3)=8,MONTH(D3)=10,MONTH(D3)=12),(G3/31)*J3,IF(OR(MONTH(D3)=4,MONTH(D3)=6,MONTH(D3)=9,MONTH(D3)=11),(G3/30)*J3,(G3/DAY(EOMONTH(D3,0)))*J3)),0))</f>
        <v>161.29032258064515</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1370.9677419354837</v>
      </c>
      <c r="M3" s="39"/>
      <c r="N3" s="69" t="s">
        <v>194</v>
      </c>
      <c r="O3" s="317" t="s">
        <v>47</v>
      </c>
      <c r="P3" s="317" t="s">
        <v>48</v>
      </c>
      <c r="Q3" s="317" t="s">
        <v>49</v>
      </c>
      <c r="R3" s="318" t="s">
        <v>50</v>
      </c>
      <c r="S3" s="319"/>
      <c r="T3" s="319"/>
      <c r="U3" s="319"/>
      <c r="V3" s="319"/>
      <c r="AB3" s="320"/>
    </row>
    <row r="4" spans="1:28" ht="22" customHeight="1">
      <c r="A4" s="396">
        <v>2</v>
      </c>
      <c r="B4" s="40">
        <v>401010</v>
      </c>
      <c r="C4" s="41" t="s">
        <v>224</v>
      </c>
      <c r="D4" s="42">
        <v>39388</v>
      </c>
      <c r="E4" s="43" t="s">
        <v>2</v>
      </c>
      <c r="F4" s="44">
        <v>173</v>
      </c>
      <c r="G4" s="322">
        <v>2021</v>
      </c>
      <c r="H4" s="323">
        <f>IF(AND(ISNUMBER(D4),ISNUMBER(F4)),ROUNDDOWN(MIN(IF(OR(ISBLANK(I4),I4=""),EOMONTH(DATE(EINSTELLUNG!$C$35,$A$1,1),0),I4)-MAX(D4,DATE(EINSTELLUNG!$C$35,$A$1,1))+1)/DAY(EOMONTH(DATE(EINSTELLUNG!$C$35,$A$1,1),0))*F4,2),"")</f>
        <v>173</v>
      </c>
      <c r="I4" s="45"/>
      <c r="J4" s="46"/>
      <c r="K4" s="322">
        <f t="shared" si="0"/>
        <v>0</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2021</v>
      </c>
      <c r="M4" s="47"/>
      <c r="N4" s="70"/>
      <c r="O4" s="325"/>
      <c r="P4" s="325"/>
      <c r="Q4" s="325"/>
      <c r="R4" s="326"/>
      <c r="S4" s="319"/>
      <c r="T4" s="319"/>
      <c r="U4" s="319"/>
      <c r="V4" s="319"/>
    </row>
    <row r="5" spans="1:28" ht="22" customHeight="1">
      <c r="A5" s="396">
        <v>3</v>
      </c>
      <c r="B5" s="48">
        <v>401049</v>
      </c>
      <c r="C5" s="49" t="s">
        <v>225</v>
      </c>
      <c r="D5" s="50">
        <v>41130</v>
      </c>
      <c r="E5" s="51" t="s">
        <v>4</v>
      </c>
      <c r="F5" s="52">
        <v>173</v>
      </c>
      <c r="G5" s="322">
        <v>2123</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327" cm="1">
        <f t="array" ref="O5">SUMPRODUCT((F3:F82/4.310808)/5*2.08)</f>
        <v>728.74943166107107</v>
      </c>
      <c r="P5" s="328">
        <f>EINSTELLUNG!I6</f>
        <v>600</v>
      </c>
      <c r="Q5" s="328">
        <f>P5-O5</f>
        <v>-128.74943166107107</v>
      </c>
      <c r="R5" s="329">
        <f>IFERROR(Q5*Q42, 0)</f>
        <v>-1548.9532959138105</v>
      </c>
      <c r="S5" s="319"/>
      <c r="T5" s="319"/>
      <c r="U5" s="319"/>
      <c r="V5" s="319"/>
    </row>
    <row r="6" spans="1:28" ht="22" customHeight="1">
      <c r="A6" s="396">
        <v>4</v>
      </c>
      <c r="B6" s="40">
        <v>401047</v>
      </c>
      <c r="C6" s="41" t="s">
        <v>226</v>
      </c>
      <c r="D6" s="42">
        <v>41154</v>
      </c>
      <c r="E6" s="43" t="s">
        <v>4</v>
      </c>
      <c r="F6" s="44">
        <v>173</v>
      </c>
      <c r="G6" s="322">
        <v>2123</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96">
        <v>5</v>
      </c>
      <c r="B7" s="48">
        <v>401051</v>
      </c>
      <c r="C7" s="49" t="s">
        <v>227</v>
      </c>
      <c r="D7" s="50">
        <v>41176</v>
      </c>
      <c r="E7" s="51" t="s">
        <v>2</v>
      </c>
      <c r="F7" s="52">
        <v>173</v>
      </c>
      <c r="G7" s="322">
        <v>2021</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5"/>
      <c r="N7" s="71"/>
      <c r="O7" s="319"/>
      <c r="P7" s="319"/>
      <c r="Q7" s="319"/>
      <c r="R7" s="319"/>
      <c r="S7" s="319"/>
      <c r="T7" s="319"/>
      <c r="U7" s="319"/>
      <c r="V7" s="319"/>
    </row>
    <row r="8" spans="1:28" ht="22" customHeight="1">
      <c r="A8" s="396">
        <v>6</v>
      </c>
      <c r="B8" s="40">
        <v>401138</v>
      </c>
      <c r="C8" s="41" t="s">
        <v>228</v>
      </c>
      <c r="D8" s="42">
        <v>42006</v>
      </c>
      <c r="E8" s="43" t="s">
        <v>4</v>
      </c>
      <c r="F8" s="44">
        <v>173</v>
      </c>
      <c r="G8" s="322">
        <v>2123</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2"/>
      <c r="O8" s="333" t="s">
        <v>56</v>
      </c>
      <c r="P8" s="334"/>
      <c r="Q8" s="335">
        <f>SUM(H3:H82)</f>
        <v>7342.03</v>
      </c>
      <c r="R8" s="336"/>
      <c r="S8" s="319"/>
      <c r="T8" s="319"/>
      <c r="U8" s="319"/>
      <c r="V8" s="319"/>
    </row>
    <row r="9" spans="1:28" ht="22" customHeight="1">
      <c r="A9" s="396">
        <v>7</v>
      </c>
      <c r="B9" s="48">
        <v>401197</v>
      </c>
      <c r="C9" s="49" t="s">
        <v>229</v>
      </c>
      <c r="D9" s="50">
        <v>42644</v>
      </c>
      <c r="E9" s="51" t="s">
        <v>3</v>
      </c>
      <c r="F9" s="52">
        <v>173</v>
      </c>
      <c r="G9" s="322">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3"/>
      <c r="O9" s="337" t="s">
        <v>58</v>
      </c>
      <c r="P9" s="338"/>
      <c r="Q9" s="339">
        <f>EINSTELLUNG!L22</f>
        <v>1</v>
      </c>
      <c r="R9" s="340"/>
      <c r="S9" s="341">
        <f>IFERROR(Q9/Q8, 0)</f>
        <v>1.3620211303958169E-4</v>
      </c>
      <c r="T9" s="319"/>
      <c r="U9" s="319"/>
      <c r="V9" s="319"/>
    </row>
    <row r="10" spans="1:28" ht="22" customHeight="1">
      <c r="A10" s="396">
        <v>8</v>
      </c>
      <c r="B10" s="40">
        <v>401276</v>
      </c>
      <c r="C10" s="41" t="s">
        <v>392</v>
      </c>
      <c r="D10" s="42">
        <v>38899</v>
      </c>
      <c r="E10" s="43" t="s">
        <v>2</v>
      </c>
      <c r="F10" s="44">
        <v>55</v>
      </c>
      <c r="G10" s="322">
        <v>666</v>
      </c>
      <c r="H10" s="323">
        <f>IF(AND(ISNUMBER(D10),ISNUMBER(F10)),ROUNDDOWN(MIN(IF(OR(ISBLANK(I10),I10=""),EOMONTH(DATE(EINSTELLUNG!$C$35,$A$1,1),0),I10)-MAX(D10,DATE(EINSTELLUNG!$C$35,$A$1,1))+1)/DAY(EOMONTH(DATE(EINSTELLUNG!$C$35,$A$1,1),0))*F10,2),"")</f>
        <v>55</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47"/>
      <c r="N10" s="72"/>
      <c r="O10" s="337" t="s">
        <v>60</v>
      </c>
      <c r="P10" s="338"/>
      <c r="Q10" s="339">
        <f>EINSTELLUNG!I22</f>
        <v>150</v>
      </c>
      <c r="R10" s="340"/>
      <c r="S10" s="319"/>
      <c r="T10" s="319"/>
      <c r="U10" s="319"/>
      <c r="V10" s="319"/>
    </row>
    <row r="11" spans="1:28" ht="22" customHeight="1">
      <c r="A11" s="396">
        <v>9</v>
      </c>
      <c r="B11" s="48">
        <v>401307</v>
      </c>
      <c r="C11" s="49" t="s">
        <v>231</v>
      </c>
      <c r="D11" s="50">
        <v>43571</v>
      </c>
      <c r="E11" s="51" t="s">
        <v>2</v>
      </c>
      <c r="F11" s="52">
        <v>55</v>
      </c>
      <c r="G11" s="322">
        <v>666</v>
      </c>
      <c r="H11" s="323">
        <f>IF(AND(ISNUMBER(D11),ISNUMBER(F11)),ROUNDDOWN(MIN(IF(OR(ISBLANK(I11),I11=""),EOMONTH(DATE(EINSTELLUNG!$C$35,$A$1,1),0),I11)-MAX(D11,DATE(EINSTELLUNG!$C$35,$A$1,1))+1)/DAY(EOMONTH(DATE(EINSTELLUNG!$C$35,$A$1,1),0))*F11,2),"")</f>
        <v>55</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3"/>
      <c r="O11" s="337" t="s">
        <v>62</v>
      </c>
      <c r="P11" s="338"/>
      <c r="Q11" s="339">
        <f>P5</f>
        <v>600</v>
      </c>
      <c r="R11" s="340"/>
      <c r="S11" s="319"/>
      <c r="T11" s="319"/>
      <c r="U11" s="319"/>
      <c r="V11" s="319"/>
    </row>
    <row r="12" spans="1:28" ht="22" customHeight="1">
      <c r="A12" s="396">
        <v>10</v>
      </c>
      <c r="B12" s="40">
        <v>401308</v>
      </c>
      <c r="C12" s="41" t="s">
        <v>232</v>
      </c>
      <c r="D12" s="42">
        <v>43579</v>
      </c>
      <c r="E12" s="43" t="s">
        <v>3</v>
      </c>
      <c r="F12" s="44">
        <v>173</v>
      </c>
      <c r="G12" s="322">
        <v>2082</v>
      </c>
      <c r="H12" s="323">
        <f>IF(AND(ISNUMBER(D12),ISNUMBER(F12)),ROUNDDOWN(MIN(IF(OR(ISBLANK(I12),I12=""),EOMONTH(DATE(EINSTELLUNG!$C$35,$A$1,1),0),I12)-MAX(D12,DATE(EINSTELLUNG!$C$35,$A$1,1))+1)/DAY(EOMONTH(DATE(EINSTELLUNG!$C$35,$A$1,1),0))*F12,2),"")</f>
        <v>173</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7"/>
      <c r="N12" s="72"/>
      <c r="O12" s="337" t="s">
        <v>64</v>
      </c>
      <c r="P12" s="338"/>
      <c r="Q12" s="167">
        <v>300</v>
      </c>
      <c r="R12" s="168"/>
      <c r="S12" s="319"/>
      <c r="T12" s="319"/>
      <c r="U12" s="319"/>
      <c r="V12" s="319"/>
    </row>
    <row r="13" spans="1:28" ht="22" customHeight="1">
      <c r="A13" s="396">
        <v>11</v>
      </c>
      <c r="B13" s="48">
        <v>401394</v>
      </c>
      <c r="C13" s="49" t="s">
        <v>233</v>
      </c>
      <c r="D13" s="50">
        <v>44379</v>
      </c>
      <c r="E13" s="51" t="s">
        <v>2</v>
      </c>
      <c r="F13" s="52">
        <v>173</v>
      </c>
      <c r="G13" s="322">
        <v>2021</v>
      </c>
      <c r="H13" s="323">
        <f>IF(AND(ISNUMBER(D13),ISNUMBER(F13)),ROUNDDOWN(MIN(IF(OR(ISBLANK(I13),I13=""),EOMONTH(DATE(EINSTELLUNG!$C$35,$A$1,1),0),I13)-MAX(D13,DATE(EINSTELLUNG!$C$35,$A$1,1))+1)/DAY(EOMONTH(DATE(EINSTELLUNG!$C$35,$A$1,1),0))*F13,2),"")</f>
        <v>173</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5"/>
      <c r="N13" s="73"/>
      <c r="O13" s="337" t="s">
        <v>66</v>
      </c>
      <c r="P13" s="338"/>
      <c r="Q13" s="339">
        <f>Q8-Q9-Q10-Q11-Q12</f>
        <v>6291.03</v>
      </c>
      <c r="R13" s="340"/>
      <c r="S13" s="319"/>
      <c r="T13" s="319"/>
      <c r="U13" s="319"/>
      <c r="V13" s="319"/>
    </row>
    <row r="14" spans="1:28" ht="22" customHeight="1">
      <c r="A14" s="396">
        <v>12</v>
      </c>
      <c r="B14" s="40">
        <v>401389</v>
      </c>
      <c r="C14" s="41" t="s">
        <v>234</v>
      </c>
      <c r="D14" s="42">
        <v>44384</v>
      </c>
      <c r="E14" s="43" t="s">
        <v>4</v>
      </c>
      <c r="F14" s="44">
        <v>151.38</v>
      </c>
      <c r="G14" s="322">
        <v>1857.63</v>
      </c>
      <c r="H14" s="323">
        <f>IF(AND(ISNUMBER(D14),ISNUMBER(F14)),ROUNDDOWN(MIN(IF(OR(ISBLANK(I14),I14=""),EOMONTH(DATE(EINSTELLUNG!$C$35,$A$1,1),0),I14)-MAX(D14,DATE(EINSTELLUNG!$C$35,$A$1,1))+1)/DAY(EOMONTH(DATE(EINSTELLUNG!$C$35,$A$1,1),0))*F14,2),"")</f>
        <v>151.38</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7"/>
      <c r="N14" s="72"/>
      <c r="O14" s="337" t="s">
        <v>68</v>
      </c>
      <c r="P14" s="338"/>
      <c r="Q14" s="339">
        <f>EINSTELLUNG!L6</f>
        <v>9300</v>
      </c>
      <c r="R14" s="340"/>
      <c r="S14" s="319"/>
      <c r="T14" s="319"/>
      <c r="U14" s="319"/>
      <c r="V14" s="319"/>
    </row>
    <row r="15" spans="1:28" ht="22" customHeight="1" thickBot="1">
      <c r="A15" s="396">
        <v>13</v>
      </c>
      <c r="B15" s="48">
        <v>401432</v>
      </c>
      <c r="C15" s="49" t="s">
        <v>235</v>
      </c>
      <c r="D15" s="50">
        <v>44441</v>
      </c>
      <c r="E15" s="51" t="s">
        <v>2</v>
      </c>
      <c r="F15" s="52">
        <v>173</v>
      </c>
      <c r="G15" s="322">
        <v>2021</v>
      </c>
      <c r="H15" s="323">
        <f>IF(AND(ISNUMBER(D15),ISNUMBER(F15)),ROUNDDOWN(MIN(IF(OR(ISBLANK(I15),I15=""),EOMONTH(DATE(EINSTELLUNG!$C$35,$A$1,1),0),I15)-MAX(D15,DATE(EINSTELLUNG!$C$35,$A$1,1))+1)/DAY(EOMONTH(DATE(EINSTELLUNG!$C$35,$A$1,1),0))*F15,2),"")</f>
        <v>173</v>
      </c>
      <c r="I15" s="53"/>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5"/>
      <c r="N15" s="73"/>
      <c r="O15" s="342" t="s">
        <v>70</v>
      </c>
      <c r="P15" s="343"/>
      <c r="Q15" s="344">
        <f>Q13-Q14</f>
        <v>-3008.9700000000003</v>
      </c>
      <c r="R15" s="345"/>
      <c r="S15" s="346"/>
      <c r="T15" s="346"/>
      <c r="U15" s="346"/>
      <c r="V15" s="319"/>
    </row>
    <row r="16" spans="1:28" ht="22" customHeight="1" thickBot="1">
      <c r="A16" s="396">
        <v>14</v>
      </c>
      <c r="B16" s="40">
        <v>401558</v>
      </c>
      <c r="C16" s="41" t="s">
        <v>236</v>
      </c>
      <c r="D16" s="42">
        <v>44460</v>
      </c>
      <c r="E16" s="43" t="s">
        <v>2</v>
      </c>
      <c r="F16" s="44">
        <v>173</v>
      </c>
      <c r="G16" s="322">
        <v>2021</v>
      </c>
      <c r="H16" s="323">
        <f>IF(AND(ISNUMBER(D16),ISNUMBER(F16)),ROUNDDOWN(MIN(IF(OR(ISBLANK(I16),I16=""),EOMONTH(DATE(EINSTELLUNG!$C$35,$A$1,1),0),I16)-MAX(D16,DATE(EINSTELLUNG!$C$35,$A$1,1))+1)/DAY(EOMONTH(DATE(EINSTELLUNG!$C$35,$A$1,1),0))*F16,2),"")</f>
        <v>173</v>
      </c>
      <c r="I16" s="45"/>
      <c r="J16" s="46"/>
      <c r="K16" s="322">
        <f t="shared" si="0"/>
        <v>0</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2"/>
      <c r="O16" s="397" t="str">
        <f>IF(Q15&lt;0, "Schlecht! Zu wenig Stunden für Dienstplan.", IF(Q15&gt;0, "Du hast mehr als genug Stunden für Dienstplan.", ""))</f>
        <v>Schlecht! Zu wenig Stunden für Dienstplan.</v>
      </c>
      <c r="P16" s="348"/>
      <c r="Q16" s="348"/>
      <c r="R16" s="349"/>
      <c r="S16" s="350"/>
      <c r="T16" s="350"/>
      <c r="U16" s="350"/>
      <c r="V16" s="350"/>
      <c r="W16" s="351"/>
    </row>
    <row r="17" spans="1:29" ht="22" customHeight="1">
      <c r="A17" s="396">
        <v>15</v>
      </c>
      <c r="B17" s="48">
        <v>401476</v>
      </c>
      <c r="C17" s="49" t="s">
        <v>237</v>
      </c>
      <c r="D17" s="50">
        <v>44504</v>
      </c>
      <c r="E17" s="51" t="s">
        <v>2</v>
      </c>
      <c r="F17" s="52">
        <v>173</v>
      </c>
      <c r="G17" s="322">
        <v>2021</v>
      </c>
      <c r="H17" s="323">
        <f>IF(AND(ISNUMBER(D17),ISNUMBER(F17)),ROUNDDOWN(MIN(IF(OR(ISBLANK(I17),I17=""),EOMONTH(DATE(EINSTELLUNG!$C$35,$A$1,1),0),I17)-MAX(D17,DATE(EINSTELLUNG!$C$35,$A$1,1))+1)/DAY(EOMONTH(DATE(EINSTELLUNG!$C$35,$A$1,1),0))*F17,2),"")</f>
        <v>173</v>
      </c>
      <c r="I17" s="53"/>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5"/>
      <c r="N17" s="73"/>
      <c r="O17" s="333" t="s">
        <v>73</v>
      </c>
      <c r="P17" s="334"/>
      <c r="Q17" s="353">
        <f>SUM(L3:L82)</f>
        <v>88330.188494623653</v>
      </c>
      <c r="R17" s="354"/>
      <c r="S17" s="319"/>
      <c r="T17" s="319"/>
      <c r="U17" s="319"/>
      <c r="V17" s="319"/>
      <c r="W17" s="351"/>
    </row>
    <row r="18" spans="1:29" ht="22" customHeight="1">
      <c r="A18" s="396">
        <v>16</v>
      </c>
      <c r="B18" s="40">
        <v>401479</v>
      </c>
      <c r="C18" s="41" t="s">
        <v>238</v>
      </c>
      <c r="D18" s="42">
        <v>44511</v>
      </c>
      <c r="E18" s="43" t="s">
        <v>6</v>
      </c>
      <c r="F18" s="44">
        <v>173</v>
      </c>
      <c r="G18" s="322">
        <v>2160</v>
      </c>
      <c r="H18" s="323">
        <f>IF(AND(ISNUMBER(D18),ISNUMBER(F18)),ROUNDDOWN(MIN(IF(OR(ISBLANK(I18),I18=""),EOMONTH(DATE(EINSTELLUNG!$C$35,$A$1,1),0),I18)-MAX(D18,DATE(EINSTELLUNG!$C$35,$A$1,1))+1)/DAY(EOMONTH(DATE(EINSTELLUNG!$C$35,$A$1,1),0))*F18,2),"")</f>
        <v>173</v>
      </c>
      <c r="I18" s="45"/>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7"/>
      <c r="N18" s="72"/>
      <c r="O18" s="398" t="s">
        <v>376</v>
      </c>
      <c r="P18" s="356"/>
      <c r="Q18" s="357">
        <v>20</v>
      </c>
      <c r="R18" s="358"/>
      <c r="S18" s="319"/>
      <c r="T18" s="319"/>
      <c r="U18" s="319"/>
      <c r="V18" s="319"/>
    </row>
    <row r="19" spans="1:29" ht="22" customHeight="1">
      <c r="A19" s="396">
        <v>17</v>
      </c>
      <c r="B19" s="48">
        <v>401481</v>
      </c>
      <c r="C19" s="49" t="s">
        <v>239</v>
      </c>
      <c r="D19" s="50">
        <v>44531</v>
      </c>
      <c r="E19" s="51" t="s">
        <v>3</v>
      </c>
      <c r="F19" s="52">
        <v>173</v>
      </c>
      <c r="G19" s="322">
        <v>2082</v>
      </c>
      <c r="H19" s="323">
        <f>IF(AND(ISNUMBER(D19),ISNUMBER(F19)),ROUNDDOWN(MIN(IF(OR(ISBLANK(I19),I19=""),EOMONTH(DATE(EINSTELLUNG!$C$35,$A$1,1),0),I19)-MAX(D19,DATE(EINSTELLUNG!$C$35,$A$1,1))+1)/DAY(EOMONTH(DATE(EINSTELLUNG!$C$35,$A$1,1),0))*F19,2),"")</f>
        <v>173</v>
      </c>
      <c r="I19" s="53"/>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5"/>
      <c r="N19" s="73"/>
      <c r="O19" s="398" t="s">
        <v>294</v>
      </c>
      <c r="P19" s="356"/>
      <c r="Q19" s="357">
        <v>333</v>
      </c>
      <c r="R19" s="358"/>
      <c r="S19" s="319"/>
      <c r="T19" s="319"/>
      <c r="U19" s="319"/>
      <c r="V19" s="319"/>
    </row>
    <row r="20" spans="1:29" ht="22" customHeight="1">
      <c r="A20" s="396">
        <v>18</v>
      </c>
      <c r="B20" s="40">
        <v>401564</v>
      </c>
      <c r="C20" s="41" t="s">
        <v>240</v>
      </c>
      <c r="D20" s="42">
        <v>44824</v>
      </c>
      <c r="E20" s="43" t="s">
        <v>2</v>
      </c>
      <c r="F20" s="44">
        <v>151.38</v>
      </c>
      <c r="G20" s="322">
        <v>1768.38</v>
      </c>
      <c r="H20" s="323">
        <f>IF(AND(ISNUMBER(D20),ISNUMBER(F20)),ROUNDDOWN(MIN(IF(OR(ISBLANK(I20),I20=""),EOMONTH(DATE(EINSTELLUNG!$C$35,$A$1,1),0),I20)-MAX(D20,DATE(EINSTELLUNG!$C$35,$A$1,1))+1)/DAY(EOMONTH(DATE(EINSTELLUNG!$C$35,$A$1,1),0))*F20,2),"")</f>
        <v>151.38</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7"/>
      <c r="N20" s="72"/>
      <c r="O20" s="398" t="s">
        <v>294</v>
      </c>
      <c r="P20" s="356"/>
      <c r="Q20" s="357">
        <v>35</v>
      </c>
      <c r="R20" s="358"/>
      <c r="S20" s="319"/>
      <c r="T20" s="319"/>
      <c r="U20" s="319"/>
      <c r="V20" s="319"/>
    </row>
    <row r="21" spans="1:29" ht="22" customHeight="1">
      <c r="A21" s="396">
        <v>19</v>
      </c>
      <c r="B21" s="48">
        <v>401089</v>
      </c>
      <c r="C21" s="49" t="s">
        <v>241</v>
      </c>
      <c r="D21" s="50">
        <v>44868</v>
      </c>
      <c r="E21" s="51" t="s">
        <v>3</v>
      </c>
      <c r="F21" s="52">
        <v>173</v>
      </c>
      <c r="G21" s="322">
        <v>2082</v>
      </c>
      <c r="H21" s="323">
        <f>IF(AND(ISNUMBER(D21),ISNUMBER(F21)),ROUNDDOWN(MIN(IF(OR(ISBLANK(I21),I21=""),EOMONTH(DATE(EINSTELLUNG!$C$35,$A$1,1),0),I21)-MAX(D21,DATE(EINSTELLUNG!$C$35,$A$1,1))+1)/DAY(EOMONTH(DATE(EINSTELLUNG!$C$35,$A$1,1),0))*F21,2),"")</f>
        <v>173</v>
      </c>
      <c r="I21" s="53"/>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3"/>
      <c r="O21" s="398" t="s">
        <v>294</v>
      </c>
      <c r="P21" s="356"/>
      <c r="Q21" s="357">
        <v>100</v>
      </c>
      <c r="R21" s="358"/>
      <c r="S21" s="319"/>
      <c r="T21" s="319"/>
      <c r="U21" s="319"/>
      <c r="V21" s="319"/>
    </row>
    <row r="22" spans="1:29" ht="22" customHeight="1">
      <c r="A22" s="396">
        <v>20</v>
      </c>
      <c r="B22" s="40">
        <v>401583</v>
      </c>
      <c r="C22" s="41" t="s">
        <v>242</v>
      </c>
      <c r="D22" s="42">
        <v>44900</v>
      </c>
      <c r="E22" s="43" t="s">
        <v>13</v>
      </c>
      <c r="F22" s="44">
        <v>173</v>
      </c>
      <c r="G22" s="322">
        <v>2328</v>
      </c>
      <c r="H22" s="323">
        <f>IF(AND(ISNUMBER(D22),ISNUMBER(F22)),ROUNDDOWN(MIN(IF(OR(ISBLANK(I22),I22=""),EOMONTH(DATE(EINSTELLUNG!$C$35,$A$1,1),0),I22)-MAX(D22,DATE(EINSTELLUNG!$C$35,$A$1,1))+1)/DAY(EOMONTH(DATE(EINSTELLUNG!$C$35,$A$1,1),0))*F22,2),"")</f>
        <v>173</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7"/>
      <c r="N22" s="72"/>
      <c r="O22" s="398" t="s">
        <v>294</v>
      </c>
      <c r="P22" s="356"/>
      <c r="Q22" s="357"/>
      <c r="R22" s="358"/>
      <c r="S22" s="319"/>
      <c r="T22" s="319"/>
      <c r="U22" s="319"/>
      <c r="V22" s="319"/>
    </row>
    <row r="23" spans="1:29" ht="22" customHeight="1">
      <c r="A23" s="396">
        <v>21</v>
      </c>
      <c r="B23" s="48">
        <v>401589</v>
      </c>
      <c r="C23" s="49" t="s">
        <v>243</v>
      </c>
      <c r="D23" s="50">
        <v>44926</v>
      </c>
      <c r="E23" s="51" t="s">
        <v>10</v>
      </c>
      <c r="F23" s="52">
        <v>173</v>
      </c>
      <c r="G23" s="322">
        <v>2300</v>
      </c>
      <c r="H23" s="323">
        <f>IF(AND(ISNUMBER(D23),ISNUMBER(F23)),ROUNDDOWN(MIN(IF(OR(ISBLANK(I23),I23=""),EOMONTH(DATE(EINSTELLUNG!$C$35,$A$1,1),0),I23)-MAX(D23,DATE(EINSTELLUNG!$C$35,$A$1,1))+1)/DAY(EOMONTH(DATE(EINSTELLUNG!$C$35,$A$1,1),0))*F23,2),"")</f>
        <v>173</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3"/>
      <c r="O23" s="398" t="s">
        <v>294</v>
      </c>
      <c r="P23" s="356"/>
      <c r="Q23" s="357">
        <v>5000</v>
      </c>
      <c r="R23" s="358"/>
      <c r="S23" s="319"/>
      <c r="T23" s="319"/>
      <c r="U23" s="319"/>
      <c r="V23" s="319"/>
      <c r="W23" s="351"/>
    </row>
    <row r="24" spans="1:29" ht="22" customHeight="1">
      <c r="A24" s="396">
        <v>22</v>
      </c>
      <c r="B24" s="40">
        <v>401602</v>
      </c>
      <c r="C24" s="41" t="s">
        <v>244</v>
      </c>
      <c r="D24" s="42">
        <v>45975</v>
      </c>
      <c r="E24" s="43" t="s">
        <v>2</v>
      </c>
      <c r="F24" s="44">
        <v>169</v>
      </c>
      <c r="G24" s="322">
        <v>2000</v>
      </c>
      <c r="H24" s="323">
        <f>IF(AND(ISNUMBER(D24),ISNUMBER(F24)),ROUNDDOWN(MIN(IF(OR(ISBLANK(I24),I24=""),EOMONTH(DATE(EINSTELLUNG!$C$35,$A$1,1),0),I24)-MAX(D24,DATE(EINSTELLUNG!$C$35,$A$1,1))+1)/DAY(EOMONTH(DATE(EINSTELLUNG!$C$35,$A$1,1),0))*F24,2),"")</f>
        <v>169</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7"/>
      <c r="N24" s="72"/>
      <c r="O24" s="398"/>
      <c r="P24" s="356"/>
      <c r="Q24" s="357"/>
      <c r="R24" s="358"/>
      <c r="S24" s="319"/>
      <c r="T24" s="319"/>
      <c r="U24" s="319"/>
      <c r="V24" s="319"/>
      <c r="W24" s="351"/>
    </row>
    <row r="25" spans="1:29" ht="22" customHeight="1">
      <c r="A25" s="396">
        <v>23</v>
      </c>
      <c r="B25" s="48">
        <v>401406</v>
      </c>
      <c r="C25" s="49" t="s">
        <v>393</v>
      </c>
      <c r="D25" s="50">
        <v>36850</v>
      </c>
      <c r="E25" s="51" t="s">
        <v>10</v>
      </c>
      <c r="F25" s="52">
        <v>151.38</v>
      </c>
      <c r="G25" s="322">
        <v>2012.5</v>
      </c>
      <c r="H25" s="323">
        <f>IF(AND(ISNUMBER(D25),ISNUMBER(F25)),ROUNDDOWN(MIN(IF(OR(ISBLANK(I25),I25=""),EOMONTH(DATE(EINSTELLUNG!$C$35,$A$1,1),0),I25)-MAX(D25,DATE(EINSTELLUNG!$C$35,$A$1,1))+1)/DAY(EOMONTH(DATE(EINSTELLUNG!$C$35,$A$1,1),0))*F25,2),"")</f>
        <v>151.38</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5"/>
      <c r="N25" s="73"/>
      <c r="O25" s="398"/>
      <c r="P25" s="356"/>
      <c r="Q25" s="357"/>
      <c r="R25" s="358"/>
      <c r="S25" s="319"/>
      <c r="T25" s="319"/>
      <c r="U25" s="319"/>
      <c r="V25" s="319"/>
    </row>
    <row r="26" spans="1:29" ht="22" customHeight="1">
      <c r="A26" s="396">
        <v>24</v>
      </c>
      <c r="B26" s="40">
        <v>401626</v>
      </c>
      <c r="C26" s="41" t="s">
        <v>246</v>
      </c>
      <c r="D26" s="42">
        <v>45063</v>
      </c>
      <c r="E26" s="43" t="s">
        <v>2</v>
      </c>
      <c r="F26" s="44">
        <v>173</v>
      </c>
      <c r="G26" s="322">
        <v>2021</v>
      </c>
      <c r="H26" s="323">
        <f>IF(AND(ISNUMBER(D26),ISNUMBER(F26)),ROUNDDOWN(MIN(IF(OR(ISBLANK(I26),I26=""),EOMONTH(DATE(EINSTELLUNG!$C$35,$A$1,1),0),I26)-MAX(D26,DATE(EINSTELLUNG!$C$35,$A$1,1))+1)/DAY(EOMONTH(DATE(EINSTELLUNG!$C$35,$A$1,1),0))*F26,2),"")</f>
        <v>173</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2"/>
      <c r="O26" s="398"/>
      <c r="P26" s="356"/>
      <c r="Q26" s="357"/>
      <c r="R26" s="358"/>
      <c r="S26" s="319"/>
      <c r="T26" s="319"/>
      <c r="U26" s="319"/>
      <c r="V26" s="319"/>
    </row>
    <row r="27" spans="1:29" ht="22" customHeight="1">
      <c r="A27" s="396">
        <v>25</v>
      </c>
      <c r="B27" s="48">
        <v>401633</v>
      </c>
      <c r="C27" s="49" t="s">
        <v>247</v>
      </c>
      <c r="D27" s="50">
        <v>45089</v>
      </c>
      <c r="E27" s="51" t="s">
        <v>10</v>
      </c>
      <c r="F27" s="52">
        <v>173</v>
      </c>
      <c r="G27" s="322">
        <v>2300</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5"/>
      <c r="N27" s="73"/>
      <c r="O27" s="398"/>
      <c r="P27" s="356"/>
      <c r="Q27" s="357"/>
      <c r="R27" s="358"/>
      <c r="S27" s="359" t="s">
        <v>84</v>
      </c>
      <c r="T27" s="359"/>
      <c r="U27" s="359"/>
      <c r="V27" s="359"/>
    </row>
    <row r="28" spans="1:29" ht="22" customHeight="1">
      <c r="A28" s="396">
        <v>26</v>
      </c>
      <c r="B28" s="40">
        <v>401647</v>
      </c>
      <c r="C28" s="41" t="s">
        <v>248</v>
      </c>
      <c r="D28" s="42">
        <v>45182</v>
      </c>
      <c r="E28" s="43" t="s">
        <v>2</v>
      </c>
      <c r="F28" s="44">
        <v>173</v>
      </c>
      <c r="G28" s="322">
        <v>2021</v>
      </c>
      <c r="H28" s="323">
        <f>IF(AND(ISNUMBER(D28),ISNUMBER(F28)),ROUNDDOWN(MIN(IF(OR(ISBLANK(I28),I28=""),EOMONTH(DATE(EINSTELLUNG!$C$35,$A$1,1),0),I28)-MAX(D28,DATE(EINSTELLUNG!$C$35,$A$1,1))+1)/DAY(EOMONTH(DATE(EINSTELLUNG!$C$35,$A$1,1),0))*F28,2),"")</f>
        <v>173</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2"/>
      <c r="O28" s="398"/>
      <c r="P28" s="356"/>
      <c r="Q28" s="357"/>
      <c r="R28" s="358"/>
      <c r="S28" s="319"/>
      <c r="T28" s="319"/>
      <c r="U28" s="319"/>
      <c r="V28" s="319"/>
    </row>
    <row r="29" spans="1:29" ht="22" customHeight="1" thickBot="1">
      <c r="A29" s="396">
        <v>27</v>
      </c>
      <c r="B29" s="48">
        <v>401661</v>
      </c>
      <c r="C29" s="49" t="s">
        <v>249</v>
      </c>
      <c r="D29" s="50">
        <v>45261</v>
      </c>
      <c r="E29" s="51" t="s">
        <v>2</v>
      </c>
      <c r="F29" s="52">
        <v>173</v>
      </c>
      <c r="G29" s="322">
        <v>2021</v>
      </c>
      <c r="H29" s="323">
        <f>IF(AND(ISNUMBER(D29),ISNUMBER(F29)),ROUNDDOWN(MIN(IF(OR(ISBLANK(I29),I29=""),EOMONTH(DATE(EINSTELLUNG!$C$35,$A$1,1),0),I29)-MAX(D29,DATE(EINSTELLUNG!$C$35,$A$1,1))+1)/DAY(EOMONTH(DATE(EINSTELLUNG!$C$35,$A$1,1),0))*F29,2),"")</f>
        <v>173</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3"/>
      <c r="O29" s="342" t="s">
        <v>87</v>
      </c>
      <c r="P29" s="343"/>
      <c r="Q29" s="361">
        <f>EINSTELLUNG!O6</f>
        <v>1250</v>
      </c>
      <c r="R29" s="362"/>
      <c r="S29" s="319"/>
      <c r="T29" s="319"/>
      <c r="U29" s="319"/>
      <c r="V29" s="319"/>
    </row>
    <row r="30" spans="1:29" ht="22" customHeight="1" thickBot="1">
      <c r="A30" s="396">
        <v>28</v>
      </c>
      <c r="B30" s="40">
        <v>401670</v>
      </c>
      <c r="C30" s="41" t="s">
        <v>250</v>
      </c>
      <c r="D30" s="42">
        <v>45358</v>
      </c>
      <c r="E30" s="43" t="s">
        <v>2</v>
      </c>
      <c r="F30" s="44">
        <v>173</v>
      </c>
      <c r="G30" s="322">
        <v>2021</v>
      </c>
      <c r="H30" s="323">
        <f>IF(AND(ISNUMBER(D30),ISNUMBER(F30)),ROUNDDOWN(MIN(IF(OR(ISBLANK(I30),I30=""),EOMONTH(DATE(EINSTELLUNG!$C$35,$A$1,1),0),I30)-MAX(D30,DATE(EINSTELLUNG!$C$35,$A$1,1))+1)/DAY(EOMONTH(DATE(EINSTELLUNG!$C$35,$A$1,1),0))*F30,2),"")</f>
        <v>173</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19"/>
      <c r="P30" s="319"/>
      <c r="Q30" s="319"/>
      <c r="R30" s="319"/>
      <c r="S30" s="319"/>
      <c r="T30" s="319"/>
      <c r="U30" s="319"/>
      <c r="V30" s="319"/>
      <c r="W30" s="363"/>
      <c r="X30" s="363"/>
      <c r="Y30" s="363"/>
      <c r="Z30" s="363"/>
      <c r="AA30" s="363"/>
      <c r="AB30" s="363"/>
      <c r="AC30" s="363"/>
    </row>
    <row r="31" spans="1:29" ht="22" customHeight="1" thickBot="1">
      <c r="A31" s="396">
        <v>29</v>
      </c>
      <c r="B31" s="48">
        <v>401678</v>
      </c>
      <c r="C31" s="49" t="s">
        <v>251</v>
      </c>
      <c r="D31" s="50">
        <v>45414</v>
      </c>
      <c r="E31" s="51" t="s">
        <v>2</v>
      </c>
      <c r="F31" s="52">
        <v>173</v>
      </c>
      <c r="G31" s="322">
        <v>2021</v>
      </c>
      <c r="H31" s="323">
        <f>IF(AND(ISNUMBER(D31),ISNUMBER(F31)),ROUNDDOWN(MIN(IF(OR(ISBLANK(I31),I31=""),EOMONTH(DATE(EINSTELLUNG!$C$35,$A$1,1),0),I31)-MAX(D31,DATE(EINSTELLUNG!$C$35,$A$1,1))+1)/DAY(EOMONTH(DATE(EINSTELLUNG!$C$35,$A$1,1),0))*F31,2),"")</f>
        <v>173</v>
      </c>
      <c r="I31" s="53"/>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3"/>
      <c r="O31" s="399" t="s">
        <v>421</v>
      </c>
      <c r="P31" s="365"/>
      <c r="Q31" s="366">
        <v>3.8834951456310676E-2</v>
      </c>
      <c r="R31" s="367"/>
      <c r="S31" s="319"/>
      <c r="T31" s="319"/>
      <c r="U31" s="319"/>
      <c r="V31" s="319"/>
    </row>
    <row r="32" spans="1:29" ht="22" customHeight="1" thickBot="1">
      <c r="A32" s="396">
        <v>30</v>
      </c>
      <c r="B32" s="40">
        <v>401691</v>
      </c>
      <c r="C32" s="41" t="s">
        <v>252</v>
      </c>
      <c r="D32" s="42">
        <v>45539</v>
      </c>
      <c r="E32" s="43" t="s">
        <v>2</v>
      </c>
      <c r="F32" s="44">
        <v>173</v>
      </c>
      <c r="G32" s="322">
        <v>2021</v>
      </c>
      <c r="H32" s="323">
        <f>IF(AND(ISNUMBER(D32),ISNUMBER(F32)),ROUNDDOWN(MIN(IF(OR(ISBLANK(I32),I32=""),EOMONTH(DATE(EINSTELLUNG!$C$35,$A$1,1),0),I32)-MAX(D32,DATE(EINSTELLUNG!$C$35,$A$1,1))+1)/DAY(EOMONTH(DATE(EINSTELLUNG!$C$35,$A$1,1),0))*F32,2),"")</f>
        <v>139.51</v>
      </c>
      <c r="I32" s="45">
        <v>46047</v>
      </c>
      <c r="J32" s="46">
        <v>2</v>
      </c>
      <c r="K32" s="322">
        <f t="shared" si="0"/>
        <v>134.73333333333332</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7"/>
      <c r="N32" s="70" t="s">
        <v>184</v>
      </c>
      <c r="O32" s="319"/>
      <c r="P32" s="319"/>
      <c r="Q32" s="319"/>
      <c r="R32" s="319"/>
      <c r="S32" s="319"/>
      <c r="T32" s="319"/>
      <c r="U32" s="319"/>
      <c r="V32" s="319"/>
    </row>
    <row r="33" spans="1:22" ht="22" customHeight="1">
      <c r="A33" s="396">
        <v>31</v>
      </c>
      <c r="B33" s="48">
        <v>401690</v>
      </c>
      <c r="C33" s="49" t="s">
        <v>253</v>
      </c>
      <c r="D33" s="50">
        <v>45536</v>
      </c>
      <c r="E33" s="51" t="s">
        <v>2</v>
      </c>
      <c r="F33" s="52">
        <v>151.38</v>
      </c>
      <c r="G33" s="322">
        <v>1768.38</v>
      </c>
      <c r="H33" s="323">
        <f>IF(AND(ISNUMBER(D33),ISNUMBER(F33)),ROUNDDOWN(MIN(IF(OR(ISBLANK(I33),I33=""),EOMONTH(DATE(EINSTELLUNG!$C$35,$A$1,1),0),I33)-MAX(D33,DATE(EINSTELLUNG!$C$35,$A$1,1))+1)/DAY(EOMONTH(DATE(EINSTELLUNG!$C$35,$A$1,1),0))*F33,2),"")</f>
        <v>151.38</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5"/>
      <c r="N33" s="73"/>
      <c r="O33" s="400"/>
      <c r="P33" s="369"/>
      <c r="Q33" s="304" t="s">
        <v>93</v>
      </c>
      <c r="R33" s="304"/>
      <c r="S33" s="304" t="s">
        <v>94</v>
      </c>
      <c r="T33" s="304"/>
      <c r="U33" s="304" t="s">
        <v>95</v>
      </c>
      <c r="V33" s="305"/>
    </row>
    <row r="34" spans="1:22" ht="22" customHeight="1">
      <c r="A34" s="396">
        <v>32</v>
      </c>
      <c r="B34" s="40">
        <v>401703</v>
      </c>
      <c r="C34" s="41" t="s">
        <v>254</v>
      </c>
      <c r="D34" s="42">
        <v>45616</v>
      </c>
      <c r="E34" s="43" t="s">
        <v>2</v>
      </c>
      <c r="F34" s="44">
        <v>173</v>
      </c>
      <c r="G34" s="322">
        <v>2021</v>
      </c>
      <c r="H34" s="323">
        <f>IF(AND(ISNUMBER(D34),ISNUMBER(F34)),ROUNDDOWN(MIN(IF(OR(ISBLANK(I34),I34=""),EOMONTH(DATE(EINSTELLUNG!$C$35,$A$1,1),0),I34)-MAX(D34,DATE(EINSTELLUNG!$C$35,$A$1,1))+1)/DAY(EOMONTH(DATE(EINSTELLUNG!$C$35,$A$1,1),0))*F34,2),"")</f>
        <v>173</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2"/>
      <c r="O34" s="401"/>
      <c r="P34" s="371"/>
      <c r="Q34" s="372"/>
      <c r="R34" s="372"/>
      <c r="S34" s="372"/>
      <c r="T34" s="372"/>
      <c r="U34" s="372"/>
      <c r="V34" s="373"/>
    </row>
    <row r="35" spans="1:22" ht="22" customHeight="1">
      <c r="A35" s="396">
        <v>33</v>
      </c>
      <c r="B35" s="48">
        <v>401214</v>
      </c>
      <c r="C35" s="49" t="s">
        <v>255</v>
      </c>
      <c r="D35" s="50">
        <v>45636</v>
      </c>
      <c r="E35" s="51" t="s">
        <v>3</v>
      </c>
      <c r="F35" s="52">
        <v>173</v>
      </c>
      <c r="G35" s="322">
        <v>2082</v>
      </c>
      <c r="H35" s="323">
        <f>IF(AND(ISNUMBER(D35),ISNUMBER(F35)),ROUNDDOWN(MIN(IF(OR(ISBLANK(I35),I35=""),EOMONTH(DATE(EINSTELLUNG!$C$35,$A$1,1),0),I35)-MAX(D35,DATE(EINSTELLUNG!$C$35,$A$1,1))+1)/DAY(EOMONTH(DATE(EINSTELLUNG!$C$35,$A$1,1),0))*F35,2),"")</f>
        <v>173</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5"/>
      <c r="N35" s="73"/>
      <c r="O35" s="337" t="s">
        <v>98</v>
      </c>
      <c r="P35" s="338"/>
      <c r="Q35" s="375">
        <f>EINSTELLUNG!C6</f>
        <v>450000</v>
      </c>
      <c r="R35" s="375"/>
      <c r="S35" s="375">
        <f>EINSTELLUNG!C22</f>
        <v>450000</v>
      </c>
      <c r="T35" s="375"/>
      <c r="U35" s="375">
        <f>S35-Q35</f>
        <v>0</v>
      </c>
      <c r="V35" s="376"/>
    </row>
    <row r="36" spans="1:22" ht="22" customHeight="1">
      <c r="A36" s="396">
        <v>34</v>
      </c>
      <c r="B36" s="40">
        <v>401715</v>
      </c>
      <c r="C36" s="41" t="s">
        <v>256</v>
      </c>
      <c r="D36" s="42">
        <v>45755</v>
      </c>
      <c r="E36" s="43" t="s">
        <v>2</v>
      </c>
      <c r="F36" s="44">
        <v>173</v>
      </c>
      <c r="G36" s="322">
        <v>2021</v>
      </c>
      <c r="H36" s="323">
        <f>IF(AND(ISNUMBER(D36),ISNUMBER(F36)),ROUNDDOWN(MIN(IF(OR(ISBLANK(I36),I36=""),EOMONTH(DATE(EINSTELLUNG!$C$35,$A$1,1),0),I36)-MAX(D36,DATE(EINSTELLUNG!$C$35,$A$1,1))+1)/DAY(EOMONTH(DATE(EINSTELLUNG!$C$35,$A$1,1),0))*F36,2),"")</f>
        <v>173</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2"/>
      <c r="O36" s="337" t="s">
        <v>100</v>
      </c>
      <c r="P36" s="338"/>
      <c r="Q36" s="375">
        <f>EINSTELLUNG!D6</f>
        <v>100000</v>
      </c>
      <c r="R36" s="375"/>
      <c r="S36" s="375">
        <f ca="1">SumMergedCells(Q17:R29)</f>
        <v>95068.188500000004</v>
      </c>
      <c r="T36" s="375"/>
      <c r="U36" s="375">
        <f t="shared" ref="U36:U41" ca="1" si="2">S36-Q36</f>
        <v>-4931.8114999999962</v>
      </c>
      <c r="V36" s="376"/>
    </row>
    <row r="37" spans="1:22" ht="22" customHeight="1">
      <c r="A37" s="396">
        <v>35</v>
      </c>
      <c r="B37" s="48">
        <v>401716</v>
      </c>
      <c r="C37" s="49" t="s">
        <v>257</v>
      </c>
      <c r="D37" s="50">
        <v>45800</v>
      </c>
      <c r="E37" s="51" t="s">
        <v>2</v>
      </c>
      <c r="F37" s="52">
        <v>173</v>
      </c>
      <c r="G37" s="322">
        <v>2021</v>
      </c>
      <c r="H37" s="323">
        <f>IF(AND(ISNUMBER(D37),ISNUMBER(F37)),ROUNDDOWN(MIN(IF(OR(ISBLANK(I37),I37=""),EOMONTH(DATE(EINSTELLUNG!$C$35,$A$1,1),0),I37)-MAX(D37,DATE(EINSTELLUNG!$C$35,$A$1,1))+1)/DAY(EOMONTH(DATE(EINSTELLUNG!$C$35,$A$1,1),0))*F37,2),"")</f>
        <v>173</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3"/>
      <c r="O37" s="337" t="s">
        <v>102</v>
      </c>
      <c r="P37" s="338"/>
      <c r="Q37" s="377">
        <f>IF(ISERROR(Q36/Q35), 0, Q36/Q35)</f>
        <v>0.22222222222222221</v>
      </c>
      <c r="R37" s="377"/>
      <c r="S37" s="377">
        <f ca="1">IF(ISERROR(S36/S35), 0, S36/S35)</f>
        <v>0.21126264111111112</v>
      </c>
      <c r="T37" s="377"/>
      <c r="U37" s="377">
        <f t="shared" ca="1" si="2"/>
        <v>-1.0959581111111089E-2</v>
      </c>
      <c r="V37" s="378"/>
    </row>
    <row r="38" spans="1:22" ht="22" customHeight="1">
      <c r="A38" s="396">
        <v>36</v>
      </c>
      <c r="B38" s="40">
        <v>401717</v>
      </c>
      <c r="C38" s="41" t="s">
        <v>258</v>
      </c>
      <c r="D38" s="42">
        <v>45814</v>
      </c>
      <c r="E38" s="43" t="s">
        <v>2</v>
      </c>
      <c r="F38" s="44">
        <v>86.5</v>
      </c>
      <c r="G38" s="322">
        <v>1010.5</v>
      </c>
      <c r="H38" s="323">
        <f>IF(AND(ISNUMBER(D38),ISNUMBER(F38)),ROUNDDOWN(MIN(IF(OR(ISBLANK(I38),I38=""),EOMONTH(DATE(EINSTELLUNG!$C$35,$A$1,1),0),I38)-MAX(D38,DATE(EINSTELLUNG!$C$35,$A$1,1))+1)/DAY(EOMONTH(DATE(EINSTELLUNG!$C$35,$A$1,1),0))*F38,2),"")</f>
        <v>86.5</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2"/>
      <c r="O38" s="337" t="s">
        <v>104</v>
      </c>
      <c r="P38" s="338"/>
      <c r="Q38" s="339">
        <f>EINSTELLUNG!F6</f>
        <v>30000</v>
      </c>
      <c r="R38" s="339"/>
      <c r="S38" s="339">
        <f>EINSTELLUNG!F22</f>
        <v>29000</v>
      </c>
      <c r="T38" s="339"/>
      <c r="U38" s="339">
        <f t="shared" si="2"/>
        <v>-1000</v>
      </c>
      <c r="V38" s="340"/>
    </row>
    <row r="39" spans="1:22" ht="22" customHeight="1">
      <c r="A39" s="396">
        <v>37</v>
      </c>
      <c r="B39" s="48">
        <v>401722</v>
      </c>
      <c r="C39" s="49" t="s">
        <v>259</v>
      </c>
      <c r="D39" s="50">
        <v>45848</v>
      </c>
      <c r="E39" s="51" t="s">
        <v>2</v>
      </c>
      <c r="F39" s="52">
        <v>86.5</v>
      </c>
      <c r="G39" s="322">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3"/>
      <c r="O39" s="337" t="s">
        <v>106</v>
      </c>
      <c r="P39" s="338"/>
      <c r="Q39" s="375">
        <f>IF(Q38=0, 0, Q35/Q38)</f>
        <v>15</v>
      </c>
      <c r="R39" s="375"/>
      <c r="S39" s="375">
        <f>IF(S38=0, 0, S35/S38)</f>
        <v>15.517241379310345</v>
      </c>
      <c r="T39" s="375"/>
      <c r="U39" s="375">
        <f t="shared" si="2"/>
        <v>0.5172413793103452</v>
      </c>
      <c r="V39" s="376"/>
    </row>
    <row r="40" spans="1:22" ht="22" customHeight="1">
      <c r="A40" s="396">
        <v>38</v>
      </c>
      <c r="B40" s="40">
        <v>401723</v>
      </c>
      <c r="C40" s="41" t="s">
        <v>260</v>
      </c>
      <c r="D40" s="42">
        <v>45852</v>
      </c>
      <c r="E40" s="43" t="s">
        <v>2</v>
      </c>
      <c r="F40" s="44">
        <v>86.5</v>
      </c>
      <c r="G40" s="322">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2"/>
      <c r="O40" s="337" t="s">
        <v>108</v>
      </c>
      <c r="P40" s="338"/>
      <c r="Q40" s="375">
        <f>IF(Q13=0, 0, Q35/Q13)</f>
        <v>71.530417117705682</v>
      </c>
      <c r="R40" s="375"/>
      <c r="S40" s="375">
        <f>IF(Q13=0, 0, S35/Q13)</f>
        <v>71.530417117705682</v>
      </c>
      <c r="T40" s="375"/>
      <c r="U40" s="375">
        <f t="shared" si="2"/>
        <v>0</v>
      </c>
      <c r="V40" s="376"/>
    </row>
    <row r="41" spans="1:22" ht="22" customHeight="1">
      <c r="A41" s="396">
        <v>39</v>
      </c>
      <c r="B41" s="48">
        <v>401726</v>
      </c>
      <c r="C41" s="49" t="s">
        <v>261</v>
      </c>
      <c r="D41" s="50">
        <v>45870</v>
      </c>
      <c r="E41" s="51" t="s">
        <v>2</v>
      </c>
      <c r="F41" s="52">
        <v>86.5</v>
      </c>
      <c r="G41" s="322">
        <v>1010.5</v>
      </c>
      <c r="H41" s="323">
        <f>IF(AND(ISNUMBER(D41),ISNUMBER(F41)),ROUNDDOWN(MIN(IF(OR(ISBLANK(I41),I41=""),EOMONTH(DATE(EINSTELLUNG!$C$35,$A$1,1),0),I41)-MAX(D41,DATE(EINSTELLUNG!$C$35,$A$1,1))+1)/DAY(EOMONTH(DATE(EINSTELLUNG!$C$35,$A$1,1),0))*F41,2),"")</f>
        <v>86.5</v>
      </c>
      <c r="I41" s="53"/>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3"/>
      <c r="O41" s="337" t="s">
        <v>110</v>
      </c>
      <c r="P41" s="338"/>
      <c r="Q41" s="339">
        <f>IF(Q13=0, 0, Q38/Q13)</f>
        <v>4.7686944745137128</v>
      </c>
      <c r="R41" s="339"/>
      <c r="S41" s="339">
        <f>IF(Q13=0, 0, S38/Q13)</f>
        <v>4.6097379920299222</v>
      </c>
      <c r="T41" s="339"/>
      <c r="U41" s="339">
        <f t="shared" si="2"/>
        <v>-0.15895648248379057</v>
      </c>
      <c r="V41" s="340"/>
    </row>
    <row r="42" spans="1:22" ht="22" customHeight="1">
      <c r="A42" s="396">
        <v>40</v>
      </c>
      <c r="B42" s="40">
        <v>401731</v>
      </c>
      <c r="C42" s="41" t="s">
        <v>262</v>
      </c>
      <c r="D42" s="42">
        <v>45899</v>
      </c>
      <c r="E42" s="43" t="s">
        <v>2</v>
      </c>
      <c r="F42" s="44">
        <v>86.5</v>
      </c>
      <c r="G42" s="322">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2"/>
      <c r="O42" s="402" t="s">
        <v>112</v>
      </c>
      <c r="P42" s="380"/>
      <c r="Q42" s="381">
        <f>IFERROR(Q17/Q8, 0)</f>
        <v>12.030758318152289</v>
      </c>
      <c r="R42" s="381"/>
      <c r="S42" s="381"/>
      <c r="T42" s="381"/>
      <c r="U42" s="381"/>
      <c r="V42" s="382"/>
    </row>
    <row r="43" spans="1:22" ht="22" customHeight="1">
      <c r="A43" s="396">
        <v>41</v>
      </c>
      <c r="B43" s="48">
        <v>401730</v>
      </c>
      <c r="C43" s="49" t="s">
        <v>263</v>
      </c>
      <c r="D43" s="50">
        <v>45895</v>
      </c>
      <c r="E43" s="51" t="s">
        <v>2</v>
      </c>
      <c r="F43" s="52">
        <v>86.5</v>
      </c>
      <c r="G43" s="322">
        <v>1010.5</v>
      </c>
      <c r="H43" s="323">
        <f>IF(AND(ISNUMBER(D43),ISNUMBER(F43)),ROUNDDOWN(MIN(IF(OR(ISBLANK(I43),I43=""),EOMONTH(DATE(EINSTELLUNG!$C$35,$A$1,1),0),I43)-MAX(D43,DATE(EINSTELLUNG!$C$35,$A$1,1))+1)/DAY(EOMONTH(DATE(EINSTELLUNG!$C$35,$A$1,1),0))*F43,2),"")</f>
        <v>86.5</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3"/>
      <c r="O43" s="383"/>
      <c r="P43" s="383"/>
      <c r="Q43" s="383"/>
      <c r="R43" s="319"/>
      <c r="S43" s="319"/>
      <c r="T43" s="319"/>
      <c r="U43" s="319"/>
      <c r="V43" s="319"/>
    </row>
    <row r="44" spans="1:22" ht="22" customHeight="1">
      <c r="A44" s="396">
        <v>42</v>
      </c>
      <c r="B44" s="40">
        <v>401734</v>
      </c>
      <c r="C44" s="41" t="s">
        <v>264</v>
      </c>
      <c r="D44" s="42">
        <v>45904</v>
      </c>
      <c r="E44" s="43" t="s">
        <v>2</v>
      </c>
      <c r="F44" s="44">
        <v>86.5</v>
      </c>
      <c r="G44" s="322">
        <v>1010.5</v>
      </c>
      <c r="H44" s="323">
        <f>IF(AND(ISNUMBER(D44),ISNUMBER(F44)),ROUNDDOWN(MIN(IF(OR(ISBLANK(I44),I44=""),EOMONTH(DATE(EINSTELLUNG!$C$35,$A$1,1),0),I44)-MAX(D44,DATE(EINSTELLUNG!$C$35,$A$1,1))+1)/DAY(EOMONTH(DATE(EINSTELLUNG!$C$35,$A$1,1),0))*F44,2),"")</f>
        <v>86.5</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2"/>
      <c r="O44" s="384" t="s">
        <v>115</v>
      </c>
      <c r="P44" s="384"/>
      <c r="Q44" s="384"/>
      <c r="R44" s="384"/>
      <c r="S44" s="384"/>
      <c r="T44" s="384"/>
      <c r="U44" s="384"/>
      <c r="V44" s="384"/>
    </row>
    <row r="45" spans="1:22" ht="22" customHeight="1">
      <c r="A45" s="396">
        <v>43</v>
      </c>
      <c r="B45" s="48">
        <v>401736</v>
      </c>
      <c r="C45" s="49" t="s">
        <v>265</v>
      </c>
      <c r="D45" s="50">
        <v>45906</v>
      </c>
      <c r="E45" s="51" t="s">
        <v>2</v>
      </c>
      <c r="F45" s="52">
        <v>86.5</v>
      </c>
      <c r="G45" s="322">
        <v>1010.5</v>
      </c>
      <c r="H45" s="323">
        <f>IF(AND(ISNUMBER(D45),ISNUMBER(F45)),ROUNDDOWN(MIN(IF(OR(ISBLANK(I45),I45=""),EOMONTH(DATE(EINSTELLUNG!$C$35,$A$1,1),0),I45)-MAX(D45,DATE(EINSTELLUNG!$C$35,$A$1,1))+1)/DAY(EOMONTH(DATE(EINSTELLUNG!$C$35,$A$1,1),0))*F45,2),"")</f>
        <v>86.5</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3"/>
      <c r="O45" s="385" t="s">
        <v>432</v>
      </c>
      <c r="P45" s="385"/>
      <c r="Q45" s="385"/>
      <c r="R45" s="386"/>
      <c r="S45" s="386"/>
      <c r="T45" s="386"/>
      <c r="U45" s="386"/>
      <c r="V45" s="319"/>
    </row>
    <row r="46" spans="1:22" ht="22" customHeight="1">
      <c r="A46" s="396">
        <v>44</v>
      </c>
      <c r="B46" s="40">
        <v>401737</v>
      </c>
      <c r="C46" s="41" t="s">
        <v>266</v>
      </c>
      <c r="D46" s="42">
        <v>45906</v>
      </c>
      <c r="E46" s="43" t="s">
        <v>2</v>
      </c>
      <c r="F46" s="44">
        <v>86.5</v>
      </c>
      <c r="G46" s="322">
        <v>1010.5</v>
      </c>
      <c r="H46" s="323">
        <f>IF(AND(ISNUMBER(D46),ISNUMBER(F46)),ROUNDDOWN(MIN(IF(OR(ISBLANK(I46),I46=""),EOMONTH(DATE(EINSTELLUNG!$C$35,$A$1,1),0),I46)-MAX(D46,DATE(EINSTELLUNG!$C$35,$A$1,1))+1)/DAY(EOMONTH(DATE(EINSTELLUNG!$C$35,$A$1,1),0))*F46,2),"")</f>
        <v>86.5</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2"/>
      <c r="O46" s="319"/>
      <c r="P46" s="319"/>
      <c r="Q46" s="319"/>
      <c r="R46" s="319"/>
      <c r="S46" s="319"/>
      <c r="T46" s="319"/>
      <c r="U46" s="319"/>
      <c r="V46" s="319"/>
    </row>
    <row r="47" spans="1:22" ht="22" customHeight="1">
      <c r="A47" s="396">
        <v>45</v>
      </c>
      <c r="B47" s="48">
        <v>401738</v>
      </c>
      <c r="C47" s="49" t="s">
        <v>267</v>
      </c>
      <c r="D47" s="50">
        <v>45909</v>
      </c>
      <c r="E47" s="51" t="s">
        <v>2</v>
      </c>
      <c r="F47" s="52">
        <v>86.5</v>
      </c>
      <c r="G47" s="322">
        <v>1010.5</v>
      </c>
      <c r="H47" s="323">
        <f>IF(AND(ISNUMBER(D47),ISNUMBER(F47)),ROUNDDOWN(MIN(IF(OR(ISBLANK(I47),I47=""),EOMONTH(DATE(EINSTELLUNG!$C$35,$A$1,1),0),I47)-MAX(D47,DATE(EINSTELLUNG!$C$35,$A$1,1))+1)/DAY(EOMONTH(DATE(EINSTELLUNG!$C$35,$A$1,1),0))*F47,2),"")</f>
        <v>86.5</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3"/>
      <c r="O47" s="319"/>
      <c r="P47" s="319"/>
      <c r="Q47" s="319"/>
      <c r="R47" s="319"/>
      <c r="S47" s="319"/>
      <c r="T47" s="319"/>
      <c r="U47" s="319"/>
      <c r="V47" s="319"/>
    </row>
    <row r="48" spans="1:22" ht="22" customHeight="1">
      <c r="A48" s="396">
        <v>46</v>
      </c>
      <c r="B48" s="40">
        <v>401747</v>
      </c>
      <c r="C48" s="41" t="s">
        <v>268</v>
      </c>
      <c r="D48" s="45">
        <v>45941</v>
      </c>
      <c r="E48" s="43" t="s">
        <v>2</v>
      </c>
      <c r="F48" s="44">
        <v>86.5</v>
      </c>
      <c r="G48" s="322">
        <v>1010.5</v>
      </c>
      <c r="H48" s="323">
        <f>IF(AND(ISNUMBER(D48),ISNUMBER(F48)),ROUNDDOWN(MIN(IF(OR(ISBLANK(I48),I48=""),EOMONTH(DATE(EINSTELLUNG!$C$35,$A$1,1),0),I48)-MAX(D48,DATE(EINSTELLUNG!$C$35,$A$1,1))+1)/DAY(EOMONTH(DATE(EINSTELLUNG!$C$35,$A$1,1),0))*F48,2),"")</f>
        <v>86.5</v>
      </c>
      <c r="I48" s="45"/>
      <c r="J48" s="46"/>
      <c r="K48" s="322">
        <f t="shared" si="1"/>
        <v>0</v>
      </c>
      <c r="L48" s="32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2"/>
      <c r="O48" s="319"/>
      <c r="P48" s="319"/>
      <c r="Q48" s="319"/>
      <c r="R48" s="319"/>
      <c r="S48" s="319"/>
      <c r="T48" s="319"/>
      <c r="U48" s="319"/>
      <c r="V48" s="319"/>
    </row>
    <row r="49" spans="1:22" ht="22" customHeight="1">
      <c r="A49" s="396">
        <v>47</v>
      </c>
      <c r="B49" s="48">
        <v>401748</v>
      </c>
      <c r="C49" s="49" t="s">
        <v>269</v>
      </c>
      <c r="D49" s="53">
        <v>45941</v>
      </c>
      <c r="E49" s="51" t="s">
        <v>2</v>
      </c>
      <c r="F49" s="52">
        <v>138.4</v>
      </c>
      <c r="G49" s="322">
        <v>1616.8</v>
      </c>
      <c r="H49" s="323">
        <f>IF(AND(ISNUMBER(D49),ISNUMBER(F49)),ROUNDDOWN(MIN(IF(OR(ISBLANK(I49),I49=""),EOMONTH(DATE(EINSTELLUNG!$C$35,$A$1,1),0),I49)-MAX(D49,DATE(EINSTELLUNG!$C$35,$A$1,1))+1)/DAY(EOMONTH(DATE(EINSTELLUNG!$C$35,$A$1,1),0))*F49,2),"")</f>
        <v>138.4</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55"/>
      <c r="N49" s="73"/>
      <c r="O49" s="319"/>
      <c r="P49" s="319"/>
      <c r="Q49" s="319"/>
      <c r="R49" s="319"/>
      <c r="S49" s="319"/>
      <c r="T49" s="319"/>
      <c r="U49" s="319"/>
      <c r="V49" s="319"/>
    </row>
    <row r="50" spans="1:22" ht="22" customHeight="1">
      <c r="A50" s="396">
        <v>48</v>
      </c>
      <c r="B50" s="40">
        <v>401746</v>
      </c>
      <c r="C50" s="56" t="s">
        <v>270</v>
      </c>
      <c r="D50" s="45">
        <v>45941</v>
      </c>
      <c r="E50" s="43" t="s">
        <v>2</v>
      </c>
      <c r="F50" s="44">
        <v>86.5</v>
      </c>
      <c r="G50" s="322">
        <v>1010.5</v>
      </c>
      <c r="H50" s="323">
        <f>IF(AND(ISNUMBER(D50),ISNUMBER(F50)),ROUNDDOWN(MIN(IF(OR(ISBLANK(I50),I50=""),EOMONTH(DATE(EINSTELLUNG!$C$35,$A$1,1),0),I50)-MAX(D50,DATE(EINSTELLUNG!$C$35,$A$1,1))+1)/DAY(EOMONTH(DATE(EINSTELLUNG!$C$35,$A$1,1),0))*F50,2),"")</f>
        <v>86.5</v>
      </c>
      <c r="I50" s="45"/>
      <c r="J50" s="46"/>
      <c r="K50" s="322">
        <f t="shared" si="1"/>
        <v>0</v>
      </c>
      <c r="L50" s="32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2"/>
      <c r="O50" s="319"/>
      <c r="P50" s="319"/>
      <c r="Q50" s="319"/>
      <c r="R50" s="319"/>
      <c r="S50" s="319"/>
      <c r="T50" s="319"/>
      <c r="U50" s="319"/>
      <c r="V50" s="319"/>
    </row>
    <row r="51" spans="1:22" ht="22" customHeight="1">
      <c r="A51" s="396">
        <v>49</v>
      </c>
      <c r="B51" s="48">
        <v>401745</v>
      </c>
      <c r="C51" s="49" t="s">
        <v>271</v>
      </c>
      <c r="D51" s="53">
        <v>45934</v>
      </c>
      <c r="E51" s="51" t="s">
        <v>2</v>
      </c>
      <c r="F51" s="52">
        <v>86.5</v>
      </c>
      <c r="G51" s="322">
        <v>1010.5</v>
      </c>
      <c r="H51" s="323">
        <f>IF(AND(ISNUMBER(D51),ISNUMBER(F51)),ROUNDDOWN(MIN(IF(OR(ISBLANK(I51),I51=""),EOMONTH(DATE(EINSTELLUNG!$C$35,$A$1,1),0),I51)-MAX(D51,DATE(EINSTELLUNG!$C$35,$A$1,1))+1)/DAY(EOMONTH(DATE(EINSTELLUNG!$C$35,$A$1,1),0))*F51,2),"")</f>
        <v>86.5</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396">
        <v>50</v>
      </c>
      <c r="B52" s="40">
        <v>401751</v>
      </c>
      <c r="C52" s="41" t="s">
        <v>272</v>
      </c>
      <c r="D52" s="45">
        <v>45961</v>
      </c>
      <c r="E52" s="43" t="s">
        <v>2</v>
      </c>
      <c r="F52" s="44">
        <v>86.5</v>
      </c>
      <c r="G52" s="322">
        <v>1010.5</v>
      </c>
      <c r="H52" s="323">
        <f>IF(AND(ISNUMBER(D52),ISNUMBER(F52)),ROUNDDOWN(MIN(IF(OR(ISBLANK(I52),I52=""),EOMONTH(DATE(EINSTELLUNG!$C$35,$A$1,1),0),I52)-MAX(D52,DATE(EINSTELLUNG!$C$35,$A$1,1))+1)/DAY(EOMONTH(DATE(EINSTELLUNG!$C$35,$A$1,1),0))*F52,2),"")</f>
        <v>86.5</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7"/>
      <c r="N52" s="70"/>
    </row>
    <row r="53" spans="1:22" ht="22" customHeight="1">
      <c r="A53" s="396">
        <v>51</v>
      </c>
      <c r="B53" s="48">
        <v>401752</v>
      </c>
      <c r="C53" s="49" t="s">
        <v>273</v>
      </c>
      <c r="D53" s="53">
        <v>45986</v>
      </c>
      <c r="E53" s="51" t="s">
        <v>2</v>
      </c>
      <c r="F53" s="52">
        <v>173</v>
      </c>
      <c r="G53" s="322">
        <v>2021</v>
      </c>
      <c r="H53" s="323">
        <f>IF(AND(ISNUMBER(D53),ISNUMBER(F53)),ROUNDDOWN(MIN(IF(OR(ISBLANK(I53),I53=""),EOMONTH(DATE(EINSTELLUNG!$C$35,$A$1,1),0),I53)-MAX(D53,DATE(EINSTELLUNG!$C$35,$A$1,1))+1)/DAY(EOMONTH(DATE(EINSTELLUNG!$C$35,$A$1,1),0))*F53,2),"")</f>
        <v>173</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96">
        <v>52</v>
      </c>
      <c r="B54" s="40">
        <v>401754</v>
      </c>
      <c r="C54" s="41" t="s">
        <v>274</v>
      </c>
      <c r="D54" s="45">
        <v>46014</v>
      </c>
      <c r="E54" s="43" t="s">
        <v>2</v>
      </c>
      <c r="F54" s="44">
        <v>151.38</v>
      </c>
      <c r="G54" s="322">
        <v>1768.38</v>
      </c>
      <c r="H54" s="323">
        <f>IF(AND(ISNUMBER(D54),ISNUMBER(F54)),ROUNDDOWN(MIN(IF(OR(ISBLANK(I54),I54=""),EOMONTH(DATE(EINSTELLUNG!$C$35,$A$1,1),0),I54)-MAX(D54,DATE(EINSTELLUNG!$C$35,$A$1,1))+1)/DAY(EOMONTH(DATE(EINSTELLUNG!$C$35,$A$1,1),0))*F54,2),"")</f>
        <v>151.38</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7"/>
      <c r="N54" s="70"/>
    </row>
    <row r="55" spans="1:22" ht="22" customHeight="1">
      <c r="A55" s="396">
        <v>53</v>
      </c>
      <c r="B55" s="48">
        <v>401999</v>
      </c>
      <c r="C55" s="49" t="s">
        <v>355</v>
      </c>
      <c r="D55" s="53">
        <v>46041</v>
      </c>
      <c r="E55" s="51" t="s">
        <v>2</v>
      </c>
      <c r="F55" s="52">
        <v>151.38</v>
      </c>
      <c r="G55" s="322">
        <v>1768.38</v>
      </c>
      <c r="H55" s="323">
        <f>IF(AND(ISNUMBER(D55),ISNUMBER(F55)),ROUNDDOWN(MIN(IF(OR(ISBLANK(I55),I55=""),EOMONTH(DATE(EINSTELLUNG!$C$35,$A$1,1),0),I55)-MAX(D55,DATE(EINSTELLUNG!$C$35,$A$1,1))+1)/DAY(EOMONTH(DATE(EINSTELLUNG!$C$35,$A$1,1),0))*F55,2),"")</f>
        <v>63.48</v>
      </c>
      <c r="I55" s="53"/>
      <c r="J55" s="54"/>
      <c r="K55" s="322">
        <f t="shared" si="1"/>
        <v>0</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5"/>
      <c r="N55" s="71"/>
    </row>
    <row r="56" spans="1:22" ht="22" customHeight="1">
      <c r="A56" s="396">
        <v>54</v>
      </c>
      <c r="B56" s="40"/>
      <c r="C56" s="41"/>
      <c r="D56" s="45"/>
      <c r="E56" s="43"/>
      <c r="F56" s="44"/>
      <c r="G56" s="322" t="str">
        <f>IF(OR(E56="",F56=""),"",PID_KVLohnLookup($A$1,E56,F56,LOHNTABELLE!#REF!))</f>
        <v/>
      </c>
      <c r="H56" s="323" t="str">
        <f>IF(AND(ISNUMBER(D56),ISNUMBER(F56)),ROUNDDOWN(MIN(IF(OR(ISBLANK(I56),I56=""),EOMONTH(DATE(EINSTELLUNG!$C$35,$A$1,1),0),I56)-MAX(D56,DATE(EINSTELLUNG!$C$35,$A$1,1))+1)/DAY(EOMONTH(DATE(EINSTELLUNG!$C$35,$A$1,1),0))*F56,2),"")</f>
        <v/>
      </c>
      <c r="I56" s="45"/>
      <c r="J56" s="46"/>
      <c r="K56" s="322" t="str">
        <f t="shared" si="1"/>
        <v/>
      </c>
      <c r="L56" s="324"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7"/>
      <c r="N56" s="70"/>
    </row>
    <row r="57" spans="1:22" ht="22" customHeight="1">
      <c r="A57" s="396">
        <v>55</v>
      </c>
      <c r="B57" s="48"/>
      <c r="C57" s="49"/>
      <c r="D57" s="53"/>
      <c r="E57" s="51"/>
      <c r="F57" s="52"/>
      <c r="G57" s="322" t="str">
        <f>IF(OR(E57="",F57=""),"",PID_KVLohnLookup($A$1,E57,F57,LOHNTABELLE!#REF!))</f>
        <v/>
      </c>
      <c r="H57" s="323" t="str">
        <f>IF(AND(ISNUMBER(D57),ISNUMBER(F57)),ROUNDDOWN(MIN(IF(OR(ISBLANK(I57),I57=""),EOMONTH(DATE(EINSTELLUNG!$C$35,$A$1,1),0),I57)-MAX(D57,DATE(EINSTELLUNG!$C$35,$A$1,1))+1)/DAY(EOMONTH(DATE(EINSTELLUNG!$C$35,$A$1,1),0))*F57,2),"")</f>
        <v/>
      </c>
      <c r="I57" s="53"/>
      <c r="J57" s="54"/>
      <c r="K57" s="322" t="str">
        <f t="shared" si="1"/>
        <v/>
      </c>
      <c r="L57" s="324"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5"/>
      <c r="N57" s="71"/>
    </row>
    <row r="58" spans="1:22" ht="22" customHeight="1">
      <c r="A58" s="396">
        <v>56</v>
      </c>
      <c r="B58" s="40"/>
      <c r="C58" s="41"/>
      <c r="D58" s="45"/>
      <c r="E58" s="43"/>
      <c r="F58" s="44"/>
      <c r="G58" s="322" t="str">
        <f>IF(OR(E58="",F58=""),"",PID_KVLohnLookup($A$1,E58,F58,LOHNTABELLE!#REF!))</f>
        <v/>
      </c>
      <c r="H58" s="323" t="str">
        <f>IF(AND(ISNUMBER(D58),ISNUMBER(F58)),ROUNDDOWN(MIN(IF(OR(ISBLANK(I58),I58=""),EOMONTH(DATE(EINSTELLUNG!$C$35,$A$1,1),0),I58)-MAX(D58,DATE(EINSTELLUNG!$C$35,$A$1,1))+1)/DAY(EOMONTH(DATE(EINSTELLUNG!$C$35,$A$1,1),0))*F58,2),"")</f>
        <v/>
      </c>
      <c r="I58" s="45"/>
      <c r="J58" s="46"/>
      <c r="K58" s="322" t="str">
        <f t="shared" si="1"/>
        <v/>
      </c>
      <c r="L58" s="324"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7"/>
      <c r="N58" s="70"/>
    </row>
    <row r="59" spans="1:22" ht="22" customHeight="1">
      <c r="A59" s="396">
        <v>57</v>
      </c>
      <c r="B59" s="48"/>
      <c r="C59" s="49"/>
      <c r="D59" s="53"/>
      <c r="E59" s="51"/>
      <c r="F59" s="52"/>
      <c r="G59" s="322" t="str">
        <f>IF(OR(E59="",F59=""),"",PID_KVLohnLookup($A$1,E59,F59,LOHNTABELLE!#REF!))</f>
        <v/>
      </c>
      <c r="H59" s="323" t="str">
        <f>IF(AND(ISNUMBER(D59),ISNUMBER(F59)),ROUNDDOWN(MIN(IF(OR(ISBLANK(I59),I59=""),EOMONTH(DATE(EINSTELLUNG!$C$35,$A$1,1),0),I59)-MAX(D59,DATE(EINSTELLUNG!$C$35,$A$1,1))+1)/DAY(EOMONTH(DATE(EINSTELLUNG!$C$35,$A$1,1),0))*F59,2),"")</f>
        <v/>
      </c>
      <c r="I59" s="53"/>
      <c r="J59" s="54"/>
      <c r="K59" s="322" t="str">
        <f t="shared" si="1"/>
        <v/>
      </c>
      <c r="L59" s="324"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396">
        <v>58</v>
      </c>
      <c r="B60" s="40"/>
      <c r="C60" s="41"/>
      <c r="D60" s="45"/>
      <c r="E60" s="43"/>
      <c r="F60" s="44"/>
      <c r="G60" s="322" t="str">
        <f>IF(OR(E60="",F60=""),"",PID_KVLohnLookup($A$1,E60,F60,LOHNTABELLE!#REF!))</f>
        <v/>
      </c>
      <c r="H60" s="323" t="str">
        <f>IF(AND(ISNUMBER(D60),ISNUMBER(F60)),ROUNDDOWN(MIN(IF(OR(ISBLANK(I60),I60=""),EOMONTH(DATE(EINSTELLUNG!$C$35,$A$1,1),0),I60)-MAX(D60,DATE(EINSTELLUNG!$C$35,$A$1,1))+1)/DAY(EOMONTH(DATE(EINSTELLUNG!$C$35,$A$1,1),0))*F60,2),"")</f>
        <v/>
      </c>
      <c r="I60" s="45"/>
      <c r="J60" s="46"/>
      <c r="K60" s="322" t="str">
        <f t="shared" si="1"/>
        <v/>
      </c>
      <c r="L60" s="324"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96">
        <v>59</v>
      </c>
      <c r="B61" s="48"/>
      <c r="C61" s="49"/>
      <c r="D61" s="53"/>
      <c r="E61" s="51"/>
      <c r="F61" s="52"/>
      <c r="G61" s="322" t="str">
        <f>IF(OR(E61="",F61=""),"",PID_KVLohnLookup($A$1,E61,F61,LOHNTABELLE!#REF!))</f>
        <v/>
      </c>
      <c r="H61" s="323" t="str">
        <f>IF(AND(ISNUMBER(D61),ISNUMBER(F61)),ROUNDDOWN(MIN(IF(OR(ISBLANK(I61),I61=""),EOMONTH(DATE(EINSTELLUNG!$C$35,$A$1,1),0),I61)-MAX(D61,DATE(EINSTELLUNG!$C$35,$A$1,1))+1)/DAY(EOMONTH(DATE(EINSTELLUNG!$C$35,$A$1,1),0))*F61,2),"")</f>
        <v/>
      </c>
      <c r="I61" s="53"/>
      <c r="J61" s="54"/>
      <c r="K61" s="322" t="str">
        <f t="shared" si="1"/>
        <v/>
      </c>
      <c r="L61" s="32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96">
        <v>60</v>
      </c>
      <c r="B62" s="40"/>
      <c r="C62" s="41"/>
      <c r="D62" s="45"/>
      <c r="E62" s="43"/>
      <c r="F62" s="44"/>
      <c r="G62" s="322" t="str">
        <f>IF(OR(E62="",F62=""),"",PID_KVLohnLookup($A$1,E62,F62,LOHNTABELLE!#REF!))</f>
        <v/>
      </c>
      <c r="H62" s="323" t="str">
        <f>IF(AND(ISNUMBER(D62),ISNUMBER(F62)),ROUNDDOWN(MIN(IF(OR(ISBLANK(I62),I62=""),EOMONTH(DATE(EINSTELLUNG!$C$35,$A$1,1),0),I62)-MAX(D62,DATE(EINSTELLUNG!$C$35,$A$1,1))+1)/DAY(EOMONTH(DATE(EINSTELLUNG!$C$35,$A$1,1),0))*F62,2),"")</f>
        <v/>
      </c>
      <c r="I62" s="45"/>
      <c r="J62" s="46"/>
      <c r="K62" s="322" t="str">
        <f t="shared" si="1"/>
        <v/>
      </c>
      <c r="L62" s="32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96">
        <v>61</v>
      </c>
      <c r="B63" s="48"/>
      <c r="C63" s="49"/>
      <c r="D63" s="53"/>
      <c r="E63" s="51"/>
      <c r="F63" s="52"/>
      <c r="G63" s="322" t="str">
        <f>IF(OR(E63="",F63=""),"",PID_KVLohnLookup($A$1,E63,F63,LOHNTABELLE!#REF!))</f>
        <v/>
      </c>
      <c r="H63" s="323" t="str">
        <f>IF(AND(ISNUMBER(D63),ISNUMBER(F63)),ROUNDDOWN(MIN(IF(OR(ISBLANK(I63),I63=""),EOMONTH(DATE(EINSTELLUNG!$C$35,$A$1,1),0),I63)-MAX(D63,DATE(EINSTELLUNG!$C$35,$A$1,1))+1)/DAY(EOMONTH(DATE(EINSTELLUNG!$C$35,$A$1,1),0))*F63,2),"")</f>
        <v/>
      </c>
      <c r="I63" s="53"/>
      <c r="J63" s="54"/>
      <c r="K63" s="322" t="str">
        <f t="shared" si="1"/>
        <v/>
      </c>
      <c r="L63" s="32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96">
        <v>62</v>
      </c>
      <c r="B64" s="40"/>
      <c r="C64" s="41"/>
      <c r="D64" s="45"/>
      <c r="E64" s="43"/>
      <c r="F64" s="44"/>
      <c r="G64" s="322" t="str">
        <f>IF(OR(E64="",F64=""),"",PID_KVLohnLookup($A$1,E64,F64,LOHNTABELLE!#REF!))</f>
        <v/>
      </c>
      <c r="H64" s="323" t="str">
        <f>IF(AND(ISNUMBER(D64),ISNUMBER(F64)),ROUNDDOWN(MIN(IF(OR(ISBLANK(I64),I64=""),EOMONTH(DATE(EINSTELLUNG!$C$35,$A$1,1),0),I64)-MAX(D64,DATE(EINSTELLUNG!$C$35,$A$1,1))+1)/DAY(EOMONTH(DATE(EINSTELLUNG!$C$35,$A$1,1),0))*F64,2),"")</f>
        <v/>
      </c>
      <c r="I64" s="45"/>
      <c r="J64" s="46"/>
      <c r="K64" s="322" t="str">
        <f t="shared" si="1"/>
        <v/>
      </c>
      <c r="L64" s="32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96">
        <v>63</v>
      </c>
      <c r="B65" s="48"/>
      <c r="C65" s="49"/>
      <c r="D65" s="53"/>
      <c r="E65" s="51"/>
      <c r="F65" s="52"/>
      <c r="G65" s="322" t="str">
        <f>IF(OR(E65="",F65=""),"",PID_KVLohnLookup($A$1,E65,F65,LOHNTABELLE!#REF!))</f>
        <v/>
      </c>
      <c r="H65" s="323" t="str">
        <f>IF(AND(ISNUMBER(D65),ISNUMBER(F65)),ROUNDDOWN(MIN(IF(OR(ISBLANK(I65),I65=""),EOMONTH(DATE(EINSTELLUNG!$C$35,$A$1,1),0),I65)-MAX(D65,DATE(EINSTELLUNG!$C$35,$A$1,1))+1)/DAY(EOMONTH(DATE(EINSTELLUNG!$C$35,$A$1,1),0))*F65,2),"")</f>
        <v/>
      </c>
      <c r="I65" s="53"/>
      <c r="J65" s="54"/>
      <c r="K65" s="322" t="str">
        <f t="shared" si="1"/>
        <v/>
      </c>
      <c r="L65" s="32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96">
        <v>64</v>
      </c>
      <c r="B66" s="40"/>
      <c r="C66" s="41"/>
      <c r="D66" s="45"/>
      <c r="E66" s="43"/>
      <c r="F66" s="44"/>
      <c r="G66" s="322" t="str">
        <f>IF(OR(E66="",F66=""),"",PID_KVLohnLookup($A$1,E66,F66,LOHNTABELLE!#REF!))</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96">
        <v>65</v>
      </c>
      <c r="B67" s="48"/>
      <c r="C67" s="49"/>
      <c r="D67" s="53"/>
      <c r="E67" s="51"/>
      <c r="F67" s="52"/>
      <c r="G67" s="322" t="str">
        <f>IF(OR(E67="",F67=""),"",PID_KVLohnLookup($A$1,E67,F67,LOHNTABELLE!#REF!))</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96">
        <v>66</v>
      </c>
      <c r="B68" s="40"/>
      <c r="C68" s="41"/>
      <c r="D68" s="45"/>
      <c r="E68" s="43"/>
      <c r="F68" s="44"/>
      <c r="G68" s="322" t="str">
        <f>IF(OR(E68="",F68=""),"",PID_KVLohnLookup($A$1,E68,F68,LOHNTABELLE!#REF!))</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96">
        <v>67</v>
      </c>
      <c r="B69" s="48"/>
      <c r="C69" s="49"/>
      <c r="D69" s="53"/>
      <c r="E69" s="51"/>
      <c r="F69" s="52"/>
      <c r="G69" s="322" t="str">
        <f>IF(OR(E69="",F69=""),"",PID_KVLohnLookup($A$1,E69,F69,LOHNTABELLE!#REF!))</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96">
        <v>68</v>
      </c>
      <c r="B70" s="40"/>
      <c r="C70" s="41"/>
      <c r="D70" s="45"/>
      <c r="E70" s="43"/>
      <c r="F70" s="44"/>
      <c r="G70" s="322" t="str">
        <f>IF(OR(E70="",F70=""),"",PID_KVLohnLookup($A$1,E70,F70,LOHNTABELLE!#REF!))</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96">
        <v>69</v>
      </c>
      <c r="B71" s="48"/>
      <c r="C71" s="49"/>
      <c r="D71" s="53"/>
      <c r="E71" s="51"/>
      <c r="F71" s="52"/>
      <c r="G71" s="322" t="str">
        <f>IF(OR(E71="",F71=""),"",PID_KVLohnLookup($A$1,E71,F71,LOHNTABELLE!#REF!))</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96">
        <v>70</v>
      </c>
      <c r="B72" s="40"/>
      <c r="C72" s="41"/>
      <c r="D72" s="45"/>
      <c r="E72" s="43"/>
      <c r="F72" s="44"/>
      <c r="G72" s="322" t="str">
        <f>IF(OR(E72="",F72=""),"",PID_KVLohnLookup($A$1,E72,F72,LOHNTABELLE!#REF!))</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96">
        <v>71</v>
      </c>
      <c r="B73" s="48"/>
      <c r="C73" s="49"/>
      <c r="D73" s="53"/>
      <c r="E73" s="51"/>
      <c r="F73" s="52"/>
      <c r="G73" s="322" t="str">
        <f>IF(OR(E73="",F73=""),"",PID_KVLohnLookup($A$1,E73,F73,LOHNTABELLE!#REF!))</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96">
        <v>72</v>
      </c>
      <c r="B74" s="40"/>
      <c r="C74" s="41"/>
      <c r="D74" s="45"/>
      <c r="E74" s="43"/>
      <c r="F74" s="44"/>
      <c r="G74" s="322" t="str">
        <f>IF(OR(E74="",F74=""),"",PID_KVLohnLookup($A$1,E74,F74,LOHNTABELLE!#REF!))</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96">
        <v>73</v>
      </c>
      <c r="B75" s="48"/>
      <c r="C75" s="49"/>
      <c r="D75" s="53"/>
      <c r="E75" s="51"/>
      <c r="F75" s="52"/>
      <c r="G75" s="322" t="str">
        <f>IF(OR(E75="",F75=""),"",PID_KVLohnLookup($A$1,E75,F75,LOHNTABELLE!#REF!))</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96">
        <v>74</v>
      </c>
      <c r="B76" s="40"/>
      <c r="C76" s="41"/>
      <c r="D76" s="45"/>
      <c r="E76" s="43"/>
      <c r="F76" s="44"/>
      <c r="G76" s="322" t="str">
        <f>IF(OR(E76="",F76=""),"",PID_KVLohnLookup($A$1,E76,F76,LOHNTABELLE!#REF!))</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96">
        <v>75</v>
      </c>
      <c r="B77" s="48"/>
      <c r="C77" s="49"/>
      <c r="D77" s="53"/>
      <c r="E77" s="51"/>
      <c r="F77" s="52"/>
      <c r="G77" s="322" t="str">
        <f>IF(OR(E77="",F77=""),"",PID_KVLohnLookup($A$1,E77,F77,LOHNTABELLE!#REF!))</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96">
        <v>76</v>
      </c>
      <c r="B78" s="40"/>
      <c r="C78" s="41"/>
      <c r="D78" s="45"/>
      <c r="E78" s="43"/>
      <c r="F78" s="44"/>
      <c r="G78" s="322" t="str">
        <f>IF(OR(E78="",F78=""),"",PID_KVLohnLookup($A$1,E78,F78,LOHNTABELLE!#REF!))</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96">
        <v>77</v>
      </c>
      <c r="B79" s="48"/>
      <c r="C79" s="49"/>
      <c r="D79" s="53"/>
      <c r="E79" s="51"/>
      <c r="F79" s="52"/>
      <c r="G79" s="322" t="str">
        <f>IF(OR(E79="",F79=""),"",PID_KVLohnLookup($A$1,E79,F79,LOHNTABELLE!#REF!))</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96">
        <v>78</v>
      </c>
      <c r="B80" s="40"/>
      <c r="C80" s="41"/>
      <c r="D80" s="45"/>
      <c r="E80" s="43"/>
      <c r="F80" s="44"/>
      <c r="G80" s="322" t="str">
        <f>IF(OR(E80="",F80=""),"",PID_KVLohnLookup($A$1,E80,F80,LOHNTABELLE!#REF!))</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96">
        <v>79</v>
      </c>
      <c r="B81" s="48"/>
      <c r="C81" s="49"/>
      <c r="D81" s="53"/>
      <c r="E81" s="51"/>
      <c r="F81" s="52"/>
      <c r="G81" s="322" t="str">
        <f>IF(OR(E81="",F81=""),"",PID_KVLohnLookup($A$1,E81,F81,LOHNTABELLE!#REF!))</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6">
        <v>80</v>
      </c>
      <c r="B82" s="57"/>
      <c r="C82" s="58"/>
      <c r="D82" s="59"/>
      <c r="E82" s="60"/>
      <c r="F82" s="61"/>
      <c r="G82" s="388" t="str">
        <f>IF(OR(E82="",F82=""),"",PID_KVLohnLookup($A$1,E82,F82,LOHNTABELLE!#REF!))</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301"/>
    </row>
    <row r="114" spans="11:14" ht="16" customHeight="1">
      <c r="K114" s="403"/>
      <c r="L114" s="403"/>
      <c r="M114" s="403"/>
      <c r="N114" s="404"/>
    </row>
    <row r="115" spans="11:14" ht="16" customHeight="1">
      <c r="K115" s="403"/>
      <c r="L115" s="403"/>
      <c r="M115" s="403"/>
      <c r="N115" s="404"/>
    </row>
    <row r="116" spans="11:14" ht="16" customHeight="1">
      <c r="K116" s="405"/>
      <c r="L116" s="405"/>
      <c r="M116" s="406"/>
      <c r="N116" s="406"/>
    </row>
    <row r="117" spans="11:14" ht="16" customHeight="1">
      <c r="K117" s="405"/>
      <c r="L117" s="405"/>
      <c r="M117" s="406"/>
      <c r="N117" s="406"/>
    </row>
    <row r="118" spans="11:14" ht="16" customHeight="1">
      <c r="K118" s="407"/>
      <c r="L118" s="407"/>
      <c r="M118" s="408"/>
      <c r="N118" s="408"/>
    </row>
    <row r="119" spans="11:14" ht="16" customHeight="1">
      <c r="K119" s="409"/>
      <c r="L119" s="409"/>
      <c r="M119" s="410"/>
      <c r="N119" s="410"/>
    </row>
    <row r="120" spans="11:14" ht="16" customHeight="1">
      <c r="K120" s="405"/>
      <c r="L120" s="405"/>
      <c r="M120" s="406"/>
      <c r="N120" s="406"/>
    </row>
    <row r="121" spans="11:14" ht="16" customHeight="1">
      <c r="K121" s="405"/>
      <c r="L121" s="405"/>
      <c r="M121" s="406"/>
      <c r="N121" s="406"/>
    </row>
    <row r="122" spans="11:14" ht="16" customHeight="1">
      <c r="K122" s="409"/>
      <c r="L122" s="409"/>
      <c r="M122" s="410"/>
      <c r="N122" s="410"/>
    </row>
    <row r="123" spans="11:14" ht="16" customHeight="1">
      <c r="K123" s="411"/>
      <c r="L123" s="411"/>
      <c r="M123" s="411"/>
      <c r="N123" s="411"/>
    </row>
  </sheetData>
  <sheetProtection algorithmName="SHA-512" hashValue="YSFK8rujuycDP8ltgVX2G7y9hMUdbF00bfb+w0/SUJHq2bdLg6a85qHvO2/TI+eW3PaFi3b+zPsqgDQmsHAokQ==" saltValue="WP+27fj9ejeFstTVpma3Ug=="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40E4E506-3B2D-4330-A891-1FA222483455}">
          <x14:formula1>
            <xm:f>KV_DROPDOWN_HELPER!$A$1:$A$16</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1796875" style="221" bestFit="1" customWidth="1"/>
    <col min="29" max="16384" width="9.1796875" style="221"/>
  </cols>
  <sheetData>
    <row r="1" spans="1:28" ht="18" customHeight="1">
      <c r="A1" s="302">
        <v>2</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46054</v>
      </c>
    </row>
    <row r="2" spans="1:28" ht="18" customHeight="1" thickBot="1">
      <c r="A2" s="307"/>
      <c r="B2" s="308"/>
      <c r="C2" s="309"/>
      <c r="D2" s="309"/>
      <c r="E2" s="309"/>
      <c r="F2" s="309"/>
      <c r="G2" s="309"/>
      <c r="H2" s="309"/>
      <c r="I2" s="309"/>
      <c r="J2" s="309"/>
      <c r="K2" s="309"/>
      <c r="L2" s="309"/>
      <c r="M2" s="309"/>
      <c r="N2" s="310"/>
      <c r="O2" s="311"/>
      <c r="P2" s="311"/>
      <c r="Q2" s="311"/>
      <c r="S2" s="312" t="s">
        <v>384</v>
      </c>
      <c r="T2" s="312"/>
      <c r="U2" s="312"/>
      <c r="V2" s="312"/>
      <c r="AB2" s="306">
        <f>EOMONTH(DATE(EINSTELLUNG!$C$35,$A$1,1),0)</f>
        <v>46081</v>
      </c>
    </row>
    <row r="3" spans="1:28" ht="22" customHeight="1">
      <c r="A3" s="313" t="s">
        <v>389</v>
      </c>
      <c r="B3" s="95">
        <v>401010</v>
      </c>
      <c r="C3" s="33" t="s">
        <v>224</v>
      </c>
      <c r="D3" s="34">
        <v>39388</v>
      </c>
      <c r="E3" s="35" t="s">
        <v>2</v>
      </c>
      <c r="F3" s="64">
        <v>173</v>
      </c>
      <c r="G3" s="314">
        <f>IF(OR(E3="",F3=""),"",PID_KVLohnLookup($A$1,E3,F3,LOHNTABELLE!$H$4))</f>
        <v>2021</v>
      </c>
      <c r="H3" s="315">
        <f>IF(AND(ISNUMBER(D3),ISNUMBER(F3)),ROUNDDOWN(MIN(IF(OR(ISBLANK(I3),I3=""),EOMONTH(DATE(EINSTELLUNG!$C$35,$A$1,1),0),I3)-MAX(D3,DATE(EINSTELLUNG!$C$35,$A$1,1))+1)/DAY(EOMONTH(DATE(EINSTELLUNG!$C$35,$A$1,1),0))*F3,2),"")</f>
        <v>173</v>
      </c>
      <c r="I3" s="37"/>
      <c r="J3" s="38"/>
      <c r="K3" s="314">
        <f t="shared" ref="K3:K34" si="0">IF(OR(B3="",C3=""),"",IFERROR(IF(OR(MONTH(D3)=1,MONTH(D3)=3,MONTH(D3)=5,MONTH(D3)=7,MONTH(D3)=8,MONTH(D3)=10,MONTH(D3)=12),(G3/31)*J3,IF(OR(MONTH(D3)=4,MONTH(D3)=6,MONTH(D3)=9,MONTH(D3)=11),(G3/30)*J3,(G3/DAY(EOMONTH(D3,0)))*J3)),0))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17" t="s">
        <v>47</v>
      </c>
      <c r="P3" s="317" t="s">
        <v>48</v>
      </c>
      <c r="Q3" s="317" t="s">
        <v>49</v>
      </c>
      <c r="R3" s="318" t="s">
        <v>50</v>
      </c>
      <c r="S3" s="319"/>
      <c r="T3" s="319"/>
      <c r="U3" s="319"/>
      <c r="V3" s="319"/>
      <c r="AB3" s="320"/>
    </row>
    <row r="4" spans="1:28" ht="22" customHeight="1">
      <c r="A4" s="321" t="s">
        <v>51</v>
      </c>
      <c r="B4" s="96">
        <v>401047</v>
      </c>
      <c r="C4" s="41" t="s">
        <v>226</v>
      </c>
      <c r="D4" s="42">
        <v>41154</v>
      </c>
      <c r="E4" s="43" t="s">
        <v>4</v>
      </c>
      <c r="F4" s="65">
        <v>173</v>
      </c>
      <c r="G4" s="322">
        <f>IF(OR(E4="",F4=""),"",PID_KVLohnLookup($A$1,E4,F4,LOHNTABELLE!$H$4))</f>
        <v>2123</v>
      </c>
      <c r="H4" s="323">
        <f>IF(AND(ISNUMBER(D4),ISNUMBER(F4)),ROUNDDOWN(MIN(IF(OR(ISBLANK(I4),I4=""),EOMONTH(DATE(EINSTELLUNG!$C$35,$A$1,1),0),I4)-MAX(D4,DATE(EINSTELLUNG!$C$35,$A$1,1))+1)/DAY(EOMONTH(DATE(EINSTELLUNG!$C$35,$A$1,1),0))*F4,2),"")</f>
        <v>173</v>
      </c>
      <c r="I4" s="45"/>
      <c r="J4" s="46"/>
      <c r="K4" s="322">
        <f t="shared" si="0"/>
        <v>0</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5"/>
      <c r="P4" s="325"/>
      <c r="Q4" s="325"/>
      <c r="R4" s="326"/>
      <c r="S4" s="319"/>
      <c r="T4" s="319"/>
      <c r="U4" s="319"/>
      <c r="V4" s="319"/>
    </row>
    <row r="5" spans="1:28" ht="22" customHeight="1">
      <c r="A5" s="321" t="s">
        <v>52</v>
      </c>
      <c r="B5" s="97">
        <v>401049</v>
      </c>
      <c r="C5" s="49" t="s">
        <v>225</v>
      </c>
      <c r="D5" s="50">
        <v>41130</v>
      </c>
      <c r="E5" s="51" t="s">
        <v>4</v>
      </c>
      <c r="F5" s="52">
        <v>173</v>
      </c>
      <c r="G5" s="322">
        <f>IF(OR(E5="",F5=""),"",PID_KVLohnLookup($A$1,E5,F5,LOHNTABELLE!$H$4))</f>
        <v>2123</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327" cm="1">
        <f t="array" ref="O5">SUMPRODUCT((F3:F82/4.310808)/5*2.08)</f>
        <v>864.1711345065703</v>
      </c>
      <c r="P5" s="328">
        <f>EINSTELLUNG!I7</f>
        <v>600</v>
      </c>
      <c r="Q5" s="328">
        <f>P5-O5</f>
        <v>-264.1711345065703</v>
      </c>
      <c r="R5" s="329">
        <f>IFERROR(Q5*Q42, 0)</f>
        <v>-3157.2374846597359</v>
      </c>
      <c r="S5" s="319"/>
      <c r="T5" s="319"/>
      <c r="U5" s="319"/>
      <c r="V5" s="319"/>
    </row>
    <row r="6" spans="1:28" ht="22" customHeight="1">
      <c r="A6" s="321" t="s">
        <v>53</v>
      </c>
      <c r="B6" s="96">
        <v>401051</v>
      </c>
      <c r="C6" s="41" t="s">
        <v>227</v>
      </c>
      <c r="D6" s="42">
        <v>41176</v>
      </c>
      <c r="E6" s="43" t="s">
        <v>2</v>
      </c>
      <c r="F6" s="44">
        <v>173</v>
      </c>
      <c r="G6" s="322">
        <f>IF(OR(E6="",F6=""),"",PID_KVLohnLookup($A$1,E6,F6,LOHNTABELLE!$H$4))</f>
        <v>2021</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21" t="s">
        <v>54</v>
      </c>
      <c r="B7" s="97">
        <v>401089</v>
      </c>
      <c r="C7" s="49" t="s">
        <v>241</v>
      </c>
      <c r="D7" s="50">
        <v>44868</v>
      </c>
      <c r="E7" s="51" t="s">
        <v>3</v>
      </c>
      <c r="F7" s="52">
        <v>173</v>
      </c>
      <c r="G7" s="322">
        <f>IF(OR(E7="",F7=""),"",PID_KVLohnLookup($A$1,E7,F7,LOHNTABELLE!$H$4))</f>
        <v>2082</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319"/>
      <c r="P7" s="319"/>
      <c r="Q7" s="319"/>
      <c r="R7" s="319"/>
      <c r="S7" s="319"/>
      <c r="T7" s="319"/>
      <c r="U7" s="319"/>
      <c r="V7" s="319"/>
    </row>
    <row r="8" spans="1:28" ht="22" customHeight="1">
      <c r="A8" s="321" t="s">
        <v>55</v>
      </c>
      <c r="B8" s="96">
        <v>401138</v>
      </c>
      <c r="C8" s="41" t="s">
        <v>228</v>
      </c>
      <c r="D8" s="42">
        <v>42006</v>
      </c>
      <c r="E8" s="43" t="s">
        <v>4</v>
      </c>
      <c r="F8" s="44">
        <v>173</v>
      </c>
      <c r="G8" s="322">
        <f>IF(OR(E8="",F8=""),"",PID_KVLohnLookup($A$1,E8,F8,LOHNTABELLE!$H$4))</f>
        <v>2123</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33" t="s">
        <v>56</v>
      </c>
      <c r="P8" s="334"/>
      <c r="Q8" s="335">
        <f>SUM(H3:H82)</f>
        <v>8814.42</v>
      </c>
      <c r="R8" s="336"/>
      <c r="S8" s="319"/>
      <c r="T8" s="319"/>
      <c r="U8" s="319"/>
      <c r="V8" s="319"/>
    </row>
    <row r="9" spans="1:28" ht="22" customHeight="1">
      <c r="A9" s="321" t="s">
        <v>57</v>
      </c>
      <c r="B9" s="97">
        <v>401197</v>
      </c>
      <c r="C9" s="49" t="s">
        <v>229</v>
      </c>
      <c r="D9" s="50">
        <v>42644</v>
      </c>
      <c r="E9" s="51" t="s">
        <v>3</v>
      </c>
      <c r="F9" s="52">
        <v>173</v>
      </c>
      <c r="G9" s="322">
        <f>IF(OR(E9="",F9=""),"",PID_KVLohnLookup($A$1,E9,F9,LOHNTABELLE!$H$4))</f>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37" t="s">
        <v>58</v>
      </c>
      <c r="P9" s="338"/>
      <c r="Q9" s="339">
        <f>EINSTELLUNG!L23</f>
        <v>2</v>
      </c>
      <c r="R9" s="340"/>
      <c r="S9" s="412">
        <f>IFERROR(Q9/Q8, 0)</f>
        <v>2.2690091917562357E-4</v>
      </c>
      <c r="T9" s="319"/>
      <c r="U9" s="319"/>
      <c r="V9" s="319"/>
    </row>
    <row r="10" spans="1:28" ht="22" customHeight="1">
      <c r="A10" s="321" t="s">
        <v>59</v>
      </c>
      <c r="B10" s="96">
        <v>401214</v>
      </c>
      <c r="C10" s="41" t="s">
        <v>255</v>
      </c>
      <c r="D10" s="42">
        <v>45636</v>
      </c>
      <c r="E10" s="43" t="s">
        <v>3</v>
      </c>
      <c r="F10" s="44">
        <v>173</v>
      </c>
      <c r="G10" s="322">
        <f>IF(OR(E10="",F10=""),"",PID_KVLohnLookup($A$1,E10,F10,LOHNTABELLE!$H$4))</f>
        <v>2082</v>
      </c>
      <c r="H10" s="323">
        <f>IF(AND(ISNUMBER(D10),ISNUMBER(F10)),ROUNDDOWN(MIN(IF(OR(ISBLANK(I10),I10=""),EOMONTH(DATE(EINSTELLUNG!$C$35,$A$1,1),0),I10)-MAX(D10,DATE(EINSTELLUNG!$C$35,$A$1,1))+1)/DAY(EOMONTH(DATE(EINSTELLUNG!$C$35,$A$1,1),0))*F10,2),"")</f>
        <v>173</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37" t="s">
        <v>60</v>
      </c>
      <c r="P10" s="338"/>
      <c r="Q10" s="339">
        <f>EINSTELLUNG!I23</f>
        <v>0</v>
      </c>
      <c r="R10" s="340"/>
      <c r="S10" s="319"/>
      <c r="T10" s="319"/>
      <c r="U10" s="319"/>
      <c r="V10" s="319"/>
    </row>
    <row r="11" spans="1:28" ht="22" customHeight="1">
      <c r="A11" s="321" t="s">
        <v>61</v>
      </c>
      <c r="B11" s="97">
        <v>401276</v>
      </c>
      <c r="C11" s="49" t="s">
        <v>230</v>
      </c>
      <c r="D11" s="50">
        <v>43252</v>
      </c>
      <c r="E11" s="51" t="s">
        <v>3</v>
      </c>
      <c r="F11" s="52">
        <v>173</v>
      </c>
      <c r="G11" s="322">
        <f>IF(OR(E11="",F11=""),"",PID_KVLohnLookup($A$1,E11,F11,LOHNTABELLE!$H$4))</f>
        <v>2082</v>
      </c>
      <c r="H11" s="323">
        <f>IF(AND(ISNUMBER(D11),ISNUMBER(F11)),ROUNDDOWN(MIN(IF(OR(ISBLANK(I11),I11=""),EOMONTH(DATE(EINSTELLUNG!$C$35,$A$1,1),0),I11)-MAX(D11,DATE(EINSTELLUNG!$C$35,$A$1,1))+1)/DAY(EOMONTH(DATE(EINSTELLUNG!$C$35,$A$1,1),0))*F11,2),"")</f>
        <v>173</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337" t="s">
        <v>62</v>
      </c>
      <c r="P11" s="338"/>
      <c r="Q11" s="339">
        <f>P5</f>
        <v>600</v>
      </c>
      <c r="R11" s="340"/>
      <c r="S11" s="319"/>
      <c r="T11" s="319"/>
      <c r="U11" s="319"/>
      <c r="V11" s="319"/>
    </row>
    <row r="12" spans="1:28" ht="22" customHeight="1">
      <c r="A12" s="321" t="s">
        <v>63</v>
      </c>
      <c r="B12" s="96">
        <v>401276</v>
      </c>
      <c r="C12" s="41" t="s">
        <v>392</v>
      </c>
      <c r="D12" s="42">
        <v>38899</v>
      </c>
      <c r="E12" s="43" t="s">
        <v>2</v>
      </c>
      <c r="F12" s="44">
        <v>55</v>
      </c>
      <c r="G12" s="322">
        <f>IF(OR(E12="",F12=""),"",PID_KVLohnLookup($A$1,E12,F12,LOHNTABELLE!$H$4))</f>
        <v>666</v>
      </c>
      <c r="H12" s="323">
        <f>IF(AND(ISNUMBER(D12),ISNUMBER(F12)),ROUNDDOWN(MIN(IF(OR(ISBLANK(I12),I12=""),EOMONTH(DATE(EINSTELLUNG!$C$35,$A$1,1),0),I12)-MAX(D12,DATE(EINSTELLUNG!$C$35,$A$1,1))+1)/DAY(EOMONTH(DATE(EINSTELLUNG!$C$35,$A$1,1),0))*F12,2),"")</f>
        <v>55</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37" t="s">
        <v>66</v>
      </c>
      <c r="P12" s="338"/>
      <c r="Q12" s="413">
        <v>7976.6399999999994</v>
      </c>
      <c r="R12" s="414"/>
      <c r="S12" s="319"/>
      <c r="T12" s="319"/>
      <c r="U12" s="319"/>
      <c r="V12" s="319"/>
    </row>
    <row r="13" spans="1:28" ht="22" customHeight="1">
      <c r="A13" s="321" t="s">
        <v>65</v>
      </c>
      <c r="B13" s="97">
        <v>401307</v>
      </c>
      <c r="C13" s="49" t="s">
        <v>231</v>
      </c>
      <c r="D13" s="50">
        <v>43571</v>
      </c>
      <c r="E13" s="51" t="s">
        <v>2</v>
      </c>
      <c r="F13" s="52">
        <v>55</v>
      </c>
      <c r="G13" s="322">
        <f>IF(OR(E13="",F13=""),"",PID_KVLohnLookup($A$1,E13,F13,LOHNTABELLE!$H$4))</f>
        <v>666</v>
      </c>
      <c r="H13" s="323">
        <f>IF(AND(ISNUMBER(D13),ISNUMBER(F13)),ROUNDDOWN(MIN(IF(OR(ISBLANK(I13),I13=""),EOMONTH(DATE(EINSTELLUNG!$C$35,$A$1,1),0),I13)-MAX(D13,DATE(EINSTELLUNG!$C$35,$A$1,1))+1)/DAY(EOMONTH(DATE(EINSTELLUNG!$C$35,$A$1,1),0))*F13,2),"")</f>
        <v>55</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337" t="s">
        <v>68</v>
      </c>
      <c r="P13" s="338"/>
      <c r="Q13" s="339">
        <f>EINSTELLUNG!L7</f>
        <v>9300</v>
      </c>
      <c r="R13" s="340"/>
      <c r="S13" s="319"/>
      <c r="T13" s="319"/>
      <c r="U13" s="319"/>
      <c r="V13" s="319"/>
    </row>
    <row r="14" spans="1:28" ht="22" customHeight="1" thickBot="1">
      <c r="A14" s="321" t="s">
        <v>67</v>
      </c>
      <c r="B14" s="96">
        <v>401308</v>
      </c>
      <c r="C14" s="41" t="s">
        <v>232</v>
      </c>
      <c r="D14" s="42">
        <v>43579</v>
      </c>
      <c r="E14" s="43" t="s">
        <v>3</v>
      </c>
      <c r="F14" s="44">
        <v>173</v>
      </c>
      <c r="G14" s="322">
        <f>IF(OR(E14="",F14=""),"",PID_KVLohnLookup($A$1,E14,F14,LOHNTABELLE!$H$4))</f>
        <v>2082</v>
      </c>
      <c r="H14" s="323">
        <f>IF(AND(ISNUMBER(D14),ISNUMBER(F14)),ROUNDDOWN(MIN(IF(OR(ISBLANK(I14),I14=""),EOMONTH(DATE(EINSTELLUNG!$C$35,$A$1,1),0),I14)-MAX(D14,DATE(EINSTELLUNG!$C$35,$A$1,1))+1)/DAY(EOMONTH(DATE(EINSTELLUNG!$C$35,$A$1,1),0))*F14,2),"")</f>
        <v>173</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42" t="s">
        <v>70</v>
      </c>
      <c r="P14" s="343"/>
      <c r="Q14" s="344">
        <f>Q12-Q13</f>
        <v>-1323.3600000000006</v>
      </c>
      <c r="R14" s="345"/>
      <c r="S14" s="319"/>
      <c r="T14" s="319"/>
      <c r="U14" s="319"/>
      <c r="V14" s="319"/>
    </row>
    <row r="15" spans="1:28" ht="22" customHeight="1">
      <c r="A15" s="321" t="s">
        <v>69</v>
      </c>
      <c r="B15" s="97">
        <v>401389</v>
      </c>
      <c r="C15" s="49" t="s">
        <v>234</v>
      </c>
      <c r="D15" s="50">
        <v>44384</v>
      </c>
      <c r="E15" s="51" t="s">
        <v>4</v>
      </c>
      <c r="F15" s="52">
        <v>151.38</v>
      </c>
      <c r="G15" s="322">
        <f>IF(OR(E15="",F15=""),"",PID_KVLohnLookup($A$1,E15,F15,LOHNTABELLE!$H$4))</f>
        <v>1857.63</v>
      </c>
      <c r="H15" s="323">
        <f>IF(AND(ISNUMBER(D15),ISNUMBER(F15)),ROUNDDOWN(MIN(IF(OR(ISBLANK(I15),I15=""),EOMONTH(DATE(EINSTELLUNG!$C$35,$A$1,1),0),I15)-MAX(D15,DATE(EINSTELLUNG!$C$35,$A$1,1))+1)/DAY(EOMONTH(DATE(EINSTELLUNG!$C$35,$A$1,1),0))*F15,2),"")</f>
        <v>151.38</v>
      </c>
      <c r="I15" s="53"/>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5"/>
      <c r="N15" s="71"/>
      <c r="O15" s="415" t="str">
        <f>IF(Q14&lt;0, "Schlecht! Zu wenig Stunden für Dienstplan.", IF(Q14&gt;0, "Du hast mehr als genug Stunden für Dienstplan.", ""))</f>
        <v>Schlecht! Zu wenig Stunden für Dienstplan.</v>
      </c>
      <c r="P15" s="416"/>
      <c r="Q15" s="416"/>
      <c r="R15" s="416"/>
      <c r="S15" s="346"/>
      <c r="T15" s="346"/>
      <c r="U15" s="346"/>
      <c r="V15" s="319"/>
    </row>
    <row r="16" spans="1:28" ht="22" customHeight="1" thickBot="1">
      <c r="A16" s="321" t="s">
        <v>71</v>
      </c>
      <c r="B16" s="96">
        <v>401394</v>
      </c>
      <c r="C16" s="41" t="s">
        <v>233</v>
      </c>
      <c r="D16" s="45">
        <v>44379</v>
      </c>
      <c r="E16" s="43" t="s">
        <v>2</v>
      </c>
      <c r="F16" s="44">
        <v>173</v>
      </c>
      <c r="G16" s="322">
        <f>IF(OR(E16="",F16=""),"",PID_KVLohnLookup($A$1,E16,F16,LOHNTABELLE!$H$4))</f>
        <v>2021</v>
      </c>
      <c r="H16" s="323">
        <f>IF(AND(ISNUMBER(D16),ISNUMBER(F16)),ROUNDDOWN(MIN(IF(OR(ISBLANK(I16),I16=""),EOMONTH(DATE(EINSTELLUNG!$C$35,$A$1,1),0),I16)-MAX(D16,DATE(EINSTELLUNG!$C$35,$A$1,1))+1)/DAY(EOMONTH(DATE(EINSTELLUNG!$C$35,$A$1,1),0))*F16,2),"")</f>
        <v>173</v>
      </c>
      <c r="I16" s="45"/>
      <c r="J16" s="46"/>
      <c r="K16" s="322">
        <f t="shared" si="0"/>
        <v>0</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417"/>
      <c r="P16" s="418"/>
      <c r="Q16" s="418"/>
      <c r="R16" s="419"/>
      <c r="S16" s="350"/>
      <c r="T16" s="350"/>
      <c r="U16" s="350"/>
      <c r="V16" s="350"/>
      <c r="W16" s="351"/>
    </row>
    <row r="17" spans="1:29" ht="22" customHeight="1">
      <c r="A17" s="321" t="s">
        <v>72</v>
      </c>
      <c r="B17" s="97">
        <v>401406</v>
      </c>
      <c r="C17" s="49" t="s">
        <v>393</v>
      </c>
      <c r="D17" s="50">
        <v>36850</v>
      </c>
      <c r="E17" s="51" t="s">
        <v>10</v>
      </c>
      <c r="F17" s="52">
        <v>151.38</v>
      </c>
      <c r="G17" s="322">
        <f>IF(OR(E17="",F17=""),"",PID_KVLohnLookup($A$1,E17,F17,LOHNTABELLE!$H$4))</f>
        <v>2012.5</v>
      </c>
      <c r="H17" s="323">
        <f>IF(AND(ISNUMBER(D17),ISNUMBER(F17)),ROUNDDOWN(MIN(IF(OR(ISBLANK(I17),I17=""),EOMONTH(DATE(EINSTELLUNG!$C$35,$A$1,1),0),I17)-MAX(D17,DATE(EINSTELLUNG!$C$35,$A$1,1))+1)/DAY(EOMONTH(DATE(EINSTELLUNG!$C$35,$A$1,1),0))*F17,2),"")</f>
        <v>151.38</v>
      </c>
      <c r="I17" s="53"/>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5"/>
      <c r="N17" s="71"/>
      <c r="O17" s="352" t="s">
        <v>73</v>
      </c>
      <c r="P17" s="334"/>
      <c r="Q17" s="353">
        <f>SUM(L3:L82)</f>
        <v>105345.41285714287</v>
      </c>
      <c r="R17" s="354"/>
      <c r="S17" s="319"/>
      <c r="T17" s="319"/>
      <c r="U17" s="319"/>
      <c r="V17" s="319"/>
      <c r="W17" s="351"/>
    </row>
    <row r="18" spans="1:29" ht="22" customHeight="1">
      <c r="A18" s="321" t="s">
        <v>74</v>
      </c>
      <c r="B18" s="96">
        <v>401432</v>
      </c>
      <c r="C18" s="41" t="s">
        <v>235</v>
      </c>
      <c r="D18" s="42">
        <v>44441</v>
      </c>
      <c r="E18" s="43" t="s">
        <v>2</v>
      </c>
      <c r="F18" s="44">
        <v>173</v>
      </c>
      <c r="G18" s="322">
        <f>IF(OR(E18="",F18=""),"",PID_KVLohnLookup($A$1,E18,F18,LOHNTABELLE!$H$4))</f>
        <v>2021</v>
      </c>
      <c r="H18" s="323">
        <f>IF(AND(ISNUMBER(D18),ISNUMBER(F18)),ROUNDDOWN(MIN(IF(OR(ISBLANK(I18),I18=""),EOMONTH(DATE(EINSTELLUNG!$C$35,$A$1,1),0),I18)-MAX(D18,DATE(EINSTELLUNG!$C$35,$A$1,1))+1)/DAY(EOMONTH(DATE(EINSTELLUNG!$C$35,$A$1,1),0))*F18,2),"")</f>
        <v>173</v>
      </c>
      <c r="I18" s="45"/>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7"/>
      <c r="N18" s="70"/>
      <c r="O18" s="355" t="s">
        <v>376</v>
      </c>
      <c r="P18" s="356"/>
      <c r="Q18" s="357">
        <v>20</v>
      </c>
      <c r="R18" s="358"/>
      <c r="S18" s="319"/>
      <c r="T18" s="319"/>
      <c r="U18" s="319"/>
      <c r="V18" s="319"/>
    </row>
    <row r="19" spans="1:29" ht="22" customHeight="1">
      <c r="A19" s="321" t="s">
        <v>75</v>
      </c>
      <c r="B19" s="97">
        <v>401476</v>
      </c>
      <c r="C19" s="66" t="s">
        <v>237</v>
      </c>
      <c r="D19" s="53">
        <v>44504</v>
      </c>
      <c r="E19" s="51" t="s">
        <v>2</v>
      </c>
      <c r="F19" s="52">
        <v>173</v>
      </c>
      <c r="G19" s="322">
        <f>IF(OR(E19="",F19=""),"",PID_KVLohnLookup($A$1,E19,F19,LOHNTABELLE!$H$4))</f>
        <v>2021</v>
      </c>
      <c r="H19" s="323">
        <f>IF(AND(ISNUMBER(D19),ISNUMBER(F19)),ROUNDDOWN(MIN(IF(OR(ISBLANK(I19),I19=""),EOMONTH(DATE(EINSTELLUNG!$C$35,$A$1,1),0),I19)-MAX(D19,DATE(EINSTELLUNG!$C$35,$A$1,1))+1)/DAY(EOMONTH(DATE(EINSTELLUNG!$C$35,$A$1,1),0))*F19,2),"")</f>
        <v>173</v>
      </c>
      <c r="I19" s="53"/>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5"/>
      <c r="N19" s="71"/>
      <c r="O19" s="355" t="s">
        <v>294</v>
      </c>
      <c r="P19" s="356"/>
      <c r="Q19" s="357">
        <v>333</v>
      </c>
      <c r="R19" s="358"/>
      <c r="S19" s="319"/>
      <c r="T19" s="319"/>
      <c r="U19" s="319"/>
      <c r="V19" s="319"/>
    </row>
    <row r="20" spans="1:29" ht="22" customHeight="1">
      <c r="A20" s="321" t="s">
        <v>76</v>
      </c>
      <c r="B20" s="96">
        <v>401479</v>
      </c>
      <c r="C20" s="41" t="s">
        <v>238</v>
      </c>
      <c r="D20" s="42">
        <v>44511</v>
      </c>
      <c r="E20" s="43" t="s">
        <v>6</v>
      </c>
      <c r="F20" s="44">
        <v>173</v>
      </c>
      <c r="G20" s="322">
        <f>IF(OR(E20="",F20=""),"",PID_KVLohnLookup($A$1,E20,F20,LOHNTABELLE!$H$4))</f>
        <v>2160</v>
      </c>
      <c r="H20" s="323">
        <f>IF(AND(ISNUMBER(D20),ISNUMBER(F20)),ROUNDDOWN(MIN(IF(OR(ISBLANK(I20),I20=""),EOMONTH(DATE(EINSTELLUNG!$C$35,$A$1,1),0),I20)-MAX(D20,DATE(EINSTELLUNG!$C$35,$A$1,1))+1)/DAY(EOMONTH(DATE(EINSTELLUNG!$C$35,$A$1,1),0))*F20,2),"")</f>
        <v>173</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355" t="s">
        <v>294</v>
      </c>
      <c r="P20" s="356"/>
      <c r="Q20" s="357">
        <v>35</v>
      </c>
      <c r="R20" s="358"/>
      <c r="S20" s="319"/>
      <c r="T20" s="319"/>
      <c r="U20" s="319"/>
      <c r="V20" s="319"/>
    </row>
    <row r="21" spans="1:29" ht="22" customHeight="1">
      <c r="A21" s="321" t="s">
        <v>77</v>
      </c>
      <c r="B21" s="97">
        <v>401481</v>
      </c>
      <c r="C21" s="49" t="s">
        <v>239</v>
      </c>
      <c r="D21" s="53">
        <v>44531</v>
      </c>
      <c r="E21" s="51" t="s">
        <v>3</v>
      </c>
      <c r="F21" s="52">
        <v>173</v>
      </c>
      <c r="G21" s="322">
        <f>IF(OR(E21="",F21=""),"",PID_KVLohnLookup($A$1,E21,F21,LOHNTABELLE!$H$4))</f>
        <v>2082</v>
      </c>
      <c r="H21" s="323">
        <f>IF(AND(ISNUMBER(D21),ISNUMBER(F21)),ROUNDDOWN(MIN(IF(OR(ISBLANK(I21),I21=""),EOMONTH(DATE(EINSTELLUNG!$C$35,$A$1,1),0),I21)-MAX(D21,DATE(EINSTELLUNG!$C$35,$A$1,1))+1)/DAY(EOMONTH(DATE(EINSTELLUNG!$C$35,$A$1,1),0))*F21,2),"")</f>
        <v>173</v>
      </c>
      <c r="I21" s="53"/>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1"/>
      <c r="O21" s="355" t="s">
        <v>294</v>
      </c>
      <c r="P21" s="356"/>
      <c r="Q21" s="357">
        <v>100</v>
      </c>
      <c r="R21" s="358"/>
      <c r="S21" s="319"/>
      <c r="T21" s="319"/>
      <c r="U21" s="319"/>
      <c r="V21" s="319"/>
    </row>
    <row r="22" spans="1:29" ht="22" customHeight="1">
      <c r="A22" s="321" t="s">
        <v>78</v>
      </c>
      <c r="B22" s="96">
        <v>401558</v>
      </c>
      <c r="C22" s="41" t="s">
        <v>236</v>
      </c>
      <c r="D22" s="42">
        <v>44460</v>
      </c>
      <c r="E22" s="43" t="s">
        <v>2</v>
      </c>
      <c r="F22" s="44">
        <v>173</v>
      </c>
      <c r="G22" s="322">
        <f>IF(OR(E22="",F22=""),"",PID_KVLohnLookup($A$1,E22,F22,LOHNTABELLE!$H$4))</f>
        <v>2021</v>
      </c>
      <c r="H22" s="323">
        <f>IF(AND(ISNUMBER(D22),ISNUMBER(F22)),ROUNDDOWN(MIN(IF(OR(ISBLANK(I22),I22=""),EOMONTH(DATE(EINSTELLUNG!$C$35,$A$1,1),0),I22)-MAX(D22,DATE(EINSTELLUNG!$C$35,$A$1,1))+1)/DAY(EOMONTH(DATE(EINSTELLUNG!$C$35,$A$1,1),0))*F22,2),"")</f>
        <v>173</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5" t="s">
        <v>294</v>
      </c>
      <c r="P22" s="356"/>
      <c r="Q22" s="357"/>
      <c r="R22" s="358"/>
      <c r="S22" s="319"/>
      <c r="T22" s="319"/>
      <c r="U22" s="319"/>
      <c r="V22" s="319"/>
    </row>
    <row r="23" spans="1:29" ht="22" customHeight="1">
      <c r="A23" s="321" t="s">
        <v>79</v>
      </c>
      <c r="B23" s="97">
        <v>401564</v>
      </c>
      <c r="C23" s="49" t="s">
        <v>240</v>
      </c>
      <c r="D23" s="53">
        <v>44824</v>
      </c>
      <c r="E23" s="51" t="s">
        <v>2</v>
      </c>
      <c r="F23" s="52">
        <v>151.38</v>
      </c>
      <c r="G23" s="322">
        <f>IF(OR(E23="",F23=""),"",PID_KVLohnLookup($A$1,E23,F23,LOHNTABELLE!$H$4))</f>
        <v>1768.38</v>
      </c>
      <c r="H23" s="323">
        <f>IF(AND(ISNUMBER(D23),ISNUMBER(F23)),ROUNDDOWN(MIN(IF(OR(ISBLANK(I23),I23=""),EOMONTH(DATE(EINSTELLUNG!$C$35,$A$1,1),0),I23)-MAX(D23,DATE(EINSTELLUNG!$C$35,$A$1,1))+1)/DAY(EOMONTH(DATE(EINSTELLUNG!$C$35,$A$1,1),0))*F23,2),"")</f>
        <v>151.38</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355" t="s">
        <v>294</v>
      </c>
      <c r="P23" s="356"/>
      <c r="Q23" s="357">
        <v>5000</v>
      </c>
      <c r="R23" s="358"/>
      <c r="S23" s="319"/>
      <c r="T23" s="319"/>
      <c r="U23" s="319"/>
      <c r="V23" s="319"/>
      <c r="W23" s="351"/>
    </row>
    <row r="24" spans="1:29" ht="22" customHeight="1">
      <c r="A24" s="321" t="s">
        <v>80</v>
      </c>
      <c r="B24" s="96">
        <v>401583</v>
      </c>
      <c r="C24" s="41" t="s">
        <v>242</v>
      </c>
      <c r="D24" s="42">
        <v>44900</v>
      </c>
      <c r="E24" s="43" t="s">
        <v>13</v>
      </c>
      <c r="F24" s="44">
        <v>173</v>
      </c>
      <c r="G24" s="322">
        <f>IF(OR(E24="",F24=""),"",PID_KVLohnLookup($A$1,E24,F24,LOHNTABELLE!$H$4))</f>
        <v>2328</v>
      </c>
      <c r="H24" s="323">
        <f>IF(AND(ISNUMBER(D24),ISNUMBER(F24)),ROUNDDOWN(MIN(IF(OR(ISBLANK(I24),I24=""),EOMONTH(DATE(EINSTELLUNG!$C$35,$A$1,1),0),I24)-MAX(D24,DATE(EINSTELLUNG!$C$35,$A$1,1))+1)/DAY(EOMONTH(DATE(EINSTELLUNG!$C$35,$A$1,1),0))*F24,2),"")</f>
        <v>173</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355"/>
      <c r="P24" s="356"/>
      <c r="Q24" s="357"/>
      <c r="R24" s="358"/>
      <c r="S24" s="319"/>
      <c r="T24" s="319"/>
      <c r="U24" s="319"/>
      <c r="V24" s="319"/>
      <c r="W24" s="351"/>
    </row>
    <row r="25" spans="1:29" ht="22" customHeight="1">
      <c r="A25" s="321" t="s">
        <v>81</v>
      </c>
      <c r="B25" s="97">
        <v>401589</v>
      </c>
      <c r="C25" s="49" t="s">
        <v>243</v>
      </c>
      <c r="D25" s="53">
        <v>44926</v>
      </c>
      <c r="E25" s="51" t="s">
        <v>10</v>
      </c>
      <c r="F25" s="52">
        <v>173</v>
      </c>
      <c r="G25" s="322">
        <f>IF(OR(E25="",F25=""),"",PID_KVLohnLookup($A$1,E25,F25,LOHNTABELLE!$H$4))</f>
        <v>2300</v>
      </c>
      <c r="H25" s="323">
        <f>IF(AND(ISNUMBER(D25),ISNUMBER(F25)),ROUNDDOWN(MIN(IF(OR(ISBLANK(I25),I25=""),EOMONTH(DATE(EINSTELLUNG!$C$35,$A$1,1),0),I25)-MAX(D25,DATE(EINSTELLUNG!$C$35,$A$1,1))+1)/DAY(EOMONTH(DATE(EINSTELLUNG!$C$35,$A$1,1),0))*F25,2),"")</f>
        <v>173</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355"/>
      <c r="P25" s="356"/>
      <c r="Q25" s="357"/>
      <c r="R25" s="358"/>
      <c r="S25" s="319"/>
      <c r="T25" s="319"/>
      <c r="U25" s="319"/>
      <c r="V25" s="319"/>
    </row>
    <row r="26" spans="1:29" ht="22" customHeight="1">
      <c r="A26" s="321" t="s">
        <v>82</v>
      </c>
      <c r="B26" s="96">
        <v>401602</v>
      </c>
      <c r="C26" s="41" t="s">
        <v>244</v>
      </c>
      <c r="D26" s="45">
        <v>45975</v>
      </c>
      <c r="E26" s="43" t="s">
        <v>2</v>
      </c>
      <c r="F26" s="44">
        <v>169</v>
      </c>
      <c r="G26" s="322">
        <f>IF(OR(E26="",F26=""),"",PID_KVLohnLookup($A$1,E26,F26,LOHNTABELLE!$H$4))</f>
        <v>2000</v>
      </c>
      <c r="H26" s="323">
        <f>IF(AND(ISNUMBER(D26),ISNUMBER(F26)),ROUNDDOWN(MIN(IF(OR(ISBLANK(I26),I26=""),EOMONTH(DATE(EINSTELLUNG!$C$35,$A$1,1),0),I26)-MAX(D26,DATE(EINSTELLUNG!$C$35,$A$1,1))+1)/DAY(EOMONTH(DATE(EINSTELLUNG!$C$35,$A$1,1),0))*F26,2),"")</f>
        <v>169</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355"/>
      <c r="P26" s="356"/>
      <c r="Q26" s="357"/>
      <c r="R26" s="358"/>
      <c r="S26" s="319"/>
      <c r="T26" s="319"/>
      <c r="U26" s="319"/>
      <c r="V26" s="319"/>
    </row>
    <row r="27" spans="1:29" ht="22" customHeight="1">
      <c r="A27" s="321" t="s">
        <v>83</v>
      </c>
      <c r="B27" s="97">
        <v>401605</v>
      </c>
      <c r="C27" s="49" t="s">
        <v>245</v>
      </c>
      <c r="D27" s="50">
        <v>44986</v>
      </c>
      <c r="E27" s="51" t="s">
        <v>2</v>
      </c>
      <c r="F27" s="52">
        <v>173</v>
      </c>
      <c r="G27" s="322">
        <f>IF(OR(E27="",F27=""),"",PID_KVLohnLookup($A$1,E27,F27,LOHNTABELLE!$H$4))</f>
        <v>2021</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5"/>
      <c r="P27" s="356"/>
      <c r="Q27" s="357"/>
      <c r="R27" s="358"/>
      <c r="S27" s="359" t="s">
        <v>84</v>
      </c>
      <c r="T27" s="359"/>
      <c r="U27" s="359"/>
      <c r="V27" s="359"/>
    </row>
    <row r="28" spans="1:29" ht="22" customHeight="1">
      <c r="A28" s="321" t="s">
        <v>85</v>
      </c>
      <c r="B28" s="96">
        <v>401605</v>
      </c>
      <c r="C28" s="41" t="s">
        <v>393</v>
      </c>
      <c r="D28" s="42">
        <v>36850</v>
      </c>
      <c r="E28" s="43" t="s">
        <v>10</v>
      </c>
      <c r="F28" s="44">
        <v>151.38</v>
      </c>
      <c r="G28" s="322">
        <f>IF(OR(E28="",F28=""),"",PID_KVLohnLookup($A$1,E28,F28,LOHNTABELLE!$H$4))</f>
        <v>2012.5</v>
      </c>
      <c r="H28" s="323">
        <f>IF(AND(ISNUMBER(D28),ISNUMBER(F28)),ROUNDDOWN(MIN(IF(OR(ISBLANK(I28),I28=""),EOMONTH(DATE(EINSTELLUNG!$C$35,$A$1,1),0),I28)-MAX(D28,DATE(EINSTELLUNG!$C$35,$A$1,1))+1)/DAY(EOMONTH(DATE(EINSTELLUNG!$C$35,$A$1,1),0))*F28,2),"")</f>
        <v>151.38</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355"/>
      <c r="P28" s="356"/>
      <c r="Q28" s="357"/>
      <c r="R28" s="358"/>
      <c r="S28" s="319"/>
      <c r="T28" s="319"/>
      <c r="U28" s="319"/>
      <c r="V28" s="319"/>
    </row>
    <row r="29" spans="1:29" ht="22" customHeight="1" thickBot="1">
      <c r="A29" s="321" t="s">
        <v>86</v>
      </c>
      <c r="B29" s="97">
        <v>401626</v>
      </c>
      <c r="C29" s="49" t="s">
        <v>246</v>
      </c>
      <c r="D29" s="50">
        <v>45063</v>
      </c>
      <c r="E29" s="51" t="s">
        <v>2</v>
      </c>
      <c r="F29" s="52">
        <v>173</v>
      </c>
      <c r="G29" s="322">
        <f>IF(OR(E29="",F29=""),"",PID_KVLohnLookup($A$1,E29,F29,LOHNTABELLE!$H$4))</f>
        <v>2021</v>
      </c>
      <c r="H29" s="323">
        <f>IF(AND(ISNUMBER(D29),ISNUMBER(F29)),ROUNDDOWN(MIN(IF(OR(ISBLANK(I29),I29=""),EOMONTH(DATE(EINSTELLUNG!$C$35,$A$1,1),0),I29)-MAX(D29,DATE(EINSTELLUNG!$C$35,$A$1,1))+1)/DAY(EOMONTH(DATE(EINSTELLUNG!$C$35,$A$1,1),0))*F29,2),"")</f>
        <v>173</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0" t="s">
        <v>87</v>
      </c>
      <c r="P29" s="343"/>
      <c r="Q29" s="361">
        <f>EINSTELLUNG!O7</f>
        <v>1250</v>
      </c>
      <c r="R29" s="362"/>
      <c r="S29" s="319"/>
      <c r="T29" s="319"/>
      <c r="U29" s="319"/>
      <c r="V29" s="319"/>
    </row>
    <row r="30" spans="1:29" ht="22" customHeight="1" thickBot="1">
      <c r="A30" s="321" t="s">
        <v>88</v>
      </c>
      <c r="B30" s="96">
        <v>401633</v>
      </c>
      <c r="C30" s="41" t="s">
        <v>247</v>
      </c>
      <c r="D30" s="42">
        <v>45089</v>
      </c>
      <c r="E30" s="43" t="s">
        <v>10</v>
      </c>
      <c r="F30" s="44">
        <v>173</v>
      </c>
      <c r="G30" s="322">
        <f>IF(OR(E30="",F30=""),"",PID_KVLohnLookup($A$1,E30,F30,LOHNTABELLE!$H$4))</f>
        <v>2300</v>
      </c>
      <c r="H30" s="323">
        <f>IF(AND(ISNUMBER(D30),ISNUMBER(F30)),ROUNDDOWN(MIN(IF(OR(ISBLANK(I30),I30=""),EOMONTH(DATE(EINSTELLUNG!$C$35,$A$1,1),0),I30)-MAX(D30,DATE(EINSTELLUNG!$C$35,$A$1,1))+1)/DAY(EOMONTH(DATE(EINSTELLUNG!$C$35,$A$1,1),0))*F30,2),"")</f>
        <v>173</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319"/>
      <c r="P30" s="319"/>
      <c r="Q30" s="319"/>
      <c r="R30" s="319"/>
      <c r="S30" s="319"/>
      <c r="T30" s="319"/>
      <c r="U30" s="319"/>
      <c r="V30" s="319"/>
      <c r="W30" s="363"/>
      <c r="X30" s="363"/>
      <c r="Y30" s="363"/>
      <c r="Z30" s="363"/>
      <c r="AA30" s="363"/>
      <c r="AB30" s="363"/>
      <c r="AC30" s="363"/>
    </row>
    <row r="31" spans="1:29" ht="22" customHeight="1" thickBot="1">
      <c r="A31" s="321" t="s">
        <v>89</v>
      </c>
      <c r="B31" s="97">
        <v>401647</v>
      </c>
      <c r="C31" s="49" t="s">
        <v>248</v>
      </c>
      <c r="D31" s="50">
        <v>45182</v>
      </c>
      <c r="E31" s="51" t="s">
        <v>2</v>
      </c>
      <c r="F31" s="52">
        <v>173</v>
      </c>
      <c r="G31" s="322">
        <f>IF(OR(E31="",F31=""),"",PID_KVLohnLookup($A$1,E31,F31,LOHNTABELLE!$H$4))</f>
        <v>2021</v>
      </c>
      <c r="H31" s="323">
        <f>IF(AND(ISNUMBER(D31),ISNUMBER(F31)),ROUNDDOWN(MIN(IF(OR(ISBLANK(I31),I31=""),EOMONTH(DATE(EINSTELLUNG!$C$35,$A$1,1),0),I31)-MAX(D31,DATE(EINSTELLUNG!$C$35,$A$1,1))+1)/DAY(EOMONTH(DATE(EINSTELLUNG!$C$35,$A$1,1),0))*F31,2),"")</f>
        <v>173</v>
      </c>
      <c r="I31" s="53"/>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4" t="s">
        <v>421</v>
      </c>
      <c r="P31" s="365"/>
      <c r="Q31" s="366">
        <v>1.6260162601626018E-2</v>
      </c>
      <c r="R31" s="367"/>
      <c r="S31" s="319"/>
      <c r="T31" s="319"/>
      <c r="U31" s="319"/>
      <c r="V31" s="319"/>
    </row>
    <row r="32" spans="1:29" ht="22" customHeight="1" thickBot="1">
      <c r="A32" s="321" t="s">
        <v>91</v>
      </c>
      <c r="B32" s="96">
        <v>401661</v>
      </c>
      <c r="C32" s="41" t="s">
        <v>249</v>
      </c>
      <c r="D32" s="45">
        <v>45261</v>
      </c>
      <c r="E32" s="43" t="s">
        <v>2</v>
      </c>
      <c r="F32" s="44">
        <v>173</v>
      </c>
      <c r="G32" s="322">
        <f>IF(OR(E32="",F32=""),"",PID_KVLohnLookup($A$1,E32,F32,LOHNTABELLE!$H$4))</f>
        <v>2021</v>
      </c>
      <c r="H32" s="323">
        <f>IF(AND(ISNUMBER(D32),ISNUMBER(F32)),ROUNDDOWN(MIN(IF(OR(ISBLANK(I32),I32=""),EOMONTH(DATE(EINSTELLUNG!$C$35,$A$1,1),0),I32)-MAX(D32,DATE(EINSTELLUNG!$C$35,$A$1,1))+1)/DAY(EOMONTH(DATE(EINSTELLUNG!$C$35,$A$1,1),0))*F32,2),"")</f>
        <v>173</v>
      </c>
      <c r="I32" s="45"/>
      <c r="J32" s="46"/>
      <c r="K32" s="322">
        <f t="shared" si="0"/>
        <v>0</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319"/>
      <c r="P32" s="319"/>
      <c r="Q32" s="319"/>
      <c r="R32" s="319"/>
      <c r="S32" s="319"/>
      <c r="T32" s="319"/>
      <c r="U32" s="319"/>
      <c r="V32" s="319"/>
    </row>
    <row r="33" spans="1:22" ht="22" customHeight="1">
      <c r="A33" s="321" t="s">
        <v>92</v>
      </c>
      <c r="B33" s="97">
        <v>401670</v>
      </c>
      <c r="C33" s="49" t="s">
        <v>250</v>
      </c>
      <c r="D33" s="50">
        <v>45358</v>
      </c>
      <c r="E33" s="51" t="s">
        <v>2</v>
      </c>
      <c r="F33" s="52">
        <v>173</v>
      </c>
      <c r="G33" s="322">
        <f>IF(OR(E33="",F33=""),"",PID_KVLohnLookup($A$1,E33,F33,LOHNTABELLE!$H$4))</f>
        <v>2021</v>
      </c>
      <c r="H33" s="323">
        <f>IF(AND(ISNUMBER(D33),ISNUMBER(F33)),ROUNDDOWN(MIN(IF(OR(ISBLANK(I33),I33=""),EOMONTH(DATE(EINSTELLUNG!$C$35,$A$1,1),0),I33)-MAX(D33,DATE(EINSTELLUNG!$C$35,$A$1,1))+1)/DAY(EOMONTH(DATE(EINSTELLUNG!$C$35,$A$1,1),0))*F33,2),"")</f>
        <v>173</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68"/>
      <c r="P33" s="369"/>
      <c r="Q33" s="304" t="s">
        <v>93</v>
      </c>
      <c r="R33" s="304"/>
      <c r="S33" s="304" t="s">
        <v>94</v>
      </c>
      <c r="T33" s="304"/>
      <c r="U33" s="304" t="s">
        <v>95</v>
      </c>
      <c r="V33" s="305"/>
    </row>
    <row r="34" spans="1:22" ht="22" customHeight="1">
      <c r="A34" s="321" t="s">
        <v>96</v>
      </c>
      <c r="B34" s="96">
        <v>401678</v>
      </c>
      <c r="C34" s="41" t="s">
        <v>251</v>
      </c>
      <c r="D34" s="42">
        <v>45414</v>
      </c>
      <c r="E34" s="43" t="s">
        <v>2</v>
      </c>
      <c r="F34" s="44">
        <v>173</v>
      </c>
      <c r="G34" s="322">
        <f>IF(OR(E34="",F34=""),"",PID_KVLohnLookup($A$1,E34,F34,LOHNTABELLE!$H$4))</f>
        <v>2021</v>
      </c>
      <c r="H34" s="323">
        <f>IF(AND(ISNUMBER(D34),ISNUMBER(F34)),ROUNDDOWN(MIN(IF(OR(ISBLANK(I34),I34=""),EOMONTH(DATE(EINSTELLUNG!$C$35,$A$1,1),0),I34)-MAX(D34,DATE(EINSTELLUNG!$C$35,$A$1,1))+1)/DAY(EOMONTH(DATE(EINSTELLUNG!$C$35,$A$1,1),0))*F34,2),"")</f>
        <v>173</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370"/>
      <c r="P34" s="371"/>
      <c r="Q34" s="372"/>
      <c r="R34" s="372"/>
      <c r="S34" s="372"/>
      <c r="T34" s="372"/>
      <c r="U34" s="372"/>
      <c r="V34" s="373"/>
    </row>
    <row r="35" spans="1:22" ht="22" customHeight="1">
      <c r="A35" s="321" t="s">
        <v>97</v>
      </c>
      <c r="B35" s="97">
        <v>401690</v>
      </c>
      <c r="C35" s="49" t="s">
        <v>253</v>
      </c>
      <c r="D35" s="50">
        <v>45536</v>
      </c>
      <c r="E35" s="51" t="s">
        <v>2</v>
      </c>
      <c r="F35" s="52">
        <v>151.38</v>
      </c>
      <c r="G35" s="322">
        <f>IF(OR(E35="",F35=""),"",PID_KVLohnLookup($A$1,E35,F35,LOHNTABELLE!$H$4))</f>
        <v>1768.38</v>
      </c>
      <c r="H35" s="323">
        <f>IF(AND(ISNUMBER(D35),ISNUMBER(F35)),ROUNDDOWN(MIN(IF(OR(ISBLANK(I35),I35=""),EOMONTH(DATE(EINSTELLUNG!$C$35,$A$1,1),0),I35)-MAX(D35,DATE(EINSTELLUNG!$C$35,$A$1,1))+1)/DAY(EOMONTH(DATE(EINSTELLUNG!$C$35,$A$1,1),0))*F35,2),"")</f>
        <v>151.38</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374" t="s">
        <v>98</v>
      </c>
      <c r="P35" s="338"/>
      <c r="Q35" s="375">
        <f>EINSTELLUNG!C7</f>
        <v>400000</v>
      </c>
      <c r="R35" s="375"/>
      <c r="S35" s="375">
        <f>EINSTELLUNG!C23</f>
        <v>425000</v>
      </c>
      <c r="T35" s="375"/>
      <c r="U35" s="375">
        <f>S35-Q35</f>
        <v>25000</v>
      </c>
      <c r="V35" s="376"/>
    </row>
    <row r="36" spans="1:22" ht="22" customHeight="1">
      <c r="A36" s="321" t="s">
        <v>99</v>
      </c>
      <c r="B36" s="96">
        <v>401703</v>
      </c>
      <c r="C36" s="41" t="s">
        <v>254</v>
      </c>
      <c r="D36" s="45">
        <v>45616</v>
      </c>
      <c r="E36" s="43" t="s">
        <v>2</v>
      </c>
      <c r="F36" s="44">
        <v>173</v>
      </c>
      <c r="G36" s="322">
        <f>IF(OR(E36="",F36=""),"",PID_KVLohnLookup($A$1,E36,F36,LOHNTABELLE!$H$4))</f>
        <v>2021</v>
      </c>
      <c r="H36" s="323">
        <f>IF(AND(ISNUMBER(D36),ISNUMBER(F36)),ROUNDDOWN(MIN(IF(OR(ISBLANK(I36),I36=""),EOMONTH(DATE(EINSTELLUNG!$C$35,$A$1,1),0),I36)-MAX(D36,DATE(EINSTELLUNG!$C$35,$A$1,1))+1)/DAY(EOMONTH(DATE(EINSTELLUNG!$C$35,$A$1,1),0))*F36,2),"")</f>
        <v>173</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374" t="s">
        <v>100</v>
      </c>
      <c r="P36" s="338"/>
      <c r="Q36" s="375">
        <f>EINSTELLUNG!D7</f>
        <v>100000</v>
      </c>
      <c r="R36" s="375"/>
      <c r="S36" s="375">
        <f ca="1">SumMergedCells(Q17:R29)</f>
        <v>112083.4129</v>
      </c>
      <c r="T36" s="375"/>
      <c r="U36" s="375">
        <f t="shared" ref="U36:U41" ca="1" si="2">S36-Q36</f>
        <v>12083.412899999996</v>
      </c>
      <c r="V36" s="376"/>
    </row>
    <row r="37" spans="1:22" ht="22" customHeight="1">
      <c r="A37" s="321" t="s">
        <v>101</v>
      </c>
      <c r="B37" s="97">
        <v>401715</v>
      </c>
      <c r="C37" s="49" t="s">
        <v>256</v>
      </c>
      <c r="D37" s="50">
        <v>45755</v>
      </c>
      <c r="E37" s="51" t="s">
        <v>2</v>
      </c>
      <c r="F37" s="52">
        <v>173</v>
      </c>
      <c r="G37" s="322">
        <f>IF(OR(E37="",F37=""),"",PID_KVLohnLookup($A$1,E37,F37,LOHNTABELLE!$H$4))</f>
        <v>2021</v>
      </c>
      <c r="H37" s="323">
        <f>IF(AND(ISNUMBER(D37),ISNUMBER(F37)),ROUNDDOWN(MIN(IF(OR(ISBLANK(I37),I37=""),EOMONTH(DATE(EINSTELLUNG!$C$35,$A$1,1),0),I37)-MAX(D37,DATE(EINSTELLUNG!$C$35,$A$1,1))+1)/DAY(EOMONTH(DATE(EINSTELLUNG!$C$35,$A$1,1),0))*F37,2),"")</f>
        <v>173</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374" t="s">
        <v>102</v>
      </c>
      <c r="P37" s="338"/>
      <c r="Q37" s="377">
        <f>IF(ISERROR(Q36/Q35), 0, Q36/Q35)</f>
        <v>0.25</v>
      </c>
      <c r="R37" s="377"/>
      <c r="S37" s="377">
        <f ca="1">IF(ISERROR(S36/S35), 0, S36/S35)</f>
        <v>0.26372567741176467</v>
      </c>
      <c r="T37" s="377"/>
      <c r="U37" s="377">
        <f t="shared" ca="1" si="2"/>
        <v>1.372567741176467E-2</v>
      </c>
      <c r="V37" s="378"/>
    </row>
    <row r="38" spans="1:22" ht="22" customHeight="1">
      <c r="A38" s="321" t="s">
        <v>103</v>
      </c>
      <c r="B38" s="96">
        <v>401716</v>
      </c>
      <c r="C38" s="41" t="s">
        <v>257</v>
      </c>
      <c r="D38" s="42">
        <v>45800</v>
      </c>
      <c r="E38" s="43" t="s">
        <v>2</v>
      </c>
      <c r="F38" s="44">
        <v>173</v>
      </c>
      <c r="G38" s="322">
        <f>IF(OR(E38="",F38=""),"",PID_KVLohnLookup($A$1,E38,F38,LOHNTABELLE!$H$4))</f>
        <v>2021</v>
      </c>
      <c r="H38" s="323">
        <f>IF(AND(ISNUMBER(D38),ISNUMBER(F38)),ROUNDDOWN(MIN(IF(OR(ISBLANK(I38),I38=""),EOMONTH(DATE(EINSTELLUNG!$C$35,$A$1,1),0),I38)-MAX(D38,DATE(EINSTELLUNG!$C$35,$A$1,1))+1)/DAY(EOMONTH(DATE(EINSTELLUNG!$C$35,$A$1,1),0))*F38,2),"")</f>
        <v>173</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374" t="s">
        <v>104</v>
      </c>
      <c r="P38" s="338"/>
      <c r="Q38" s="339">
        <f>EINSTELLUNG!F7</f>
        <v>30000</v>
      </c>
      <c r="R38" s="339"/>
      <c r="S38" s="339">
        <f>EINSTELLUNG!F23</f>
        <v>29000</v>
      </c>
      <c r="T38" s="339"/>
      <c r="U38" s="339">
        <f t="shared" si="2"/>
        <v>-1000</v>
      </c>
      <c r="V38" s="340"/>
    </row>
    <row r="39" spans="1:22" ht="22" customHeight="1">
      <c r="A39" s="321" t="s">
        <v>105</v>
      </c>
      <c r="B39" s="97">
        <v>401717</v>
      </c>
      <c r="C39" s="49" t="s">
        <v>258</v>
      </c>
      <c r="D39" s="50">
        <v>45814</v>
      </c>
      <c r="E39" s="51" t="s">
        <v>2</v>
      </c>
      <c r="F39" s="52">
        <v>86.5</v>
      </c>
      <c r="G39" s="322">
        <f>IF(OR(E39="",F39=""),"",PID_KVLohnLookup($A$1,E39,F39,LOHNTABELLE!$H$4))</f>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4" t="s">
        <v>106</v>
      </c>
      <c r="P39" s="338"/>
      <c r="Q39" s="375">
        <f>IF(Q38=0, 0, Q35/Q38)</f>
        <v>13.333333333333334</v>
      </c>
      <c r="R39" s="375"/>
      <c r="S39" s="375">
        <f>IF(S38=0, 0, S35/S38)</f>
        <v>14.655172413793103</v>
      </c>
      <c r="T39" s="375"/>
      <c r="U39" s="375">
        <f t="shared" si="2"/>
        <v>1.3218390804597693</v>
      </c>
      <c r="V39" s="376"/>
    </row>
    <row r="40" spans="1:22" ht="22" customHeight="1">
      <c r="A40" s="321" t="s">
        <v>107</v>
      </c>
      <c r="B40" s="96">
        <v>401722</v>
      </c>
      <c r="C40" s="41" t="s">
        <v>259</v>
      </c>
      <c r="D40" s="42">
        <v>45848</v>
      </c>
      <c r="E40" s="43" t="s">
        <v>2</v>
      </c>
      <c r="F40" s="44">
        <v>86.5</v>
      </c>
      <c r="G40" s="322">
        <f>IF(OR(E40="",F40=""),"",PID_KVLohnLookup($A$1,E40,F40,LOHNTABELLE!$H$4))</f>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4" t="s">
        <v>108</v>
      </c>
      <c r="P40" s="338"/>
      <c r="Q40" s="375">
        <f>IF(Q12=0, 0, Q35/Q12)</f>
        <v>50.146427568500023</v>
      </c>
      <c r="R40" s="375"/>
      <c r="S40" s="375">
        <f>IF(Q12=0, 0, S35/Q12)</f>
        <v>53.280579291531275</v>
      </c>
      <c r="T40" s="375"/>
      <c r="U40" s="375">
        <f t="shared" si="2"/>
        <v>3.1341517230312519</v>
      </c>
      <c r="V40" s="376"/>
    </row>
    <row r="41" spans="1:22" ht="22" customHeight="1">
      <c r="A41" s="321" t="s">
        <v>109</v>
      </c>
      <c r="B41" s="97">
        <v>401723</v>
      </c>
      <c r="C41" s="49" t="s">
        <v>260</v>
      </c>
      <c r="D41" s="53">
        <v>45852</v>
      </c>
      <c r="E41" s="51" t="s">
        <v>2</v>
      </c>
      <c r="F41" s="52">
        <v>86.5</v>
      </c>
      <c r="G41" s="322">
        <f>IF(OR(E41="",F41=""),"",PID_KVLohnLookup($A$1,E41,F41,LOHNTABELLE!$H$4))</f>
        <v>1010.5</v>
      </c>
      <c r="H41" s="323">
        <f>IF(AND(ISNUMBER(D41),ISNUMBER(F41)),ROUNDDOWN(MIN(IF(OR(ISBLANK(I41),I41=""),EOMONTH(DATE(EINSTELLUNG!$C$35,$A$1,1),0),I41)-MAX(D41,DATE(EINSTELLUNG!$C$35,$A$1,1))+1)/DAY(EOMONTH(DATE(EINSTELLUNG!$C$35,$A$1,1),0))*F41,2),"")</f>
        <v>86.5</v>
      </c>
      <c r="I41" s="53"/>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4" t="s">
        <v>110</v>
      </c>
      <c r="P41" s="338"/>
      <c r="Q41" s="339">
        <f>IF(Q12=0, 0, Q38/Q12)</f>
        <v>3.7609820676375016</v>
      </c>
      <c r="R41" s="339"/>
      <c r="S41" s="339">
        <f>IF(Q12=0, 0, S38/Q12)</f>
        <v>3.6356159987162515</v>
      </c>
      <c r="T41" s="339"/>
      <c r="U41" s="339">
        <f t="shared" si="2"/>
        <v>-0.12536606892125013</v>
      </c>
      <c r="V41" s="340"/>
    </row>
    <row r="42" spans="1:22" ht="22" customHeight="1">
      <c r="A42" s="321" t="s">
        <v>111</v>
      </c>
      <c r="B42" s="96">
        <v>401726</v>
      </c>
      <c r="C42" s="41" t="s">
        <v>261</v>
      </c>
      <c r="D42" s="42">
        <v>45870</v>
      </c>
      <c r="E42" s="43" t="s">
        <v>2</v>
      </c>
      <c r="F42" s="44">
        <v>86.5</v>
      </c>
      <c r="G42" s="322">
        <f>IF(OR(E42="",F42=""),"",PID_KVLohnLookup($A$1,E42,F42,LOHNTABELLE!$H$4))</f>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79" t="s">
        <v>112</v>
      </c>
      <c r="P42" s="380"/>
      <c r="Q42" s="381">
        <f>IFERROR(Q17/Q8, 0)</f>
        <v>11.951485504110636</v>
      </c>
      <c r="R42" s="381"/>
      <c r="S42" s="381"/>
      <c r="T42" s="381"/>
      <c r="U42" s="381"/>
      <c r="V42" s="382"/>
    </row>
    <row r="43" spans="1:22" ht="22" customHeight="1">
      <c r="A43" s="321" t="s">
        <v>113</v>
      </c>
      <c r="B43" s="97">
        <v>401730</v>
      </c>
      <c r="C43" s="49" t="s">
        <v>263</v>
      </c>
      <c r="D43" s="50">
        <v>45895</v>
      </c>
      <c r="E43" s="51" t="s">
        <v>2</v>
      </c>
      <c r="F43" s="52">
        <v>86.5</v>
      </c>
      <c r="G43" s="322">
        <f>IF(OR(E43="",F43=""),"",PID_KVLohnLookup($A$1,E43,F43,LOHNTABELLE!$H$4))</f>
        <v>1010.5</v>
      </c>
      <c r="H43" s="323">
        <f>IF(AND(ISNUMBER(D43),ISNUMBER(F43)),ROUNDDOWN(MIN(IF(OR(ISBLANK(I43),I43=""),EOMONTH(DATE(EINSTELLUNG!$C$35,$A$1,1),0),I43)-MAX(D43,DATE(EINSTELLUNG!$C$35,$A$1,1))+1)/DAY(EOMONTH(DATE(EINSTELLUNG!$C$35,$A$1,1),0))*F43,2),"")</f>
        <v>86.5</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3"/>
      <c r="P43" s="383"/>
      <c r="Q43" s="383"/>
      <c r="R43" s="319"/>
      <c r="S43" s="319"/>
      <c r="T43" s="319"/>
      <c r="U43" s="319"/>
      <c r="V43" s="319"/>
    </row>
    <row r="44" spans="1:22" ht="22" customHeight="1">
      <c r="A44" s="321" t="s">
        <v>114</v>
      </c>
      <c r="B44" s="96">
        <v>401731</v>
      </c>
      <c r="C44" s="41" t="s">
        <v>262</v>
      </c>
      <c r="D44" s="42">
        <v>45899</v>
      </c>
      <c r="E44" s="43" t="s">
        <v>2</v>
      </c>
      <c r="F44" s="44">
        <v>86.5</v>
      </c>
      <c r="G44" s="322">
        <f>IF(OR(E44="",F44=""),"",PID_KVLohnLookup($A$1,E44,F44,LOHNTABELLE!$H$4))</f>
        <v>1010.5</v>
      </c>
      <c r="H44" s="323">
        <f>IF(AND(ISNUMBER(D44),ISNUMBER(F44)),ROUNDDOWN(MIN(IF(OR(ISBLANK(I44),I44=""),EOMONTH(DATE(EINSTELLUNG!$C$35,$A$1,1),0),I44)-MAX(D44,DATE(EINSTELLUNG!$C$35,$A$1,1))+1)/DAY(EOMONTH(DATE(EINSTELLUNG!$C$35,$A$1,1),0))*F44,2),"")</f>
        <v>86.5</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4" t="s">
        <v>115</v>
      </c>
      <c r="P44" s="384"/>
      <c r="Q44" s="384"/>
      <c r="R44" s="384"/>
      <c r="S44" s="384"/>
      <c r="T44" s="384"/>
      <c r="U44" s="384"/>
      <c r="V44" s="384"/>
    </row>
    <row r="45" spans="1:22" ht="22" customHeight="1">
      <c r="A45" s="321" t="s">
        <v>116</v>
      </c>
      <c r="B45" s="97">
        <v>401734</v>
      </c>
      <c r="C45" s="49" t="s">
        <v>264</v>
      </c>
      <c r="D45" s="50">
        <v>45904</v>
      </c>
      <c r="E45" s="51" t="s">
        <v>2</v>
      </c>
      <c r="F45" s="52">
        <v>86.5</v>
      </c>
      <c r="G45" s="322">
        <f>IF(OR(E45="",F45=""),"",PID_KVLohnLookup($A$1,E45,F45,LOHNTABELLE!$H$4))</f>
        <v>1010.5</v>
      </c>
      <c r="H45" s="323">
        <f>IF(AND(ISNUMBER(D45),ISNUMBER(F45)),ROUNDDOWN(MIN(IF(OR(ISBLANK(I45),I45=""),EOMONTH(DATE(EINSTELLUNG!$C$35,$A$1,1),0),I45)-MAX(D45,DATE(EINSTELLUNG!$C$35,$A$1,1))+1)/DAY(EOMONTH(DATE(EINSTELLUNG!$C$35,$A$1,1),0))*F45,2),"")</f>
        <v>86.5</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5"/>
      <c r="P45" s="385"/>
      <c r="Q45" s="385"/>
      <c r="R45" s="386"/>
      <c r="S45" s="386"/>
      <c r="T45" s="386"/>
      <c r="U45" s="386"/>
      <c r="V45" s="319"/>
    </row>
    <row r="46" spans="1:22" ht="22" customHeight="1">
      <c r="A46" s="321" t="s">
        <v>117</v>
      </c>
      <c r="B46" s="96">
        <v>401736</v>
      </c>
      <c r="C46" s="41" t="s">
        <v>265</v>
      </c>
      <c r="D46" s="42">
        <v>45906</v>
      </c>
      <c r="E46" s="43" t="s">
        <v>2</v>
      </c>
      <c r="F46" s="44">
        <v>86.5</v>
      </c>
      <c r="G46" s="322">
        <f>IF(OR(E46="",F46=""),"",PID_KVLohnLookup($A$1,E46,F46,LOHNTABELLE!$H$4))</f>
        <v>1010.5</v>
      </c>
      <c r="H46" s="323">
        <f>IF(AND(ISNUMBER(D46),ISNUMBER(F46)),ROUNDDOWN(MIN(IF(OR(ISBLANK(I46),I46=""),EOMONTH(DATE(EINSTELLUNG!$C$35,$A$1,1),0),I46)-MAX(D46,DATE(EINSTELLUNG!$C$35,$A$1,1))+1)/DAY(EOMONTH(DATE(EINSTELLUNG!$C$35,$A$1,1),0))*F46,2),"")</f>
        <v>86.5</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319"/>
      <c r="P46" s="319"/>
      <c r="Q46" s="319"/>
      <c r="R46" s="319"/>
      <c r="S46" s="319"/>
      <c r="T46" s="319"/>
      <c r="U46" s="319"/>
      <c r="V46" s="319"/>
    </row>
    <row r="47" spans="1:22" ht="22" customHeight="1">
      <c r="A47" s="321" t="s">
        <v>118</v>
      </c>
      <c r="B47" s="97">
        <v>401737</v>
      </c>
      <c r="C47" s="49" t="s">
        <v>266</v>
      </c>
      <c r="D47" s="50">
        <v>45906</v>
      </c>
      <c r="E47" s="51" t="s">
        <v>2</v>
      </c>
      <c r="F47" s="52">
        <v>86.5</v>
      </c>
      <c r="G47" s="322">
        <f>IF(OR(E47="",F47=""),"",PID_KVLohnLookup($A$1,E47,F47,LOHNTABELLE!$H$4))</f>
        <v>1010.5</v>
      </c>
      <c r="H47" s="323">
        <f>IF(AND(ISNUMBER(D47),ISNUMBER(F47)),ROUNDDOWN(MIN(IF(OR(ISBLANK(I47),I47=""),EOMONTH(DATE(EINSTELLUNG!$C$35,$A$1,1),0),I47)-MAX(D47,DATE(EINSTELLUNG!$C$35,$A$1,1))+1)/DAY(EOMONTH(DATE(EINSTELLUNG!$C$35,$A$1,1),0))*F47,2),"")</f>
        <v>86.5</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319"/>
      <c r="P47" s="319"/>
      <c r="Q47" s="319"/>
      <c r="R47" s="319"/>
      <c r="S47" s="319"/>
      <c r="T47" s="319"/>
      <c r="U47" s="319"/>
      <c r="V47" s="319"/>
    </row>
    <row r="48" spans="1:22" ht="22" customHeight="1">
      <c r="A48" s="321" t="s">
        <v>119</v>
      </c>
      <c r="B48" s="96">
        <v>401738</v>
      </c>
      <c r="C48" s="41" t="s">
        <v>267</v>
      </c>
      <c r="D48" s="42">
        <v>45909</v>
      </c>
      <c r="E48" s="43" t="s">
        <v>2</v>
      </c>
      <c r="F48" s="44">
        <v>86.5</v>
      </c>
      <c r="G48" s="322">
        <f>IF(OR(E48="",F48=""),"",PID_KVLohnLookup($A$1,E48,F48,LOHNTABELLE!$H$4))</f>
        <v>1010.5</v>
      </c>
      <c r="H48" s="323">
        <f>IF(AND(ISNUMBER(D48),ISNUMBER(F48)),ROUNDDOWN(MIN(IF(OR(ISBLANK(I48),I48=""),EOMONTH(DATE(EINSTELLUNG!$C$35,$A$1,1),0),I48)-MAX(D48,DATE(EINSTELLUNG!$C$35,$A$1,1))+1)/DAY(EOMONTH(DATE(EINSTELLUNG!$C$35,$A$1,1),0))*F48,2),"")</f>
        <v>86.5</v>
      </c>
      <c r="I48" s="45"/>
      <c r="J48" s="46"/>
      <c r="K48" s="322">
        <f t="shared" si="1"/>
        <v>0</v>
      </c>
      <c r="L48" s="32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319"/>
      <c r="P48" s="319"/>
      <c r="Q48" s="319"/>
      <c r="R48" s="319"/>
      <c r="S48" s="319"/>
      <c r="T48" s="319"/>
      <c r="U48" s="319"/>
      <c r="V48" s="319"/>
    </row>
    <row r="49" spans="1:22" ht="22" customHeight="1">
      <c r="A49" s="321" t="s">
        <v>120</v>
      </c>
      <c r="B49" s="97">
        <v>401745</v>
      </c>
      <c r="C49" s="49" t="s">
        <v>271</v>
      </c>
      <c r="D49" s="50">
        <v>45934</v>
      </c>
      <c r="E49" s="51" t="s">
        <v>2</v>
      </c>
      <c r="F49" s="52">
        <v>86.5</v>
      </c>
      <c r="G49" s="322">
        <f>IF(OR(E49="",F49=""),"",PID_KVLohnLookup($A$1,E49,F49,LOHNTABELLE!$H$4))</f>
        <v>1010.5</v>
      </c>
      <c r="H49" s="323">
        <f>IF(AND(ISNUMBER(D49),ISNUMBER(F49)),ROUNDDOWN(MIN(IF(OR(ISBLANK(I49),I49=""),EOMONTH(DATE(EINSTELLUNG!$C$35,$A$1,1),0),I49)-MAX(D49,DATE(EINSTELLUNG!$C$35,$A$1,1))+1)/DAY(EOMONTH(DATE(EINSTELLUNG!$C$35,$A$1,1),0))*F49,2),"")</f>
        <v>86.5</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319"/>
      <c r="P49" s="319"/>
      <c r="Q49" s="319"/>
      <c r="R49" s="319"/>
      <c r="S49" s="319"/>
      <c r="T49" s="319"/>
      <c r="U49" s="319"/>
      <c r="V49" s="319"/>
    </row>
    <row r="50" spans="1:22" ht="22" customHeight="1">
      <c r="A50" s="321" t="s">
        <v>121</v>
      </c>
      <c r="B50" s="96">
        <v>401746</v>
      </c>
      <c r="C50" s="41" t="s">
        <v>270</v>
      </c>
      <c r="D50" s="42">
        <v>45941</v>
      </c>
      <c r="E50" s="43" t="s">
        <v>2</v>
      </c>
      <c r="F50" s="44">
        <v>86.5</v>
      </c>
      <c r="G50" s="322">
        <f>IF(OR(E50="",F50=""),"",PID_KVLohnLookup($A$1,E50,F50,LOHNTABELLE!$H$4))</f>
        <v>1010.5</v>
      </c>
      <c r="H50" s="323">
        <f>IF(AND(ISNUMBER(D50),ISNUMBER(F50)),ROUNDDOWN(MIN(IF(OR(ISBLANK(I50),I50=""),EOMONTH(DATE(EINSTELLUNG!$C$35,$A$1,1),0),I50)-MAX(D50,DATE(EINSTELLUNG!$C$35,$A$1,1))+1)/DAY(EOMONTH(DATE(EINSTELLUNG!$C$35,$A$1,1),0))*F50,2),"")</f>
        <v>86.5</v>
      </c>
      <c r="I50" s="45"/>
      <c r="J50" s="46"/>
      <c r="K50" s="322">
        <f t="shared" si="1"/>
        <v>0</v>
      </c>
      <c r="L50" s="32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319"/>
      <c r="P50" s="319"/>
      <c r="Q50" s="319"/>
      <c r="R50" s="319"/>
      <c r="S50" s="319"/>
      <c r="T50" s="319"/>
      <c r="U50" s="319"/>
      <c r="V50" s="319"/>
    </row>
    <row r="51" spans="1:22" ht="22" customHeight="1">
      <c r="A51" s="321" t="s">
        <v>122</v>
      </c>
      <c r="B51" s="97">
        <v>401747</v>
      </c>
      <c r="C51" s="49" t="s">
        <v>268</v>
      </c>
      <c r="D51" s="50">
        <v>45941</v>
      </c>
      <c r="E51" s="51" t="s">
        <v>2</v>
      </c>
      <c r="F51" s="52">
        <v>86.5</v>
      </c>
      <c r="G51" s="322">
        <f>IF(OR(E51="",F51=""),"",PID_KVLohnLookup($A$1,E51,F51,LOHNTABELLE!$H$4))</f>
        <v>1010.5</v>
      </c>
      <c r="H51" s="323">
        <f>IF(AND(ISNUMBER(D51),ISNUMBER(F51)),ROUNDDOWN(MIN(IF(OR(ISBLANK(I51),I51=""),EOMONTH(DATE(EINSTELLUNG!$C$35,$A$1,1),0),I51)-MAX(D51,DATE(EINSTELLUNG!$C$35,$A$1,1))+1)/DAY(EOMONTH(DATE(EINSTELLUNG!$C$35,$A$1,1),0))*F51,2),"")</f>
        <v>86.5</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321" t="s">
        <v>123</v>
      </c>
      <c r="B52" s="96">
        <v>401748</v>
      </c>
      <c r="C52" s="41" t="s">
        <v>269</v>
      </c>
      <c r="D52" s="42">
        <v>45941</v>
      </c>
      <c r="E52" s="43" t="s">
        <v>2</v>
      </c>
      <c r="F52" s="44">
        <v>138.4</v>
      </c>
      <c r="G52" s="322">
        <f>IF(OR(E52="",F52=""),"",PID_KVLohnLookup($A$1,E52,F52,LOHNTABELLE!$H$4))</f>
        <v>1616.8</v>
      </c>
      <c r="H52" s="323">
        <f>IF(AND(ISNUMBER(D52),ISNUMBER(F52)),ROUNDDOWN(MIN(IF(OR(ISBLANK(I52),I52=""),EOMONTH(DATE(EINSTELLUNG!$C$35,$A$1,1),0),I52)-MAX(D52,DATE(EINSTELLUNG!$C$35,$A$1,1))+1)/DAY(EOMONTH(DATE(EINSTELLUNG!$C$35,$A$1,1),0))*F52,2),"")</f>
        <v>138.4</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321" t="s">
        <v>124</v>
      </c>
      <c r="B53" s="97">
        <v>401751</v>
      </c>
      <c r="C53" s="49" t="s">
        <v>272</v>
      </c>
      <c r="D53" s="50">
        <v>45961</v>
      </c>
      <c r="E53" s="51" t="s">
        <v>2</v>
      </c>
      <c r="F53" s="52">
        <v>86.5</v>
      </c>
      <c r="G53" s="322">
        <f>IF(OR(E53="",F53=""),"",PID_KVLohnLookup($A$1,E53,F53,LOHNTABELLE!$H$4))</f>
        <v>1010.5</v>
      </c>
      <c r="H53" s="323">
        <f>IF(AND(ISNUMBER(D53),ISNUMBER(F53)),ROUNDDOWN(MIN(IF(OR(ISBLANK(I53),I53=""),EOMONTH(DATE(EINSTELLUNG!$C$35,$A$1,1),0),I53)-MAX(D53,DATE(EINSTELLUNG!$C$35,$A$1,1))+1)/DAY(EOMONTH(DATE(EINSTELLUNG!$C$35,$A$1,1),0))*F53,2),"")</f>
        <v>86.5</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321" t="s">
        <v>125</v>
      </c>
      <c r="B54" s="96">
        <v>401752</v>
      </c>
      <c r="C54" s="41" t="s">
        <v>273</v>
      </c>
      <c r="D54" s="42">
        <v>45986</v>
      </c>
      <c r="E54" s="43" t="s">
        <v>2</v>
      </c>
      <c r="F54" s="44">
        <v>173</v>
      </c>
      <c r="G54" s="322">
        <f>IF(OR(E54="",F54=""),"",PID_KVLohnLookup($A$1,E54,F54,LOHNTABELLE!$H$4))</f>
        <v>2021</v>
      </c>
      <c r="H54" s="323">
        <f>IF(AND(ISNUMBER(D54),ISNUMBER(F54)),ROUNDDOWN(MIN(IF(OR(ISBLANK(I54),I54=""),EOMONTH(DATE(EINSTELLUNG!$C$35,$A$1,1),0),I54)-MAX(D54,DATE(EINSTELLUNG!$C$35,$A$1,1))+1)/DAY(EOMONTH(DATE(EINSTELLUNG!$C$35,$A$1,1),0))*F54,2),"")</f>
        <v>173</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1" t="s">
        <v>126</v>
      </c>
      <c r="B55" s="97">
        <v>401754</v>
      </c>
      <c r="C55" s="49" t="s">
        <v>274</v>
      </c>
      <c r="D55" s="50">
        <v>46014</v>
      </c>
      <c r="E55" s="51" t="s">
        <v>2</v>
      </c>
      <c r="F55" s="52">
        <v>151.38</v>
      </c>
      <c r="G55" s="322">
        <f>IF(OR(E55="",F55=""),"",PID_KVLohnLookup($A$1,E55,F55,LOHNTABELLE!$H$4))</f>
        <v>1768.38</v>
      </c>
      <c r="H55" s="323">
        <f>IF(AND(ISNUMBER(D55),ISNUMBER(F55)),ROUNDDOWN(MIN(IF(OR(ISBLANK(I55),I55=""),EOMONTH(DATE(EINSTELLUNG!$C$35,$A$1,1),0),I55)-MAX(D55,DATE(EINSTELLUNG!$C$35,$A$1,1))+1)/DAY(EOMONTH(DATE(EINSTELLUNG!$C$35,$A$1,1),0))*F55,2),"")</f>
        <v>151.38</v>
      </c>
      <c r="I55" s="53"/>
      <c r="J55" s="54"/>
      <c r="K55" s="322">
        <f t="shared" si="1"/>
        <v>0</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5"/>
      <c r="N55" s="71"/>
    </row>
    <row r="56" spans="1:22" ht="22" customHeight="1">
      <c r="A56" s="321" t="s">
        <v>127</v>
      </c>
      <c r="B56" s="96">
        <v>401999</v>
      </c>
      <c r="C56" s="41" t="s">
        <v>355</v>
      </c>
      <c r="D56" s="42">
        <v>46041</v>
      </c>
      <c r="E56" s="43" t="s">
        <v>2</v>
      </c>
      <c r="F56" s="44">
        <v>151.38</v>
      </c>
      <c r="G56" s="322">
        <f>IF(OR(E56="",F56=""),"",PID_KVLohnLookup($A$1,E56,F56,LOHNTABELLE!$H$4))</f>
        <v>1768.38</v>
      </c>
      <c r="H56" s="323">
        <f>IF(AND(ISNUMBER(D56),ISNUMBER(F56)),ROUNDDOWN(MIN(IF(OR(ISBLANK(I56),I56=""),EOMONTH(DATE(EINSTELLUNG!$C$35,$A$1,1),0),I56)-MAX(D56,DATE(EINSTELLUNG!$C$35,$A$1,1))+1)/DAY(EOMONTH(DATE(EINSTELLUNG!$C$35,$A$1,1),0))*F56,2),"")</f>
        <v>151.38</v>
      </c>
      <c r="I56" s="45"/>
      <c r="J56" s="46"/>
      <c r="K56" s="322">
        <f t="shared" si="1"/>
        <v>0</v>
      </c>
      <c r="L56" s="32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7"/>
      <c r="N56" s="70"/>
    </row>
    <row r="57" spans="1:22" ht="22" customHeight="1">
      <c r="A57" s="321" t="s">
        <v>128</v>
      </c>
      <c r="B57" s="97">
        <v>402405</v>
      </c>
      <c r="C57" s="49" t="s">
        <v>298</v>
      </c>
      <c r="D57" s="53">
        <v>46054</v>
      </c>
      <c r="E57" s="51" t="s">
        <v>2</v>
      </c>
      <c r="F57" s="52">
        <v>173</v>
      </c>
      <c r="G57" s="322">
        <f>IF(OR(E57="",F57=""),"",PID_KVLohnLookup($A$1,E57,F57,LOHNTABELLE!$H$4))</f>
        <v>2021</v>
      </c>
      <c r="H57" s="323">
        <f>IF(AND(ISNUMBER(D57),ISNUMBER(F57)),ROUNDDOWN(MIN(IF(OR(ISBLANK(I57),I57=""),EOMONTH(DATE(EINSTELLUNG!$C$35,$A$1,1),0),I57)-MAX(D57,DATE(EINSTELLUNG!$C$35,$A$1,1))+1)/DAY(EOMONTH(DATE(EINSTELLUNG!$C$35,$A$1,1),0))*F57,2),"")</f>
        <v>173</v>
      </c>
      <c r="I57" s="53"/>
      <c r="J57" s="54"/>
      <c r="K57" s="322">
        <f t="shared" si="1"/>
        <v>0</v>
      </c>
      <c r="L57" s="32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321" t="s">
        <v>129</v>
      </c>
      <c r="B58" s="96">
        <v>500600</v>
      </c>
      <c r="C58" s="41" t="s">
        <v>302</v>
      </c>
      <c r="D58" s="45">
        <v>46054</v>
      </c>
      <c r="E58" s="43" t="s">
        <v>2</v>
      </c>
      <c r="F58" s="44">
        <v>173</v>
      </c>
      <c r="G58" s="322">
        <f>IF(OR(E58="",F58=""),"",PID_KVLohnLookup($A$1,E58,F58,LOHNTABELLE!$H$4))</f>
        <v>2021</v>
      </c>
      <c r="H58" s="323">
        <f>IF(AND(ISNUMBER(D58),ISNUMBER(F58)),ROUNDDOWN(MIN(IF(OR(ISBLANK(I58),I58=""),EOMONTH(DATE(EINSTELLUNG!$C$35,$A$1,1),0),I58)-MAX(D58,DATE(EINSTELLUNG!$C$35,$A$1,1))+1)/DAY(EOMONTH(DATE(EINSTELLUNG!$C$35,$A$1,1),0))*F58,2),"")</f>
        <v>173</v>
      </c>
      <c r="I58" s="45"/>
      <c r="J58" s="46"/>
      <c r="K58" s="322">
        <f t="shared" si="1"/>
        <v>0</v>
      </c>
      <c r="L58" s="32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1" t="s">
        <v>130</v>
      </c>
      <c r="B59" s="97">
        <v>503000</v>
      </c>
      <c r="C59" s="49" t="s">
        <v>299</v>
      </c>
      <c r="D59" s="53">
        <v>42401</v>
      </c>
      <c r="E59" s="51" t="s">
        <v>2</v>
      </c>
      <c r="F59" s="52">
        <v>173</v>
      </c>
      <c r="G59" s="322">
        <f>IF(OR(E59="",F59=""),"",PID_KVLohnLookup($A$1,E59,F59,LOHNTABELLE!$H$4))</f>
        <v>2021</v>
      </c>
      <c r="H59" s="323">
        <f>IF(AND(ISNUMBER(D59),ISNUMBER(F59)),ROUNDDOWN(MIN(IF(OR(ISBLANK(I59),I59=""),EOMONTH(DATE(EINSTELLUNG!$C$35,$A$1,1),0),I59)-MAX(D59,DATE(EINSTELLUNG!$C$35,$A$1,1))+1)/DAY(EOMONTH(DATE(EINSTELLUNG!$C$35,$A$1,1),0))*F59,2),"")</f>
        <v>173</v>
      </c>
      <c r="I59" s="53"/>
      <c r="J59" s="54"/>
      <c r="K59" s="322">
        <f t="shared" si="1"/>
        <v>0</v>
      </c>
      <c r="L59" s="32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321" t="s">
        <v>131</v>
      </c>
      <c r="B60" s="96">
        <v>504000</v>
      </c>
      <c r="C60" s="41" t="s">
        <v>300</v>
      </c>
      <c r="D60" s="45">
        <v>46054</v>
      </c>
      <c r="E60" s="43" t="s">
        <v>3</v>
      </c>
      <c r="F60" s="44">
        <v>138.4</v>
      </c>
      <c r="G60" s="322">
        <f>IF(OR(E60="",F60=""),"",PID_KVLohnLookup($A$1,E60,F60,LOHNTABELLE!$H$4))</f>
        <v>1665.6</v>
      </c>
      <c r="H60" s="323">
        <f>IF(AND(ISNUMBER(D60),ISNUMBER(F60)),ROUNDDOWN(MIN(IF(OR(ISBLANK(I60),I60=""),EOMONTH(DATE(EINSTELLUNG!$C$35,$A$1,1),0),I60)-MAX(D60,DATE(EINSTELLUNG!$C$35,$A$1,1))+1)/DAY(EOMONTH(DATE(EINSTELLUNG!$C$35,$A$1,1),0))*F60,2),"")</f>
        <v>138.4</v>
      </c>
      <c r="I60" s="45"/>
      <c r="J60" s="46"/>
      <c r="K60" s="322">
        <f t="shared" si="1"/>
        <v>0</v>
      </c>
      <c r="L60" s="32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7"/>
      <c r="N60" s="70"/>
    </row>
    <row r="61" spans="1:22" ht="22" customHeight="1">
      <c r="A61" s="321" t="s">
        <v>132</v>
      </c>
      <c r="B61" s="97">
        <v>505000</v>
      </c>
      <c r="C61" s="49" t="s">
        <v>301</v>
      </c>
      <c r="D61" s="53">
        <v>46054</v>
      </c>
      <c r="E61" s="51" t="s">
        <v>2</v>
      </c>
      <c r="F61" s="52">
        <v>138.4</v>
      </c>
      <c r="G61" s="322">
        <f>IF(OR(E61="",F61=""),"",PID_KVLohnLookup($A$1,E61,F61,LOHNTABELLE!$H$4))</f>
        <v>1616.8</v>
      </c>
      <c r="H61" s="323">
        <f>IF(AND(ISNUMBER(D61),ISNUMBER(F61)),ROUNDDOWN(MIN(IF(OR(ISBLANK(I61),I61=""),EOMONTH(DATE(EINSTELLUNG!$C$35,$A$1,1),0),I61)-MAX(D61,DATE(EINSTELLUNG!$C$35,$A$1,1))+1)/DAY(EOMONTH(DATE(EINSTELLUNG!$C$35,$A$1,1),0))*F61,2),"")</f>
        <v>138.4</v>
      </c>
      <c r="I61" s="53"/>
      <c r="J61" s="54"/>
      <c r="K61" s="322">
        <f t="shared" si="1"/>
        <v>0</v>
      </c>
      <c r="L61" s="32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5"/>
      <c r="N61" s="71"/>
    </row>
    <row r="62" spans="1:22" ht="22" customHeight="1">
      <c r="A62" s="321" t="s">
        <v>133</v>
      </c>
      <c r="B62" s="96">
        <v>525025</v>
      </c>
      <c r="C62" s="41" t="s">
        <v>356</v>
      </c>
      <c r="D62" s="45">
        <v>46040</v>
      </c>
      <c r="E62" s="43" t="s">
        <v>2</v>
      </c>
      <c r="F62" s="44">
        <v>129.75</v>
      </c>
      <c r="G62" s="322">
        <f>IF(OR(E62="",F62=""),"",PID_KVLohnLookup($A$1,E62,F62,LOHNTABELLE!$H$4))</f>
        <v>1515.75</v>
      </c>
      <c r="H62" s="323">
        <f>IF(AND(ISNUMBER(D62),ISNUMBER(F62)),ROUNDDOWN(MIN(IF(OR(ISBLANK(I62),I62=""),EOMONTH(DATE(EINSTELLUNG!$C$35,$A$1,1),0),I62)-MAX(D62,DATE(EINSTELLUNG!$C$35,$A$1,1))+1)/DAY(EOMONTH(DATE(EINSTELLUNG!$C$35,$A$1,1),0))*F62,2),"")</f>
        <v>129.75</v>
      </c>
      <c r="I62" s="45"/>
      <c r="J62" s="46"/>
      <c r="K62" s="322">
        <f t="shared" si="1"/>
        <v>0</v>
      </c>
      <c r="L62" s="32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7"/>
      <c r="N62" s="70"/>
    </row>
    <row r="63" spans="1:22" ht="22" customHeight="1">
      <c r="A63" s="321" t="s">
        <v>134</v>
      </c>
      <c r="B63" s="97">
        <v>600000</v>
      </c>
      <c r="C63" s="49" t="s">
        <v>303</v>
      </c>
      <c r="D63" s="53">
        <v>36865</v>
      </c>
      <c r="E63" s="51" t="s">
        <v>2</v>
      </c>
      <c r="F63" s="52">
        <v>151.38</v>
      </c>
      <c r="G63" s="322">
        <f>IF(OR(E63="",F63=""),"",PID_KVLohnLookup($A$1,E63,F63,LOHNTABELLE!$H$4))</f>
        <v>1768.38</v>
      </c>
      <c r="H63" s="323">
        <f>IF(AND(ISNUMBER(D63),ISNUMBER(F63)),ROUNDDOWN(MIN(IF(OR(ISBLANK(I63),I63=""),EOMONTH(DATE(EINSTELLUNG!$C$35,$A$1,1),0),I63)-MAX(D63,DATE(EINSTELLUNG!$C$35,$A$1,1))+1)/DAY(EOMONTH(DATE(EINSTELLUNG!$C$35,$A$1,1),0))*F63,2),"")</f>
        <v>10.81</v>
      </c>
      <c r="I63" s="53">
        <v>46055</v>
      </c>
      <c r="J63" s="54"/>
      <c r="K63" s="322">
        <f t="shared" si="1"/>
        <v>0</v>
      </c>
      <c r="L63" s="324">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5"/>
      <c r="N63" s="71" t="s">
        <v>190</v>
      </c>
    </row>
    <row r="64" spans="1:22" ht="22" customHeight="1">
      <c r="A64" s="321" t="s">
        <v>135</v>
      </c>
      <c r="B64" s="96">
        <v>700000</v>
      </c>
      <c r="C64" s="41" t="s">
        <v>309</v>
      </c>
      <c r="D64" s="45">
        <v>46054</v>
      </c>
      <c r="E64" s="43" t="s">
        <v>2</v>
      </c>
      <c r="F64" s="44">
        <v>173</v>
      </c>
      <c r="G64" s="322">
        <f>IF(OR(E64="",F64=""),"",PID_KVLohnLookup($A$1,E64,F64,LOHNTABELLE!$H$4))</f>
        <v>2021</v>
      </c>
      <c r="H64" s="323">
        <f>IF(AND(ISNUMBER(D64),ISNUMBER(F64)),ROUNDDOWN(MIN(IF(OR(ISBLANK(I64),I64=""),EOMONTH(DATE(EINSTELLUNG!$C$35,$A$1,1),0),I64)-MAX(D64,DATE(EINSTELLUNG!$C$35,$A$1,1))+1)/DAY(EOMONTH(DATE(EINSTELLUNG!$C$35,$A$1,1),0))*F64,2),"")</f>
        <v>173</v>
      </c>
      <c r="I64" s="45"/>
      <c r="J64" s="46"/>
      <c r="K64" s="322">
        <f t="shared" si="1"/>
        <v>0</v>
      </c>
      <c r="L64" s="324">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321" t="s">
        <v>136</v>
      </c>
      <c r="B65" s="97"/>
      <c r="C65" s="49"/>
      <c r="D65" s="53"/>
      <c r="E65" s="51"/>
      <c r="F65" s="52"/>
      <c r="G65" s="322" t="str">
        <f>IF(OR(E65="",F65=""),"",PID_KVLohnLookup($A$1,E65,F65,LOHNTABELLE!$H$4))</f>
        <v/>
      </c>
      <c r="H65" s="323" t="str">
        <f>IF(AND(ISNUMBER(D65),ISNUMBER(F65)),ROUNDDOWN(MIN(IF(OR(ISBLANK(I65),I65=""),EOMONTH(DATE(EINSTELLUNG!$C$35,$A$1,1),0),I65)-MAX(D65,DATE(EINSTELLUNG!$C$35,$A$1,1))+1)/DAY(EOMONTH(DATE(EINSTELLUNG!$C$35,$A$1,1),0))*F65,2),"")</f>
        <v/>
      </c>
      <c r="I65" s="53"/>
      <c r="J65" s="54"/>
      <c r="K65" s="322" t="str">
        <f t="shared" si="1"/>
        <v/>
      </c>
      <c r="L65" s="32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1" t="s">
        <v>137</v>
      </c>
      <c r="B66" s="96"/>
      <c r="C66" s="41"/>
      <c r="D66" s="45"/>
      <c r="E66" s="43"/>
      <c r="F66" s="44"/>
      <c r="G66" s="322" t="str">
        <f>IF(OR(E66="",F66=""),"",PID_KVLohnLookup($A$1,E66,F66,LOHNTABELLE!$H$4))</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1" t="s">
        <v>138</v>
      </c>
      <c r="B67" s="97"/>
      <c r="C67" s="49"/>
      <c r="D67" s="53"/>
      <c r="E67" s="51"/>
      <c r="F67" s="52"/>
      <c r="G67" s="322" t="str">
        <f>IF(OR(E67="",F67=""),"",PID_KVLohnLookup($A$1,E67,F67,LOHNTABELLE!$H$4))</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1" t="s">
        <v>139</v>
      </c>
      <c r="B68" s="96"/>
      <c r="C68" s="41"/>
      <c r="D68" s="45"/>
      <c r="E68" s="43"/>
      <c r="F68" s="44"/>
      <c r="G68" s="322" t="str">
        <f>IF(OR(E68="",F68=""),"",PID_KVLohnLookup($A$1,E68,F68,LOHNTABELLE!$H$4))</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1" t="s">
        <v>140</v>
      </c>
      <c r="B69" s="97"/>
      <c r="C69" s="49"/>
      <c r="D69" s="53"/>
      <c r="E69" s="51"/>
      <c r="F69" s="52"/>
      <c r="G69" s="322" t="str">
        <f>IF(OR(E69="",F69=""),"",PID_KVLohnLookup($A$1,E69,F69,LOHNTABELLE!$H$4))</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1" t="s">
        <v>141</v>
      </c>
      <c r="B70" s="96"/>
      <c r="C70" s="41"/>
      <c r="D70" s="45"/>
      <c r="E70" s="43"/>
      <c r="F70" s="44"/>
      <c r="G70" s="322" t="str">
        <f>IF(OR(E70="",F70=""),"",PID_KVLohnLookup($A$1,E70,F70,LOHNTABELLE!$H$4))</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1" t="s">
        <v>142</v>
      </c>
      <c r="B71" s="97"/>
      <c r="C71" s="49"/>
      <c r="D71" s="53"/>
      <c r="E71" s="51"/>
      <c r="F71" s="52"/>
      <c r="G71" s="322" t="str">
        <f>IF(OR(E71="",F71=""),"",PID_KVLohnLookup($A$1,E71,F71,LOHNTABELLE!$H$4))</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1" t="s">
        <v>143</v>
      </c>
      <c r="B72" s="96"/>
      <c r="C72" s="41"/>
      <c r="D72" s="45"/>
      <c r="E72" s="43"/>
      <c r="F72" s="44"/>
      <c r="G72" s="322" t="str">
        <f>IF(OR(E72="",F72=""),"",PID_KVLohnLookup($A$1,E72,F72,LOHNTABELLE!$H$4))</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1" t="s">
        <v>144</v>
      </c>
      <c r="B73" s="97"/>
      <c r="C73" s="49"/>
      <c r="D73" s="53"/>
      <c r="E73" s="51"/>
      <c r="F73" s="52"/>
      <c r="G73" s="322" t="str">
        <f>IF(OR(E73="",F73=""),"",PID_KVLohnLookup($A$1,E73,F73,LOHNTABELLE!$H$4))</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1" t="s">
        <v>145</v>
      </c>
      <c r="B74" s="96"/>
      <c r="C74" s="41"/>
      <c r="D74" s="45"/>
      <c r="E74" s="43"/>
      <c r="F74" s="44"/>
      <c r="G74" s="322" t="str">
        <f>IF(OR(E74="",F74=""),"",PID_KVLohnLookup($A$1,E74,F74,LOHNTABELLE!$H$4))</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1" t="s">
        <v>146</v>
      </c>
      <c r="B75" s="97"/>
      <c r="C75" s="49"/>
      <c r="D75" s="53"/>
      <c r="E75" s="51"/>
      <c r="F75" s="52"/>
      <c r="G75" s="322" t="str">
        <f>IF(OR(E75="",F75=""),"",PID_KVLohnLookup($A$1,E75,F75,LOHNTABELLE!$H$4))</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1" t="s">
        <v>147</v>
      </c>
      <c r="B76" s="96"/>
      <c r="C76" s="41"/>
      <c r="D76" s="45"/>
      <c r="E76" s="43"/>
      <c r="F76" s="44"/>
      <c r="G76" s="322" t="str">
        <f>IF(OR(E76="",F76=""),"",PID_KVLohnLookup($A$1,E76,F76,LOHNTABELLE!$H$4))</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1" t="s">
        <v>148</v>
      </c>
      <c r="B77" s="97"/>
      <c r="C77" s="49"/>
      <c r="D77" s="53"/>
      <c r="E77" s="51"/>
      <c r="F77" s="52"/>
      <c r="G77" s="322" t="str">
        <f>IF(OR(E77="",F77=""),"",PID_KVLohnLookup($A$1,E77,F77,LOHNTABELLE!$H$4))</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1" t="s">
        <v>149</v>
      </c>
      <c r="B78" s="96"/>
      <c r="C78" s="41"/>
      <c r="D78" s="45"/>
      <c r="E78" s="43"/>
      <c r="F78" s="44"/>
      <c r="G78" s="322" t="str">
        <f>IF(OR(E78="",F78=""),"",PID_KVLohnLookup($A$1,E78,F78,LOHNTABELLE!$H$4))</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1" t="s">
        <v>150</v>
      </c>
      <c r="B79" s="97"/>
      <c r="C79" s="49"/>
      <c r="D79" s="53"/>
      <c r="E79" s="51"/>
      <c r="F79" s="52"/>
      <c r="G79" s="322" t="str">
        <f>IF(OR(E79="",F79=""),"",PID_KVLohnLookup($A$1,E79,F79,LOHNTABELLE!$H$4))</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1" t="s">
        <v>151</v>
      </c>
      <c r="B80" s="96"/>
      <c r="C80" s="41"/>
      <c r="D80" s="45"/>
      <c r="E80" s="43"/>
      <c r="F80" s="44"/>
      <c r="G80" s="322" t="str">
        <f>IF(OR(E80="",F80=""),"",PID_KVLohnLookup($A$1,E80,F80,LOHNTABELLE!$H$4))</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5" ht="22" customHeight="1">
      <c r="A81" s="321" t="s">
        <v>152</v>
      </c>
      <c r="B81" s="97"/>
      <c r="C81" s="49"/>
      <c r="D81" s="53"/>
      <c r="E81" s="51"/>
      <c r="F81" s="52"/>
      <c r="G81" s="322" t="str">
        <f>IF(OR(E81="",F81=""),"",PID_KVLohnLookup($A$1,E81,F81,LOHNTABELLE!$H$4))</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5" ht="22" customHeight="1" thickBot="1">
      <c r="A82" s="387" t="s">
        <v>153</v>
      </c>
      <c r="B82" s="98"/>
      <c r="C82" s="58"/>
      <c r="D82" s="59"/>
      <c r="E82" s="60"/>
      <c r="F82" s="61"/>
      <c r="G82" s="388" t="str">
        <f>IF(OR(E82="",F82=""),"",PID_KVLohnLookup($A$1,E82,F82,LOHNTABELLE!$H$4))</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4" spans="1:15" ht="16" customHeight="1">
      <c r="O84" s="420"/>
    </row>
    <row r="85" spans="1:15" ht="16" customHeight="1">
      <c r="O85" s="420"/>
    </row>
    <row r="86" spans="1:15" ht="16" customHeight="1">
      <c r="O86" s="420"/>
    </row>
    <row r="100" spans="26:26" ht="16" customHeight="1">
      <c r="Z100" s="301"/>
    </row>
  </sheetData>
  <sheetProtection algorithmName="SHA-512" hashValue="yr+KwlasiPrCI8eLww/enpSDat1xiEGeXz3MiwK57mb110pjdGoe613ExTW/Sxz972gcgKsi69dsUViD0VrMCw==" saltValue="g+9jBKf2KFAL57LQ+x+d/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518AF824-67F5-421F-9156-64C85F279F5E}">
          <x14:formula1>
            <xm:f>KV_DROPDOWN_HELPER!$CC$1:$CC$16</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1796875" style="221" bestFit="1" customWidth="1"/>
    <col min="29" max="16384" width="9.1796875" style="221"/>
  </cols>
  <sheetData>
    <row r="1" spans="1:28" ht="18" customHeight="1">
      <c r="A1" s="302">
        <v>3</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46082</v>
      </c>
    </row>
    <row r="2" spans="1:28" ht="18" customHeight="1" thickBot="1">
      <c r="A2" s="307"/>
      <c r="B2" s="308"/>
      <c r="C2" s="309"/>
      <c r="D2" s="309"/>
      <c r="E2" s="309"/>
      <c r="F2" s="309"/>
      <c r="G2" s="309"/>
      <c r="H2" s="309"/>
      <c r="I2" s="309"/>
      <c r="J2" s="309"/>
      <c r="K2" s="309"/>
      <c r="L2" s="309"/>
      <c r="M2" s="309"/>
      <c r="N2" s="310"/>
      <c r="O2" s="311"/>
      <c r="P2" s="311"/>
      <c r="Q2" s="311"/>
      <c r="S2" s="312" t="s">
        <v>384</v>
      </c>
      <c r="T2" s="312"/>
      <c r="U2" s="312"/>
      <c r="V2" s="312"/>
      <c r="AB2" s="306">
        <f>EOMONTH(DATE(EINSTELLUNG!$C$35,$A$1,1),0)</f>
        <v>46112</v>
      </c>
    </row>
    <row r="3" spans="1:28" ht="22" customHeight="1">
      <c r="A3" s="313" t="s">
        <v>389</v>
      </c>
      <c r="B3" s="95">
        <v>401010</v>
      </c>
      <c r="C3" s="33" t="s">
        <v>224</v>
      </c>
      <c r="D3" s="34">
        <v>39388</v>
      </c>
      <c r="E3" s="35" t="s">
        <v>2</v>
      </c>
      <c r="F3" s="64">
        <v>173</v>
      </c>
      <c r="G3" s="314">
        <f>IF(OR(E3="",F3=""),"",PID_KVLohnLookup($A$1,E3,F3,LOHNTABELLE!$H$4))</f>
        <v>2021</v>
      </c>
      <c r="H3" s="315">
        <f>IF(AND(ISNUMBER(D3),ISNUMBER(F3)),ROUNDDOWN(MIN(IF(OR(ISBLANK(I3),I3=""),EOMONTH(DATE(EINSTELLUNG!$C$35,$A$1,1),0),I3)-MAX(D3,DATE(EINSTELLUNG!$C$35,$A$1,1))+1)/DAY(EOMONTH(DATE(EINSTELLUNG!$C$35,$A$1,1),0))*F3,2),"")</f>
        <v>173</v>
      </c>
      <c r="I3" s="37"/>
      <c r="J3" s="38"/>
      <c r="K3" s="314">
        <f t="shared" ref="K3:K34" si="0">IF(OR(B3="",C3=""),"",IFERROR(IF(OR(MONTH(D3)=1,MONTH(D3)=3,MONTH(D3)=5,MONTH(D3)=7,MONTH(D3)=8,MONTH(D3)=10,MONTH(D3)=12),(G3/31)*J3,IF(OR(MONTH(D3)=4,MONTH(D3)=6,MONTH(D3)=9,MONTH(D3)=11),(G3/30)*J3,(G3/DAY(EOMONTH(D3,0)))*J3)),0))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17" t="s">
        <v>47</v>
      </c>
      <c r="P3" s="317" t="s">
        <v>48</v>
      </c>
      <c r="Q3" s="317" t="s">
        <v>49</v>
      </c>
      <c r="R3" s="318" t="s">
        <v>50</v>
      </c>
      <c r="S3" s="319"/>
      <c r="T3" s="319"/>
      <c r="U3" s="319"/>
      <c r="V3" s="319"/>
      <c r="AB3" s="320"/>
    </row>
    <row r="4" spans="1:28" ht="22" customHeight="1">
      <c r="A4" s="321" t="s">
        <v>51</v>
      </c>
      <c r="B4" s="96">
        <v>401047</v>
      </c>
      <c r="C4" s="41" t="s">
        <v>226</v>
      </c>
      <c r="D4" s="42">
        <v>41154</v>
      </c>
      <c r="E4" s="43" t="s">
        <v>4</v>
      </c>
      <c r="F4" s="65">
        <v>173</v>
      </c>
      <c r="G4" s="322">
        <f>IF(OR(E4="",F4=""),"",PID_KVLohnLookup($A$1,E4,F4,LOHNTABELLE!$H$4))</f>
        <v>2123</v>
      </c>
      <c r="H4" s="323">
        <f>IF(AND(ISNUMBER(D4),ISNUMBER(F4)),ROUNDDOWN(MIN(IF(OR(ISBLANK(I4),I4=""),EOMONTH(DATE(EINSTELLUNG!$C$35,$A$1,1),0),I4)-MAX(D4,DATE(EINSTELLUNG!$C$35,$A$1,1))+1)/DAY(EOMONTH(DATE(EINSTELLUNG!$C$35,$A$1,1),0))*F4,2),"")</f>
        <v>173</v>
      </c>
      <c r="I4" s="45"/>
      <c r="J4" s="46"/>
      <c r="K4" s="322">
        <f t="shared" si="0"/>
        <v>0</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5"/>
      <c r="P4" s="325"/>
      <c r="Q4" s="325"/>
      <c r="R4" s="326"/>
      <c r="S4" s="319"/>
      <c r="T4" s="319"/>
      <c r="U4" s="319"/>
      <c r="V4" s="319"/>
    </row>
    <row r="5" spans="1:28" ht="22" customHeight="1">
      <c r="A5" s="321" t="s">
        <v>52</v>
      </c>
      <c r="B5" s="97">
        <v>401049</v>
      </c>
      <c r="C5" s="49" t="s">
        <v>225</v>
      </c>
      <c r="D5" s="50">
        <v>41130</v>
      </c>
      <c r="E5" s="51" t="s">
        <v>4</v>
      </c>
      <c r="F5" s="52">
        <v>173</v>
      </c>
      <c r="G5" s="322">
        <f>IF(OR(E5="",F5=""),"",PID_KVLohnLookup($A$1,E5,F5,LOHNTABELLE!$H$4))</f>
        <v>2123</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327" cm="1">
        <f t="array" ref="O5">SUMPRODUCT((F3:F82/4.310808)/5*2.08)</f>
        <v>882.95228179960691</v>
      </c>
      <c r="P5" s="328">
        <f>EINSTELLUNG!I8</f>
        <v>600</v>
      </c>
      <c r="Q5" s="328">
        <f>P5-O5</f>
        <v>-282.95228179960691</v>
      </c>
      <c r="R5" s="329">
        <f>IFERROR(Q5*Q42, 0)</f>
        <v>-3394.5449925239932</v>
      </c>
      <c r="S5" s="319"/>
      <c r="T5" s="319"/>
      <c r="U5" s="319"/>
      <c r="V5" s="319"/>
    </row>
    <row r="6" spans="1:28" ht="22" customHeight="1">
      <c r="A6" s="321" t="s">
        <v>53</v>
      </c>
      <c r="B6" s="96">
        <v>401051</v>
      </c>
      <c r="C6" s="41" t="s">
        <v>227</v>
      </c>
      <c r="D6" s="42">
        <v>41176</v>
      </c>
      <c r="E6" s="43" t="s">
        <v>2</v>
      </c>
      <c r="F6" s="44">
        <v>173</v>
      </c>
      <c r="G6" s="322">
        <f>IF(OR(E6="",F6=""),"",PID_KVLohnLookup($A$1,E6,F6,LOHNTABELLE!$H$4))</f>
        <v>2021</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21" t="s">
        <v>54</v>
      </c>
      <c r="B7" s="97">
        <v>401089</v>
      </c>
      <c r="C7" s="49" t="s">
        <v>241</v>
      </c>
      <c r="D7" s="50">
        <v>44868</v>
      </c>
      <c r="E7" s="51" t="s">
        <v>3</v>
      </c>
      <c r="F7" s="52">
        <v>173</v>
      </c>
      <c r="G7" s="322">
        <f>IF(OR(E7="",F7=""),"",PID_KVLohnLookup($A$1,E7,F7,LOHNTABELLE!$H$4))</f>
        <v>2082</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319"/>
      <c r="P7" s="319"/>
      <c r="Q7" s="319"/>
      <c r="R7" s="319"/>
      <c r="S7" s="319"/>
      <c r="T7" s="319"/>
      <c r="U7" s="319"/>
      <c r="V7" s="319"/>
    </row>
    <row r="8" spans="1:28" ht="22" customHeight="1">
      <c r="A8" s="321" t="s">
        <v>55</v>
      </c>
      <c r="B8" s="96">
        <v>401138</v>
      </c>
      <c r="C8" s="41" t="s">
        <v>228</v>
      </c>
      <c r="D8" s="42">
        <v>42006</v>
      </c>
      <c r="E8" s="43" t="s">
        <v>4</v>
      </c>
      <c r="F8" s="44">
        <v>173</v>
      </c>
      <c r="G8" s="322">
        <f>IF(OR(E8="",F8=""),"",PID_KVLohnLookup($A$1,E8,F8,LOHNTABELLE!$H$4))</f>
        <v>2123</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33" t="s">
        <v>56</v>
      </c>
      <c r="P8" s="334"/>
      <c r="Q8" s="335">
        <f>SUM(H3:H82)</f>
        <v>8993.34</v>
      </c>
      <c r="R8" s="336"/>
      <c r="S8" s="319"/>
      <c r="T8" s="319"/>
      <c r="U8" s="319"/>
      <c r="V8" s="319"/>
    </row>
    <row r="9" spans="1:28" ht="22" customHeight="1">
      <c r="A9" s="321" t="s">
        <v>57</v>
      </c>
      <c r="B9" s="97">
        <v>401197</v>
      </c>
      <c r="C9" s="49" t="s">
        <v>229</v>
      </c>
      <c r="D9" s="50">
        <v>42644</v>
      </c>
      <c r="E9" s="51" t="s">
        <v>3</v>
      </c>
      <c r="F9" s="52">
        <v>173</v>
      </c>
      <c r="G9" s="322">
        <f>IF(OR(E9="",F9=""),"",PID_KVLohnLookup($A$1,E9,F9,LOHNTABELLE!$H$4))</f>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37" t="s">
        <v>58</v>
      </c>
      <c r="P9" s="338"/>
      <c r="Q9" s="339">
        <f>EINSTELLUNG!L24</f>
        <v>3</v>
      </c>
      <c r="R9" s="340"/>
      <c r="S9" s="341">
        <f>IFERROR(Q9/Q8, 0)</f>
        <v>3.3358018266850802E-4</v>
      </c>
      <c r="T9" s="319"/>
      <c r="U9" s="319"/>
      <c r="V9" s="319"/>
    </row>
    <row r="10" spans="1:28" ht="22" customHeight="1">
      <c r="A10" s="321" t="s">
        <v>59</v>
      </c>
      <c r="B10" s="96">
        <v>401214</v>
      </c>
      <c r="C10" s="41" t="s">
        <v>255</v>
      </c>
      <c r="D10" s="42">
        <v>45636</v>
      </c>
      <c r="E10" s="43" t="s">
        <v>3</v>
      </c>
      <c r="F10" s="44">
        <v>173</v>
      </c>
      <c r="G10" s="322">
        <f>IF(OR(E10="",F10=""),"",PID_KVLohnLookup($A$1,E10,F10,LOHNTABELLE!$H$4))</f>
        <v>2082</v>
      </c>
      <c r="H10" s="323">
        <f>IF(AND(ISNUMBER(D10),ISNUMBER(F10)),ROUNDDOWN(MIN(IF(OR(ISBLANK(I10),I10=""),EOMONTH(DATE(EINSTELLUNG!$C$35,$A$1,1),0),I10)-MAX(D10,DATE(EINSTELLUNG!$C$35,$A$1,1))+1)/DAY(EOMONTH(DATE(EINSTELLUNG!$C$35,$A$1,1),0))*F10,2),"")</f>
        <v>173</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37" t="s">
        <v>60</v>
      </c>
      <c r="P10" s="338"/>
      <c r="Q10" s="339">
        <f>EINSTELLUNG!I24</f>
        <v>0</v>
      </c>
      <c r="R10" s="340"/>
      <c r="S10" s="319"/>
      <c r="T10" s="319"/>
      <c r="U10" s="319"/>
      <c r="V10" s="319"/>
    </row>
    <row r="11" spans="1:28" ht="22" customHeight="1">
      <c r="A11" s="321" t="s">
        <v>61</v>
      </c>
      <c r="B11" s="97">
        <v>401276</v>
      </c>
      <c r="C11" s="49" t="s">
        <v>230</v>
      </c>
      <c r="D11" s="50">
        <v>43252</v>
      </c>
      <c r="E11" s="51" t="s">
        <v>3</v>
      </c>
      <c r="F11" s="52">
        <v>173</v>
      </c>
      <c r="G11" s="322">
        <f>IF(OR(E11="",F11=""),"",PID_KVLohnLookup($A$1,E11,F11,LOHNTABELLE!$H$4))</f>
        <v>2082</v>
      </c>
      <c r="H11" s="323">
        <f>IF(AND(ISNUMBER(D11),ISNUMBER(F11)),ROUNDDOWN(MIN(IF(OR(ISBLANK(I11),I11=""),EOMONTH(DATE(EINSTELLUNG!$C$35,$A$1,1),0),I11)-MAX(D11,DATE(EINSTELLUNG!$C$35,$A$1,1))+1)/DAY(EOMONTH(DATE(EINSTELLUNG!$C$35,$A$1,1),0))*F11,2),"")</f>
        <v>173</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337" t="s">
        <v>62</v>
      </c>
      <c r="P11" s="338"/>
      <c r="Q11" s="339">
        <f>P5</f>
        <v>600</v>
      </c>
      <c r="R11" s="340"/>
      <c r="S11" s="319"/>
      <c r="T11" s="319"/>
      <c r="U11" s="319"/>
      <c r="V11" s="319"/>
    </row>
    <row r="12" spans="1:28" ht="22" customHeight="1">
      <c r="A12" s="321" t="s">
        <v>63</v>
      </c>
      <c r="B12" s="96">
        <v>401276</v>
      </c>
      <c r="C12" s="41" t="s">
        <v>392</v>
      </c>
      <c r="D12" s="42">
        <v>38899</v>
      </c>
      <c r="E12" s="43" t="s">
        <v>2</v>
      </c>
      <c r="F12" s="44">
        <v>55</v>
      </c>
      <c r="G12" s="322">
        <f>IF(OR(E12="",F12=""),"",PID_KVLohnLookup($A$1,E12,F12,LOHNTABELLE!$H$4))</f>
        <v>666</v>
      </c>
      <c r="H12" s="323">
        <f>IF(AND(ISNUMBER(D12),ISNUMBER(F12)),ROUNDDOWN(MIN(IF(OR(ISBLANK(I12),I12=""),EOMONTH(DATE(EINSTELLUNG!$C$35,$A$1,1),0),I12)-MAX(D12,DATE(EINSTELLUNG!$C$35,$A$1,1))+1)/DAY(EOMONTH(DATE(EINSTELLUNG!$C$35,$A$1,1),0))*F12,2),"")</f>
        <v>55</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37" t="s">
        <v>64</v>
      </c>
      <c r="P12" s="338"/>
      <c r="Q12" s="167">
        <v>-445</v>
      </c>
      <c r="R12" s="168"/>
      <c r="S12" s="319"/>
      <c r="T12" s="319"/>
      <c r="U12" s="319"/>
      <c r="V12" s="319"/>
    </row>
    <row r="13" spans="1:28" ht="22" customHeight="1">
      <c r="A13" s="321" t="s">
        <v>65</v>
      </c>
      <c r="B13" s="97">
        <v>401307</v>
      </c>
      <c r="C13" s="49" t="s">
        <v>231</v>
      </c>
      <c r="D13" s="50">
        <v>43571</v>
      </c>
      <c r="E13" s="51" t="s">
        <v>2</v>
      </c>
      <c r="F13" s="52">
        <v>55</v>
      </c>
      <c r="G13" s="322">
        <f>IF(OR(E13="",F13=""),"",PID_KVLohnLookup($A$1,E13,F13,LOHNTABELLE!$H$4))</f>
        <v>666</v>
      </c>
      <c r="H13" s="323">
        <f>IF(AND(ISNUMBER(D13),ISNUMBER(F13)),ROUNDDOWN(MIN(IF(OR(ISBLANK(I13),I13=""),EOMONTH(DATE(EINSTELLUNG!$C$35,$A$1,1),0),I13)-MAX(D13,DATE(EINSTELLUNG!$C$35,$A$1,1))+1)/DAY(EOMONTH(DATE(EINSTELLUNG!$C$35,$A$1,1),0))*F13,2),"")</f>
        <v>55</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337" t="s">
        <v>66</v>
      </c>
      <c r="P13" s="338"/>
      <c r="Q13" s="339">
        <f>Q8-Q9-Q10-Q11-Q12</f>
        <v>8835.34</v>
      </c>
      <c r="R13" s="340"/>
      <c r="S13" s="319"/>
      <c r="T13" s="319"/>
      <c r="U13" s="319"/>
      <c r="V13" s="319"/>
    </row>
    <row r="14" spans="1:28" ht="22" customHeight="1">
      <c r="A14" s="321" t="s">
        <v>67</v>
      </c>
      <c r="B14" s="96">
        <v>401308</v>
      </c>
      <c r="C14" s="41" t="s">
        <v>232</v>
      </c>
      <c r="D14" s="42">
        <v>43579</v>
      </c>
      <c r="E14" s="43" t="s">
        <v>3</v>
      </c>
      <c r="F14" s="44">
        <v>173</v>
      </c>
      <c r="G14" s="322">
        <f>IF(OR(E14="",F14=""),"",PID_KVLohnLookup($A$1,E14,F14,LOHNTABELLE!$H$4))</f>
        <v>2082</v>
      </c>
      <c r="H14" s="323">
        <f>IF(AND(ISNUMBER(D14),ISNUMBER(F14)),ROUNDDOWN(MIN(IF(OR(ISBLANK(I14),I14=""),EOMONTH(DATE(EINSTELLUNG!$C$35,$A$1,1),0),I14)-MAX(D14,DATE(EINSTELLUNG!$C$35,$A$1,1))+1)/DAY(EOMONTH(DATE(EINSTELLUNG!$C$35,$A$1,1),0))*F14,2),"")</f>
        <v>173</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37" t="s">
        <v>68</v>
      </c>
      <c r="P14" s="338"/>
      <c r="Q14" s="339">
        <f>EINSTELLUNG!L8</f>
        <v>9300</v>
      </c>
      <c r="R14" s="340"/>
      <c r="S14" s="319"/>
      <c r="T14" s="319"/>
      <c r="U14" s="319"/>
      <c r="V14" s="319"/>
    </row>
    <row r="15" spans="1:28" ht="22" customHeight="1" thickBot="1">
      <c r="A15" s="321" t="s">
        <v>69</v>
      </c>
      <c r="B15" s="97">
        <v>401389</v>
      </c>
      <c r="C15" s="49" t="s">
        <v>234</v>
      </c>
      <c r="D15" s="50">
        <v>44384</v>
      </c>
      <c r="E15" s="51" t="s">
        <v>4</v>
      </c>
      <c r="F15" s="52">
        <v>151.38</v>
      </c>
      <c r="G15" s="322">
        <f>IF(OR(E15="",F15=""),"",PID_KVLohnLookup($A$1,E15,F15,LOHNTABELLE!$H$4))</f>
        <v>1857.63</v>
      </c>
      <c r="H15" s="323">
        <f>IF(AND(ISNUMBER(D15),ISNUMBER(F15)),ROUNDDOWN(MIN(IF(OR(ISBLANK(I15),I15=""),EOMONTH(DATE(EINSTELLUNG!$C$35,$A$1,1),0),I15)-MAX(D15,DATE(EINSTELLUNG!$C$35,$A$1,1))+1)/DAY(EOMONTH(DATE(EINSTELLUNG!$C$35,$A$1,1),0))*F15,2),"")</f>
        <v>151.38</v>
      </c>
      <c r="I15" s="53"/>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5"/>
      <c r="N15" s="71"/>
      <c r="O15" s="342" t="s">
        <v>70</v>
      </c>
      <c r="P15" s="343"/>
      <c r="Q15" s="344">
        <f>Q13-Q14</f>
        <v>-464.65999999999985</v>
      </c>
      <c r="R15" s="345"/>
      <c r="S15" s="346"/>
      <c r="T15" s="346"/>
      <c r="U15" s="346"/>
      <c r="V15" s="319"/>
    </row>
    <row r="16" spans="1:28" ht="22" customHeight="1" thickBot="1">
      <c r="A16" s="321" t="s">
        <v>71</v>
      </c>
      <c r="B16" s="96">
        <v>401394</v>
      </c>
      <c r="C16" s="41" t="s">
        <v>233</v>
      </c>
      <c r="D16" s="45">
        <v>44379</v>
      </c>
      <c r="E16" s="43" t="s">
        <v>2</v>
      </c>
      <c r="F16" s="44">
        <v>173</v>
      </c>
      <c r="G16" s="322">
        <f>IF(OR(E16="",F16=""),"",PID_KVLohnLookup($A$1,E16,F16,LOHNTABELLE!$H$4))</f>
        <v>2021</v>
      </c>
      <c r="H16" s="323">
        <f>IF(AND(ISNUMBER(D16),ISNUMBER(F16)),ROUNDDOWN(MIN(IF(OR(ISBLANK(I16),I16=""),EOMONTH(DATE(EINSTELLUNG!$C$35,$A$1,1),0),I16)-MAX(D16,DATE(EINSTELLUNG!$C$35,$A$1,1))+1)/DAY(EOMONTH(DATE(EINSTELLUNG!$C$35,$A$1,1),0))*F16,2),"")</f>
        <v>173</v>
      </c>
      <c r="I16" s="45"/>
      <c r="J16" s="46"/>
      <c r="K16" s="322">
        <f t="shared" si="0"/>
        <v>0</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47" t="str">
        <f>IF(Q15&lt;0, "Schlecht! Zu wenig Stunden für Dienstplan.", IF(Q15&gt;0, "Du hast mehr als genug Stunden für Dienstplan.", ""))</f>
        <v>Schlecht! Zu wenig Stunden für Dienstplan.</v>
      </c>
      <c r="P16" s="348"/>
      <c r="Q16" s="348"/>
      <c r="R16" s="349"/>
      <c r="S16" s="350"/>
      <c r="T16" s="350"/>
      <c r="U16" s="350"/>
      <c r="V16" s="350"/>
      <c r="W16" s="351"/>
    </row>
    <row r="17" spans="1:29" ht="22" customHeight="1">
      <c r="A17" s="321" t="s">
        <v>72</v>
      </c>
      <c r="B17" s="97">
        <v>401406</v>
      </c>
      <c r="C17" s="49" t="s">
        <v>393</v>
      </c>
      <c r="D17" s="50">
        <v>36850</v>
      </c>
      <c r="E17" s="51" t="s">
        <v>10</v>
      </c>
      <c r="F17" s="52">
        <v>151.38</v>
      </c>
      <c r="G17" s="322">
        <f>IF(OR(E17="",F17=""),"",PID_KVLohnLookup($A$1,E17,F17,LOHNTABELLE!$H$4))</f>
        <v>2012.5</v>
      </c>
      <c r="H17" s="323">
        <f>IF(AND(ISNUMBER(D17),ISNUMBER(F17)),ROUNDDOWN(MIN(IF(OR(ISBLANK(I17),I17=""),EOMONTH(DATE(EINSTELLUNG!$C$35,$A$1,1),0),I17)-MAX(D17,DATE(EINSTELLUNG!$C$35,$A$1,1))+1)/DAY(EOMONTH(DATE(EINSTELLUNG!$C$35,$A$1,1),0))*F17,2),"")</f>
        <v>151.38</v>
      </c>
      <c r="I17" s="53"/>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5"/>
      <c r="N17" s="71"/>
      <c r="O17" s="352" t="s">
        <v>73</v>
      </c>
      <c r="P17" s="334"/>
      <c r="Q17" s="353">
        <f>SUM(L3:L82)</f>
        <v>107892.0341935484</v>
      </c>
      <c r="R17" s="354"/>
      <c r="S17" s="319"/>
      <c r="T17" s="319"/>
      <c r="U17" s="319"/>
      <c r="V17" s="319"/>
      <c r="W17" s="351"/>
    </row>
    <row r="18" spans="1:29" ht="22" customHeight="1">
      <c r="A18" s="321" t="s">
        <v>74</v>
      </c>
      <c r="B18" s="96">
        <v>401432</v>
      </c>
      <c r="C18" s="41" t="s">
        <v>235</v>
      </c>
      <c r="D18" s="42">
        <v>44441</v>
      </c>
      <c r="E18" s="43" t="s">
        <v>2</v>
      </c>
      <c r="F18" s="44">
        <v>173</v>
      </c>
      <c r="G18" s="322">
        <f>IF(OR(E18="",F18=""),"",PID_KVLohnLookup($A$1,E18,F18,LOHNTABELLE!$H$4))</f>
        <v>2021</v>
      </c>
      <c r="H18" s="323">
        <f>IF(AND(ISNUMBER(D18),ISNUMBER(F18)),ROUNDDOWN(MIN(IF(OR(ISBLANK(I18),I18=""),EOMONTH(DATE(EINSTELLUNG!$C$35,$A$1,1),0),I18)-MAX(D18,DATE(EINSTELLUNG!$C$35,$A$1,1))+1)/DAY(EOMONTH(DATE(EINSTELLUNG!$C$35,$A$1,1),0))*F18,2),"")</f>
        <v>173</v>
      </c>
      <c r="I18" s="45"/>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7"/>
      <c r="N18" s="70"/>
      <c r="O18" s="355" t="s">
        <v>376</v>
      </c>
      <c r="P18" s="356"/>
      <c r="Q18" s="357">
        <v>20</v>
      </c>
      <c r="R18" s="358"/>
      <c r="S18" s="319"/>
      <c r="T18" s="319"/>
      <c r="U18" s="319"/>
      <c r="V18" s="319"/>
    </row>
    <row r="19" spans="1:29" ht="22" customHeight="1">
      <c r="A19" s="321" t="s">
        <v>75</v>
      </c>
      <c r="B19" s="97">
        <v>401476</v>
      </c>
      <c r="C19" s="66" t="s">
        <v>237</v>
      </c>
      <c r="D19" s="53">
        <v>44504</v>
      </c>
      <c r="E19" s="51" t="s">
        <v>2</v>
      </c>
      <c r="F19" s="52">
        <v>173</v>
      </c>
      <c r="G19" s="322">
        <f>IF(OR(E19="",F19=""),"",PID_KVLohnLookup($A$1,E19,F19,LOHNTABELLE!$H$4))</f>
        <v>2021</v>
      </c>
      <c r="H19" s="323">
        <f>IF(AND(ISNUMBER(D19),ISNUMBER(F19)),ROUNDDOWN(MIN(IF(OR(ISBLANK(I19),I19=""),EOMONTH(DATE(EINSTELLUNG!$C$35,$A$1,1),0),I19)-MAX(D19,DATE(EINSTELLUNG!$C$35,$A$1,1))+1)/DAY(EOMONTH(DATE(EINSTELLUNG!$C$35,$A$1,1),0))*F19,2),"")</f>
        <v>173</v>
      </c>
      <c r="I19" s="53"/>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5"/>
      <c r="N19" s="71"/>
      <c r="O19" s="355" t="s">
        <v>294</v>
      </c>
      <c r="P19" s="356"/>
      <c r="Q19" s="357">
        <v>333</v>
      </c>
      <c r="R19" s="358"/>
      <c r="S19" s="319"/>
      <c r="T19" s="319"/>
      <c r="U19" s="319"/>
      <c r="V19" s="319"/>
    </row>
    <row r="20" spans="1:29" ht="22" customHeight="1">
      <c r="A20" s="321" t="s">
        <v>76</v>
      </c>
      <c r="B20" s="96">
        <v>401479</v>
      </c>
      <c r="C20" s="41" t="s">
        <v>238</v>
      </c>
      <c r="D20" s="42">
        <v>44511</v>
      </c>
      <c r="E20" s="43" t="s">
        <v>6</v>
      </c>
      <c r="F20" s="44">
        <v>173</v>
      </c>
      <c r="G20" s="322">
        <f>IF(OR(E20="",F20=""),"",PID_KVLohnLookup($A$1,E20,F20,LOHNTABELLE!$H$4))</f>
        <v>2160</v>
      </c>
      <c r="H20" s="323">
        <f>IF(AND(ISNUMBER(D20),ISNUMBER(F20)),ROUNDDOWN(MIN(IF(OR(ISBLANK(I20),I20=""),EOMONTH(DATE(EINSTELLUNG!$C$35,$A$1,1),0),I20)-MAX(D20,DATE(EINSTELLUNG!$C$35,$A$1,1))+1)/DAY(EOMONTH(DATE(EINSTELLUNG!$C$35,$A$1,1),0))*F20,2),"")</f>
        <v>173</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355" t="s">
        <v>294</v>
      </c>
      <c r="P20" s="356"/>
      <c r="Q20" s="357">
        <v>35</v>
      </c>
      <c r="R20" s="358"/>
      <c r="S20" s="319"/>
      <c r="T20" s="319"/>
      <c r="U20" s="319"/>
      <c r="V20" s="319"/>
    </row>
    <row r="21" spans="1:29" ht="22" customHeight="1">
      <c r="A21" s="321" t="s">
        <v>77</v>
      </c>
      <c r="B21" s="97">
        <v>401481</v>
      </c>
      <c r="C21" s="49" t="s">
        <v>239</v>
      </c>
      <c r="D21" s="53">
        <v>44531</v>
      </c>
      <c r="E21" s="51" t="s">
        <v>3</v>
      </c>
      <c r="F21" s="52">
        <v>173</v>
      </c>
      <c r="G21" s="322">
        <f>IF(OR(E21="",F21=""),"",PID_KVLohnLookup($A$1,E21,F21,LOHNTABELLE!$H$4))</f>
        <v>2082</v>
      </c>
      <c r="H21" s="323">
        <f>IF(AND(ISNUMBER(D21),ISNUMBER(F21)),ROUNDDOWN(MIN(IF(OR(ISBLANK(I21),I21=""),EOMONTH(DATE(EINSTELLUNG!$C$35,$A$1,1),0),I21)-MAX(D21,DATE(EINSTELLUNG!$C$35,$A$1,1))+1)/DAY(EOMONTH(DATE(EINSTELLUNG!$C$35,$A$1,1),0))*F21,2),"")</f>
        <v>173</v>
      </c>
      <c r="I21" s="53"/>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1"/>
      <c r="O21" s="355" t="s">
        <v>294</v>
      </c>
      <c r="P21" s="356"/>
      <c r="Q21" s="357">
        <v>100</v>
      </c>
      <c r="R21" s="358"/>
      <c r="S21" s="319"/>
      <c r="T21" s="319"/>
      <c r="U21" s="319"/>
      <c r="V21" s="319"/>
    </row>
    <row r="22" spans="1:29" ht="22" customHeight="1">
      <c r="A22" s="321" t="s">
        <v>78</v>
      </c>
      <c r="B22" s="96">
        <v>401558</v>
      </c>
      <c r="C22" s="41" t="s">
        <v>236</v>
      </c>
      <c r="D22" s="42">
        <v>44460</v>
      </c>
      <c r="E22" s="43" t="s">
        <v>2</v>
      </c>
      <c r="F22" s="44">
        <v>173</v>
      </c>
      <c r="G22" s="322">
        <f>IF(OR(E22="",F22=""),"",PID_KVLohnLookup($A$1,E22,F22,LOHNTABELLE!$H$4))</f>
        <v>2021</v>
      </c>
      <c r="H22" s="323">
        <f>IF(AND(ISNUMBER(D22),ISNUMBER(F22)),ROUNDDOWN(MIN(IF(OR(ISBLANK(I22),I22=""),EOMONTH(DATE(EINSTELLUNG!$C$35,$A$1,1),0),I22)-MAX(D22,DATE(EINSTELLUNG!$C$35,$A$1,1))+1)/DAY(EOMONTH(DATE(EINSTELLUNG!$C$35,$A$1,1),0))*F22,2),"")</f>
        <v>173</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5" t="s">
        <v>294</v>
      </c>
      <c r="P22" s="356"/>
      <c r="Q22" s="357"/>
      <c r="R22" s="358"/>
      <c r="S22" s="319"/>
      <c r="T22" s="319"/>
      <c r="U22" s="319"/>
      <c r="V22" s="319"/>
    </row>
    <row r="23" spans="1:29" ht="22" customHeight="1">
      <c r="A23" s="321" t="s">
        <v>79</v>
      </c>
      <c r="B23" s="97">
        <v>401564</v>
      </c>
      <c r="C23" s="49" t="s">
        <v>240</v>
      </c>
      <c r="D23" s="53">
        <v>44824</v>
      </c>
      <c r="E23" s="51" t="s">
        <v>2</v>
      </c>
      <c r="F23" s="52">
        <v>151.38</v>
      </c>
      <c r="G23" s="322">
        <f>IF(OR(E23="",F23=""),"",PID_KVLohnLookup($A$1,E23,F23,LOHNTABELLE!$H$4))</f>
        <v>1768.38</v>
      </c>
      <c r="H23" s="323">
        <f>IF(AND(ISNUMBER(D23),ISNUMBER(F23)),ROUNDDOWN(MIN(IF(OR(ISBLANK(I23),I23=""),EOMONTH(DATE(EINSTELLUNG!$C$35,$A$1,1),0),I23)-MAX(D23,DATE(EINSTELLUNG!$C$35,$A$1,1))+1)/DAY(EOMONTH(DATE(EINSTELLUNG!$C$35,$A$1,1),0))*F23,2),"")</f>
        <v>151.38</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355" t="s">
        <v>294</v>
      </c>
      <c r="P23" s="356"/>
      <c r="Q23" s="357">
        <v>5000</v>
      </c>
      <c r="R23" s="358"/>
      <c r="S23" s="319"/>
      <c r="T23" s="319"/>
      <c r="U23" s="319"/>
      <c r="V23" s="319"/>
      <c r="W23" s="351"/>
    </row>
    <row r="24" spans="1:29" ht="22" customHeight="1">
      <c r="A24" s="321" t="s">
        <v>80</v>
      </c>
      <c r="B24" s="96">
        <v>401583</v>
      </c>
      <c r="C24" s="41" t="s">
        <v>242</v>
      </c>
      <c r="D24" s="42">
        <v>44900</v>
      </c>
      <c r="E24" s="43" t="s">
        <v>13</v>
      </c>
      <c r="F24" s="44">
        <v>173</v>
      </c>
      <c r="G24" s="322">
        <f>IF(OR(E24="",F24=""),"",PID_KVLohnLookup($A$1,E24,F24,LOHNTABELLE!$H$4))</f>
        <v>2328</v>
      </c>
      <c r="H24" s="323">
        <f>IF(AND(ISNUMBER(D24),ISNUMBER(F24)),ROUNDDOWN(MIN(IF(OR(ISBLANK(I24),I24=""),EOMONTH(DATE(EINSTELLUNG!$C$35,$A$1,1),0),I24)-MAX(D24,DATE(EINSTELLUNG!$C$35,$A$1,1))+1)/DAY(EOMONTH(DATE(EINSTELLUNG!$C$35,$A$1,1),0))*F24,2),"")</f>
        <v>173</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355"/>
      <c r="P24" s="356"/>
      <c r="Q24" s="357"/>
      <c r="R24" s="358"/>
      <c r="S24" s="319"/>
      <c r="T24" s="319"/>
      <c r="U24" s="319"/>
      <c r="V24" s="319"/>
      <c r="W24" s="351"/>
    </row>
    <row r="25" spans="1:29" ht="22" customHeight="1">
      <c r="A25" s="321" t="s">
        <v>81</v>
      </c>
      <c r="B25" s="97">
        <v>401589</v>
      </c>
      <c r="C25" s="49" t="s">
        <v>243</v>
      </c>
      <c r="D25" s="53">
        <v>44926</v>
      </c>
      <c r="E25" s="51" t="s">
        <v>10</v>
      </c>
      <c r="F25" s="52">
        <v>173</v>
      </c>
      <c r="G25" s="322">
        <f>IF(OR(E25="",F25=""),"",PID_KVLohnLookup($A$1,E25,F25,LOHNTABELLE!$H$4))</f>
        <v>2300</v>
      </c>
      <c r="H25" s="323">
        <f>IF(AND(ISNUMBER(D25),ISNUMBER(F25)),ROUNDDOWN(MIN(IF(OR(ISBLANK(I25),I25=""),EOMONTH(DATE(EINSTELLUNG!$C$35,$A$1,1),0),I25)-MAX(D25,DATE(EINSTELLUNG!$C$35,$A$1,1))+1)/DAY(EOMONTH(DATE(EINSTELLUNG!$C$35,$A$1,1),0))*F25,2),"")</f>
        <v>173</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355"/>
      <c r="P25" s="356"/>
      <c r="Q25" s="357"/>
      <c r="R25" s="358"/>
      <c r="S25" s="319"/>
      <c r="T25" s="319"/>
      <c r="U25" s="319"/>
      <c r="V25" s="319"/>
    </row>
    <row r="26" spans="1:29" ht="22" customHeight="1">
      <c r="A26" s="321" t="s">
        <v>82</v>
      </c>
      <c r="B26" s="96">
        <v>401602</v>
      </c>
      <c r="C26" s="41" t="s">
        <v>244</v>
      </c>
      <c r="D26" s="45">
        <v>45975</v>
      </c>
      <c r="E26" s="43" t="s">
        <v>2</v>
      </c>
      <c r="F26" s="44">
        <v>169</v>
      </c>
      <c r="G26" s="322">
        <f>IF(OR(E26="",F26=""),"",PID_KVLohnLookup($A$1,E26,F26,LOHNTABELLE!$H$4))</f>
        <v>2000</v>
      </c>
      <c r="H26" s="323">
        <f>IF(AND(ISNUMBER(D26),ISNUMBER(F26)),ROUNDDOWN(MIN(IF(OR(ISBLANK(I26),I26=""),EOMONTH(DATE(EINSTELLUNG!$C$35,$A$1,1),0),I26)-MAX(D26,DATE(EINSTELLUNG!$C$35,$A$1,1))+1)/DAY(EOMONTH(DATE(EINSTELLUNG!$C$35,$A$1,1),0))*F26,2),"")</f>
        <v>169</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355"/>
      <c r="P26" s="356"/>
      <c r="Q26" s="357"/>
      <c r="R26" s="358"/>
      <c r="S26" s="319"/>
      <c r="T26" s="319"/>
      <c r="U26" s="319"/>
      <c r="V26" s="319"/>
    </row>
    <row r="27" spans="1:29" ht="22" customHeight="1">
      <c r="A27" s="321" t="s">
        <v>83</v>
      </c>
      <c r="B27" s="97">
        <v>401605</v>
      </c>
      <c r="C27" s="49" t="s">
        <v>245</v>
      </c>
      <c r="D27" s="50">
        <v>44986</v>
      </c>
      <c r="E27" s="51" t="s">
        <v>2</v>
      </c>
      <c r="F27" s="52">
        <v>173</v>
      </c>
      <c r="G27" s="322">
        <f>IF(OR(E27="",F27=""),"",PID_KVLohnLookup($A$1,E27,F27,LOHNTABELLE!$H$4))</f>
        <v>2021</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5"/>
      <c r="P27" s="356"/>
      <c r="Q27" s="357"/>
      <c r="R27" s="358"/>
      <c r="S27" s="359" t="s">
        <v>84</v>
      </c>
      <c r="T27" s="359"/>
      <c r="U27" s="359"/>
      <c r="V27" s="359"/>
    </row>
    <row r="28" spans="1:29" ht="22" customHeight="1">
      <c r="A28" s="321" t="s">
        <v>85</v>
      </c>
      <c r="B28" s="96">
        <v>401605</v>
      </c>
      <c r="C28" s="41" t="s">
        <v>393</v>
      </c>
      <c r="D28" s="42">
        <v>36850</v>
      </c>
      <c r="E28" s="43" t="s">
        <v>10</v>
      </c>
      <c r="F28" s="44">
        <v>151.38</v>
      </c>
      <c r="G28" s="322">
        <f>IF(OR(E28="",F28=""),"",PID_KVLohnLookup($A$1,E28,F28,LOHNTABELLE!$H$4))</f>
        <v>2012.5</v>
      </c>
      <c r="H28" s="323">
        <f>IF(AND(ISNUMBER(D28),ISNUMBER(F28)),ROUNDDOWN(MIN(IF(OR(ISBLANK(I28),I28=""),EOMONTH(DATE(EINSTELLUNG!$C$35,$A$1,1),0),I28)-MAX(D28,DATE(EINSTELLUNG!$C$35,$A$1,1))+1)/DAY(EOMONTH(DATE(EINSTELLUNG!$C$35,$A$1,1),0))*F28,2),"")</f>
        <v>151.38</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355"/>
      <c r="P28" s="356"/>
      <c r="Q28" s="357"/>
      <c r="R28" s="358"/>
      <c r="S28" s="319"/>
      <c r="T28" s="319"/>
      <c r="U28" s="319"/>
      <c r="V28" s="319"/>
    </row>
    <row r="29" spans="1:29" ht="22" customHeight="1" thickBot="1">
      <c r="A29" s="321" t="s">
        <v>86</v>
      </c>
      <c r="B29" s="97">
        <v>401626</v>
      </c>
      <c r="C29" s="49" t="s">
        <v>246</v>
      </c>
      <c r="D29" s="50">
        <v>45063</v>
      </c>
      <c r="E29" s="51" t="s">
        <v>2</v>
      </c>
      <c r="F29" s="52">
        <v>173</v>
      </c>
      <c r="G29" s="322">
        <f>IF(OR(E29="",F29=""),"",PID_KVLohnLookup($A$1,E29,F29,LOHNTABELLE!$H$4))</f>
        <v>2021</v>
      </c>
      <c r="H29" s="323">
        <f>IF(AND(ISNUMBER(D29),ISNUMBER(F29)),ROUNDDOWN(MIN(IF(OR(ISBLANK(I29),I29=""),EOMONTH(DATE(EINSTELLUNG!$C$35,$A$1,1),0),I29)-MAX(D29,DATE(EINSTELLUNG!$C$35,$A$1,1))+1)/DAY(EOMONTH(DATE(EINSTELLUNG!$C$35,$A$1,1),0))*F29,2),"")</f>
        <v>173</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0" t="s">
        <v>87</v>
      </c>
      <c r="P29" s="343"/>
      <c r="Q29" s="361">
        <f>EINSTELLUNG!O8</f>
        <v>1250</v>
      </c>
      <c r="R29" s="362"/>
      <c r="S29" s="319"/>
      <c r="T29" s="319"/>
      <c r="U29" s="319"/>
      <c r="V29" s="319"/>
    </row>
    <row r="30" spans="1:29" ht="22" customHeight="1" thickBot="1">
      <c r="A30" s="321" t="s">
        <v>88</v>
      </c>
      <c r="B30" s="96">
        <v>401633</v>
      </c>
      <c r="C30" s="41" t="s">
        <v>247</v>
      </c>
      <c r="D30" s="42">
        <v>45089</v>
      </c>
      <c r="E30" s="43" t="s">
        <v>10</v>
      </c>
      <c r="F30" s="44">
        <v>173</v>
      </c>
      <c r="G30" s="322">
        <f>IF(OR(E30="",F30=""),"",PID_KVLohnLookup($A$1,E30,F30,LOHNTABELLE!$H$4))</f>
        <v>2300</v>
      </c>
      <c r="H30" s="323">
        <f>IF(AND(ISNUMBER(D30),ISNUMBER(F30)),ROUNDDOWN(MIN(IF(OR(ISBLANK(I30),I30=""),EOMONTH(DATE(EINSTELLUNG!$C$35,$A$1,1),0),I30)-MAX(D30,DATE(EINSTELLUNG!$C$35,$A$1,1))+1)/DAY(EOMONTH(DATE(EINSTELLUNG!$C$35,$A$1,1),0))*F30,2),"")</f>
        <v>173</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319"/>
      <c r="P30" s="319"/>
      <c r="Q30" s="319"/>
      <c r="R30" s="319"/>
      <c r="S30" s="319"/>
      <c r="T30" s="319"/>
      <c r="U30" s="319"/>
      <c r="V30" s="319"/>
      <c r="W30" s="363"/>
      <c r="X30" s="363"/>
      <c r="Y30" s="363"/>
      <c r="Z30" s="363"/>
      <c r="AA30" s="363"/>
      <c r="AB30" s="363"/>
      <c r="AC30" s="363"/>
    </row>
    <row r="31" spans="1:29" ht="22" customHeight="1" thickBot="1">
      <c r="A31" s="321" t="s">
        <v>89</v>
      </c>
      <c r="B31" s="97">
        <v>401647</v>
      </c>
      <c r="C31" s="49" t="s">
        <v>248</v>
      </c>
      <c r="D31" s="50">
        <v>45182</v>
      </c>
      <c r="E31" s="51" t="s">
        <v>2</v>
      </c>
      <c r="F31" s="52">
        <v>173</v>
      </c>
      <c r="G31" s="322">
        <f>IF(OR(E31="",F31=""),"",PID_KVLohnLookup($A$1,E31,F31,LOHNTABELLE!$H$4))</f>
        <v>2021</v>
      </c>
      <c r="H31" s="323">
        <f>IF(AND(ISNUMBER(D31),ISNUMBER(F31)),ROUNDDOWN(MIN(IF(OR(ISBLANK(I31),I31=""),EOMONTH(DATE(EINSTELLUNG!$C$35,$A$1,1),0),I31)-MAX(D31,DATE(EINSTELLUNG!$C$35,$A$1,1))+1)/DAY(EOMONTH(DATE(EINSTELLUNG!$C$35,$A$1,1),0))*F31,2),"")</f>
        <v>173</v>
      </c>
      <c r="I31" s="53"/>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4" t="s">
        <v>421</v>
      </c>
      <c r="P31" s="365"/>
      <c r="Q31" s="366">
        <v>1.6129032258064516E-2</v>
      </c>
      <c r="R31" s="367"/>
      <c r="S31" s="319"/>
      <c r="T31" s="319"/>
      <c r="U31" s="319"/>
      <c r="V31" s="319"/>
    </row>
    <row r="32" spans="1:29" ht="22" customHeight="1" thickBot="1">
      <c r="A32" s="321" t="s">
        <v>91</v>
      </c>
      <c r="B32" s="96">
        <v>401661</v>
      </c>
      <c r="C32" s="41" t="s">
        <v>249</v>
      </c>
      <c r="D32" s="45">
        <v>45261</v>
      </c>
      <c r="E32" s="43" t="s">
        <v>2</v>
      </c>
      <c r="F32" s="44">
        <v>173</v>
      </c>
      <c r="G32" s="322">
        <f>IF(OR(E32="",F32=""),"",PID_KVLohnLookup($A$1,E32,F32,LOHNTABELLE!$H$4))</f>
        <v>2021</v>
      </c>
      <c r="H32" s="323">
        <f>IF(AND(ISNUMBER(D32),ISNUMBER(F32)),ROUNDDOWN(MIN(IF(OR(ISBLANK(I32),I32=""),EOMONTH(DATE(EINSTELLUNG!$C$35,$A$1,1),0),I32)-MAX(D32,DATE(EINSTELLUNG!$C$35,$A$1,1))+1)/DAY(EOMONTH(DATE(EINSTELLUNG!$C$35,$A$1,1),0))*F32,2),"")</f>
        <v>173</v>
      </c>
      <c r="I32" s="45"/>
      <c r="J32" s="46"/>
      <c r="K32" s="322">
        <f t="shared" si="0"/>
        <v>0</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319"/>
      <c r="P32" s="319"/>
      <c r="Q32" s="319"/>
      <c r="R32" s="319"/>
      <c r="S32" s="319"/>
      <c r="T32" s="319"/>
      <c r="U32" s="319"/>
      <c r="V32" s="319"/>
    </row>
    <row r="33" spans="1:22" ht="22" customHeight="1">
      <c r="A33" s="321" t="s">
        <v>92</v>
      </c>
      <c r="B33" s="97">
        <v>401670</v>
      </c>
      <c r="C33" s="49" t="s">
        <v>250</v>
      </c>
      <c r="D33" s="50">
        <v>45358</v>
      </c>
      <c r="E33" s="51" t="s">
        <v>2</v>
      </c>
      <c r="F33" s="52">
        <v>173</v>
      </c>
      <c r="G33" s="322">
        <f>IF(OR(E33="",F33=""),"",PID_KVLohnLookup($A$1,E33,F33,LOHNTABELLE!$H$4))</f>
        <v>2021</v>
      </c>
      <c r="H33" s="323">
        <f>IF(AND(ISNUMBER(D33),ISNUMBER(F33)),ROUNDDOWN(MIN(IF(OR(ISBLANK(I33),I33=""),EOMONTH(DATE(EINSTELLUNG!$C$35,$A$1,1),0),I33)-MAX(D33,DATE(EINSTELLUNG!$C$35,$A$1,1))+1)/DAY(EOMONTH(DATE(EINSTELLUNG!$C$35,$A$1,1),0))*F33,2),"")</f>
        <v>173</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68"/>
      <c r="P33" s="369"/>
      <c r="Q33" s="304" t="str">
        <f>EINSTELLUNG!B3</f>
        <v>Budget</v>
      </c>
      <c r="R33" s="304"/>
      <c r="S33" s="304" t="str">
        <f>EINSTELLUNG!B19</f>
        <v>Projection/Aktuell Zahlen</v>
      </c>
      <c r="T33" s="304"/>
      <c r="U33" s="304" t="s">
        <v>95</v>
      </c>
      <c r="V33" s="305"/>
    </row>
    <row r="34" spans="1:22" ht="22" customHeight="1">
      <c r="A34" s="321" t="s">
        <v>96</v>
      </c>
      <c r="B34" s="96">
        <v>401678</v>
      </c>
      <c r="C34" s="41" t="s">
        <v>251</v>
      </c>
      <c r="D34" s="42">
        <v>45414</v>
      </c>
      <c r="E34" s="43" t="s">
        <v>2</v>
      </c>
      <c r="F34" s="44">
        <v>173</v>
      </c>
      <c r="G34" s="322">
        <f>IF(OR(E34="",F34=""),"",PID_KVLohnLookup($A$1,E34,F34,LOHNTABELLE!$H$4))</f>
        <v>2021</v>
      </c>
      <c r="H34" s="323">
        <f>IF(AND(ISNUMBER(D34),ISNUMBER(F34)),ROUNDDOWN(MIN(IF(OR(ISBLANK(I34),I34=""),EOMONTH(DATE(EINSTELLUNG!$C$35,$A$1,1),0),I34)-MAX(D34,DATE(EINSTELLUNG!$C$35,$A$1,1))+1)/DAY(EOMONTH(DATE(EINSTELLUNG!$C$35,$A$1,1),0))*F34,2),"")</f>
        <v>173</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370"/>
      <c r="P34" s="371"/>
      <c r="Q34" s="372"/>
      <c r="R34" s="372"/>
      <c r="S34" s="372"/>
      <c r="T34" s="372"/>
      <c r="U34" s="372"/>
      <c r="V34" s="373"/>
    </row>
    <row r="35" spans="1:22" ht="22" customHeight="1">
      <c r="A35" s="321" t="s">
        <v>97</v>
      </c>
      <c r="B35" s="97">
        <v>401690</v>
      </c>
      <c r="C35" s="49" t="s">
        <v>253</v>
      </c>
      <c r="D35" s="50">
        <v>45536</v>
      </c>
      <c r="E35" s="51" t="s">
        <v>2</v>
      </c>
      <c r="F35" s="52">
        <v>151.38</v>
      </c>
      <c r="G35" s="322">
        <f>IF(OR(E35="",F35=""),"",PID_KVLohnLookup($A$1,E35,F35,LOHNTABELLE!$H$4))</f>
        <v>1768.38</v>
      </c>
      <c r="H35" s="323">
        <f>IF(AND(ISNUMBER(D35),ISNUMBER(F35)),ROUNDDOWN(MIN(IF(OR(ISBLANK(I35),I35=""),EOMONTH(DATE(EINSTELLUNG!$C$35,$A$1,1),0),I35)-MAX(D35,DATE(EINSTELLUNG!$C$35,$A$1,1))+1)/DAY(EOMONTH(DATE(EINSTELLUNG!$C$35,$A$1,1),0))*F35,2),"")</f>
        <v>151.38</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374" t="s">
        <v>98</v>
      </c>
      <c r="P35" s="338"/>
      <c r="Q35" s="375">
        <f>EINSTELLUNG!C8</f>
        <v>400000</v>
      </c>
      <c r="R35" s="375"/>
      <c r="S35" s="375">
        <f>EINSTELLUNG!C24</f>
        <v>430000</v>
      </c>
      <c r="T35" s="375"/>
      <c r="U35" s="375">
        <f>S35-Q35</f>
        <v>30000</v>
      </c>
      <c r="V35" s="376"/>
    </row>
    <row r="36" spans="1:22" ht="22" customHeight="1">
      <c r="A36" s="321" t="s">
        <v>99</v>
      </c>
      <c r="B36" s="96">
        <v>401703</v>
      </c>
      <c r="C36" s="41" t="s">
        <v>254</v>
      </c>
      <c r="D36" s="45">
        <v>45616</v>
      </c>
      <c r="E36" s="43" t="s">
        <v>2</v>
      </c>
      <c r="F36" s="44">
        <v>173</v>
      </c>
      <c r="G36" s="322">
        <f>IF(OR(E36="",F36=""),"",PID_KVLohnLookup($A$1,E36,F36,LOHNTABELLE!$H$4))</f>
        <v>2021</v>
      </c>
      <c r="H36" s="323">
        <f>IF(AND(ISNUMBER(D36),ISNUMBER(F36)),ROUNDDOWN(MIN(IF(OR(ISBLANK(I36),I36=""),EOMONTH(DATE(EINSTELLUNG!$C$35,$A$1,1),0),I36)-MAX(D36,DATE(EINSTELLUNG!$C$35,$A$1,1))+1)/DAY(EOMONTH(DATE(EINSTELLUNG!$C$35,$A$1,1),0))*F36,2),"")</f>
        <v>173</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374" t="s">
        <v>100</v>
      </c>
      <c r="P36" s="338"/>
      <c r="Q36" s="375">
        <f>EINSTELLUNG!D8</f>
        <v>100000</v>
      </c>
      <c r="R36" s="375"/>
      <c r="S36" s="375">
        <f ca="1">SumMergedCells(Q17:R29)</f>
        <v>114630.03419999999</v>
      </c>
      <c r="T36" s="375"/>
      <c r="U36" s="375">
        <f t="shared" ref="U36:U41" ca="1" si="2">S36-Q36</f>
        <v>14630.034199999995</v>
      </c>
      <c r="V36" s="376"/>
    </row>
    <row r="37" spans="1:22" ht="22" customHeight="1">
      <c r="A37" s="321" t="s">
        <v>101</v>
      </c>
      <c r="B37" s="97">
        <v>401715</v>
      </c>
      <c r="C37" s="49" t="s">
        <v>256</v>
      </c>
      <c r="D37" s="50">
        <v>45755</v>
      </c>
      <c r="E37" s="51" t="s">
        <v>2</v>
      </c>
      <c r="F37" s="52">
        <v>173</v>
      </c>
      <c r="G37" s="322">
        <f>IF(OR(E37="",F37=""),"",PID_KVLohnLookup($A$1,E37,F37,LOHNTABELLE!$H$4))</f>
        <v>2021</v>
      </c>
      <c r="H37" s="323">
        <f>IF(AND(ISNUMBER(D37),ISNUMBER(F37)),ROUNDDOWN(MIN(IF(OR(ISBLANK(I37),I37=""),EOMONTH(DATE(EINSTELLUNG!$C$35,$A$1,1),0),I37)-MAX(D37,DATE(EINSTELLUNG!$C$35,$A$1,1))+1)/DAY(EOMONTH(DATE(EINSTELLUNG!$C$35,$A$1,1),0))*F37,2),"")</f>
        <v>173</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374" t="s">
        <v>102</v>
      </c>
      <c r="P37" s="338"/>
      <c r="Q37" s="377">
        <f>IF(ISERROR(Q36/Q35), 0, Q36/Q35)</f>
        <v>0.25</v>
      </c>
      <c r="R37" s="377"/>
      <c r="S37" s="377">
        <f ca="1">IF(ISERROR(S36/S35), 0, S36/S35)</f>
        <v>0.26658147488372091</v>
      </c>
      <c r="T37" s="377"/>
      <c r="U37" s="377">
        <f t="shared" ca="1" si="2"/>
        <v>1.6581474883720915E-2</v>
      </c>
      <c r="V37" s="378"/>
    </row>
    <row r="38" spans="1:22" ht="22" customHeight="1">
      <c r="A38" s="321" t="s">
        <v>103</v>
      </c>
      <c r="B38" s="96">
        <v>401716</v>
      </c>
      <c r="C38" s="41" t="s">
        <v>257</v>
      </c>
      <c r="D38" s="42">
        <v>45800</v>
      </c>
      <c r="E38" s="43" t="s">
        <v>2</v>
      </c>
      <c r="F38" s="44">
        <v>173</v>
      </c>
      <c r="G38" s="322">
        <f>IF(OR(E38="",F38=""),"",PID_KVLohnLookup($A$1,E38,F38,LOHNTABELLE!$H$4))</f>
        <v>2021</v>
      </c>
      <c r="H38" s="323">
        <f>IF(AND(ISNUMBER(D38),ISNUMBER(F38)),ROUNDDOWN(MIN(IF(OR(ISBLANK(I38),I38=""),EOMONTH(DATE(EINSTELLUNG!$C$35,$A$1,1),0),I38)-MAX(D38,DATE(EINSTELLUNG!$C$35,$A$1,1))+1)/DAY(EOMONTH(DATE(EINSTELLUNG!$C$35,$A$1,1),0))*F38,2),"")</f>
        <v>173</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374" t="s">
        <v>104</v>
      </c>
      <c r="P38" s="338"/>
      <c r="Q38" s="339">
        <f>EINSTELLUNG!F8</f>
        <v>30000</v>
      </c>
      <c r="R38" s="339"/>
      <c r="S38" s="339">
        <f>EINSTELLUNG!F24</f>
        <v>29000</v>
      </c>
      <c r="T38" s="339"/>
      <c r="U38" s="339">
        <f t="shared" si="2"/>
        <v>-1000</v>
      </c>
      <c r="V38" s="340"/>
    </row>
    <row r="39" spans="1:22" ht="22" customHeight="1">
      <c r="A39" s="321" t="s">
        <v>105</v>
      </c>
      <c r="B39" s="97">
        <v>401717</v>
      </c>
      <c r="C39" s="49" t="s">
        <v>258</v>
      </c>
      <c r="D39" s="50">
        <v>45814</v>
      </c>
      <c r="E39" s="51" t="s">
        <v>2</v>
      </c>
      <c r="F39" s="52">
        <v>86.5</v>
      </c>
      <c r="G39" s="322">
        <f>IF(OR(E39="",F39=""),"",PID_KVLohnLookup($A$1,E39,F39,LOHNTABELLE!$H$4))</f>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4" t="s">
        <v>106</v>
      </c>
      <c r="P39" s="338"/>
      <c r="Q39" s="375">
        <f>IF(Q38=0, 0, Q35/Q38)</f>
        <v>13.333333333333334</v>
      </c>
      <c r="R39" s="375"/>
      <c r="S39" s="375">
        <f>IF(S38=0, 0, S35/S38)</f>
        <v>14.827586206896552</v>
      </c>
      <c r="T39" s="375"/>
      <c r="U39" s="375">
        <f t="shared" si="2"/>
        <v>1.4942528735632177</v>
      </c>
      <c r="V39" s="376"/>
    </row>
    <row r="40" spans="1:22" ht="22" customHeight="1">
      <c r="A40" s="321" t="s">
        <v>107</v>
      </c>
      <c r="B40" s="96">
        <v>401722</v>
      </c>
      <c r="C40" s="41" t="s">
        <v>259</v>
      </c>
      <c r="D40" s="42">
        <v>45848</v>
      </c>
      <c r="E40" s="43" t="s">
        <v>2</v>
      </c>
      <c r="F40" s="44">
        <v>86.5</v>
      </c>
      <c r="G40" s="322">
        <f>IF(OR(E40="",F40=""),"",PID_KVLohnLookup($A$1,E40,F40,LOHNTABELLE!$H$4))</f>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4" t="s">
        <v>108</v>
      </c>
      <c r="P40" s="338"/>
      <c r="Q40" s="375">
        <f>IF(Q13=0, 0, Q35/Q13)</f>
        <v>45.272734269422571</v>
      </c>
      <c r="R40" s="375"/>
      <c r="S40" s="375">
        <f>IF(Q13=0, 0, S35/Q13)</f>
        <v>48.668189339629258</v>
      </c>
      <c r="T40" s="375"/>
      <c r="U40" s="375">
        <f t="shared" si="2"/>
        <v>3.3954550702066868</v>
      </c>
      <c r="V40" s="376"/>
    </row>
    <row r="41" spans="1:22" ht="22" customHeight="1">
      <c r="A41" s="321" t="s">
        <v>109</v>
      </c>
      <c r="B41" s="97">
        <v>401723</v>
      </c>
      <c r="C41" s="49" t="s">
        <v>260</v>
      </c>
      <c r="D41" s="53">
        <v>45852</v>
      </c>
      <c r="E41" s="51" t="s">
        <v>2</v>
      </c>
      <c r="F41" s="52">
        <v>86.5</v>
      </c>
      <c r="G41" s="322">
        <f>IF(OR(E41="",F41=""),"",PID_KVLohnLookup($A$1,E41,F41,LOHNTABELLE!$H$4))</f>
        <v>1010.5</v>
      </c>
      <c r="H41" s="323">
        <f>IF(AND(ISNUMBER(D41),ISNUMBER(F41)),ROUNDDOWN(MIN(IF(OR(ISBLANK(I41),I41=""),EOMONTH(DATE(EINSTELLUNG!$C$35,$A$1,1),0),I41)-MAX(D41,DATE(EINSTELLUNG!$C$35,$A$1,1))+1)/DAY(EOMONTH(DATE(EINSTELLUNG!$C$35,$A$1,1),0))*F41,2),"")</f>
        <v>86.5</v>
      </c>
      <c r="I41" s="53"/>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4" t="s">
        <v>110</v>
      </c>
      <c r="P41" s="338"/>
      <c r="Q41" s="339">
        <f>IF(Q13=0, 0, Q38/Q13)</f>
        <v>3.3954550702066926</v>
      </c>
      <c r="R41" s="339"/>
      <c r="S41" s="339">
        <f>IF(Q13=0, 0, S38/Q13)</f>
        <v>3.282273234533136</v>
      </c>
      <c r="T41" s="339"/>
      <c r="U41" s="339">
        <f t="shared" si="2"/>
        <v>-0.11318183567355655</v>
      </c>
      <c r="V41" s="340"/>
    </row>
    <row r="42" spans="1:22" ht="22" customHeight="1">
      <c r="A42" s="321" t="s">
        <v>111</v>
      </c>
      <c r="B42" s="96">
        <v>401726</v>
      </c>
      <c r="C42" s="41" t="s">
        <v>261</v>
      </c>
      <c r="D42" s="42">
        <v>45870</v>
      </c>
      <c r="E42" s="43" t="s">
        <v>2</v>
      </c>
      <c r="F42" s="44">
        <v>86.5</v>
      </c>
      <c r="G42" s="322">
        <f>IF(OR(E42="",F42=""),"",PID_KVLohnLookup($A$1,E42,F42,LOHNTABELLE!$H$4))</f>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79" t="s">
        <v>112</v>
      </c>
      <c r="P42" s="380"/>
      <c r="Q42" s="381">
        <f>IFERROR(Q17/Q8, 0)</f>
        <v>11.99688149158693</v>
      </c>
      <c r="R42" s="381"/>
      <c r="S42" s="381"/>
      <c r="T42" s="381"/>
      <c r="U42" s="381"/>
      <c r="V42" s="382"/>
    </row>
    <row r="43" spans="1:22" ht="22" customHeight="1">
      <c r="A43" s="321" t="s">
        <v>113</v>
      </c>
      <c r="B43" s="97">
        <v>401730</v>
      </c>
      <c r="C43" s="49" t="s">
        <v>263</v>
      </c>
      <c r="D43" s="50">
        <v>45895</v>
      </c>
      <c r="E43" s="51" t="s">
        <v>2</v>
      </c>
      <c r="F43" s="52">
        <v>86.5</v>
      </c>
      <c r="G43" s="322">
        <f>IF(OR(E43="",F43=""),"",PID_KVLohnLookup($A$1,E43,F43,LOHNTABELLE!$H$4))</f>
        <v>1010.5</v>
      </c>
      <c r="H43" s="323">
        <f>IF(AND(ISNUMBER(D43),ISNUMBER(F43)),ROUNDDOWN(MIN(IF(OR(ISBLANK(I43),I43=""),EOMONTH(DATE(EINSTELLUNG!$C$35,$A$1,1),0),I43)-MAX(D43,DATE(EINSTELLUNG!$C$35,$A$1,1))+1)/DAY(EOMONTH(DATE(EINSTELLUNG!$C$35,$A$1,1),0))*F43,2),"")</f>
        <v>86.5</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3"/>
      <c r="P43" s="383"/>
      <c r="Q43" s="383"/>
      <c r="R43" s="319"/>
      <c r="S43" s="319"/>
      <c r="T43" s="319"/>
      <c r="U43" s="319"/>
      <c r="V43" s="319"/>
    </row>
    <row r="44" spans="1:22" ht="22" customHeight="1">
      <c r="A44" s="321" t="s">
        <v>114</v>
      </c>
      <c r="B44" s="96">
        <v>401731</v>
      </c>
      <c r="C44" s="41" t="s">
        <v>262</v>
      </c>
      <c r="D44" s="42">
        <v>45899</v>
      </c>
      <c r="E44" s="43" t="s">
        <v>2</v>
      </c>
      <c r="F44" s="44">
        <v>86.5</v>
      </c>
      <c r="G44" s="322">
        <f>IF(OR(E44="",F44=""),"",PID_KVLohnLookup($A$1,E44,F44,LOHNTABELLE!$H$4))</f>
        <v>1010.5</v>
      </c>
      <c r="H44" s="323">
        <f>IF(AND(ISNUMBER(D44),ISNUMBER(F44)),ROUNDDOWN(MIN(IF(OR(ISBLANK(I44),I44=""),EOMONTH(DATE(EINSTELLUNG!$C$35,$A$1,1),0),I44)-MAX(D44,DATE(EINSTELLUNG!$C$35,$A$1,1))+1)/DAY(EOMONTH(DATE(EINSTELLUNG!$C$35,$A$1,1),0))*F44,2),"")</f>
        <v>86.5</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4" t="s">
        <v>115</v>
      </c>
      <c r="P44" s="384"/>
      <c r="Q44" s="384"/>
      <c r="R44" s="384"/>
      <c r="S44" s="384"/>
      <c r="T44" s="384"/>
      <c r="U44" s="384"/>
      <c r="V44" s="384"/>
    </row>
    <row r="45" spans="1:22" ht="22" customHeight="1">
      <c r="A45" s="321" t="s">
        <v>116</v>
      </c>
      <c r="B45" s="97">
        <v>401734</v>
      </c>
      <c r="C45" s="49" t="s">
        <v>264</v>
      </c>
      <c r="D45" s="50">
        <v>45904</v>
      </c>
      <c r="E45" s="51" t="s">
        <v>2</v>
      </c>
      <c r="F45" s="52">
        <v>86.5</v>
      </c>
      <c r="G45" s="322">
        <f>IF(OR(E45="",F45=""),"",PID_KVLohnLookup($A$1,E45,F45,LOHNTABELLE!$H$4))</f>
        <v>1010.5</v>
      </c>
      <c r="H45" s="323">
        <f>IF(AND(ISNUMBER(D45),ISNUMBER(F45)),ROUNDDOWN(MIN(IF(OR(ISBLANK(I45),I45=""),EOMONTH(DATE(EINSTELLUNG!$C$35,$A$1,1),0),I45)-MAX(D45,DATE(EINSTELLUNG!$C$35,$A$1,1))+1)/DAY(EOMONTH(DATE(EINSTELLUNG!$C$35,$A$1,1),0))*F45,2),"")</f>
        <v>86.5</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5"/>
      <c r="P45" s="385"/>
      <c r="Q45" s="385"/>
      <c r="R45" s="386"/>
      <c r="S45" s="386"/>
      <c r="T45" s="386"/>
      <c r="U45" s="386"/>
      <c r="V45" s="319"/>
    </row>
    <row r="46" spans="1:22" ht="22" customHeight="1">
      <c r="A46" s="321" t="s">
        <v>117</v>
      </c>
      <c r="B46" s="96">
        <v>401736</v>
      </c>
      <c r="C46" s="41" t="s">
        <v>265</v>
      </c>
      <c r="D46" s="42">
        <v>45906</v>
      </c>
      <c r="E46" s="43" t="s">
        <v>2</v>
      </c>
      <c r="F46" s="44">
        <v>86.5</v>
      </c>
      <c r="G46" s="322">
        <f>IF(OR(E46="",F46=""),"",PID_KVLohnLookup($A$1,E46,F46,LOHNTABELLE!$H$4))</f>
        <v>1010.5</v>
      </c>
      <c r="H46" s="323">
        <f>IF(AND(ISNUMBER(D46),ISNUMBER(F46)),ROUNDDOWN(MIN(IF(OR(ISBLANK(I46),I46=""),EOMONTH(DATE(EINSTELLUNG!$C$35,$A$1,1),0),I46)-MAX(D46,DATE(EINSTELLUNG!$C$35,$A$1,1))+1)/DAY(EOMONTH(DATE(EINSTELLUNG!$C$35,$A$1,1),0))*F46,2),"")</f>
        <v>86.5</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319"/>
      <c r="P46" s="319"/>
      <c r="Q46" s="319"/>
      <c r="R46" s="319"/>
      <c r="S46" s="319"/>
      <c r="T46" s="319"/>
      <c r="U46" s="319"/>
      <c r="V46" s="319"/>
    </row>
    <row r="47" spans="1:22" ht="22" customHeight="1">
      <c r="A47" s="321" t="s">
        <v>118</v>
      </c>
      <c r="B47" s="97">
        <v>401737</v>
      </c>
      <c r="C47" s="49" t="s">
        <v>266</v>
      </c>
      <c r="D47" s="50">
        <v>45906</v>
      </c>
      <c r="E47" s="51" t="s">
        <v>2</v>
      </c>
      <c r="F47" s="52">
        <v>86.5</v>
      </c>
      <c r="G47" s="322">
        <f>IF(OR(E47="",F47=""),"",PID_KVLohnLookup($A$1,E47,F47,LOHNTABELLE!$H$4))</f>
        <v>1010.5</v>
      </c>
      <c r="H47" s="323">
        <f>IF(AND(ISNUMBER(D47),ISNUMBER(F47)),ROUNDDOWN(MIN(IF(OR(ISBLANK(I47),I47=""),EOMONTH(DATE(EINSTELLUNG!$C$35,$A$1,1),0),I47)-MAX(D47,DATE(EINSTELLUNG!$C$35,$A$1,1))+1)/DAY(EOMONTH(DATE(EINSTELLUNG!$C$35,$A$1,1),0))*F47,2),"")</f>
        <v>86.5</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319"/>
      <c r="P47" s="319"/>
      <c r="Q47" s="319"/>
      <c r="R47" s="319"/>
      <c r="S47" s="319"/>
      <c r="T47" s="319"/>
      <c r="U47" s="319"/>
      <c r="V47" s="319"/>
    </row>
    <row r="48" spans="1:22" ht="22" customHeight="1">
      <c r="A48" s="321" t="s">
        <v>119</v>
      </c>
      <c r="B48" s="96">
        <v>401738</v>
      </c>
      <c r="C48" s="41" t="s">
        <v>267</v>
      </c>
      <c r="D48" s="42">
        <v>45909</v>
      </c>
      <c r="E48" s="43" t="s">
        <v>2</v>
      </c>
      <c r="F48" s="44">
        <v>86.5</v>
      </c>
      <c r="G48" s="322">
        <f>IF(OR(E48="",F48=""),"",PID_KVLohnLookup($A$1,E48,F48,LOHNTABELLE!$H$4))</f>
        <v>1010.5</v>
      </c>
      <c r="H48" s="323">
        <f>IF(AND(ISNUMBER(D48),ISNUMBER(F48)),ROUNDDOWN(MIN(IF(OR(ISBLANK(I48),I48=""),EOMONTH(DATE(EINSTELLUNG!$C$35,$A$1,1),0),I48)-MAX(D48,DATE(EINSTELLUNG!$C$35,$A$1,1))+1)/DAY(EOMONTH(DATE(EINSTELLUNG!$C$35,$A$1,1),0))*F48,2),"")</f>
        <v>86.5</v>
      </c>
      <c r="I48" s="45"/>
      <c r="J48" s="46"/>
      <c r="K48" s="322">
        <f t="shared" si="1"/>
        <v>0</v>
      </c>
      <c r="L48" s="32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319"/>
      <c r="P48" s="319"/>
      <c r="Q48" s="319"/>
      <c r="R48" s="319"/>
      <c r="S48" s="319"/>
      <c r="T48" s="319"/>
      <c r="U48" s="319"/>
      <c r="V48" s="319"/>
    </row>
    <row r="49" spans="1:22" ht="22" customHeight="1">
      <c r="A49" s="321" t="s">
        <v>120</v>
      </c>
      <c r="B49" s="97">
        <v>401745</v>
      </c>
      <c r="C49" s="49" t="s">
        <v>271</v>
      </c>
      <c r="D49" s="50">
        <v>45934</v>
      </c>
      <c r="E49" s="51" t="s">
        <v>2</v>
      </c>
      <c r="F49" s="52">
        <v>86.5</v>
      </c>
      <c r="G49" s="322">
        <f>IF(OR(E49="",F49=""),"",PID_KVLohnLookup($A$1,E49,F49,LOHNTABELLE!$H$4))</f>
        <v>1010.5</v>
      </c>
      <c r="H49" s="323">
        <f>IF(AND(ISNUMBER(D49),ISNUMBER(F49)),ROUNDDOWN(MIN(IF(OR(ISBLANK(I49),I49=""),EOMONTH(DATE(EINSTELLUNG!$C$35,$A$1,1),0),I49)-MAX(D49,DATE(EINSTELLUNG!$C$35,$A$1,1))+1)/DAY(EOMONTH(DATE(EINSTELLUNG!$C$35,$A$1,1),0))*F49,2),"")</f>
        <v>86.5</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319"/>
      <c r="P49" s="319"/>
      <c r="Q49" s="319"/>
      <c r="R49" s="319"/>
      <c r="S49" s="319"/>
      <c r="T49" s="319"/>
      <c r="U49" s="319"/>
      <c r="V49" s="319"/>
    </row>
    <row r="50" spans="1:22" ht="22" customHeight="1">
      <c r="A50" s="321" t="s">
        <v>121</v>
      </c>
      <c r="B50" s="96">
        <v>401746</v>
      </c>
      <c r="C50" s="41" t="s">
        <v>270</v>
      </c>
      <c r="D50" s="42">
        <v>45941</v>
      </c>
      <c r="E50" s="43" t="s">
        <v>2</v>
      </c>
      <c r="F50" s="44">
        <v>86.5</v>
      </c>
      <c r="G50" s="322">
        <f>IF(OR(E50="",F50=""),"",PID_KVLohnLookup($A$1,E50,F50,LOHNTABELLE!$H$4))</f>
        <v>1010.5</v>
      </c>
      <c r="H50" s="323">
        <f>IF(AND(ISNUMBER(D50),ISNUMBER(F50)),ROUNDDOWN(MIN(IF(OR(ISBLANK(I50),I50=""),EOMONTH(DATE(EINSTELLUNG!$C$35,$A$1,1),0),I50)-MAX(D50,DATE(EINSTELLUNG!$C$35,$A$1,1))+1)/DAY(EOMONTH(DATE(EINSTELLUNG!$C$35,$A$1,1),0))*F50,2),"")</f>
        <v>86.5</v>
      </c>
      <c r="I50" s="45"/>
      <c r="J50" s="46"/>
      <c r="K50" s="322">
        <f t="shared" si="1"/>
        <v>0</v>
      </c>
      <c r="L50" s="32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319"/>
      <c r="P50" s="319"/>
      <c r="Q50" s="319"/>
      <c r="R50" s="319"/>
      <c r="S50" s="319"/>
      <c r="T50" s="319"/>
      <c r="U50" s="319"/>
      <c r="V50" s="319"/>
    </row>
    <row r="51" spans="1:22" ht="22" customHeight="1">
      <c r="A51" s="321" t="s">
        <v>122</v>
      </c>
      <c r="B51" s="97">
        <v>401747</v>
      </c>
      <c r="C51" s="49" t="s">
        <v>268</v>
      </c>
      <c r="D51" s="50">
        <v>45941</v>
      </c>
      <c r="E51" s="51" t="s">
        <v>2</v>
      </c>
      <c r="F51" s="52">
        <v>86.5</v>
      </c>
      <c r="G51" s="322">
        <f>IF(OR(E51="",F51=""),"",PID_KVLohnLookup($A$1,E51,F51,LOHNTABELLE!$H$4))</f>
        <v>1010.5</v>
      </c>
      <c r="H51" s="323">
        <f>IF(AND(ISNUMBER(D51),ISNUMBER(F51)),ROUNDDOWN(MIN(IF(OR(ISBLANK(I51),I51=""),EOMONTH(DATE(EINSTELLUNG!$C$35,$A$1,1),0),I51)-MAX(D51,DATE(EINSTELLUNG!$C$35,$A$1,1))+1)/DAY(EOMONTH(DATE(EINSTELLUNG!$C$35,$A$1,1),0))*F51,2),"")</f>
        <v>86.5</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321" t="s">
        <v>123</v>
      </c>
      <c r="B52" s="96">
        <v>401748</v>
      </c>
      <c r="C52" s="41" t="s">
        <v>269</v>
      </c>
      <c r="D52" s="42">
        <v>45941</v>
      </c>
      <c r="E52" s="43" t="s">
        <v>2</v>
      </c>
      <c r="F52" s="44">
        <v>138.4</v>
      </c>
      <c r="G52" s="322">
        <f>IF(OR(E52="",F52=""),"",PID_KVLohnLookup($A$1,E52,F52,LOHNTABELLE!$H$4))</f>
        <v>1616.8</v>
      </c>
      <c r="H52" s="323">
        <f>IF(AND(ISNUMBER(D52),ISNUMBER(F52)),ROUNDDOWN(MIN(IF(OR(ISBLANK(I52),I52=""),EOMONTH(DATE(EINSTELLUNG!$C$35,$A$1,1),0),I52)-MAX(D52,DATE(EINSTELLUNG!$C$35,$A$1,1))+1)/DAY(EOMONTH(DATE(EINSTELLUNG!$C$35,$A$1,1),0))*F52,2),"")</f>
        <v>138.4</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321" t="s">
        <v>124</v>
      </c>
      <c r="B53" s="97">
        <v>401751</v>
      </c>
      <c r="C53" s="49" t="s">
        <v>272</v>
      </c>
      <c r="D53" s="50">
        <v>45961</v>
      </c>
      <c r="E53" s="51" t="s">
        <v>2</v>
      </c>
      <c r="F53" s="52">
        <v>86.5</v>
      </c>
      <c r="G53" s="322">
        <f>IF(OR(E53="",F53=""),"",PID_KVLohnLookup($A$1,E53,F53,LOHNTABELLE!$H$4))</f>
        <v>1010.5</v>
      </c>
      <c r="H53" s="323">
        <f>IF(AND(ISNUMBER(D53),ISNUMBER(F53)),ROUNDDOWN(MIN(IF(OR(ISBLANK(I53),I53=""),EOMONTH(DATE(EINSTELLUNG!$C$35,$A$1,1),0),I53)-MAX(D53,DATE(EINSTELLUNG!$C$35,$A$1,1))+1)/DAY(EOMONTH(DATE(EINSTELLUNG!$C$35,$A$1,1),0))*F53,2),"")</f>
        <v>86.5</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321" t="s">
        <v>125</v>
      </c>
      <c r="B54" s="96">
        <v>401752</v>
      </c>
      <c r="C54" s="41" t="s">
        <v>273</v>
      </c>
      <c r="D54" s="42">
        <v>45986</v>
      </c>
      <c r="E54" s="43" t="s">
        <v>2</v>
      </c>
      <c r="F54" s="44">
        <v>173</v>
      </c>
      <c r="G54" s="322">
        <f>IF(OR(E54="",F54=""),"",PID_KVLohnLookup($A$1,E54,F54,LOHNTABELLE!$H$4))</f>
        <v>2021</v>
      </c>
      <c r="H54" s="323">
        <f>IF(AND(ISNUMBER(D54),ISNUMBER(F54)),ROUNDDOWN(MIN(IF(OR(ISBLANK(I54),I54=""),EOMONTH(DATE(EINSTELLUNG!$C$35,$A$1,1),0),I54)-MAX(D54,DATE(EINSTELLUNG!$C$35,$A$1,1))+1)/DAY(EOMONTH(DATE(EINSTELLUNG!$C$35,$A$1,1),0))*F54,2),"")</f>
        <v>173</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1" t="s">
        <v>126</v>
      </c>
      <c r="B55" s="97">
        <v>401754</v>
      </c>
      <c r="C55" s="49" t="s">
        <v>274</v>
      </c>
      <c r="D55" s="50">
        <v>46014</v>
      </c>
      <c r="E55" s="51" t="s">
        <v>2</v>
      </c>
      <c r="F55" s="52">
        <v>151.38</v>
      </c>
      <c r="G55" s="322">
        <f>IF(OR(E55="",F55=""),"",PID_KVLohnLookup($A$1,E55,F55,LOHNTABELLE!$H$4))</f>
        <v>1768.38</v>
      </c>
      <c r="H55" s="323">
        <f>IF(AND(ISNUMBER(D55),ISNUMBER(F55)),ROUNDDOWN(MIN(IF(OR(ISBLANK(I55),I55=""),EOMONTH(DATE(EINSTELLUNG!$C$35,$A$1,1),0),I55)-MAX(D55,DATE(EINSTELLUNG!$C$35,$A$1,1))+1)/DAY(EOMONTH(DATE(EINSTELLUNG!$C$35,$A$1,1),0))*F55,2),"")</f>
        <v>73.239999999999995</v>
      </c>
      <c r="I55" s="53">
        <v>46096</v>
      </c>
      <c r="J55" s="54">
        <v>8</v>
      </c>
      <c r="K55" s="322">
        <f t="shared" si="1"/>
        <v>456.35612903225808</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5"/>
      <c r="N55" s="71" t="s">
        <v>194</v>
      </c>
    </row>
    <row r="56" spans="1:22" ht="22" customHeight="1">
      <c r="A56" s="321" t="s">
        <v>127</v>
      </c>
      <c r="B56" s="96">
        <v>401999</v>
      </c>
      <c r="C56" s="41" t="s">
        <v>355</v>
      </c>
      <c r="D56" s="42">
        <v>46041</v>
      </c>
      <c r="E56" s="43" t="s">
        <v>2</v>
      </c>
      <c r="F56" s="44">
        <v>151.38</v>
      </c>
      <c r="G56" s="322">
        <f>IF(OR(E56="",F56=""),"",PID_KVLohnLookup($A$1,E56,F56,LOHNTABELLE!$H$4))</f>
        <v>1768.38</v>
      </c>
      <c r="H56" s="323">
        <f>IF(AND(ISNUMBER(D56),ISNUMBER(F56)),ROUNDDOWN(MIN(IF(OR(ISBLANK(I56),I56=""),EOMONTH(DATE(EINSTELLUNG!$C$35,$A$1,1),0),I56)-MAX(D56,DATE(EINSTELLUNG!$C$35,$A$1,1))+1)/DAY(EOMONTH(DATE(EINSTELLUNG!$C$35,$A$1,1),0))*F56,2),"")</f>
        <v>151.38</v>
      </c>
      <c r="I56" s="45"/>
      <c r="J56" s="46"/>
      <c r="K56" s="322">
        <f t="shared" si="1"/>
        <v>0</v>
      </c>
      <c r="L56" s="32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7"/>
      <c r="N56" s="70"/>
    </row>
    <row r="57" spans="1:22" ht="22" customHeight="1">
      <c r="A57" s="321" t="s">
        <v>128</v>
      </c>
      <c r="B57" s="97">
        <v>401999</v>
      </c>
      <c r="C57" s="49" t="s">
        <v>293</v>
      </c>
      <c r="D57" s="53">
        <v>46082</v>
      </c>
      <c r="E57" s="51" t="s">
        <v>2</v>
      </c>
      <c r="F57" s="52">
        <v>173</v>
      </c>
      <c r="G57" s="322">
        <f>IF(OR(E57="",F57=""),"",PID_KVLohnLookup($A$1,E57,F57,LOHNTABELLE!$H$4))</f>
        <v>2021</v>
      </c>
      <c r="H57" s="323">
        <f>IF(AND(ISNUMBER(D57),ISNUMBER(F57)),ROUNDDOWN(MIN(IF(OR(ISBLANK(I57),I57=""),EOMONTH(DATE(EINSTELLUNG!$C$35,$A$1,1),0),I57)-MAX(D57,DATE(EINSTELLUNG!$C$35,$A$1,1))+1)/DAY(EOMONTH(DATE(EINSTELLUNG!$C$35,$A$1,1),0))*F57,2),"")</f>
        <v>173</v>
      </c>
      <c r="I57" s="53"/>
      <c r="J57" s="54"/>
      <c r="K57" s="322">
        <f t="shared" si="1"/>
        <v>0</v>
      </c>
      <c r="L57" s="32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5"/>
      <c r="N57" s="71"/>
    </row>
    <row r="58" spans="1:22" ht="22" customHeight="1">
      <c r="A58" s="321" t="s">
        <v>129</v>
      </c>
      <c r="B58" s="96">
        <v>402405</v>
      </c>
      <c r="C58" s="41" t="s">
        <v>298</v>
      </c>
      <c r="D58" s="45">
        <v>46054</v>
      </c>
      <c r="E58" s="43" t="s">
        <v>2</v>
      </c>
      <c r="F58" s="44">
        <v>173</v>
      </c>
      <c r="G58" s="322">
        <f>IF(OR(E58="",F58=""),"",PID_KVLohnLookup($A$1,E58,F58,LOHNTABELLE!$H$4))</f>
        <v>2021</v>
      </c>
      <c r="H58" s="323">
        <f>IF(AND(ISNUMBER(D58),ISNUMBER(F58)),ROUNDDOWN(MIN(IF(OR(ISBLANK(I58),I58=""),EOMONTH(DATE(EINSTELLUNG!$C$35,$A$1,1),0),I58)-MAX(D58,DATE(EINSTELLUNG!$C$35,$A$1,1))+1)/DAY(EOMONTH(DATE(EINSTELLUNG!$C$35,$A$1,1),0))*F58,2),"")</f>
        <v>173</v>
      </c>
      <c r="I58" s="45"/>
      <c r="J58" s="46"/>
      <c r="K58" s="322">
        <f t="shared" si="1"/>
        <v>0</v>
      </c>
      <c r="L58" s="32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1" t="s">
        <v>130</v>
      </c>
      <c r="B59" s="97">
        <v>500600</v>
      </c>
      <c r="C59" s="49" t="s">
        <v>302</v>
      </c>
      <c r="D59" s="53">
        <v>46054</v>
      </c>
      <c r="E59" s="51" t="s">
        <v>2</v>
      </c>
      <c r="F59" s="52">
        <v>173</v>
      </c>
      <c r="G59" s="322">
        <f>IF(OR(E59="",F59=""),"",PID_KVLohnLookup($A$1,E59,F59,LOHNTABELLE!$H$4))</f>
        <v>2021</v>
      </c>
      <c r="H59" s="323">
        <f>IF(AND(ISNUMBER(D59),ISNUMBER(F59)),ROUNDDOWN(MIN(IF(OR(ISBLANK(I59),I59=""),EOMONTH(DATE(EINSTELLUNG!$C$35,$A$1,1),0),I59)-MAX(D59,DATE(EINSTELLUNG!$C$35,$A$1,1))+1)/DAY(EOMONTH(DATE(EINSTELLUNG!$C$35,$A$1,1),0))*F59,2),"")</f>
        <v>173</v>
      </c>
      <c r="I59" s="53"/>
      <c r="J59" s="54"/>
      <c r="K59" s="322">
        <f t="shared" si="1"/>
        <v>0</v>
      </c>
      <c r="L59" s="32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321" t="s">
        <v>131</v>
      </c>
      <c r="B60" s="96">
        <v>503000</v>
      </c>
      <c r="C60" s="41" t="s">
        <v>299</v>
      </c>
      <c r="D60" s="45">
        <v>42401</v>
      </c>
      <c r="E60" s="43" t="s">
        <v>2</v>
      </c>
      <c r="F60" s="44">
        <v>173</v>
      </c>
      <c r="G60" s="322">
        <f>IF(OR(E60="",F60=""),"",PID_KVLohnLookup($A$1,E60,F60,LOHNTABELLE!$H$4))</f>
        <v>2021</v>
      </c>
      <c r="H60" s="323">
        <f>IF(AND(ISNUMBER(D60),ISNUMBER(F60)),ROUNDDOWN(MIN(IF(OR(ISBLANK(I60),I60=""),EOMONTH(DATE(EINSTELLUNG!$C$35,$A$1,1),0),I60)-MAX(D60,DATE(EINSTELLUNG!$C$35,$A$1,1))+1)/DAY(EOMONTH(DATE(EINSTELLUNG!$C$35,$A$1,1),0))*F60,2),"")</f>
        <v>173</v>
      </c>
      <c r="I60" s="45"/>
      <c r="J60" s="46"/>
      <c r="K60" s="322">
        <f t="shared" si="1"/>
        <v>0</v>
      </c>
      <c r="L60" s="32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7"/>
      <c r="N60" s="70"/>
    </row>
    <row r="61" spans="1:22" ht="22" customHeight="1">
      <c r="A61" s="321" t="s">
        <v>132</v>
      </c>
      <c r="B61" s="97">
        <v>504000</v>
      </c>
      <c r="C61" s="49" t="s">
        <v>300</v>
      </c>
      <c r="D61" s="53">
        <v>46054</v>
      </c>
      <c r="E61" s="51" t="s">
        <v>3</v>
      </c>
      <c r="F61" s="52">
        <v>138.4</v>
      </c>
      <c r="G61" s="322">
        <f>IF(OR(E61="",F61=""),"",PID_KVLohnLookup($A$1,E61,F61,LOHNTABELLE!$H$4))</f>
        <v>1665.6</v>
      </c>
      <c r="H61" s="323">
        <f>IF(AND(ISNUMBER(D61),ISNUMBER(F61)),ROUNDDOWN(MIN(IF(OR(ISBLANK(I61),I61=""),EOMONTH(DATE(EINSTELLUNG!$C$35,$A$1,1),0),I61)-MAX(D61,DATE(EINSTELLUNG!$C$35,$A$1,1))+1)/DAY(EOMONTH(DATE(EINSTELLUNG!$C$35,$A$1,1),0))*F61,2),"")</f>
        <v>138.4</v>
      </c>
      <c r="I61" s="53"/>
      <c r="J61" s="54"/>
      <c r="K61" s="322">
        <f t="shared" si="1"/>
        <v>0</v>
      </c>
      <c r="L61" s="32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5"/>
      <c r="N61" s="71"/>
    </row>
    <row r="62" spans="1:22" ht="22" customHeight="1">
      <c r="A62" s="321" t="s">
        <v>133</v>
      </c>
      <c r="B62" s="96">
        <v>505000</v>
      </c>
      <c r="C62" s="41" t="s">
        <v>301</v>
      </c>
      <c r="D62" s="45">
        <v>46054</v>
      </c>
      <c r="E62" s="43" t="s">
        <v>2</v>
      </c>
      <c r="F62" s="44">
        <v>138.4</v>
      </c>
      <c r="G62" s="322">
        <f>IF(OR(E62="",F62=""),"",PID_KVLohnLookup($A$1,E62,F62,LOHNTABELLE!$H$4))</f>
        <v>1616.8</v>
      </c>
      <c r="H62" s="323">
        <f>IF(AND(ISNUMBER(D62),ISNUMBER(F62)),ROUNDDOWN(MIN(IF(OR(ISBLANK(I62),I62=""),EOMONTH(DATE(EINSTELLUNG!$C$35,$A$1,1),0),I62)-MAX(D62,DATE(EINSTELLUNG!$C$35,$A$1,1))+1)/DAY(EOMONTH(DATE(EINSTELLUNG!$C$35,$A$1,1),0))*F62,2),"")</f>
        <v>138.4</v>
      </c>
      <c r="I62" s="45"/>
      <c r="J62" s="46"/>
      <c r="K62" s="322">
        <f t="shared" si="1"/>
        <v>0</v>
      </c>
      <c r="L62" s="32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7"/>
      <c r="N62" s="70"/>
    </row>
    <row r="63" spans="1:22" ht="22" customHeight="1">
      <c r="A63" s="321" t="s">
        <v>134</v>
      </c>
      <c r="B63" s="97">
        <v>525025</v>
      </c>
      <c r="C63" s="49" t="s">
        <v>356</v>
      </c>
      <c r="D63" s="53">
        <v>46040</v>
      </c>
      <c r="E63" s="51" t="s">
        <v>2</v>
      </c>
      <c r="F63" s="52">
        <v>129.75</v>
      </c>
      <c r="G63" s="322">
        <f>IF(OR(E63="",F63=""),"",PID_KVLohnLookup($A$1,E63,F63,LOHNTABELLE!$H$4))</f>
        <v>1515.75</v>
      </c>
      <c r="H63" s="323">
        <f>IF(AND(ISNUMBER(D63),ISNUMBER(F63)),ROUNDDOWN(MIN(IF(OR(ISBLANK(I63),I63=""),EOMONTH(DATE(EINSTELLUNG!$C$35,$A$1,1),0),I63)-MAX(D63,DATE(EINSTELLUNG!$C$35,$A$1,1))+1)/DAY(EOMONTH(DATE(EINSTELLUNG!$C$35,$A$1,1),0))*F63,2),"")</f>
        <v>129.75</v>
      </c>
      <c r="I63" s="53"/>
      <c r="J63" s="54"/>
      <c r="K63" s="322">
        <f t="shared" si="1"/>
        <v>0</v>
      </c>
      <c r="L63" s="324">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5"/>
      <c r="N63" s="71"/>
    </row>
    <row r="64" spans="1:22" ht="22" customHeight="1">
      <c r="A64" s="321" t="s">
        <v>135</v>
      </c>
      <c r="B64" s="96">
        <v>700000</v>
      </c>
      <c r="C64" s="41" t="s">
        <v>309</v>
      </c>
      <c r="D64" s="45">
        <v>46054</v>
      </c>
      <c r="E64" s="43" t="s">
        <v>2</v>
      </c>
      <c r="F64" s="44">
        <v>173</v>
      </c>
      <c r="G64" s="322">
        <f>IF(OR(E64="",F64=""),"",PID_KVLohnLookup($A$1,E64,F64,LOHNTABELLE!$H$4))</f>
        <v>2021</v>
      </c>
      <c r="H64" s="323">
        <f>IF(AND(ISNUMBER(D64),ISNUMBER(F64)),ROUNDDOWN(MIN(IF(OR(ISBLANK(I64),I64=""),EOMONTH(DATE(EINSTELLUNG!$C$35,$A$1,1),0),I64)-MAX(D64,DATE(EINSTELLUNG!$C$35,$A$1,1))+1)/DAY(EOMONTH(DATE(EINSTELLUNG!$C$35,$A$1,1),0))*F64,2),"")</f>
        <v>173</v>
      </c>
      <c r="I64" s="45"/>
      <c r="J64" s="46"/>
      <c r="K64" s="322">
        <f t="shared" si="1"/>
        <v>0</v>
      </c>
      <c r="L64" s="324">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321" t="s">
        <v>136</v>
      </c>
      <c r="B65" s="97">
        <v>800000</v>
      </c>
      <c r="C65" s="49" t="s">
        <v>310</v>
      </c>
      <c r="D65" s="53">
        <v>46096</v>
      </c>
      <c r="E65" s="51" t="s">
        <v>2</v>
      </c>
      <c r="F65" s="52">
        <v>173</v>
      </c>
      <c r="G65" s="322">
        <f>IF(OR(E65="",F65=""),"",PID_KVLohnLookup($A$1,E65,F65,LOHNTABELLE!$H$4))</f>
        <v>2021</v>
      </c>
      <c r="H65" s="323">
        <f>IF(AND(ISNUMBER(D65),ISNUMBER(F65)),ROUNDDOWN(MIN(IF(OR(ISBLANK(I65),I65=""),EOMONTH(DATE(EINSTELLUNG!$C$35,$A$1,1),0),I65)-MAX(D65,DATE(EINSTELLUNG!$C$35,$A$1,1))+1)/DAY(EOMONTH(DATE(EINSTELLUNG!$C$35,$A$1,1),0))*F65,2),"")</f>
        <v>94.87</v>
      </c>
      <c r="I65" s="53"/>
      <c r="J65" s="54"/>
      <c r="K65" s="322">
        <f t="shared" si="1"/>
        <v>0</v>
      </c>
      <c r="L65" s="324">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5"/>
      <c r="N65" s="71"/>
    </row>
    <row r="66" spans="1:14" ht="22" customHeight="1">
      <c r="A66" s="321" t="s">
        <v>137</v>
      </c>
      <c r="B66" s="96"/>
      <c r="C66" s="41"/>
      <c r="D66" s="45"/>
      <c r="E66" s="43"/>
      <c r="F66" s="44"/>
      <c r="G66" s="322" t="str">
        <f>IF(OR(E66="",F66=""),"",PID_KVLohnLookup($A$1,E66,F66,LOHNTABELLE!$H$4))</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1" t="s">
        <v>138</v>
      </c>
      <c r="B67" s="97"/>
      <c r="C67" s="49"/>
      <c r="D67" s="53"/>
      <c r="E67" s="51"/>
      <c r="F67" s="52"/>
      <c r="G67" s="322" t="str">
        <f>IF(OR(E67="",F67=""),"",PID_KVLohnLookup($A$1,E67,F67,LOHNTABELLE!$H$4))</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1" t="s">
        <v>139</v>
      </c>
      <c r="B68" s="96"/>
      <c r="C68" s="41"/>
      <c r="D68" s="45"/>
      <c r="E68" s="43"/>
      <c r="F68" s="44"/>
      <c r="G68" s="322" t="str">
        <f>IF(OR(E68="",F68=""),"",PID_KVLohnLookup($A$1,E68,F68,LOHNTABELLE!$H$4))</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1" t="s">
        <v>140</v>
      </c>
      <c r="B69" s="97"/>
      <c r="C69" s="49"/>
      <c r="D69" s="53"/>
      <c r="E69" s="51"/>
      <c r="F69" s="52"/>
      <c r="G69" s="322" t="str">
        <f>IF(OR(E69="",F69=""),"",PID_KVLohnLookup($A$1,E69,F69,LOHNTABELLE!$H$4))</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1" t="s">
        <v>141</v>
      </c>
      <c r="B70" s="96"/>
      <c r="C70" s="41"/>
      <c r="D70" s="45"/>
      <c r="E70" s="43"/>
      <c r="F70" s="44"/>
      <c r="G70" s="322" t="str">
        <f>IF(OR(E70="",F70=""),"",PID_KVLohnLookup($A$1,E70,F70,LOHNTABELLE!$H$4))</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1" t="s">
        <v>142</v>
      </c>
      <c r="B71" s="97"/>
      <c r="C71" s="49"/>
      <c r="D71" s="53"/>
      <c r="E71" s="51"/>
      <c r="F71" s="52"/>
      <c r="G71" s="322" t="str">
        <f>IF(OR(E71="",F71=""),"",PID_KVLohnLookup($A$1,E71,F71,LOHNTABELLE!$H$4))</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1" t="s">
        <v>143</v>
      </c>
      <c r="B72" s="96"/>
      <c r="C72" s="41"/>
      <c r="D72" s="45"/>
      <c r="E72" s="43"/>
      <c r="F72" s="44"/>
      <c r="G72" s="322" t="str">
        <f>IF(OR(E72="",F72=""),"",PID_KVLohnLookup($A$1,E72,F72,LOHNTABELLE!$H$4))</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1" t="s">
        <v>144</v>
      </c>
      <c r="B73" s="97"/>
      <c r="C73" s="49"/>
      <c r="D73" s="53"/>
      <c r="E73" s="51"/>
      <c r="F73" s="52"/>
      <c r="G73" s="322" t="str">
        <f>IF(OR(E73="",F73=""),"",PID_KVLohnLookup($A$1,E73,F73,LOHNTABELLE!$H$4))</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1" t="s">
        <v>145</v>
      </c>
      <c r="B74" s="96"/>
      <c r="C74" s="41"/>
      <c r="D74" s="45"/>
      <c r="E74" s="43"/>
      <c r="F74" s="44"/>
      <c r="G74" s="322" t="str">
        <f>IF(OR(E74="",F74=""),"",PID_KVLohnLookup($A$1,E74,F74,LOHNTABELLE!$H$4))</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1" t="s">
        <v>146</v>
      </c>
      <c r="B75" s="97"/>
      <c r="C75" s="49"/>
      <c r="D75" s="53"/>
      <c r="E75" s="51"/>
      <c r="F75" s="52"/>
      <c r="G75" s="322" t="str">
        <f>IF(OR(E75="",F75=""),"",PID_KVLohnLookup($A$1,E75,F75,LOHNTABELLE!$H$4))</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1" t="s">
        <v>147</v>
      </c>
      <c r="B76" s="96"/>
      <c r="C76" s="41"/>
      <c r="D76" s="45"/>
      <c r="E76" s="43"/>
      <c r="F76" s="44"/>
      <c r="G76" s="322" t="str">
        <f>IF(OR(E76="",F76=""),"",PID_KVLohnLookup($A$1,E76,F76,LOHNTABELLE!$H$4))</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1" t="s">
        <v>148</v>
      </c>
      <c r="B77" s="97"/>
      <c r="C77" s="49"/>
      <c r="D77" s="53"/>
      <c r="E77" s="51"/>
      <c r="F77" s="52"/>
      <c r="G77" s="322" t="str">
        <f>IF(OR(E77="",F77=""),"",PID_KVLohnLookup($A$1,E77,F77,LOHNTABELLE!$H$4))</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1" t="s">
        <v>149</v>
      </c>
      <c r="B78" s="96"/>
      <c r="C78" s="41"/>
      <c r="D78" s="45"/>
      <c r="E78" s="43"/>
      <c r="F78" s="44"/>
      <c r="G78" s="322" t="str">
        <f>IF(OR(E78="",F78=""),"",PID_KVLohnLookup($A$1,E78,F78,LOHNTABELLE!$H$4))</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1" t="s">
        <v>150</v>
      </c>
      <c r="B79" s="97"/>
      <c r="C79" s="49"/>
      <c r="D79" s="53"/>
      <c r="E79" s="51"/>
      <c r="F79" s="52"/>
      <c r="G79" s="322" t="str">
        <f>IF(OR(E79="",F79=""),"",PID_KVLohnLookup($A$1,E79,F79,LOHNTABELLE!$H$4))</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1" t="s">
        <v>151</v>
      </c>
      <c r="B80" s="96"/>
      <c r="C80" s="41"/>
      <c r="D80" s="45"/>
      <c r="E80" s="43"/>
      <c r="F80" s="44"/>
      <c r="G80" s="322" t="str">
        <f>IF(OR(E80="",F80=""),"",PID_KVLohnLookup($A$1,E80,F80,LOHNTABELLE!$H$4))</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1" t="s">
        <v>152</v>
      </c>
      <c r="B81" s="97"/>
      <c r="C81" s="49"/>
      <c r="D81" s="53"/>
      <c r="E81" s="51"/>
      <c r="F81" s="52"/>
      <c r="G81" s="322" t="str">
        <f>IF(OR(E81="",F81=""),"",PID_KVLohnLookup($A$1,E81,F81,LOHNTABELLE!$H$4))</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87" t="s">
        <v>153</v>
      </c>
      <c r="B82" s="98"/>
      <c r="C82" s="58"/>
      <c r="D82" s="59"/>
      <c r="E82" s="60"/>
      <c r="F82" s="61"/>
      <c r="G82" s="388" t="str">
        <f>IF(OR(E82="",F82=""),"",PID_KVLohnLookup($A$1,E82,F82,LOHNTABELLE!$H$4))</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301"/>
    </row>
  </sheetData>
  <sheetProtection algorithmName="SHA-512" hashValue="UBoBwzUSAtHfak7SjVbxmpdtOfHwkVFYKxpcHixGRH9EmOT3EkFkZ7a9Vf85BV1gUctelsTeAD4pN6CYV/ZSnA==" saltValue="BCTXyXMBRcrsPQeaMYCa2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2AB5396C-82E7-4892-84A4-A45F78E5A978}">
          <x14:formula1>
            <xm:f>KV_DROPDOWN_HELPER!$FH$1:$FH$13</xm:f>
          </x14:formula1>
          <xm:sqref>F17 F25 F28 F30</xm:sqref>
        </x14:dataValidation>
        <x14:dataValidation type="list" allowBlank="1" showInputMessage="1" showErrorMessage="1" xr:uid="{18763220-A174-44EC-9C32-BBDE2553BA2C}">
          <x14:formula1>
            <xm:f>KV_DROPDOWN_HELPER!$FE$1:$FE$16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6328125" style="221" bestFit="1" customWidth="1"/>
    <col min="29" max="16384" width="9.1796875" style="221"/>
  </cols>
  <sheetData>
    <row r="1" spans="1:28" ht="18" customHeight="1">
      <c r="A1" s="302">
        <v>4</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46113</v>
      </c>
    </row>
    <row r="2" spans="1:28" ht="18" customHeight="1" thickBot="1">
      <c r="A2" s="307"/>
      <c r="B2" s="308"/>
      <c r="C2" s="309"/>
      <c r="D2" s="309"/>
      <c r="E2" s="309"/>
      <c r="F2" s="309"/>
      <c r="G2" s="309"/>
      <c r="H2" s="309"/>
      <c r="I2" s="309"/>
      <c r="J2" s="309"/>
      <c r="K2" s="309"/>
      <c r="L2" s="309"/>
      <c r="M2" s="309"/>
      <c r="N2" s="310"/>
      <c r="O2" s="311"/>
      <c r="P2" s="311"/>
      <c r="Q2" s="311"/>
      <c r="S2" s="312" t="s">
        <v>384</v>
      </c>
      <c r="T2" s="312"/>
      <c r="U2" s="312"/>
      <c r="V2" s="312"/>
      <c r="AB2" s="306">
        <f>EOMONTH(DATE(EINSTELLUNG!$C$35,$A$1,1),0)</f>
        <v>46142</v>
      </c>
    </row>
    <row r="3" spans="1:28" ht="22" customHeight="1">
      <c r="A3" s="313" t="s">
        <v>389</v>
      </c>
      <c r="B3" s="95">
        <v>401010</v>
      </c>
      <c r="C3" s="33" t="s">
        <v>224</v>
      </c>
      <c r="D3" s="34">
        <v>39388</v>
      </c>
      <c r="E3" s="35" t="s">
        <v>2</v>
      </c>
      <c r="F3" s="64">
        <v>173</v>
      </c>
      <c r="G3" s="314">
        <f>IF(OR(E3="",F3=""),"",PID_KVLohnLookup($A$1,E3,F3,LOHNTABELLE!$H$4))</f>
        <v>2021</v>
      </c>
      <c r="H3" s="315">
        <f>IF(AND(ISNUMBER(D3),ISNUMBER(F3)),ROUNDDOWN(MIN(IF(OR(ISBLANK(I3),I3=""),EOMONTH(DATE(EINSTELLUNG!$C$35,$A$1,1),0),I3)-MAX(D3,DATE(EINSTELLUNG!$C$35,$A$1,1))+1)/DAY(EOMONTH(DATE(EINSTELLUNG!$C$35,$A$1,1),0))*F3,2),"")</f>
        <v>173</v>
      </c>
      <c r="I3" s="37"/>
      <c r="J3" s="38"/>
      <c r="K3" s="314">
        <f t="shared" ref="K3:K34" si="0">IF(OR(B3="",C3=""),"",IFERROR(IF(OR(MONTH(D3)=1,MONTH(D3)=3,MONTH(D3)=5,MONTH(D3)=7,MONTH(D3)=8,MONTH(D3)=10,MONTH(D3)=12),(G3/31)*J3,IF(OR(MONTH(D3)=4,MONTH(D3)=6,MONTH(D3)=9,MONTH(D3)=11),(G3/30)*J3,(G3/DAY(EOMONTH(D3,0)))*J3)),0))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17" t="s">
        <v>47</v>
      </c>
      <c r="P3" s="317" t="s">
        <v>48</v>
      </c>
      <c r="Q3" s="317" t="s">
        <v>49</v>
      </c>
      <c r="R3" s="318" t="s">
        <v>50</v>
      </c>
      <c r="S3" s="319"/>
      <c r="T3" s="319"/>
      <c r="U3" s="319"/>
      <c r="V3" s="319"/>
      <c r="AB3" s="320"/>
    </row>
    <row r="4" spans="1:28" ht="22" customHeight="1">
      <c r="A4" s="321" t="s">
        <v>51</v>
      </c>
      <c r="B4" s="96">
        <v>401047</v>
      </c>
      <c r="C4" s="41" t="s">
        <v>226</v>
      </c>
      <c r="D4" s="42">
        <v>41154</v>
      </c>
      <c r="E4" s="43" t="s">
        <v>4</v>
      </c>
      <c r="F4" s="65">
        <v>173</v>
      </c>
      <c r="G4" s="322">
        <f>IF(OR(E4="",F4=""),"",PID_KVLohnLookup($A$1,E4,F4,LOHNTABELLE!$H$4))</f>
        <v>2123</v>
      </c>
      <c r="H4" s="323">
        <f>IF(AND(ISNUMBER(D4),ISNUMBER(F4)),ROUNDDOWN(MIN(IF(OR(ISBLANK(I4),I4=""),EOMONTH(DATE(EINSTELLUNG!$C$35,$A$1,1),0),I4)-MAX(D4,DATE(EINSTELLUNG!$C$35,$A$1,1))+1)/DAY(EOMONTH(DATE(EINSTELLUNG!$C$35,$A$1,1),0))*F4,2),"")</f>
        <v>173</v>
      </c>
      <c r="I4" s="45"/>
      <c r="J4" s="46"/>
      <c r="K4" s="322">
        <f t="shared" si="0"/>
        <v>0</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5"/>
      <c r="P4" s="325"/>
      <c r="Q4" s="325"/>
      <c r="R4" s="326"/>
      <c r="S4" s="319"/>
      <c r="T4" s="319"/>
      <c r="U4" s="319"/>
      <c r="V4" s="319"/>
    </row>
    <row r="5" spans="1:28" ht="22" customHeight="1">
      <c r="A5" s="321" t="s">
        <v>52</v>
      </c>
      <c r="B5" s="97">
        <v>401049</v>
      </c>
      <c r="C5" s="49" t="s">
        <v>225</v>
      </c>
      <c r="D5" s="50">
        <v>41130</v>
      </c>
      <c r="E5" s="51" t="s">
        <v>4</v>
      </c>
      <c r="F5" s="52">
        <v>173</v>
      </c>
      <c r="G5" s="322">
        <f>IF(OR(E5="",F5=""),"",PID_KVLohnLookup($A$1,E5,F5,LOHNTABELLE!$H$4))</f>
        <v>2123</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327" cm="1">
        <f t="array" ref="O5">SUMPRODUCT((F3:F82/4.310808)/5*2.08)</f>
        <v>885.03864704714294</v>
      </c>
      <c r="P5" s="328">
        <f>EINSTELLUNG!I9</f>
        <v>600</v>
      </c>
      <c r="Q5" s="328">
        <f>P5-O5</f>
        <v>-285.03864704714294</v>
      </c>
      <c r="R5" s="329">
        <f>IFERROR(Q5*Q42, 0)</f>
        <v>-3402.5009888135351</v>
      </c>
      <c r="S5" s="319"/>
      <c r="T5" s="319"/>
      <c r="U5" s="319"/>
      <c r="V5" s="319"/>
    </row>
    <row r="6" spans="1:28" ht="22" customHeight="1">
      <c r="A6" s="321" t="s">
        <v>53</v>
      </c>
      <c r="B6" s="96">
        <v>401051</v>
      </c>
      <c r="C6" s="41" t="s">
        <v>227</v>
      </c>
      <c r="D6" s="42">
        <v>41176</v>
      </c>
      <c r="E6" s="43" t="s">
        <v>2</v>
      </c>
      <c r="F6" s="44">
        <v>173</v>
      </c>
      <c r="G6" s="322">
        <f>IF(OR(E6="",F6=""),"",PID_KVLohnLookup($A$1,E6,F6,LOHNTABELLE!$H$4))</f>
        <v>2021</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21" t="s">
        <v>54</v>
      </c>
      <c r="B7" s="97">
        <v>401089</v>
      </c>
      <c r="C7" s="49" t="s">
        <v>241</v>
      </c>
      <c r="D7" s="50">
        <v>44868</v>
      </c>
      <c r="E7" s="51" t="s">
        <v>3</v>
      </c>
      <c r="F7" s="52">
        <v>173</v>
      </c>
      <c r="G7" s="322">
        <f>IF(OR(E7="",F7=""),"",PID_KVLohnLookup($A$1,E7,F7,LOHNTABELLE!$H$4))</f>
        <v>2082</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319"/>
      <c r="P7" s="319"/>
      <c r="Q7" s="319"/>
      <c r="R7" s="319"/>
      <c r="S7" s="319"/>
      <c r="T7" s="319"/>
      <c r="U7" s="319"/>
      <c r="V7" s="319"/>
    </row>
    <row r="8" spans="1:28" ht="22" customHeight="1">
      <c r="A8" s="321" t="s">
        <v>55</v>
      </c>
      <c r="B8" s="96">
        <v>401138</v>
      </c>
      <c r="C8" s="41" t="s">
        <v>228</v>
      </c>
      <c r="D8" s="42">
        <v>42006</v>
      </c>
      <c r="E8" s="43" t="s">
        <v>4</v>
      </c>
      <c r="F8" s="44">
        <v>173</v>
      </c>
      <c r="G8" s="322">
        <f>IF(OR(E8="",F8=""),"",PID_KVLohnLookup($A$1,E8,F8,LOHNTABELLE!$H$4))</f>
        <v>2123</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33" t="s">
        <v>56</v>
      </c>
      <c r="P8" s="334"/>
      <c r="Q8" s="335">
        <f>SUM(H3:H82)</f>
        <v>8833.14</v>
      </c>
      <c r="R8" s="336"/>
      <c r="S8" s="319"/>
      <c r="T8" s="319"/>
      <c r="U8" s="319"/>
      <c r="V8" s="319"/>
    </row>
    <row r="9" spans="1:28" ht="22" customHeight="1">
      <c r="A9" s="321" t="s">
        <v>57</v>
      </c>
      <c r="B9" s="97">
        <v>401197</v>
      </c>
      <c r="C9" s="49" t="s">
        <v>229</v>
      </c>
      <c r="D9" s="50">
        <v>42644</v>
      </c>
      <c r="E9" s="51" t="s">
        <v>3</v>
      </c>
      <c r="F9" s="52">
        <v>173</v>
      </c>
      <c r="G9" s="322">
        <f>IF(OR(E9="",F9=""),"",PID_KVLohnLookup($A$1,E9,F9,LOHNTABELLE!$H$4))</f>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37" t="s">
        <v>58</v>
      </c>
      <c r="P9" s="338"/>
      <c r="Q9" s="339">
        <f>EINSTELLUNG!L25</f>
        <v>4</v>
      </c>
      <c r="R9" s="340"/>
      <c r="S9" s="341">
        <f>IFERROR(Q9/Q8, 0)</f>
        <v>4.5284009989652609E-4</v>
      </c>
      <c r="T9" s="319"/>
      <c r="U9" s="319"/>
      <c r="V9" s="319"/>
    </row>
    <row r="10" spans="1:28" ht="22" customHeight="1">
      <c r="A10" s="321" t="s">
        <v>59</v>
      </c>
      <c r="B10" s="96">
        <v>401214</v>
      </c>
      <c r="C10" s="41" t="s">
        <v>255</v>
      </c>
      <c r="D10" s="42">
        <v>45636</v>
      </c>
      <c r="E10" s="43" t="s">
        <v>3</v>
      </c>
      <c r="F10" s="44">
        <v>173</v>
      </c>
      <c r="G10" s="322">
        <f>IF(OR(E10="",F10=""),"",PID_KVLohnLookup($A$1,E10,F10,LOHNTABELLE!$H$4))</f>
        <v>2082</v>
      </c>
      <c r="H10" s="323">
        <f>IF(AND(ISNUMBER(D10),ISNUMBER(F10)),ROUNDDOWN(MIN(IF(OR(ISBLANK(I10),I10=""),EOMONTH(DATE(EINSTELLUNG!$C$35,$A$1,1),0),I10)-MAX(D10,DATE(EINSTELLUNG!$C$35,$A$1,1))+1)/DAY(EOMONTH(DATE(EINSTELLUNG!$C$35,$A$1,1),0))*F10,2),"")</f>
        <v>173</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37" t="s">
        <v>60</v>
      </c>
      <c r="P10" s="338"/>
      <c r="Q10" s="339">
        <f>EINSTELLUNG!I25</f>
        <v>150</v>
      </c>
      <c r="R10" s="340"/>
      <c r="S10" s="319"/>
      <c r="T10" s="319"/>
      <c r="U10" s="319"/>
      <c r="V10" s="319"/>
    </row>
    <row r="11" spans="1:28" ht="22" customHeight="1">
      <c r="A11" s="321" t="s">
        <v>61</v>
      </c>
      <c r="B11" s="97">
        <v>401276</v>
      </c>
      <c r="C11" s="49" t="s">
        <v>230</v>
      </c>
      <c r="D11" s="50">
        <v>43252</v>
      </c>
      <c r="E11" s="51" t="s">
        <v>3</v>
      </c>
      <c r="F11" s="52">
        <v>173</v>
      </c>
      <c r="G11" s="322">
        <f>IF(OR(E11="",F11=""),"",PID_KVLohnLookup($A$1,E11,F11,LOHNTABELLE!$H$4))</f>
        <v>2082</v>
      </c>
      <c r="H11" s="323">
        <f>IF(AND(ISNUMBER(D11),ISNUMBER(F11)),ROUNDDOWN(MIN(IF(OR(ISBLANK(I11),I11=""),EOMONTH(DATE(EINSTELLUNG!$C$35,$A$1,1),0),I11)-MAX(D11,DATE(EINSTELLUNG!$C$35,$A$1,1))+1)/DAY(EOMONTH(DATE(EINSTELLUNG!$C$35,$A$1,1),0))*F11,2),"")</f>
        <v>173</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337" t="s">
        <v>62</v>
      </c>
      <c r="P11" s="338"/>
      <c r="Q11" s="339">
        <f>P5</f>
        <v>600</v>
      </c>
      <c r="R11" s="340"/>
      <c r="S11" s="319"/>
      <c r="T11" s="319"/>
      <c r="U11" s="319"/>
      <c r="V11" s="319"/>
    </row>
    <row r="12" spans="1:28" ht="22" customHeight="1">
      <c r="A12" s="321" t="s">
        <v>63</v>
      </c>
      <c r="B12" s="96">
        <v>401276</v>
      </c>
      <c r="C12" s="41" t="s">
        <v>392</v>
      </c>
      <c r="D12" s="42">
        <v>38899</v>
      </c>
      <c r="E12" s="43" t="s">
        <v>2</v>
      </c>
      <c r="F12" s="44">
        <v>55</v>
      </c>
      <c r="G12" s="322">
        <f>IF(OR(E12="",F12=""),"",PID_KVLohnLookup($A$1,E12,F12,LOHNTABELLE!$H$4))</f>
        <v>666</v>
      </c>
      <c r="H12" s="323">
        <f>IF(AND(ISNUMBER(D12),ISNUMBER(F12)),ROUNDDOWN(MIN(IF(OR(ISBLANK(I12),I12=""),EOMONTH(DATE(EINSTELLUNG!$C$35,$A$1,1),0),I12)-MAX(D12,DATE(EINSTELLUNG!$C$35,$A$1,1))+1)/DAY(EOMONTH(DATE(EINSTELLUNG!$C$35,$A$1,1),0))*F12,2),"")</f>
        <v>55</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37" t="s">
        <v>64</v>
      </c>
      <c r="P12" s="338"/>
      <c r="Q12" s="167">
        <v>-260</v>
      </c>
      <c r="R12" s="168"/>
      <c r="S12" s="319"/>
      <c r="T12" s="319"/>
      <c r="U12" s="319"/>
      <c r="V12" s="319"/>
    </row>
    <row r="13" spans="1:28" ht="22" customHeight="1">
      <c r="A13" s="321" t="s">
        <v>65</v>
      </c>
      <c r="B13" s="97">
        <v>401307</v>
      </c>
      <c r="C13" s="49" t="s">
        <v>231</v>
      </c>
      <c r="D13" s="50">
        <v>43571</v>
      </c>
      <c r="E13" s="51" t="s">
        <v>2</v>
      </c>
      <c r="F13" s="52">
        <v>55</v>
      </c>
      <c r="G13" s="322">
        <f>IF(OR(E13="",F13=""),"",PID_KVLohnLookup($A$1,E13,F13,LOHNTABELLE!$H$4))</f>
        <v>666</v>
      </c>
      <c r="H13" s="323">
        <f>IF(AND(ISNUMBER(D13),ISNUMBER(F13)),ROUNDDOWN(MIN(IF(OR(ISBLANK(I13),I13=""),EOMONTH(DATE(EINSTELLUNG!$C$35,$A$1,1),0),I13)-MAX(D13,DATE(EINSTELLUNG!$C$35,$A$1,1))+1)/DAY(EOMONTH(DATE(EINSTELLUNG!$C$35,$A$1,1),0))*F13,2),"")</f>
        <v>55</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337" t="s">
        <v>66</v>
      </c>
      <c r="P13" s="338"/>
      <c r="Q13" s="339">
        <f>Q8-Q9-Q10-Q11-Q12</f>
        <v>8339.14</v>
      </c>
      <c r="R13" s="340"/>
      <c r="S13" s="319"/>
      <c r="T13" s="319"/>
      <c r="U13" s="319"/>
      <c r="V13" s="319"/>
    </row>
    <row r="14" spans="1:28" ht="22" customHeight="1">
      <c r="A14" s="321" t="s">
        <v>67</v>
      </c>
      <c r="B14" s="96">
        <v>401308</v>
      </c>
      <c r="C14" s="41" t="s">
        <v>232</v>
      </c>
      <c r="D14" s="42">
        <v>43579</v>
      </c>
      <c r="E14" s="43" t="s">
        <v>3</v>
      </c>
      <c r="F14" s="44">
        <v>173</v>
      </c>
      <c r="G14" s="322">
        <f>IF(OR(E14="",F14=""),"",PID_KVLohnLookup($A$1,E14,F14,LOHNTABELLE!$H$4))</f>
        <v>2082</v>
      </c>
      <c r="H14" s="323">
        <f>IF(AND(ISNUMBER(D14),ISNUMBER(F14)),ROUNDDOWN(MIN(IF(OR(ISBLANK(I14),I14=""),EOMONTH(DATE(EINSTELLUNG!$C$35,$A$1,1),0),I14)-MAX(D14,DATE(EINSTELLUNG!$C$35,$A$1,1))+1)/DAY(EOMONTH(DATE(EINSTELLUNG!$C$35,$A$1,1),0))*F14,2),"")</f>
        <v>173</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37" t="s">
        <v>68</v>
      </c>
      <c r="P14" s="338"/>
      <c r="Q14" s="339">
        <f>EINSTELLUNG!L9</f>
        <v>1500</v>
      </c>
      <c r="R14" s="340"/>
      <c r="S14" s="319"/>
      <c r="T14" s="319"/>
      <c r="U14" s="319"/>
      <c r="V14" s="319"/>
    </row>
    <row r="15" spans="1:28" ht="22" customHeight="1" thickBot="1">
      <c r="A15" s="321" t="s">
        <v>69</v>
      </c>
      <c r="B15" s="97">
        <v>401389</v>
      </c>
      <c r="C15" s="49" t="s">
        <v>234</v>
      </c>
      <c r="D15" s="50">
        <v>44384</v>
      </c>
      <c r="E15" s="51" t="s">
        <v>4</v>
      </c>
      <c r="F15" s="52">
        <v>151.38</v>
      </c>
      <c r="G15" s="322">
        <f>IF(OR(E15="",F15=""),"",PID_KVLohnLookup($A$1,E15,F15,LOHNTABELLE!$H$4))</f>
        <v>1857.63</v>
      </c>
      <c r="H15" s="323">
        <f>IF(AND(ISNUMBER(D15),ISNUMBER(F15)),ROUNDDOWN(MIN(IF(OR(ISBLANK(I15),I15=""),EOMONTH(DATE(EINSTELLUNG!$C$35,$A$1,1),0),I15)-MAX(D15,DATE(EINSTELLUNG!$C$35,$A$1,1))+1)/DAY(EOMONTH(DATE(EINSTELLUNG!$C$35,$A$1,1),0))*F15,2),"")</f>
        <v>100.92</v>
      </c>
      <c r="I15" s="53">
        <v>46132</v>
      </c>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5"/>
      <c r="N15" s="71" t="s">
        <v>184</v>
      </c>
      <c r="O15" s="342" t="s">
        <v>70</v>
      </c>
      <c r="P15" s="343"/>
      <c r="Q15" s="344">
        <f>Q13-Q14</f>
        <v>6839.1399999999994</v>
      </c>
      <c r="R15" s="345"/>
      <c r="S15" s="346"/>
      <c r="T15" s="346"/>
      <c r="U15" s="346"/>
      <c r="V15" s="319"/>
    </row>
    <row r="16" spans="1:28" ht="22" customHeight="1" thickBot="1">
      <c r="A16" s="321" t="s">
        <v>71</v>
      </c>
      <c r="B16" s="96">
        <v>401394</v>
      </c>
      <c r="C16" s="41" t="s">
        <v>233</v>
      </c>
      <c r="D16" s="42">
        <v>44379</v>
      </c>
      <c r="E16" s="43" t="s">
        <v>2</v>
      </c>
      <c r="F16" s="44">
        <v>173</v>
      </c>
      <c r="G16" s="322">
        <f>IF(OR(E16="",F16=""),"",PID_KVLohnLookup($A$1,E16,F16,LOHNTABELLE!$H$4))</f>
        <v>2021</v>
      </c>
      <c r="H16" s="323">
        <f>IF(AND(ISNUMBER(D16),ISNUMBER(F16)),ROUNDDOWN(MIN(IF(OR(ISBLANK(I16),I16=""),EOMONTH(DATE(EINSTELLUNG!$C$35,$A$1,1),0),I16)-MAX(D16,DATE(EINSTELLUNG!$C$35,$A$1,1))+1)/DAY(EOMONTH(DATE(EINSTELLUNG!$C$35,$A$1,1),0))*F16,2),"")</f>
        <v>173</v>
      </c>
      <c r="I16" s="45"/>
      <c r="J16" s="46"/>
      <c r="K16" s="322">
        <f t="shared" si="0"/>
        <v>0</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47" t="str">
        <f>IF(Q15&lt;0, "Schlecht! Zu wenig Stunden für Dienstplan.", IF(Q15&gt;0, "Du hast mehr als genug Stunden für Dienstplan.", ""))</f>
        <v>Du hast mehr als genug Stunden für Dienstplan.</v>
      </c>
      <c r="P16" s="348"/>
      <c r="Q16" s="348"/>
      <c r="R16" s="349"/>
      <c r="S16" s="350"/>
      <c r="T16" s="350"/>
      <c r="U16" s="350"/>
      <c r="V16" s="350"/>
      <c r="W16" s="351"/>
    </row>
    <row r="17" spans="1:29" ht="22" customHeight="1">
      <c r="A17" s="321" t="s">
        <v>72</v>
      </c>
      <c r="B17" s="97">
        <v>401406</v>
      </c>
      <c r="C17" s="49" t="s">
        <v>393</v>
      </c>
      <c r="D17" s="50">
        <v>36850</v>
      </c>
      <c r="E17" s="51" t="s">
        <v>10</v>
      </c>
      <c r="F17" s="52">
        <v>151.38</v>
      </c>
      <c r="G17" s="322">
        <f>IF(OR(E17="",F17=""),"",PID_KVLohnLookup($A$1,E17,F17,LOHNTABELLE!$H$4))</f>
        <v>2012.5</v>
      </c>
      <c r="H17" s="323">
        <f>IF(AND(ISNUMBER(D17),ISNUMBER(F17)),ROUNDDOWN(MIN(IF(OR(ISBLANK(I17),I17=""),EOMONTH(DATE(EINSTELLUNG!$C$35,$A$1,1),0),I17)-MAX(D17,DATE(EINSTELLUNG!$C$35,$A$1,1))+1)/DAY(EOMONTH(DATE(EINSTELLUNG!$C$35,$A$1,1),0))*F17,2),"")</f>
        <v>105.96</v>
      </c>
      <c r="I17" s="53">
        <v>46133</v>
      </c>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1408.75</v>
      </c>
      <c r="M17" s="55"/>
      <c r="N17" s="71" t="s">
        <v>194</v>
      </c>
      <c r="O17" s="352" t="s">
        <v>73</v>
      </c>
      <c r="P17" s="334"/>
      <c r="Q17" s="353">
        <f>SUM(L3:L82)</f>
        <v>105441.02666666667</v>
      </c>
      <c r="R17" s="354"/>
      <c r="S17" s="319"/>
      <c r="T17" s="319"/>
      <c r="U17" s="319"/>
      <c r="V17" s="319"/>
      <c r="W17" s="351"/>
    </row>
    <row r="18" spans="1:29" ht="22" customHeight="1">
      <c r="A18" s="321" t="s">
        <v>74</v>
      </c>
      <c r="B18" s="96">
        <v>401432</v>
      </c>
      <c r="C18" s="41" t="s">
        <v>235</v>
      </c>
      <c r="D18" s="42">
        <v>44441</v>
      </c>
      <c r="E18" s="43" t="s">
        <v>2</v>
      </c>
      <c r="F18" s="44">
        <v>173</v>
      </c>
      <c r="G18" s="322">
        <f>IF(OR(E18="",F18=""),"",PID_KVLohnLookup($A$1,E18,F18,LOHNTABELLE!$H$4))</f>
        <v>2021</v>
      </c>
      <c r="H18" s="323">
        <f>IF(AND(ISNUMBER(D18),ISNUMBER(F18)),ROUNDDOWN(MIN(IF(OR(ISBLANK(I18),I18=""),EOMONTH(DATE(EINSTELLUNG!$C$35,$A$1,1),0),I18)-MAX(D18,DATE(EINSTELLUNG!$C$35,$A$1,1))+1)/DAY(EOMONTH(DATE(EINSTELLUNG!$C$35,$A$1,1),0))*F18,2),"")</f>
        <v>109.56</v>
      </c>
      <c r="I18" s="45">
        <v>46131</v>
      </c>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1279.9666666666665</v>
      </c>
      <c r="M18" s="47"/>
      <c r="N18" s="70" t="s">
        <v>194</v>
      </c>
      <c r="O18" s="355" t="s">
        <v>376</v>
      </c>
      <c r="P18" s="356"/>
      <c r="Q18" s="357">
        <v>20</v>
      </c>
      <c r="R18" s="358"/>
      <c r="S18" s="319"/>
      <c r="T18" s="319"/>
      <c r="U18" s="319"/>
      <c r="V18" s="319"/>
    </row>
    <row r="19" spans="1:29" ht="22" customHeight="1">
      <c r="A19" s="321" t="s">
        <v>75</v>
      </c>
      <c r="B19" s="97">
        <v>401476</v>
      </c>
      <c r="C19" s="49" t="s">
        <v>237</v>
      </c>
      <c r="D19" s="53">
        <v>44504</v>
      </c>
      <c r="E19" s="51" t="s">
        <v>2</v>
      </c>
      <c r="F19" s="52">
        <v>173</v>
      </c>
      <c r="G19" s="322">
        <f>IF(OR(E19="",F19=""),"",PID_KVLohnLookup($A$1,E19,F19,LOHNTABELLE!$H$4))</f>
        <v>2021</v>
      </c>
      <c r="H19" s="323">
        <f>IF(AND(ISNUMBER(D19),ISNUMBER(F19)),ROUNDDOWN(MIN(IF(OR(ISBLANK(I19),I19=""),EOMONTH(DATE(EINSTELLUNG!$C$35,$A$1,1),0),I19)-MAX(D19,DATE(EINSTELLUNG!$C$35,$A$1,1))+1)/DAY(EOMONTH(DATE(EINSTELLUNG!$C$35,$A$1,1),0))*F19,2),"")</f>
        <v>103.8</v>
      </c>
      <c r="I19" s="53">
        <v>46130</v>
      </c>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1212.5999999999999</v>
      </c>
      <c r="M19" s="55"/>
      <c r="N19" s="71" t="s">
        <v>195</v>
      </c>
      <c r="O19" s="355" t="s">
        <v>294</v>
      </c>
      <c r="P19" s="356"/>
      <c r="Q19" s="357">
        <v>333</v>
      </c>
      <c r="R19" s="358"/>
      <c r="S19" s="319"/>
      <c r="T19" s="319"/>
      <c r="U19" s="319"/>
      <c r="V19" s="319"/>
    </row>
    <row r="20" spans="1:29" ht="22" customHeight="1">
      <c r="A20" s="321" t="s">
        <v>76</v>
      </c>
      <c r="B20" s="96">
        <v>401479</v>
      </c>
      <c r="C20" s="41" t="s">
        <v>238</v>
      </c>
      <c r="D20" s="42">
        <v>44511</v>
      </c>
      <c r="E20" s="43" t="s">
        <v>6</v>
      </c>
      <c r="F20" s="44">
        <v>173</v>
      </c>
      <c r="G20" s="322">
        <f>IF(OR(E20="",F20=""),"",PID_KVLohnLookup($A$1,E20,F20,LOHNTABELLE!$H$4))</f>
        <v>2160</v>
      </c>
      <c r="H20" s="323">
        <f>IF(AND(ISNUMBER(D20),ISNUMBER(F20)),ROUNDDOWN(MIN(IF(OR(ISBLANK(I20),I20=""),EOMONTH(DATE(EINSTELLUNG!$C$35,$A$1,1),0),I20)-MAX(D20,DATE(EINSTELLUNG!$C$35,$A$1,1))+1)/DAY(EOMONTH(DATE(EINSTELLUNG!$C$35,$A$1,1),0))*F20,2),"")</f>
        <v>173</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355" t="s">
        <v>294</v>
      </c>
      <c r="P20" s="356"/>
      <c r="Q20" s="357">
        <v>35</v>
      </c>
      <c r="R20" s="358"/>
      <c r="S20" s="319"/>
      <c r="T20" s="319"/>
      <c r="U20" s="319"/>
      <c r="V20" s="319"/>
    </row>
    <row r="21" spans="1:29" ht="22" customHeight="1">
      <c r="A21" s="321" t="s">
        <v>77</v>
      </c>
      <c r="B21" s="97">
        <v>401481</v>
      </c>
      <c r="C21" s="49" t="s">
        <v>239</v>
      </c>
      <c r="D21" s="53">
        <v>44531</v>
      </c>
      <c r="E21" s="51" t="s">
        <v>3</v>
      </c>
      <c r="F21" s="52">
        <v>173</v>
      </c>
      <c r="G21" s="322">
        <f>IF(OR(E21="",F21=""),"",PID_KVLohnLookup($A$1,E21,F21,LOHNTABELLE!$H$4))</f>
        <v>2082</v>
      </c>
      <c r="H21" s="323">
        <f>IF(AND(ISNUMBER(D21),ISNUMBER(F21)),ROUNDDOWN(MIN(IF(OR(ISBLANK(I21),I21=""),EOMONTH(DATE(EINSTELLUNG!$C$35,$A$1,1),0),I21)-MAX(D21,DATE(EINSTELLUNG!$C$35,$A$1,1))+1)/DAY(EOMONTH(DATE(EINSTELLUNG!$C$35,$A$1,1),0))*F21,2),"")</f>
        <v>115.33</v>
      </c>
      <c r="I21" s="53">
        <v>46132</v>
      </c>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1388</v>
      </c>
      <c r="M21" s="55"/>
      <c r="N21" s="71" t="s">
        <v>184</v>
      </c>
      <c r="O21" s="355" t="s">
        <v>294</v>
      </c>
      <c r="P21" s="356"/>
      <c r="Q21" s="357">
        <v>100</v>
      </c>
      <c r="R21" s="358"/>
      <c r="S21" s="319"/>
      <c r="T21" s="319"/>
      <c r="U21" s="319"/>
      <c r="V21" s="319"/>
    </row>
    <row r="22" spans="1:29" ht="22" customHeight="1">
      <c r="A22" s="321" t="s">
        <v>78</v>
      </c>
      <c r="B22" s="96">
        <v>401558</v>
      </c>
      <c r="C22" s="41" t="s">
        <v>236</v>
      </c>
      <c r="D22" s="42">
        <v>44460</v>
      </c>
      <c r="E22" s="43" t="s">
        <v>2</v>
      </c>
      <c r="F22" s="44">
        <v>173</v>
      </c>
      <c r="G22" s="322">
        <f>IF(OR(E22="",F22=""),"",PID_KVLohnLookup($A$1,E22,F22,LOHNTABELLE!$H$4))</f>
        <v>2021</v>
      </c>
      <c r="H22" s="323">
        <f>IF(AND(ISNUMBER(D22),ISNUMBER(F22)),ROUNDDOWN(MIN(IF(OR(ISBLANK(I22),I22=""),EOMONTH(DATE(EINSTELLUNG!$C$35,$A$1,1),0),I22)-MAX(D22,DATE(EINSTELLUNG!$C$35,$A$1,1))+1)/DAY(EOMONTH(DATE(EINSTELLUNG!$C$35,$A$1,1),0))*F22,2),"")</f>
        <v>173</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5" t="s">
        <v>294</v>
      </c>
      <c r="P22" s="356"/>
      <c r="Q22" s="357"/>
      <c r="R22" s="358"/>
      <c r="S22" s="319"/>
      <c r="T22" s="319"/>
      <c r="U22" s="319"/>
      <c r="V22" s="319"/>
    </row>
    <row r="23" spans="1:29" ht="22" customHeight="1">
      <c r="A23" s="321" t="s">
        <v>79</v>
      </c>
      <c r="B23" s="97">
        <v>401564</v>
      </c>
      <c r="C23" s="49" t="s">
        <v>240</v>
      </c>
      <c r="D23" s="53">
        <v>44824</v>
      </c>
      <c r="E23" s="51" t="s">
        <v>2</v>
      </c>
      <c r="F23" s="52">
        <v>151.38</v>
      </c>
      <c r="G23" s="322">
        <f>IF(OR(E23="",F23=""),"",PID_KVLohnLookup($A$1,E23,F23,LOHNTABELLE!$H$4))</f>
        <v>1768.38</v>
      </c>
      <c r="H23" s="323">
        <f>IF(AND(ISNUMBER(D23),ISNUMBER(F23)),ROUNDDOWN(MIN(IF(OR(ISBLANK(I23),I23=""),EOMONTH(DATE(EINSTELLUNG!$C$35,$A$1,1),0),I23)-MAX(D23,DATE(EINSTELLUNG!$C$35,$A$1,1))+1)/DAY(EOMONTH(DATE(EINSTELLUNG!$C$35,$A$1,1),0))*F23,2),"")</f>
        <v>151.38</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355" t="s">
        <v>294</v>
      </c>
      <c r="P23" s="356"/>
      <c r="Q23" s="357">
        <v>5000</v>
      </c>
      <c r="R23" s="358"/>
      <c r="S23" s="319"/>
      <c r="T23" s="319"/>
      <c r="U23" s="319"/>
      <c r="V23" s="319"/>
      <c r="W23" s="351"/>
    </row>
    <row r="24" spans="1:29" ht="22" customHeight="1">
      <c r="A24" s="321" t="s">
        <v>80</v>
      </c>
      <c r="B24" s="96">
        <v>401583</v>
      </c>
      <c r="C24" s="41" t="s">
        <v>242</v>
      </c>
      <c r="D24" s="42">
        <v>44900</v>
      </c>
      <c r="E24" s="43" t="s">
        <v>13</v>
      </c>
      <c r="F24" s="44">
        <v>173</v>
      </c>
      <c r="G24" s="322">
        <f>IF(OR(E24="",F24=""),"",PID_KVLohnLookup($A$1,E24,F24,LOHNTABELLE!$H$4))</f>
        <v>2328</v>
      </c>
      <c r="H24" s="323">
        <f>IF(AND(ISNUMBER(D24),ISNUMBER(F24)),ROUNDDOWN(MIN(IF(OR(ISBLANK(I24),I24=""),EOMONTH(DATE(EINSTELLUNG!$C$35,$A$1,1),0),I24)-MAX(D24,DATE(EINSTELLUNG!$C$35,$A$1,1))+1)/DAY(EOMONTH(DATE(EINSTELLUNG!$C$35,$A$1,1),0))*F24,2),"")</f>
        <v>173</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355"/>
      <c r="P24" s="356"/>
      <c r="Q24" s="357"/>
      <c r="R24" s="358"/>
      <c r="S24" s="319"/>
      <c r="T24" s="319"/>
      <c r="U24" s="319"/>
      <c r="V24" s="319"/>
      <c r="W24" s="351"/>
    </row>
    <row r="25" spans="1:29" ht="22" customHeight="1">
      <c r="A25" s="321" t="s">
        <v>81</v>
      </c>
      <c r="B25" s="97">
        <v>401589</v>
      </c>
      <c r="C25" s="49" t="s">
        <v>243</v>
      </c>
      <c r="D25" s="53">
        <v>44926</v>
      </c>
      <c r="E25" s="51" t="s">
        <v>10</v>
      </c>
      <c r="F25" s="52">
        <v>173</v>
      </c>
      <c r="G25" s="322">
        <f>IF(OR(E25="",F25=""),"",PID_KVLohnLookup($A$1,E25,F25,LOHNTABELLE!$H$4))</f>
        <v>2300</v>
      </c>
      <c r="H25" s="323">
        <f>IF(AND(ISNUMBER(D25),ISNUMBER(F25)),ROUNDDOWN(MIN(IF(OR(ISBLANK(I25),I25=""),EOMONTH(DATE(EINSTELLUNG!$C$35,$A$1,1),0),I25)-MAX(D25,DATE(EINSTELLUNG!$C$35,$A$1,1))+1)/DAY(EOMONTH(DATE(EINSTELLUNG!$C$35,$A$1,1),0))*F25,2),"")</f>
        <v>173</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355"/>
      <c r="P25" s="356"/>
      <c r="Q25" s="357"/>
      <c r="R25" s="358"/>
      <c r="S25" s="319"/>
      <c r="T25" s="319"/>
      <c r="U25" s="319"/>
      <c r="V25" s="319"/>
    </row>
    <row r="26" spans="1:29" ht="22" customHeight="1">
      <c r="A26" s="321" t="s">
        <v>82</v>
      </c>
      <c r="B26" s="96">
        <v>401602</v>
      </c>
      <c r="C26" s="41" t="s">
        <v>244</v>
      </c>
      <c r="D26" s="45">
        <v>45975</v>
      </c>
      <c r="E26" s="43" t="s">
        <v>2</v>
      </c>
      <c r="F26" s="44">
        <v>169</v>
      </c>
      <c r="G26" s="322">
        <f>IF(OR(E26="",F26=""),"",PID_KVLohnLookup($A$1,E26,F26,LOHNTABELLE!$H$4))</f>
        <v>2000</v>
      </c>
      <c r="H26" s="323">
        <f>IF(AND(ISNUMBER(D26),ISNUMBER(F26)),ROUNDDOWN(MIN(IF(OR(ISBLANK(I26),I26=""),EOMONTH(DATE(EINSTELLUNG!$C$35,$A$1,1),0),I26)-MAX(D26,DATE(EINSTELLUNG!$C$35,$A$1,1))+1)/DAY(EOMONTH(DATE(EINSTELLUNG!$C$35,$A$1,1),0))*F26,2),"")</f>
        <v>169</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355"/>
      <c r="P26" s="356"/>
      <c r="Q26" s="357"/>
      <c r="R26" s="358"/>
      <c r="S26" s="319"/>
      <c r="T26" s="319"/>
      <c r="U26" s="319"/>
      <c r="V26" s="319"/>
    </row>
    <row r="27" spans="1:29" ht="22" customHeight="1">
      <c r="A27" s="321" t="s">
        <v>83</v>
      </c>
      <c r="B27" s="97">
        <v>401605</v>
      </c>
      <c r="C27" s="49" t="s">
        <v>245</v>
      </c>
      <c r="D27" s="50">
        <v>44986</v>
      </c>
      <c r="E27" s="51" t="s">
        <v>2</v>
      </c>
      <c r="F27" s="52">
        <v>173</v>
      </c>
      <c r="G27" s="322">
        <f>IF(OR(E27="",F27=""),"",PID_KVLohnLookup($A$1,E27,F27,LOHNTABELLE!$H$4))</f>
        <v>2021</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5"/>
      <c r="P27" s="356"/>
      <c r="Q27" s="357"/>
      <c r="R27" s="358"/>
      <c r="S27" s="359" t="s">
        <v>84</v>
      </c>
      <c r="T27" s="359"/>
      <c r="U27" s="359"/>
      <c r="V27" s="359"/>
    </row>
    <row r="28" spans="1:29" ht="22" customHeight="1">
      <c r="A28" s="321" t="s">
        <v>85</v>
      </c>
      <c r="B28" s="96">
        <v>401605</v>
      </c>
      <c r="C28" s="41" t="s">
        <v>393</v>
      </c>
      <c r="D28" s="42">
        <v>36850</v>
      </c>
      <c r="E28" s="43" t="s">
        <v>10</v>
      </c>
      <c r="F28" s="44">
        <v>151.38</v>
      </c>
      <c r="G28" s="322">
        <f>IF(OR(E28="",F28=""),"",PID_KVLohnLookup($A$1,E28,F28,LOHNTABELLE!$H$4))</f>
        <v>2012.5</v>
      </c>
      <c r="H28" s="323">
        <f>IF(AND(ISNUMBER(D28),ISNUMBER(F28)),ROUNDDOWN(MIN(IF(OR(ISBLANK(I28),I28=""),EOMONTH(DATE(EINSTELLUNG!$C$35,$A$1,1),0),I28)-MAX(D28,DATE(EINSTELLUNG!$C$35,$A$1,1))+1)/DAY(EOMONTH(DATE(EINSTELLUNG!$C$35,$A$1,1),0))*F28,2),"")</f>
        <v>151.38</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355"/>
      <c r="P28" s="356"/>
      <c r="Q28" s="357"/>
      <c r="R28" s="358"/>
      <c r="S28" s="319"/>
      <c r="T28" s="319"/>
      <c r="U28" s="319"/>
      <c r="V28" s="319"/>
    </row>
    <row r="29" spans="1:29" ht="22" customHeight="1" thickBot="1">
      <c r="A29" s="321" t="s">
        <v>86</v>
      </c>
      <c r="B29" s="97">
        <v>401626</v>
      </c>
      <c r="C29" s="49" t="s">
        <v>246</v>
      </c>
      <c r="D29" s="50">
        <v>45063</v>
      </c>
      <c r="E29" s="51" t="s">
        <v>2</v>
      </c>
      <c r="F29" s="52">
        <v>173</v>
      </c>
      <c r="G29" s="322">
        <f>IF(OR(E29="",F29=""),"",PID_KVLohnLookup($A$1,E29,F29,LOHNTABELLE!$H$4))</f>
        <v>2021</v>
      </c>
      <c r="H29" s="323">
        <f>IF(AND(ISNUMBER(D29),ISNUMBER(F29)),ROUNDDOWN(MIN(IF(OR(ISBLANK(I29),I29=""),EOMONTH(DATE(EINSTELLUNG!$C$35,$A$1,1),0),I29)-MAX(D29,DATE(EINSTELLUNG!$C$35,$A$1,1))+1)/DAY(EOMONTH(DATE(EINSTELLUNG!$C$35,$A$1,1),0))*F29,2),"")</f>
        <v>173</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0" t="s">
        <v>87</v>
      </c>
      <c r="P29" s="343"/>
      <c r="Q29" s="361">
        <f>EINSTELLUNG!O9</f>
        <v>1250</v>
      </c>
      <c r="R29" s="362"/>
      <c r="S29" s="319"/>
      <c r="T29" s="319"/>
      <c r="U29" s="319"/>
      <c r="V29" s="319"/>
    </row>
    <row r="30" spans="1:29" ht="22" customHeight="1" thickBot="1">
      <c r="A30" s="321" t="s">
        <v>88</v>
      </c>
      <c r="B30" s="96">
        <v>401633</v>
      </c>
      <c r="C30" s="41" t="s">
        <v>247</v>
      </c>
      <c r="D30" s="42">
        <v>45089</v>
      </c>
      <c r="E30" s="43" t="s">
        <v>10</v>
      </c>
      <c r="F30" s="44">
        <v>173</v>
      </c>
      <c r="G30" s="322">
        <f>IF(OR(E30="",F30=""),"",PID_KVLohnLookup($A$1,E30,F30,LOHNTABELLE!$H$4))</f>
        <v>2300</v>
      </c>
      <c r="H30" s="323">
        <f>IF(AND(ISNUMBER(D30),ISNUMBER(F30)),ROUNDDOWN(MIN(IF(OR(ISBLANK(I30),I30=""),EOMONTH(DATE(EINSTELLUNG!$C$35,$A$1,1),0),I30)-MAX(D30,DATE(EINSTELLUNG!$C$35,$A$1,1))+1)/DAY(EOMONTH(DATE(EINSTELLUNG!$C$35,$A$1,1),0))*F30,2),"")</f>
        <v>173</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319"/>
      <c r="P30" s="319"/>
      <c r="Q30" s="319"/>
      <c r="R30" s="319"/>
      <c r="S30" s="319"/>
      <c r="T30" s="319"/>
      <c r="U30" s="319"/>
      <c r="V30" s="319"/>
      <c r="W30" s="363"/>
      <c r="X30" s="363"/>
      <c r="Y30" s="363"/>
      <c r="Z30" s="363"/>
      <c r="AA30" s="363"/>
      <c r="AB30" s="363"/>
      <c r="AC30" s="363"/>
    </row>
    <row r="31" spans="1:29" ht="22" customHeight="1" thickBot="1">
      <c r="A31" s="321" t="s">
        <v>89</v>
      </c>
      <c r="B31" s="97">
        <v>401647</v>
      </c>
      <c r="C31" s="49" t="s">
        <v>248</v>
      </c>
      <c r="D31" s="50">
        <v>45182</v>
      </c>
      <c r="E31" s="51" t="s">
        <v>2</v>
      </c>
      <c r="F31" s="52">
        <v>173</v>
      </c>
      <c r="G31" s="322">
        <f>IF(OR(E31="",F31=""),"",PID_KVLohnLookup($A$1,E31,F31,LOHNTABELLE!$H$4))</f>
        <v>2021</v>
      </c>
      <c r="H31" s="323">
        <f>IF(AND(ISNUMBER(D31),ISNUMBER(F31)),ROUNDDOWN(MIN(IF(OR(ISBLANK(I31),I31=""),EOMONTH(DATE(EINSTELLUNG!$C$35,$A$1,1),0),I31)-MAX(D31,DATE(EINSTELLUNG!$C$35,$A$1,1))+1)/DAY(EOMONTH(DATE(EINSTELLUNG!$C$35,$A$1,1),0))*F31,2),"")</f>
        <v>173</v>
      </c>
      <c r="I31" s="53"/>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4" t="s">
        <v>421</v>
      </c>
      <c r="P31" s="365"/>
      <c r="Q31" s="366">
        <v>8.3333333333333329E-2</v>
      </c>
      <c r="R31" s="367"/>
      <c r="S31" s="319"/>
      <c r="T31" s="319"/>
      <c r="U31" s="319"/>
      <c r="V31" s="319"/>
    </row>
    <row r="32" spans="1:29" ht="22" customHeight="1" thickBot="1">
      <c r="A32" s="321" t="s">
        <v>91</v>
      </c>
      <c r="B32" s="96">
        <v>401661</v>
      </c>
      <c r="C32" s="41" t="s">
        <v>249</v>
      </c>
      <c r="D32" s="42">
        <v>45261</v>
      </c>
      <c r="E32" s="43" t="s">
        <v>2</v>
      </c>
      <c r="F32" s="44">
        <v>173</v>
      </c>
      <c r="G32" s="322">
        <f>IF(OR(E32="",F32=""),"",PID_KVLohnLookup($A$1,E32,F32,LOHNTABELLE!$H$4))</f>
        <v>2021</v>
      </c>
      <c r="H32" s="323">
        <f>IF(AND(ISNUMBER(D32),ISNUMBER(F32)),ROUNDDOWN(MIN(IF(OR(ISBLANK(I32),I32=""),EOMONTH(DATE(EINSTELLUNG!$C$35,$A$1,1),0),I32)-MAX(D32,DATE(EINSTELLUNG!$C$35,$A$1,1))+1)/DAY(EOMONTH(DATE(EINSTELLUNG!$C$35,$A$1,1),0))*F32,2),"")</f>
        <v>173</v>
      </c>
      <c r="I32" s="45"/>
      <c r="J32" s="46"/>
      <c r="K32" s="322">
        <f t="shared" si="0"/>
        <v>0</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319"/>
      <c r="P32" s="319"/>
      <c r="Q32" s="319"/>
      <c r="R32" s="319"/>
      <c r="S32" s="319"/>
      <c r="T32" s="319"/>
      <c r="U32" s="319"/>
      <c r="V32" s="319"/>
    </row>
    <row r="33" spans="1:22" ht="22" customHeight="1">
      <c r="A33" s="321" t="s">
        <v>92</v>
      </c>
      <c r="B33" s="97">
        <v>401670</v>
      </c>
      <c r="C33" s="49" t="s">
        <v>250</v>
      </c>
      <c r="D33" s="50">
        <v>45358</v>
      </c>
      <c r="E33" s="51" t="s">
        <v>2</v>
      </c>
      <c r="F33" s="52">
        <v>173</v>
      </c>
      <c r="G33" s="322">
        <f>IF(OR(E33="",F33=""),"",PID_KVLohnLookup($A$1,E33,F33,LOHNTABELLE!$H$4))</f>
        <v>2021</v>
      </c>
      <c r="H33" s="323">
        <f>IF(AND(ISNUMBER(D33),ISNUMBER(F33)),ROUNDDOWN(MIN(IF(OR(ISBLANK(I33),I33=""),EOMONTH(DATE(EINSTELLUNG!$C$35,$A$1,1),0),I33)-MAX(D33,DATE(EINSTELLUNG!$C$35,$A$1,1))+1)/DAY(EOMONTH(DATE(EINSTELLUNG!$C$35,$A$1,1),0))*F33,2),"")</f>
        <v>173</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68"/>
      <c r="P33" s="369"/>
      <c r="Q33" s="304" t="str">
        <f>EINSTELLUNG!B3</f>
        <v>Budget</v>
      </c>
      <c r="R33" s="304"/>
      <c r="S33" s="304" t="str">
        <f>EINSTELLUNG!B19</f>
        <v>Projection/Aktuell Zahlen</v>
      </c>
      <c r="T33" s="304"/>
      <c r="U33" s="304" t="s">
        <v>95</v>
      </c>
      <c r="V33" s="305"/>
    </row>
    <row r="34" spans="1:22" ht="22" customHeight="1">
      <c r="A34" s="321" t="s">
        <v>96</v>
      </c>
      <c r="B34" s="96">
        <v>401678</v>
      </c>
      <c r="C34" s="41" t="s">
        <v>251</v>
      </c>
      <c r="D34" s="42">
        <v>45414</v>
      </c>
      <c r="E34" s="43" t="s">
        <v>2</v>
      </c>
      <c r="F34" s="44">
        <v>173</v>
      </c>
      <c r="G34" s="322">
        <f>IF(OR(E34="",F34=""),"",PID_KVLohnLookup($A$1,E34,F34,LOHNTABELLE!$H$4))</f>
        <v>2021</v>
      </c>
      <c r="H34" s="323">
        <f>IF(AND(ISNUMBER(D34),ISNUMBER(F34)),ROUNDDOWN(MIN(IF(OR(ISBLANK(I34),I34=""),EOMONTH(DATE(EINSTELLUNG!$C$35,$A$1,1),0),I34)-MAX(D34,DATE(EINSTELLUNG!$C$35,$A$1,1))+1)/DAY(EOMONTH(DATE(EINSTELLUNG!$C$35,$A$1,1),0))*F34,2),"")</f>
        <v>173</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370"/>
      <c r="P34" s="371"/>
      <c r="Q34" s="372"/>
      <c r="R34" s="372"/>
      <c r="S34" s="372"/>
      <c r="T34" s="372"/>
      <c r="U34" s="372"/>
      <c r="V34" s="373"/>
    </row>
    <row r="35" spans="1:22" ht="22" customHeight="1">
      <c r="A35" s="321" t="s">
        <v>97</v>
      </c>
      <c r="B35" s="97">
        <v>401690</v>
      </c>
      <c r="C35" s="49" t="s">
        <v>253</v>
      </c>
      <c r="D35" s="53">
        <v>45536</v>
      </c>
      <c r="E35" s="51" t="s">
        <v>2</v>
      </c>
      <c r="F35" s="52">
        <v>151.38</v>
      </c>
      <c r="G35" s="322">
        <f>IF(OR(E35="",F35=""),"",PID_KVLohnLookup($A$1,E35,F35,LOHNTABELLE!$H$4))</f>
        <v>1768.38</v>
      </c>
      <c r="H35" s="323">
        <f>IF(AND(ISNUMBER(D35),ISNUMBER(F35)),ROUNDDOWN(MIN(IF(OR(ISBLANK(I35),I35=""),EOMONTH(DATE(EINSTELLUNG!$C$35,$A$1,1),0),I35)-MAX(D35,DATE(EINSTELLUNG!$C$35,$A$1,1))+1)/DAY(EOMONTH(DATE(EINSTELLUNG!$C$35,$A$1,1),0))*F35,2),"")</f>
        <v>151.38</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374" t="s">
        <v>98</v>
      </c>
      <c r="P35" s="338"/>
      <c r="Q35" s="375">
        <f>EINSTELLUNG!C9</f>
        <v>400000</v>
      </c>
      <c r="R35" s="375"/>
      <c r="S35" s="375">
        <f>EINSTELLUNG!C25</f>
        <v>300000</v>
      </c>
      <c r="T35" s="375"/>
      <c r="U35" s="375">
        <f>S35-Q35</f>
        <v>-100000</v>
      </c>
      <c r="V35" s="376"/>
    </row>
    <row r="36" spans="1:22" ht="22" customHeight="1">
      <c r="A36" s="321" t="s">
        <v>99</v>
      </c>
      <c r="B36" s="96">
        <v>401703</v>
      </c>
      <c r="C36" s="41" t="s">
        <v>254</v>
      </c>
      <c r="D36" s="42">
        <v>45616</v>
      </c>
      <c r="E36" s="43" t="s">
        <v>2</v>
      </c>
      <c r="F36" s="44">
        <v>173</v>
      </c>
      <c r="G36" s="322">
        <f>IF(OR(E36="",F36=""),"",PID_KVLohnLookup($A$1,E36,F36,LOHNTABELLE!$H$4))</f>
        <v>2021</v>
      </c>
      <c r="H36" s="323">
        <f>IF(AND(ISNUMBER(D36),ISNUMBER(F36)),ROUNDDOWN(MIN(IF(OR(ISBLANK(I36),I36=""),EOMONTH(DATE(EINSTELLUNG!$C$35,$A$1,1),0),I36)-MAX(D36,DATE(EINSTELLUNG!$C$35,$A$1,1))+1)/DAY(EOMONTH(DATE(EINSTELLUNG!$C$35,$A$1,1),0))*F36,2),"")</f>
        <v>173</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374" t="s">
        <v>100</v>
      </c>
      <c r="P36" s="338"/>
      <c r="Q36" s="375">
        <f>EINSTELLUNG!D9</f>
        <v>100000</v>
      </c>
      <c r="R36" s="375"/>
      <c r="S36" s="375">
        <f ca="1">SumMergedCells(Q17:R29)</f>
        <v>112179.0267</v>
      </c>
      <c r="T36" s="375"/>
      <c r="U36" s="375">
        <f t="shared" ref="U36:U41" ca="1" si="2">S36-Q36</f>
        <v>12179.026700000002</v>
      </c>
      <c r="V36" s="376"/>
    </row>
    <row r="37" spans="1:22" ht="22" customHeight="1">
      <c r="A37" s="321" t="s">
        <v>101</v>
      </c>
      <c r="B37" s="97">
        <v>401715</v>
      </c>
      <c r="C37" s="49" t="s">
        <v>256</v>
      </c>
      <c r="D37" s="50">
        <v>45755</v>
      </c>
      <c r="E37" s="51" t="s">
        <v>2</v>
      </c>
      <c r="F37" s="52">
        <v>173</v>
      </c>
      <c r="G37" s="322">
        <f>IF(OR(E37="",F37=""),"",PID_KVLohnLookup($A$1,E37,F37,LOHNTABELLE!$H$4))</f>
        <v>2021</v>
      </c>
      <c r="H37" s="323">
        <f>IF(AND(ISNUMBER(D37),ISNUMBER(F37)),ROUNDDOWN(MIN(IF(OR(ISBLANK(I37),I37=""),EOMONTH(DATE(EINSTELLUNG!$C$35,$A$1,1),0),I37)-MAX(D37,DATE(EINSTELLUNG!$C$35,$A$1,1))+1)/DAY(EOMONTH(DATE(EINSTELLUNG!$C$35,$A$1,1),0))*F37,2),"")</f>
        <v>173</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374" t="s">
        <v>102</v>
      </c>
      <c r="P37" s="338"/>
      <c r="Q37" s="377">
        <f>IF(ISERROR(Q36/Q35), 0, Q36/Q35)</f>
        <v>0.25</v>
      </c>
      <c r="R37" s="377"/>
      <c r="S37" s="377">
        <f ca="1">IF(ISERROR(S36/S35), 0, S36/S35)</f>
        <v>0.37393008900000002</v>
      </c>
      <c r="T37" s="377"/>
      <c r="U37" s="377">
        <f t="shared" ca="1" si="2"/>
        <v>0.12393008900000002</v>
      </c>
      <c r="V37" s="378"/>
    </row>
    <row r="38" spans="1:22" ht="22" customHeight="1">
      <c r="A38" s="321" t="s">
        <v>103</v>
      </c>
      <c r="B38" s="96">
        <v>401716</v>
      </c>
      <c r="C38" s="56" t="s">
        <v>257</v>
      </c>
      <c r="D38" s="45">
        <v>45800</v>
      </c>
      <c r="E38" s="43" t="s">
        <v>2</v>
      </c>
      <c r="F38" s="44">
        <v>173</v>
      </c>
      <c r="G38" s="322">
        <f>IF(OR(E38="",F38=""),"",PID_KVLohnLookup($A$1,E38,F38,LOHNTABELLE!$H$4))</f>
        <v>2021</v>
      </c>
      <c r="H38" s="323">
        <f>IF(AND(ISNUMBER(D38),ISNUMBER(F38)),ROUNDDOWN(MIN(IF(OR(ISBLANK(I38),I38=""),EOMONTH(DATE(EINSTELLUNG!$C$35,$A$1,1),0),I38)-MAX(D38,DATE(EINSTELLUNG!$C$35,$A$1,1))+1)/DAY(EOMONTH(DATE(EINSTELLUNG!$C$35,$A$1,1),0))*F38,2),"")</f>
        <v>173</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374" t="s">
        <v>104</v>
      </c>
      <c r="P38" s="338"/>
      <c r="Q38" s="339">
        <f>EINSTELLUNG!F9</f>
        <v>30000</v>
      </c>
      <c r="R38" s="339"/>
      <c r="S38" s="339">
        <f>EINSTELLUNG!F25</f>
        <v>25000</v>
      </c>
      <c r="T38" s="339"/>
      <c r="U38" s="339">
        <f t="shared" si="2"/>
        <v>-5000</v>
      </c>
      <c r="V38" s="340"/>
    </row>
    <row r="39" spans="1:22" ht="22" customHeight="1">
      <c r="A39" s="321" t="s">
        <v>105</v>
      </c>
      <c r="B39" s="97">
        <v>401717</v>
      </c>
      <c r="C39" s="49" t="s">
        <v>258</v>
      </c>
      <c r="D39" s="50">
        <v>45814</v>
      </c>
      <c r="E39" s="51" t="s">
        <v>2</v>
      </c>
      <c r="F39" s="52">
        <v>86.5</v>
      </c>
      <c r="G39" s="322">
        <f>IF(OR(E39="",F39=""),"",PID_KVLohnLookup($A$1,E39,F39,LOHNTABELLE!$H$4))</f>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4" t="s">
        <v>106</v>
      </c>
      <c r="P39" s="338"/>
      <c r="Q39" s="375">
        <f>IF(Q38=0, 0, Q35/Q38)</f>
        <v>13.333333333333334</v>
      </c>
      <c r="R39" s="375"/>
      <c r="S39" s="375">
        <f>IF(S38=0, 0, S35/S38)</f>
        <v>12</v>
      </c>
      <c r="T39" s="375"/>
      <c r="U39" s="375">
        <f t="shared" si="2"/>
        <v>-1.3333333333333339</v>
      </c>
      <c r="V39" s="376"/>
    </row>
    <row r="40" spans="1:22" ht="22" customHeight="1">
      <c r="A40" s="321" t="s">
        <v>107</v>
      </c>
      <c r="B40" s="96">
        <v>401722</v>
      </c>
      <c r="C40" s="41" t="s">
        <v>259</v>
      </c>
      <c r="D40" s="42">
        <v>45848</v>
      </c>
      <c r="E40" s="43" t="s">
        <v>2</v>
      </c>
      <c r="F40" s="44">
        <v>86.5</v>
      </c>
      <c r="G40" s="322">
        <f>IF(OR(E40="",F40=""),"",PID_KVLohnLookup($A$1,E40,F40,LOHNTABELLE!$H$4))</f>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4" t="s">
        <v>108</v>
      </c>
      <c r="P40" s="338"/>
      <c r="Q40" s="375">
        <f>IF(Q13=0, 0, Q35/Q13)</f>
        <v>47.966576889223589</v>
      </c>
      <c r="R40" s="375"/>
      <c r="S40" s="375">
        <f>IF(Q13=0, 0, S35/Q13)</f>
        <v>35.974932666917695</v>
      </c>
      <c r="T40" s="375"/>
      <c r="U40" s="375">
        <f t="shared" si="2"/>
        <v>-11.991644222305894</v>
      </c>
      <c r="V40" s="376"/>
    </row>
    <row r="41" spans="1:22" ht="22" customHeight="1">
      <c r="A41" s="321" t="s">
        <v>109</v>
      </c>
      <c r="B41" s="97">
        <v>401723</v>
      </c>
      <c r="C41" s="49" t="s">
        <v>260</v>
      </c>
      <c r="D41" s="50">
        <v>45852</v>
      </c>
      <c r="E41" s="51" t="s">
        <v>2</v>
      </c>
      <c r="F41" s="52">
        <v>86.5</v>
      </c>
      <c r="G41" s="322">
        <f>IF(OR(E41="",F41=""),"",PID_KVLohnLookup($A$1,E41,F41,LOHNTABELLE!$H$4))</f>
        <v>1010.5</v>
      </c>
      <c r="H41" s="323">
        <f>IF(AND(ISNUMBER(D41),ISNUMBER(F41)),ROUNDDOWN(MIN(IF(OR(ISBLANK(I41),I41=""),EOMONTH(DATE(EINSTELLUNG!$C$35,$A$1,1),0),I41)-MAX(D41,DATE(EINSTELLUNG!$C$35,$A$1,1))+1)/DAY(EOMONTH(DATE(EINSTELLUNG!$C$35,$A$1,1),0))*F41,2),"")</f>
        <v>86.5</v>
      </c>
      <c r="I41" s="53"/>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4" t="s">
        <v>110</v>
      </c>
      <c r="P41" s="338"/>
      <c r="Q41" s="339">
        <f>IF(Q13=0, 0, Q38/Q13)</f>
        <v>3.5974932666917696</v>
      </c>
      <c r="R41" s="339"/>
      <c r="S41" s="339">
        <f>IF(Q13=0, 0, S38/Q13)</f>
        <v>2.9979110555764743</v>
      </c>
      <c r="T41" s="339"/>
      <c r="U41" s="339">
        <f t="shared" si="2"/>
        <v>-0.5995822111152953</v>
      </c>
      <c r="V41" s="340"/>
    </row>
    <row r="42" spans="1:22" ht="22" customHeight="1">
      <c r="A42" s="321" t="s">
        <v>111</v>
      </c>
      <c r="B42" s="96">
        <v>401726</v>
      </c>
      <c r="C42" s="41" t="s">
        <v>261</v>
      </c>
      <c r="D42" s="45">
        <v>45870</v>
      </c>
      <c r="E42" s="43" t="s">
        <v>2</v>
      </c>
      <c r="F42" s="44">
        <v>86.5</v>
      </c>
      <c r="G42" s="322">
        <f>IF(OR(E42="",F42=""),"",PID_KVLohnLookup($A$1,E42,F42,LOHNTABELLE!$H$4))</f>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79" t="s">
        <v>112</v>
      </c>
      <c r="P42" s="380"/>
      <c r="Q42" s="381">
        <f>IFERROR(Q17/Q8, 0)</f>
        <v>11.9369812622314</v>
      </c>
      <c r="R42" s="381"/>
      <c r="S42" s="381"/>
      <c r="T42" s="381"/>
      <c r="U42" s="381"/>
      <c r="V42" s="382"/>
    </row>
    <row r="43" spans="1:22" ht="22" customHeight="1">
      <c r="A43" s="321" t="s">
        <v>113</v>
      </c>
      <c r="B43" s="97">
        <v>401730</v>
      </c>
      <c r="C43" s="49" t="s">
        <v>263</v>
      </c>
      <c r="D43" s="50">
        <v>45895</v>
      </c>
      <c r="E43" s="51" t="s">
        <v>2</v>
      </c>
      <c r="F43" s="52">
        <v>86.5</v>
      </c>
      <c r="G43" s="322">
        <f>IF(OR(E43="",F43=""),"",PID_KVLohnLookup($A$1,E43,F43,LOHNTABELLE!$H$4))</f>
        <v>1010.5</v>
      </c>
      <c r="H43" s="323">
        <f>IF(AND(ISNUMBER(D43),ISNUMBER(F43)),ROUNDDOWN(MIN(IF(OR(ISBLANK(I43),I43=""),EOMONTH(DATE(EINSTELLUNG!$C$35,$A$1,1),0),I43)-MAX(D43,DATE(EINSTELLUNG!$C$35,$A$1,1))+1)/DAY(EOMONTH(DATE(EINSTELLUNG!$C$35,$A$1,1),0))*F43,2),"")</f>
        <v>86.5</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3"/>
      <c r="P43" s="383"/>
      <c r="Q43" s="383"/>
      <c r="R43" s="319"/>
      <c r="S43" s="319"/>
      <c r="T43" s="319"/>
      <c r="U43" s="319"/>
      <c r="V43" s="319"/>
    </row>
    <row r="44" spans="1:22" ht="22" customHeight="1">
      <c r="A44" s="321" t="s">
        <v>114</v>
      </c>
      <c r="B44" s="96">
        <v>401731</v>
      </c>
      <c r="C44" s="41" t="s">
        <v>262</v>
      </c>
      <c r="D44" s="42">
        <v>45899</v>
      </c>
      <c r="E44" s="43" t="s">
        <v>2</v>
      </c>
      <c r="F44" s="44">
        <v>86.5</v>
      </c>
      <c r="G44" s="322">
        <f>IF(OR(E44="",F44=""),"",PID_KVLohnLookup($A$1,E44,F44,LOHNTABELLE!$H$4))</f>
        <v>1010.5</v>
      </c>
      <c r="H44" s="323">
        <f>IF(AND(ISNUMBER(D44),ISNUMBER(F44)),ROUNDDOWN(MIN(IF(OR(ISBLANK(I44),I44=""),EOMONTH(DATE(EINSTELLUNG!$C$35,$A$1,1),0),I44)-MAX(D44,DATE(EINSTELLUNG!$C$35,$A$1,1))+1)/DAY(EOMONTH(DATE(EINSTELLUNG!$C$35,$A$1,1),0))*F44,2),"")</f>
        <v>86.5</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4" t="s">
        <v>115</v>
      </c>
      <c r="P44" s="384"/>
      <c r="Q44" s="384"/>
      <c r="R44" s="384"/>
      <c r="S44" s="384"/>
      <c r="T44" s="384"/>
      <c r="U44" s="384"/>
      <c r="V44" s="384"/>
    </row>
    <row r="45" spans="1:22" ht="22" customHeight="1">
      <c r="A45" s="321" t="s">
        <v>116</v>
      </c>
      <c r="B45" s="97">
        <v>401734</v>
      </c>
      <c r="C45" s="49" t="s">
        <v>264</v>
      </c>
      <c r="D45" s="50">
        <v>45904</v>
      </c>
      <c r="E45" s="51" t="s">
        <v>2</v>
      </c>
      <c r="F45" s="52">
        <v>86.5</v>
      </c>
      <c r="G45" s="322">
        <f>IF(OR(E45="",F45=""),"",PID_KVLohnLookup($A$1,E45,F45,LOHNTABELLE!$H$4))</f>
        <v>1010.5</v>
      </c>
      <c r="H45" s="323">
        <f>IF(AND(ISNUMBER(D45),ISNUMBER(F45)),ROUNDDOWN(MIN(IF(OR(ISBLANK(I45),I45=""),EOMONTH(DATE(EINSTELLUNG!$C$35,$A$1,1),0),I45)-MAX(D45,DATE(EINSTELLUNG!$C$35,$A$1,1))+1)/DAY(EOMONTH(DATE(EINSTELLUNG!$C$35,$A$1,1),0))*F45,2),"")</f>
        <v>86.5</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5"/>
      <c r="P45" s="385"/>
      <c r="Q45" s="385"/>
      <c r="R45" s="386"/>
      <c r="S45" s="386"/>
      <c r="T45" s="386"/>
      <c r="U45" s="386"/>
      <c r="V45" s="319"/>
    </row>
    <row r="46" spans="1:22" ht="22" customHeight="1">
      <c r="A46" s="321" t="s">
        <v>117</v>
      </c>
      <c r="B46" s="96">
        <v>401736</v>
      </c>
      <c r="C46" s="41" t="s">
        <v>265</v>
      </c>
      <c r="D46" s="42">
        <v>45906</v>
      </c>
      <c r="E46" s="43" t="s">
        <v>2</v>
      </c>
      <c r="F46" s="44">
        <v>86.5</v>
      </c>
      <c r="G46" s="322">
        <f>IF(OR(E46="",F46=""),"",PID_KVLohnLookup($A$1,E46,F46,LOHNTABELLE!$H$4))</f>
        <v>1010.5</v>
      </c>
      <c r="H46" s="323">
        <f>IF(AND(ISNUMBER(D46),ISNUMBER(F46)),ROUNDDOWN(MIN(IF(OR(ISBLANK(I46),I46=""),EOMONTH(DATE(EINSTELLUNG!$C$35,$A$1,1),0),I46)-MAX(D46,DATE(EINSTELLUNG!$C$35,$A$1,1))+1)/DAY(EOMONTH(DATE(EINSTELLUNG!$C$35,$A$1,1),0))*F46,2),"")</f>
        <v>86.5</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319"/>
      <c r="P46" s="319"/>
      <c r="Q46" s="319"/>
      <c r="R46" s="319"/>
      <c r="S46" s="319"/>
      <c r="T46" s="319"/>
      <c r="U46" s="319"/>
      <c r="V46" s="319"/>
    </row>
    <row r="47" spans="1:22" ht="22" customHeight="1">
      <c r="A47" s="321" t="s">
        <v>118</v>
      </c>
      <c r="B47" s="97">
        <v>401737</v>
      </c>
      <c r="C47" s="49" t="s">
        <v>266</v>
      </c>
      <c r="D47" s="50">
        <v>45906</v>
      </c>
      <c r="E47" s="51" t="s">
        <v>2</v>
      </c>
      <c r="F47" s="52">
        <v>86.5</v>
      </c>
      <c r="G47" s="322">
        <f>IF(OR(E47="",F47=""),"",PID_KVLohnLookup($A$1,E47,F47,LOHNTABELLE!$H$4))</f>
        <v>1010.5</v>
      </c>
      <c r="H47" s="323">
        <f>IF(AND(ISNUMBER(D47),ISNUMBER(F47)),ROUNDDOWN(MIN(IF(OR(ISBLANK(I47),I47=""),EOMONTH(DATE(EINSTELLUNG!$C$35,$A$1,1),0),I47)-MAX(D47,DATE(EINSTELLUNG!$C$35,$A$1,1))+1)/DAY(EOMONTH(DATE(EINSTELLUNG!$C$35,$A$1,1),0))*F47,2),"")</f>
        <v>86.5</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319"/>
      <c r="P47" s="319"/>
      <c r="Q47" s="319"/>
      <c r="R47" s="319"/>
      <c r="S47" s="319"/>
      <c r="T47" s="319"/>
      <c r="U47" s="319"/>
      <c r="V47" s="319"/>
    </row>
    <row r="48" spans="1:22" ht="22" customHeight="1">
      <c r="A48" s="321" t="s">
        <v>119</v>
      </c>
      <c r="B48" s="96">
        <v>401738</v>
      </c>
      <c r="C48" s="41" t="s">
        <v>267</v>
      </c>
      <c r="D48" s="42">
        <v>45909</v>
      </c>
      <c r="E48" s="43" t="s">
        <v>2</v>
      </c>
      <c r="F48" s="44">
        <v>86.5</v>
      </c>
      <c r="G48" s="322">
        <f>IF(OR(E48="",F48=""),"",PID_KVLohnLookup($A$1,E48,F48,LOHNTABELLE!$H$4))</f>
        <v>1010.5</v>
      </c>
      <c r="H48" s="323">
        <f>IF(AND(ISNUMBER(D48),ISNUMBER(F48)),ROUNDDOWN(MIN(IF(OR(ISBLANK(I48),I48=""),EOMONTH(DATE(EINSTELLUNG!$C$35,$A$1,1),0),I48)-MAX(D48,DATE(EINSTELLUNG!$C$35,$A$1,1))+1)/DAY(EOMONTH(DATE(EINSTELLUNG!$C$35,$A$1,1),0))*F48,2),"")</f>
        <v>86.5</v>
      </c>
      <c r="I48" s="45"/>
      <c r="J48" s="46"/>
      <c r="K48" s="322">
        <f t="shared" si="1"/>
        <v>0</v>
      </c>
      <c r="L48" s="32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319"/>
      <c r="P48" s="319"/>
      <c r="Q48" s="319"/>
      <c r="R48" s="319"/>
      <c r="S48" s="319"/>
      <c r="T48" s="319"/>
      <c r="U48" s="319"/>
      <c r="V48" s="319"/>
    </row>
    <row r="49" spans="1:22" ht="22" customHeight="1">
      <c r="A49" s="321" t="s">
        <v>120</v>
      </c>
      <c r="B49" s="97">
        <v>401745</v>
      </c>
      <c r="C49" s="49" t="s">
        <v>271</v>
      </c>
      <c r="D49" s="50">
        <v>45934</v>
      </c>
      <c r="E49" s="51" t="s">
        <v>2</v>
      </c>
      <c r="F49" s="52">
        <v>86.5</v>
      </c>
      <c r="G49" s="322">
        <f>IF(OR(E49="",F49=""),"",PID_KVLohnLookup($A$1,E49,F49,LOHNTABELLE!$H$4))</f>
        <v>1010.5</v>
      </c>
      <c r="H49" s="323">
        <f>IF(AND(ISNUMBER(D49),ISNUMBER(F49)),ROUNDDOWN(MIN(IF(OR(ISBLANK(I49),I49=""),EOMONTH(DATE(EINSTELLUNG!$C$35,$A$1,1),0),I49)-MAX(D49,DATE(EINSTELLUNG!$C$35,$A$1,1))+1)/DAY(EOMONTH(DATE(EINSTELLUNG!$C$35,$A$1,1),0))*F49,2),"")</f>
        <v>86.5</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319"/>
      <c r="P49" s="319"/>
      <c r="Q49" s="319"/>
      <c r="R49" s="319"/>
      <c r="S49" s="319"/>
      <c r="T49" s="319"/>
      <c r="U49" s="319"/>
      <c r="V49" s="319"/>
    </row>
    <row r="50" spans="1:22" ht="22" customHeight="1">
      <c r="A50" s="321" t="s">
        <v>121</v>
      </c>
      <c r="B50" s="96">
        <v>401746</v>
      </c>
      <c r="C50" s="41" t="s">
        <v>270</v>
      </c>
      <c r="D50" s="42">
        <v>45941</v>
      </c>
      <c r="E50" s="43" t="s">
        <v>2</v>
      </c>
      <c r="F50" s="44">
        <v>86.5</v>
      </c>
      <c r="G50" s="322">
        <f>IF(OR(E50="",F50=""),"",PID_KVLohnLookup($A$1,E50,F50,LOHNTABELLE!$H$4))</f>
        <v>1010.5</v>
      </c>
      <c r="H50" s="323">
        <f>IF(AND(ISNUMBER(D50),ISNUMBER(F50)),ROUNDDOWN(MIN(IF(OR(ISBLANK(I50),I50=""),EOMONTH(DATE(EINSTELLUNG!$C$35,$A$1,1),0),I50)-MAX(D50,DATE(EINSTELLUNG!$C$35,$A$1,1))+1)/DAY(EOMONTH(DATE(EINSTELLUNG!$C$35,$A$1,1),0))*F50,2),"")</f>
        <v>86.5</v>
      </c>
      <c r="I50" s="45"/>
      <c r="J50" s="46"/>
      <c r="K50" s="322">
        <f t="shared" si="1"/>
        <v>0</v>
      </c>
      <c r="L50" s="32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319"/>
      <c r="P50" s="319"/>
      <c r="Q50" s="319"/>
      <c r="R50" s="319"/>
      <c r="S50" s="319"/>
      <c r="T50" s="319"/>
      <c r="U50" s="319"/>
      <c r="V50" s="319"/>
    </row>
    <row r="51" spans="1:22" ht="22" customHeight="1">
      <c r="A51" s="321" t="s">
        <v>122</v>
      </c>
      <c r="B51" s="97">
        <v>401747</v>
      </c>
      <c r="C51" s="49" t="s">
        <v>268</v>
      </c>
      <c r="D51" s="50">
        <v>45941</v>
      </c>
      <c r="E51" s="51" t="s">
        <v>2</v>
      </c>
      <c r="F51" s="52">
        <v>86.5</v>
      </c>
      <c r="G51" s="322">
        <f>IF(OR(E51="",F51=""),"",PID_KVLohnLookup($A$1,E51,F51,LOHNTABELLE!$H$4))</f>
        <v>1010.5</v>
      </c>
      <c r="H51" s="323">
        <f>IF(AND(ISNUMBER(D51),ISNUMBER(F51)),ROUNDDOWN(MIN(IF(OR(ISBLANK(I51),I51=""),EOMONTH(DATE(EINSTELLUNG!$C$35,$A$1,1),0),I51)-MAX(D51,DATE(EINSTELLUNG!$C$35,$A$1,1))+1)/DAY(EOMONTH(DATE(EINSTELLUNG!$C$35,$A$1,1),0))*F51,2),"")</f>
        <v>86.5</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321" t="s">
        <v>123</v>
      </c>
      <c r="B52" s="96">
        <v>401748</v>
      </c>
      <c r="C52" s="41" t="s">
        <v>269</v>
      </c>
      <c r="D52" s="42">
        <v>45941</v>
      </c>
      <c r="E52" s="43" t="s">
        <v>2</v>
      </c>
      <c r="F52" s="44">
        <v>138.4</v>
      </c>
      <c r="G52" s="322">
        <f>IF(OR(E52="",F52=""),"",PID_KVLohnLookup($A$1,E52,F52,LOHNTABELLE!$H$4))</f>
        <v>1616.8</v>
      </c>
      <c r="H52" s="323">
        <f>IF(AND(ISNUMBER(D52),ISNUMBER(F52)),ROUNDDOWN(MIN(IF(OR(ISBLANK(I52),I52=""),EOMONTH(DATE(EINSTELLUNG!$C$35,$A$1,1),0),I52)-MAX(D52,DATE(EINSTELLUNG!$C$35,$A$1,1))+1)/DAY(EOMONTH(DATE(EINSTELLUNG!$C$35,$A$1,1),0))*F52,2),"")</f>
        <v>138.4</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321" t="s">
        <v>124</v>
      </c>
      <c r="B53" s="97">
        <v>401751</v>
      </c>
      <c r="C53" s="49" t="s">
        <v>272</v>
      </c>
      <c r="D53" s="50">
        <v>45961</v>
      </c>
      <c r="E53" s="51" t="s">
        <v>2</v>
      </c>
      <c r="F53" s="52">
        <v>86.5</v>
      </c>
      <c r="G53" s="322">
        <f>IF(OR(E53="",F53=""),"",PID_KVLohnLookup($A$1,E53,F53,LOHNTABELLE!$H$4))</f>
        <v>1010.5</v>
      </c>
      <c r="H53" s="323">
        <f>IF(AND(ISNUMBER(D53),ISNUMBER(F53)),ROUNDDOWN(MIN(IF(OR(ISBLANK(I53),I53=""),EOMONTH(DATE(EINSTELLUNG!$C$35,$A$1,1),0),I53)-MAX(D53,DATE(EINSTELLUNG!$C$35,$A$1,1))+1)/DAY(EOMONTH(DATE(EINSTELLUNG!$C$35,$A$1,1),0))*F53,2),"")</f>
        <v>86.5</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321" t="s">
        <v>125</v>
      </c>
      <c r="B54" s="96">
        <v>401752</v>
      </c>
      <c r="C54" s="41" t="s">
        <v>273</v>
      </c>
      <c r="D54" s="42">
        <v>45986</v>
      </c>
      <c r="E54" s="43" t="s">
        <v>2</v>
      </c>
      <c r="F54" s="44">
        <v>173</v>
      </c>
      <c r="G54" s="322">
        <f>IF(OR(E54="",F54=""),"",PID_KVLohnLookup($A$1,E54,F54,LOHNTABELLE!$H$4))</f>
        <v>2021</v>
      </c>
      <c r="H54" s="323">
        <f>IF(AND(ISNUMBER(D54),ISNUMBER(F54)),ROUNDDOWN(MIN(IF(OR(ISBLANK(I54),I54=""),EOMONTH(DATE(EINSTELLUNG!$C$35,$A$1,1),0),I54)-MAX(D54,DATE(EINSTELLUNG!$C$35,$A$1,1))+1)/DAY(EOMONTH(DATE(EINSTELLUNG!$C$35,$A$1,1),0))*F54,2),"")</f>
        <v>173</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1" t="s">
        <v>126</v>
      </c>
      <c r="B55" s="97">
        <v>401999</v>
      </c>
      <c r="C55" s="49" t="s">
        <v>355</v>
      </c>
      <c r="D55" s="50">
        <v>46041</v>
      </c>
      <c r="E55" s="51" t="s">
        <v>2</v>
      </c>
      <c r="F55" s="52">
        <v>151.38</v>
      </c>
      <c r="G55" s="322">
        <f>IF(OR(E55="",F55=""),"",PID_KVLohnLookup($A$1,E55,F55,LOHNTABELLE!$H$4))</f>
        <v>1768.38</v>
      </c>
      <c r="H55" s="323">
        <f>IF(AND(ISNUMBER(D55),ISNUMBER(F55)),ROUNDDOWN(MIN(IF(OR(ISBLANK(I55),I55=""),EOMONTH(DATE(EINSTELLUNG!$C$35,$A$1,1),0),I55)-MAX(D55,DATE(EINSTELLUNG!$C$35,$A$1,1))+1)/DAY(EOMONTH(DATE(EINSTELLUNG!$C$35,$A$1,1),0))*F55,2),"")</f>
        <v>151.38</v>
      </c>
      <c r="I55" s="53"/>
      <c r="J55" s="54"/>
      <c r="K55" s="322">
        <f t="shared" si="1"/>
        <v>0</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5"/>
      <c r="N55" s="71"/>
    </row>
    <row r="56" spans="1:22" ht="22" customHeight="1">
      <c r="A56" s="321" t="s">
        <v>127</v>
      </c>
      <c r="B56" s="96">
        <v>401999</v>
      </c>
      <c r="C56" s="41" t="s">
        <v>293</v>
      </c>
      <c r="D56" s="45">
        <v>46082</v>
      </c>
      <c r="E56" s="43" t="s">
        <v>2</v>
      </c>
      <c r="F56" s="44">
        <v>173</v>
      </c>
      <c r="G56" s="322">
        <f>IF(OR(E56="",F56=""),"",PID_KVLohnLookup($A$1,E56,F56,LOHNTABELLE!$H$4))</f>
        <v>2021</v>
      </c>
      <c r="H56" s="323">
        <f>IF(AND(ISNUMBER(D56),ISNUMBER(F56)),ROUNDDOWN(MIN(IF(OR(ISBLANK(I56),I56=""),EOMONTH(DATE(EINSTELLUNG!$C$35,$A$1,1),0),I56)-MAX(D56,DATE(EINSTELLUNG!$C$35,$A$1,1))+1)/DAY(EOMONTH(DATE(EINSTELLUNG!$C$35,$A$1,1),0))*F56,2),"")</f>
        <v>173</v>
      </c>
      <c r="I56" s="45"/>
      <c r="J56" s="46"/>
      <c r="K56" s="322">
        <f t="shared" si="1"/>
        <v>0</v>
      </c>
      <c r="L56" s="32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7"/>
      <c r="N56" s="70"/>
    </row>
    <row r="57" spans="1:22" ht="22" customHeight="1">
      <c r="A57" s="321" t="s">
        <v>128</v>
      </c>
      <c r="B57" s="97">
        <v>402004</v>
      </c>
      <c r="C57" s="49" t="s">
        <v>296</v>
      </c>
      <c r="D57" s="53">
        <v>46122</v>
      </c>
      <c r="E57" s="51" t="s">
        <v>2</v>
      </c>
      <c r="F57" s="52">
        <v>173</v>
      </c>
      <c r="G57" s="322">
        <f>IF(OR(E57="",F57=""),"",PID_KVLohnLookup($A$1,E57,F57,LOHNTABELLE!$H$4))</f>
        <v>2021</v>
      </c>
      <c r="H57" s="323">
        <f>IF(AND(ISNUMBER(D57),ISNUMBER(F57)),ROUNDDOWN(MIN(IF(OR(ISBLANK(I57),I57=""),EOMONTH(DATE(EINSTELLUNG!$C$35,$A$1,1),0),I57)-MAX(D57,DATE(EINSTELLUNG!$C$35,$A$1,1))+1)/DAY(EOMONTH(DATE(EINSTELLUNG!$C$35,$A$1,1),0))*F57,2),"")</f>
        <v>121.1</v>
      </c>
      <c r="I57" s="53"/>
      <c r="J57" s="54"/>
      <c r="K57" s="322">
        <f t="shared" si="1"/>
        <v>0</v>
      </c>
      <c r="L57" s="32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5"/>
      <c r="N57" s="71"/>
    </row>
    <row r="58" spans="1:22" ht="22" customHeight="1">
      <c r="A58" s="321" t="s">
        <v>129</v>
      </c>
      <c r="B58" s="96">
        <v>402405</v>
      </c>
      <c r="C58" s="41" t="s">
        <v>298</v>
      </c>
      <c r="D58" s="45">
        <v>46054</v>
      </c>
      <c r="E58" s="43" t="s">
        <v>2</v>
      </c>
      <c r="F58" s="44">
        <v>173</v>
      </c>
      <c r="G58" s="322">
        <f>IF(OR(E58="",F58=""),"",PID_KVLohnLookup($A$1,E58,F58,LOHNTABELLE!$H$4))</f>
        <v>2021</v>
      </c>
      <c r="H58" s="323">
        <f>IF(AND(ISNUMBER(D58),ISNUMBER(F58)),ROUNDDOWN(MIN(IF(OR(ISBLANK(I58),I58=""),EOMONTH(DATE(EINSTELLUNG!$C$35,$A$1,1),0),I58)-MAX(D58,DATE(EINSTELLUNG!$C$35,$A$1,1))+1)/DAY(EOMONTH(DATE(EINSTELLUNG!$C$35,$A$1,1),0))*F58,2),"")</f>
        <v>173</v>
      </c>
      <c r="I58" s="45"/>
      <c r="J58" s="46"/>
      <c r="K58" s="322">
        <f t="shared" si="1"/>
        <v>0</v>
      </c>
      <c r="L58" s="32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1" t="s">
        <v>130</v>
      </c>
      <c r="B59" s="97">
        <v>500600</v>
      </c>
      <c r="C59" s="49" t="s">
        <v>302</v>
      </c>
      <c r="D59" s="53">
        <v>46054</v>
      </c>
      <c r="E59" s="51" t="s">
        <v>2</v>
      </c>
      <c r="F59" s="52">
        <v>173</v>
      </c>
      <c r="G59" s="322">
        <f>IF(OR(E59="",F59=""),"",PID_KVLohnLookup($A$1,E59,F59,LOHNTABELLE!$H$4))</f>
        <v>2021</v>
      </c>
      <c r="H59" s="323">
        <f>IF(AND(ISNUMBER(D59),ISNUMBER(F59)),ROUNDDOWN(MIN(IF(OR(ISBLANK(I59),I59=""),EOMONTH(DATE(EINSTELLUNG!$C$35,$A$1,1),0),I59)-MAX(D59,DATE(EINSTELLUNG!$C$35,$A$1,1))+1)/DAY(EOMONTH(DATE(EINSTELLUNG!$C$35,$A$1,1),0))*F59,2),"")</f>
        <v>173</v>
      </c>
      <c r="I59" s="53"/>
      <c r="J59" s="54"/>
      <c r="K59" s="322">
        <f t="shared" si="1"/>
        <v>0</v>
      </c>
      <c r="L59" s="32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321" t="s">
        <v>131</v>
      </c>
      <c r="B60" s="96">
        <v>503000</v>
      </c>
      <c r="C60" s="41" t="s">
        <v>299</v>
      </c>
      <c r="D60" s="45">
        <v>42401</v>
      </c>
      <c r="E60" s="43" t="s">
        <v>2</v>
      </c>
      <c r="F60" s="44">
        <v>173</v>
      </c>
      <c r="G60" s="322">
        <f>IF(OR(E60="",F60=""),"",PID_KVLohnLookup($A$1,E60,F60,LOHNTABELLE!$H$4))</f>
        <v>2021</v>
      </c>
      <c r="H60" s="323">
        <f>IF(AND(ISNUMBER(D60),ISNUMBER(F60)),ROUNDDOWN(MIN(IF(OR(ISBLANK(I60),I60=""),EOMONTH(DATE(EINSTELLUNG!$C$35,$A$1,1),0),I60)-MAX(D60,DATE(EINSTELLUNG!$C$35,$A$1,1))+1)/DAY(EOMONTH(DATE(EINSTELLUNG!$C$35,$A$1,1),0))*F60,2),"")</f>
        <v>173</v>
      </c>
      <c r="I60" s="45"/>
      <c r="J60" s="46"/>
      <c r="K60" s="322">
        <f t="shared" si="1"/>
        <v>0</v>
      </c>
      <c r="L60" s="32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7"/>
      <c r="N60" s="70"/>
    </row>
    <row r="61" spans="1:22" ht="22" customHeight="1">
      <c r="A61" s="321" t="s">
        <v>132</v>
      </c>
      <c r="B61" s="97">
        <v>504000</v>
      </c>
      <c r="C61" s="49" t="s">
        <v>300</v>
      </c>
      <c r="D61" s="53">
        <v>46054</v>
      </c>
      <c r="E61" s="51" t="s">
        <v>3</v>
      </c>
      <c r="F61" s="52">
        <v>138.4</v>
      </c>
      <c r="G61" s="322">
        <f>IF(OR(E61="",F61=""),"",PID_KVLohnLookup($A$1,E61,F61,LOHNTABELLE!$H$4))</f>
        <v>1665.6</v>
      </c>
      <c r="H61" s="323">
        <f>IF(AND(ISNUMBER(D61),ISNUMBER(F61)),ROUNDDOWN(MIN(IF(OR(ISBLANK(I61),I61=""),EOMONTH(DATE(EINSTELLUNG!$C$35,$A$1,1),0),I61)-MAX(D61,DATE(EINSTELLUNG!$C$35,$A$1,1))+1)/DAY(EOMONTH(DATE(EINSTELLUNG!$C$35,$A$1,1),0))*F61,2),"")</f>
        <v>138.4</v>
      </c>
      <c r="I61" s="53"/>
      <c r="J61" s="54"/>
      <c r="K61" s="322">
        <f t="shared" si="1"/>
        <v>0</v>
      </c>
      <c r="L61" s="32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5"/>
      <c r="N61" s="71"/>
    </row>
    <row r="62" spans="1:22" ht="22" customHeight="1">
      <c r="A62" s="321" t="s">
        <v>133</v>
      </c>
      <c r="B62" s="96">
        <v>505000</v>
      </c>
      <c r="C62" s="41" t="s">
        <v>301</v>
      </c>
      <c r="D62" s="45">
        <v>46054</v>
      </c>
      <c r="E62" s="43" t="s">
        <v>2</v>
      </c>
      <c r="F62" s="44">
        <v>138.4</v>
      </c>
      <c r="G62" s="322">
        <f>IF(OR(E62="",F62=""),"",PID_KVLohnLookup($A$1,E62,F62,LOHNTABELLE!$H$4))</f>
        <v>1616.8</v>
      </c>
      <c r="H62" s="323">
        <f>IF(AND(ISNUMBER(D62),ISNUMBER(F62)),ROUNDDOWN(MIN(IF(OR(ISBLANK(I62),I62=""),EOMONTH(DATE(EINSTELLUNG!$C$35,$A$1,1),0),I62)-MAX(D62,DATE(EINSTELLUNG!$C$35,$A$1,1))+1)/DAY(EOMONTH(DATE(EINSTELLUNG!$C$35,$A$1,1),0))*F62,2),"")</f>
        <v>138.4</v>
      </c>
      <c r="I62" s="45"/>
      <c r="J62" s="46"/>
      <c r="K62" s="322">
        <f t="shared" si="1"/>
        <v>0</v>
      </c>
      <c r="L62" s="32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7"/>
      <c r="N62" s="70"/>
    </row>
    <row r="63" spans="1:22" ht="22" customHeight="1">
      <c r="A63" s="321" t="s">
        <v>134</v>
      </c>
      <c r="B63" s="97">
        <v>525025</v>
      </c>
      <c r="C63" s="49" t="s">
        <v>356</v>
      </c>
      <c r="D63" s="53">
        <v>46040</v>
      </c>
      <c r="E63" s="51" t="s">
        <v>2</v>
      </c>
      <c r="F63" s="52">
        <v>129.75</v>
      </c>
      <c r="G63" s="322">
        <f>IF(OR(E63="",F63=""),"",PID_KVLohnLookup($A$1,E63,F63,LOHNTABELLE!$H$4))</f>
        <v>1515.75</v>
      </c>
      <c r="H63" s="323">
        <f>IF(AND(ISNUMBER(D63),ISNUMBER(F63)),ROUNDDOWN(MIN(IF(OR(ISBLANK(I63),I63=""),EOMONTH(DATE(EINSTELLUNG!$C$35,$A$1,1),0),I63)-MAX(D63,DATE(EINSTELLUNG!$C$35,$A$1,1))+1)/DAY(EOMONTH(DATE(EINSTELLUNG!$C$35,$A$1,1),0))*F63,2),"")</f>
        <v>129.75</v>
      </c>
      <c r="I63" s="53"/>
      <c r="J63" s="54"/>
      <c r="K63" s="322">
        <f t="shared" si="1"/>
        <v>0</v>
      </c>
      <c r="L63" s="324">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5"/>
      <c r="N63" s="71"/>
    </row>
    <row r="64" spans="1:22" ht="22" customHeight="1">
      <c r="A64" s="321" t="s">
        <v>135</v>
      </c>
      <c r="B64" s="96">
        <v>700000</v>
      </c>
      <c r="C64" s="41" t="s">
        <v>309</v>
      </c>
      <c r="D64" s="45">
        <v>46054</v>
      </c>
      <c r="E64" s="43" t="s">
        <v>2</v>
      </c>
      <c r="F64" s="44">
        <v>173</v>
      </c>
      <c r="G64" s="322">
        <f>IF(OR(E64="",F64=""),"",PID_KVLohnLookup($A$1,E64,F64,LOHNTABELLE!$H$4))</f>
        <v>2021</v>
      </c>
      <c r="H64" s="323">
        <f>IF(AND(ISNUMBER(D64),ISNUMBER(F64)),ROUNDDOWN(MIN(IF(OR(ISBLANK(I64),I64=""),EOMONTH(DATE(EINSTELLUNG!$C$35,$A$1,1),0),I64)-MAX(D64,DATE(EINSTELLUNG!$C$35,$A$1,1))+1)/DAY(EOMONTH(DATE(EINSTELLUNG!$C$35,$A$1,1),0))*F64,2),"")</f>
        <v>173</v>
      </c>
      <c r="I64" s="45"/>
      <c r="J64" s="46"/>
      <c r="K64" s="322">
        <f t="shared" si="1"/>
        <v>0</v>
      </c>
      <c r="L64" s="324">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321" t="s">
        <v>136</v>
      </c>
      <c r="B65" s="97">
        <v>800000</v>
      </c>
      <c r="C65" s="49" t="s">
        <v>310</v>
      </c>
      <c r="D65" s="53">
        <v>46096</v>
      </c>
      <c r="E65" s="51" t="s">
        <v>2</v>
      </c>
      <c r="F65" s="52">
        <v>173</v>
      </c>
      <c r="G65" s="322">
        <f>IF(OR(E65="",F65=""),"",PID_KVLohnLookup($A$1,E65,F65,LOHNTABELLE!$H$4))</f>
        <v>2021</v>
      </c>
      <c r="H65" s="323">
        <f>IF(AND(ISNUMBER(D65),ISNUMBER(F65)),ROUNDDOWN(MIN(IF(OR(ISBLANK(I65),I65=""),EOMONTH(DATE(EINSTELLUNG!$C$35,$A$1,1),0),I65)-MAX(D65,DATE(EINSTELLUNG!$C$35,$A$1,1))+1)/DAY(EOMONTH(DATE(EINSTELLUNG!$C$35,$A$1,1),0))*F65,2),"")</f>
        <v>173</v>
      </c>
      <c r="I65" s="53"/>
      <c r="J65" s="54"/>
      <c r="K65" s="322">
        <f t="shared" si="1"/>
        <v>0</v>
      </c>
      <c r="L65" s="324">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5"/>
      <c r="N65" s="71"/>
    </row>
    <row r="66" spans="1:14" ht="22" customHeight="1">
      <c r="A66" s="321" t="s">
        <v>137</v>
      </c>
      <c r="B66" s="96"/>
      <c r="C66" s="41"/>
      <c r="D66" s="45"/>
      <c r="E66" s="43"/>
      <c r="F66" s="44"/>
      <c r="G66" s="322" t="str">
        <f>IF(OR(E66="",F66=""),"",PID_KVLohnLookup($A$1,E66,F66,LOHNTABELLE!$H$4))</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1" t="s">
        <v>138</v>
      </c>
      <c r="B67" s="97"/>
      <c r="C67" s="49"/>
      <c r="D67" s="53"/>
      <c r="E67" s="51"/>
      <c r="F67" s="52"/>
      <c r="G67" s="322" t="str">
        <f>IF(OR(E67="",F67=""),"",PID_KVLohnLookup($A$1,E67,F67,LOHNTABELLE!$H$4))</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1" t="s">
        <v>139</v>
      </c>
      <c r="B68" s="96"/>
      <c r="C68" s="41"/>
      <c r="D68" s="45"/>
      <c r="E68" s="43"/>
      <c r="F68" s="44"/>
      <c r="G68" s="322" t="str">
        <f>IF(OR(E68="",F68=""),"",PID_KVLohnLookup($A$1,E68,F68,LOHNTABELLE!$H$4))</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1" t="s">
        <v>140</v>
      </c>
      <c r="B69" s="97"/>
      <c r="C69" s="49"/>
      <c r="D69" s="53"/>
      <c r="E69" s="51"/>
      <c r="F69" s="52"/>
      <c r="G69" s="322" t="str">
        <f>IF(OR(E69="",F69=""),"",PID_KVLohnLookup($A$1,E69,F69,LOHNTABELLE!$H$4))</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1" t="s">
        <v>141</v>
      </c>
      <c r="B70" s="96"/>
      <c r="C70" s="41"/>
      <c r="D70" s="45"/>
      <c r="E70" s="43"/>
      <c r="F70" s="44"/>
      <c r="G70" s="322" t="str">
        <f>IF(OR(E70="",F70=""),"",PID_KVLohnLookup($A$1,E70,F70,LOHNTABELLE!$H$4))</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1" t="s">
        <v>142</v>
      </c>
      <c r="B71" s="97"/>
      <c r="C71" s="49"/>
      <c r="D71" s="53"/>
      <c r="E71" s="51"/>
      <c r="F71" s="52"/>
      <c r="G71" s="322" t="str">
        <f>IF(OR(E71="",F71=""),"",PID_KVLohnLookup($A$1,E71,F71,LOHNTABELLE!$H$4))</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1" t="s">
        <v>143</v>
      </c>
      <c r="B72" s="96"/>
      <c r="C72" s="41"/>
      <c r="D72" s="45"/>
      <c r="E72" s="43"/>
      <c r="F72" s="44"/>
      <c r="G72" s="322" t="str">
        <f>IF(OR(E72="",F72=""),"",PID_KVLohnLookup($A$1,E72,F72,LOHNTABELLE!$H$4))</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1" t="s">
        <v>144</v>
      </c>
      <c r="B73" s="97"/>
      <c r="C73" s="49"/>
      <c r="D73" s="53"/>
      <c r="E73" s="51"/>
      <c r="F73" s="52"/>
      <c r="G73" s="322" t="str">
        <f>IF(OR(E73="",F73=""),"",PID_KVLohnLookup($A$1,E73,F73,LOHNTABELLE!$H$4))</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1" t="s">
        <v>145</v>
      </c>
      <c r="B74" s="96"/>
      <c r="C74" s="41"/>
      <c r="D74" s="45"/>
      <c r="E74" s="43"/>
      <c r="F74" s="44"/>
      <c r="G74" s="322" t="str">
        <f>IF(OR(E74="",F74=""),"",PID_KVLohnLookup($A$1,E74,F74,LOHNTABELLE!$H$4))</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1" t="s">
        <v>146</v>
      </c>
      <c r="B75" s="97"/>
      <c r="C75" s="49"/>
      <c r="D75" s="53"/>
      <c r="E75" s="51"/>
      <c r="F75" s="52"/>
      <c r="G75" s="322" t="str">
        <f>IF(OR(E75="",F75=""),"",PID_KVLohnLookup($A$1,E75,F75,LOHNTABELLE!$H$4))</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1" t="s">
        <v>147</v>
      </c>
      <c r="B76" s="96"/>
      <c r="C76" s="41"/>
      <c r="D76" s="45"/>
      <c r="E76" s="43"/>
      <c r="F76" s="44"/>
      <c r="G76" s="322" t="str">
        <f>IF(OR(E76="",F76=""),"",PID_KVLohnLookup($A$1,E76,F76,LOHNTABELLE!$H$4))</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1" t="s">
        <v>148</v>
      </c>
      <c r="B77" s="97"/>
      <c r="C77" s="49"/>
      <c r="D77" s="53"/>
      <c r="E77" s="51"/>
      <c r="F77" s="52"/>
      <c r="G77" s="322" t="str">
        <f>IF(OR(E77="",F77=""),"",PID_KVLohnLookup($A$1,E77,F77,LOHNTABELLE!$H$4))</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1" t="s">
        <v>149</v>
      </c>
      <c r="B78" s="96"/>
      <c r="C78" s="41"/>
      <c r="D78" s="45"/>
      <c r="E78" s="43"/>
      <c r="F78" s="44"/>
      <c r="G78" s="322" t="str">
        <f>IF(OR(E78="",F78=""),"",PID_KVLohnLookup($A$1,E78,F78,LOHNTABELLE!$H$4))</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1" t="s">
        <v>150</v>
      </c>
      <c r="B79" s="97"/>
      <c r="C79" s="49"/>
      <c r="D79" s="53"/>
      <c r="E79" s="51"/>
      <c r="F79" s="52"/>
      <c r="G79" s="322" t="str">
        <f>IF(OR(E79="",F79=""),"",PID_KVLohnLookup($A$1,E79,F79,LOHNTABELLE!$H$4))</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1" t="s">
        <v>151</v>
      </c>
      <c r="B80" s="96"/>
      <c r="C80" s="41"/>
      <c r="D80" s="45"/>
      <c r="E80" s="43"/>
      <c r="F80" s="44"/>
      <c r="G80" s="322" t="str">
        <f>IF(OR(E80="",F80=""),"",PID_KVLohnLookup($A$1,E80,F80,LOHNTABELLE!$H$4))</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1" t="s">
        <v>152</v>
      </c>
      <c r="B81" s="97"/>
      <c r="C81" s="49"/>
      <c r="D81" s="53"/>
      <c r="E81" s="51"/>
      <c r="F81" s="52"/>
      <c r="G81" s="322" t="str">
        <f>IF(OR(E81="",F81=""),"",PID_KVLohnLookup($A$1,E81,F81,LOHNTABELLE!$H$4))</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87" t="s">
        <v>153</v>
      </c>
      <c r="B82" s="98"/>
      <c r="C82" s="58"/>
      <c r="D82" s="59"/>
      <c r="E82" s="60"/>
      <c r="F82" s="61"/>
      <c r="G82" s="388" t="str">
        <f>IF(OR(E82="",F82=""),"",PID_KVLohnLookup($A$1,E82,F82,LOHNTABELLE!$H$4))</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301"/>
    </row>
  </sheetData>
  <sheetProtection algorithmName="SHA-512" hashValue="GM9F8juUuu9jKZ7uVRVQJxFR8+arH+Y0QaWK1Nnnqux6c/qudgDgxDZgXK79wBZmj1OpoAbtf9dP97l3dCOm6Q==" saltValue="4Got9U75zS8Ak1Y6sIytW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F071DC93-D0EC-4A04-A71C-BF05ADD55F44}">
          <x14:formula1>
            <xm:f>KV_DROPDOWN_HELPER!$IK$1:$IK$13</xm:f>
          </x14:formula1>
          <xm:sqref>F20</xm:sqref>
        </x14:dataValidation>
        <x14:dataValidation type="list" allowBlank="1" showInputMessage="1" showErrorMessage="1" xr:uid="{8C749A44-F098-48F9-97B9-55BB2F08DFA7}">
          <x14:formula1>
            <xm:f>KV_DROPDOWN_HELPER!$IG$1:$IG$16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6328125" style="221" bestFit="1" customWidth="1"/>
    <col min="29" max="16384" width="9.1796875" style="221"/>
  </cols>
  <sheetData>
    <row r="1" spans="1:28" ht="18" customHeight="1">
      <c r="A1" s="302">
        <v>5</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46143</v>
      </c>
    </row>
    <row r="2" spans="1:28" ht="18" customHeight="1" thickBot="1">
      <c r="A2" s="307"/>
      <c r="B2" s="308"/>
      <c r="C2" s="309"/>
      <c r="D2" s="309"/>
      <c r="E2" s="309"/>
      <c r="F2" s="309"/>
      <c r="G2" s="309"/>
      <c r="H2" s="309"/>
      <c r="I2" s="309"/>
      <c r="J2" s="309"/>
      <c r="K2" s="309"/>
      <c r="L2" s="309"/>
      <c r="M2" s="309"/>
      <c r="N2" s="310"/>
      <c r="O2" s="311"/>
      <c r="P2" s="311"/>
      <c r="Q2" s="311"/>
      <c r="S2" s="312" t="s">
        <v>384</v>
      </c>
      <c r="T2" s="312"/>
      <c r="U2" s="312"/>
      <c r="V2" s="312"/>
      <c r="AB2" s="306">
        <f>EOMONTH(DATE(EINSTELLUNG!$C$35,$A$1,1),0)</f>
        <v>46173</v>
      </c>
    </row>
    <row r="3" spans="1:28" ht="22" customHeight="1">
      <c r="A3" s="313" t="s">
        <v>389</v>
      </c>
      <c r="B3" s="95">
        <v>401010</v>
      </c>
      <c r="C3" s="33" t="s">
        <v>224</v>
      </c>
      <c r="D3" s="34">
        <v>39388</v>
      </c>
      <c r="E3" s="35" t="s">
        <v>2</v>
      </c>
      <c r="F3" s="64">
        <v>173</v>
      </c>
      <c r="G3" s="314">
        <f>IF(OR(E3="",F3=""),"",PID_KVLohnLookup($A$1,E3,F3,LOHNTABELLE!$H$4))</f>
        <v>2021</v>
      </c>
      <c r="H3" s="315">
        <f>IF(AND(ISNUMBER(D3),ISNUMBER(F3)),ROUNDDOWN(MIN(IF(OR(ISBLANK(I3),I3=""),EOMONTH(DATE(EINSTELLUNG!$C$35,$A$1,1),0),I3)-MAX(D3,DATE(EINSTELLUNG!$C$35,$A$1,1))+1)/DAY(EOMONTH(DATE(EINSTELLUNG!$C$35,$A$1,1),0))*F3,2),"")</f>
        <v>173</v>
      </c>
      <c r="I3" s="37"/>
      <c r="J3" s="38"/>
      <c r="K3" s="314">
        <f t="shared" ref="K3:K34" si="0">IF(OR(B3="",C3=""),"",IFERROR(IF(OR(MONTH(D3)=1,MONTH(D3)=3,MONTH(D3)=5,MONTH(D3)=7,MONTH(D3)=8,MONTH(D3)=10,MONTH(D3)=12),(G3/31)*J3,IF(OR(MONTH(D3)=4,MONTH(D3)=6,MONTH(D3)=9,MONTH(D3)=11),(G3/30)*J3,(G3/DAY(EOMONTH(D3,0)))*J3)),0))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17" t="s">
        <v>47</v>
      </c>
      <c r="P3" s="317" t="s">
        <v>48</v>
      </c>
      <c r="Q3" s="317" t="s">
        <v>49</v>
      </c>
      <c r="R3" s="318" t="s">
        <v>50</v>
      </c>
      <c r="S3" s="319"/>
      <c r="T3" s="319"/>
      <c r="U3" s="319"/>
      <c r="V3" s="319"/>
      <c r="AB3" s="320"/>
    </row>
    <row r="4" spans="1:28" ht="22" customHeight="1">
      <c r="A4" s="321" t="s">
        <v>51</v>
      </c>
      <c r="B4" s="96">
        <v>401047</v>
      </c>
      <c r="C4" s="41" t="s">
        <v>226</v>
      </c>
      <c r="D4" s="42">
        <v>41154</v>
      </c>
      <c r="E4" s="43" t="s">
        <v>4</v>
      </c>
      <c r="F4" s="65">
        <v>173</v>
      </c>
      <c r="G4" s="322">
        <f>IF(OR(E4="",F4=""),"",PID_KVLohnLookup($A$1,E4,F4,LOHNTABELLE!$H$4))</f>
        <v>2123</v>
      </c>
      <c r="H4" s="323">
        <f>IF(AND(ISNUMBER(D4),ISNUMBER(F4)),ROUNDDOWN(MIN(IF(OR(ISBLANK(I4),I4=""),EOMONTH(DATE(EINSTELLUNG!$C$35,$A$1,1),0),I4)-MAX(D4,DATE(EINSTELLUNG!$C$35,$A$1,1))+1)/DAY(EOMONTH(DATE(EINSTELLUNG!$C$35,$A$1,1),0))*F4,2),"")</f>
        <v>173</v>
      </c>
      <c r="I4" s="45"/>
      <c r="J4" s="46"/>
      <c r="K4" s="322">
        <f t="shared" si="0"/>
        <v>0</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5"/>
      <c r="P4" s="325"/>
      <c r="Q4" s="325"/>
      <c r="R4" s="326"/>
      <c r="S4" s="319"/>
      <c r="T4" s="319"/>
      <c r="U4" s="319"/>
      <c r="V4" s="319"/>
    </row>
    <row r="5" spans="1:28" ht="22" customHeight="1">
      <c r="A5" s="321" t="s">
        <v>52</v>
      </c>
      <c r="B5" s="97">
        <v>401049</v>
      </c>
      <c r="C5" s="49" t="s">
        <v>225</v>
      </c>
      <c r="D5" s="50">
        <v>41130</v>
      </c>
      <c r="E5" s="51" t="s">
        <v>4</v>
      </c>
      <c r="F5" s="52">
        <v>173</v>
      </c>
      <c r="G5" s="322">
        <f>IF(OR(E5="",F5=""),"",PID_KVLohnLookup($A$1,E5,F5,LOHNTABELLE!$H$4))</f>
        <v>2123</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327" cm="1">
        <f t="array" ref="O5">SUMPRODUCT((F3:F82/4.310808)/5*2.08)</f>
        <v>839.1270314057133</v>
      </c>
      <c r="P5" s="328">
        <f>EINSTELLUNG!I10</f>
        <v>600</v>
      </c>
      <c r="Q5" s="328">
        <f>P5-O5</f>
        <v>-239.1270314057133</v>
      </c>
      <c r="R5" s="329">
        <f>IFERROR(Q5*Q42, 0)</f>
        <v>-2849.2565415968602</v>
      </c>
      <c r="S5" s="319"/>
      <c r="T5" s="319"/>
      <c r="U5" s="319"/>
      <c r="V5" s="319"/>
    </row>
    <row r="6" spans="1:28" ht="22" customHeight="1">
      <c r="A6" s="321" t="s">
        <v>53</v>
      </c>
      <c r="B6" s="96">
        <v>401051</v>
      </c>
      <c r="C6" s="41" t="s">
        <v>227</v>
      </c>
      <c r="D6" s="42">
        <v>41176</v>
      </c>
      <c r="E6" s="43" t="s">
        <v>2</v>
      </c>
      <c r="F6" s="44">
        <v>173</v>
      </c>
      <c r="G6" s="322">
        <f>IF(OR(E6="",F6=""),"",PID_KVLohnLookup($A$1,E6,F6,LOHNTABELLE!$H$4))</f>
        <v>2021</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21" t="s">
        <v>54</v>
      </c>
      <c r="B7" s="97">
        <v>401089</v>
      </c>
      <c r="C7" s="49" t="s">
        <v>241</v>
      </c>
      <c r="D7" s="50">
        <v>44868</v>
      </c>
      <c r="E7" s="51" t="s">
        <v>3</v>
      </c>
      <c r="F7" s="52">
        <v>173</v>
      </c>
      <c r="G7" s="322">
        <f>IF(OR(E7="",F7=""),"",PID_KVLohnLookup($A$1,E7,F7,LOHNTABELLE!$H$4))</f>
        <v>2082</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319"/>
      <c r="P7" s="319"/>
      <c r="Q7" s="319"/>
      <c r="R7" s="319"/>
      <c r="S7" s="319"/>
      <c r="T7" s="319"/>
      <c r="U7" s="319"/>
      <c r="V7" s="319"/>
    </row>
    <row r="8" spans="1:28" ht="22" customHeight="1">
      <c r="A8" s="321" t="s">
        <v>55</v>
      </c>
      <c r="B8" s="96">
        <v>401138</v>
      </c>
      <c r="C8" s="41" t="s">
        <v>228</v>
      </c>
      <c r="D8" s="45">
        <v>42006</v>
      </c>
      <c r="E8" s="43" t="s">
        <v>4</v>
      </c>
      <c r="F8" s="44">
        <v>173</v>
      </c>
      <c r="G8" s="322">
        <f>IF(OR(E8="",F8=""),"",PID_KVLohnLookup($A$1,E8,F8,LOHNTABELLE!$H$4))</f>
        <v>2123</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33" t="s">
        <v>56</v>
      </c>
      <c r="P8" s="334"/>
      <c r="Q8" s="335">
        <f>SUM(H3:H82)</f>
        <v>8494.5499999999993</v>
      </c>
      <c r="R8" s="336"/>
      <c r="S8" s="319"/>
      <c r="T8" s="319"/>
      <c r="U8" s="319"/>
      <c r="V8" s="319"/>
    </row>
    <row r="9" spans="1:28" ht="22" customHeight="1">
      <c r="A9" s="321" t="s">
        <v>57</v>
      </c>
      <c r="B9" s="97">
        <v>401197</v>
      </c>
      <c r="C9" s="49" t="s">
        <v>229</v>
      </c>
      <c r="D9" s="53">
        <v>42644</v>
      </c>
      <c r="E9" s="51" t="s">
        <v>3</v>
      </c>
      <c r="F9" s="52">
        <v>173</v>
      </c>
      <c r="G9" s="322">
        <f>IF(OR(E9="",F9=""),"",PID_KVLohnLookup($A$1,E9,F9,LOHNTABELLE!$H$4))</f>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37" t="s">
        <v>58</v>
      </c>
      <c r="P9" s="338"/>
      <c r="Q9" s="339">
        <f>EINSTELLUNG!L26</f>
        <v>5</v>
      </c>
      <c r="R9" s="340"/>
      <c r="S9" s="341">
        <f>IFERROR(Q9/Q8, 0)</f>
        <v>5.8861269873036249E-4</v>
      </c>
      <c r="T9" s="319"/>
      <c r="U9" s="319"/>
      <c r="V9" s="319"/>
    </row>
    <row r="10" spans="1:28" ht="22" customHeight="1">
      <c r="A10" s="321" t="s">
        <v>59</v>
      </c>
      <c r="B10" s="96">
        <v>401214</v>
      </c>
      <c r="C10" s="41" t="s">
        <v>255</v>
      </c>
      <c r="D10" s="42">
        <v>45636</v>
      </c>
      <c r="E10" s="43" t="s">
        <v>3</v>
      </c>
      <c r="F10" s="44">
        <v>173</v>
      </c>
      <c r="G10" s="322">
        <f>IF(OR(E10="",F10=""),"",PID_KVLohnLookup($A$1,E10,F10,LOHNTABELLE!$H$4))</f>
        <v>2082</v>
      </c>
      <c r="H10" s="323">
        <f>IF(AND(ISNUMBER(D10),ISNUMBER(F10)),ROUNDDOWN(MIN(IF(OR(ISBLANK(I10),I10=""),EOMONTH(DATE(EINSTELLUNG!$C$35,$A$1,1),0),I10)-MAX(D10,DATE(EINSTELLUNG!$C$35,$A$1,1))+1)/DAY(EOMONTH(DATE(EINSTELLUNG!$C$35,$A$1,1),0))*F10,2),"")</f>
        <v>173</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37" t="s">
        <v>60</v>
      </c>
      <c r="P10" s="338"/>
      <c r="Q10" s="339">
        <f>EINSTELLUNG!I26</f>
        <v>450</v>
      </c>
      <c r="R10" s="340"/>
      <c r="S10" s="319"/>
      <c r="T10" s="319"/>
      <c r="U10" s="319"/>
      <c r="V10" s="319"/>
    </row>
    <row r="11" spans="1:28" ht="22" customHeight="1">
      <c r="A11" s="321" t="s">
        <v>61</v>
      </c>
      <c r="B11" s="97">
        <v>401276</v>
      </c>
      <c r="C11" s="49" t="s">
        <v>230</v>
      </c>
      <c r="D11" s="50">
        <v>43252</v>
      </c>
      <c r="E11" s="51" t="s">
        <v>3</v>
      </c>
      <c r="F11" s="52">
        <v>173</v>
      </c>
      <c r="G11" s="322">
        <f>IF(OR(E11="",F11=""),"",PID_KVLohnLookup($A$1,E11,F11,LOHNTABELLE!$H$4))</f>
        <v>2082</v>
      </c>
      <c r="H11" s="323">
        <f>IF(AND(ISNUMBER(D11),ISNUMBER(F11)),ROUNDDOWN(MIN(IF(OR(ISBLANK(I11),I11=""),EOMONTH(DATE(EINSTELLUNG!$C$35,$A$1,1),0),I11)-MAX(D11,DATE(EINSTELLUNG!$C$35,$A$1,1))+1)/DAY(EOMONTH(DATE(EINSTELLUNG!$C$35,$A$1,1),0))*F11,2),"")</f>
        <v>173</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337" t="s">
        <v>62</v>
      </c>
      <c r="P11" s="338"/>
      <c r="Q11" s="339">
        <f>P5</f>
        <v>600</v>
      </c>
      <c r="R11" s="340"/>
      <c r="S11" s="319"/>
      <c r="T11" s="319"/>
      <c r="U11" s="319"/>
      <c r="V11" s="319"/>
    </row>
    <row r="12" spans="1:28" ht="22" customHeight="1">
      <c r="A12" s="321" t="s">
        <v>63</v>
      </c>
      <c r="B12" s="96">
        <v>401276</v>
      </c>
      <c r="C12" s="41" t="s">
        <v>392</v>
      </c>
      <c r="D12" s="42">
        <v>38899</v>
      </c>
      <c r="E12" s="43" t="s">
        <v>2</v>
      </c>
      <c r="F12" s="44">
        <v>55</v>
      </c>
      <c r="G12" s="322">
        <f>IF(OR(E12="",F12=""),"",PID_KVLohnLookup($A$1,E12,F12,LOHNTABELLE!$H$4))</f>
        <v>666</v>
      </c>
      <c r="H12" s="323">
        <f>IF(AND(ISNUMBER(D12),ISNUMBER(F12)),ROUNDDOWN(MIN(IF(OR(ISBLANK(I12),I12=""),EOMONTH(DATE(EINSTELLUNG!$C$35,$A$1,1),0),I12)-MAX(D12,DATE(EINSTELLUNG!$C$35,$A$1,1))+1)/DAY(EOMONTH(DATE(EINSTELLUNG!$C$35,$A$1,1),0))*F12,2),"")</f>
        <v>55</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37" t="s">
        <v>66</v>
      </c>
      <c r="P12" s="338"/>
      <c r="Q12" s="339">
        <f>Q8-Q9-Q10-Q11</f>
        <v>7439.5499999999993</v>
      </c>
      <c r="R12" s="340"/>
      <c r="S12" s="319"/>
      <c r="T12" s="319"/>
      <c r="U12" s="319"/>
      <c r="V12" s="319"/>
    </row>
    <row r="13" spans="1:28" ht="22" customHeight="1">
      <c r="A13" s="321" t="s">
        <v>65</v>
      </c>
      <c r="B13" s="97">
        <v>401307</v>
      </c>
      <c r="C13" s="49" t="s">
        <v>231</v>
      </c>
      <c r="D13" s="50">
        <v>43571</v>
      </c>
      <c r="E13" s="51" t="s">
        <v>2</v>
      </c>
      <c r="F13" s="52">
        <v>55</v>
      </c>
      <c r="G13" s="322">
        <f>IF(OR(E13="",F13=""),"",PID_KVLohnLookup($A$1,E13,F13,LOHNTABELLE!$H$4))</f>
        <v>666</v>
      </c>
      <c r="H13" s="323">
        <f>IF(AND(ISNUMBER(D13),ISNUMBER(F13)),ROUNDDOWN(MIN(IF(OR(ISBLANK(I13),I13=""),EOMONTH(DATE(EINSTELLUNG!$C$35,$A$1,1),0),I13)-MAX(D13,DATE(EINSTELLUNG!$C$35,$A$1,1))+1)/DAY(EOMONTH(DATE(EINSTELLUNG!$C$35,$A$1,1),0))*F13,2),"")</f>
        <v>55</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337" t="s">
        <v>68</v>
      </c>
      <c r="P13" s="338"/>
      <c r="Q13" s="339">
        <f>EINSTELLUNG!L10</f>
        <v>9300</v>
      </c>
      <c r="R13" s="340"/>
      <c r="S13" s="319"/>
      <c r="T13" s="319"/>
      <c r="U13" s="319"/>
      <c r="V13" s="319"/>
    </row>
    <row r="14" spans="1:28" ht="22" customHeight="1" thickBot="1">
      <c r="A14" s="321" t="s">
        <v>67</v>
      </c>
      <c r="B14" s="96">
        <v>401308</v>
      </c>
      <c r="C14" s="41" t="s">
        <v>232</v>
      </c>
      <c r="D14" s="42">
        <v>43579</v>
      </c>
      <c r="E14" s="43" t="s">
        <v>3</v>
      </c>
      <c r="F14" s="44">
        <v>173</v>
      </c>
      <c r="G14" s="322">
        <f>IF(OR(E14="",F14=""),"",PID_KVLohnLookup($A$1,E14,F14,LOHNTABELLE!$H$4))</f>
        <v>2082</v>
      </c>
      <c r="H14" s="323">
        <f>IF(AND(ISNUMBER(D14),ISNUMBER(F14)),ROUNDDOWN(MIN(IF(OR(ISBLANK(I14),I14=""),EOMONTH(DATE(EINSTELLUNG!$C$35,$A$1,1),0),I14)-MAX(D14,DATE(EINSTELLUNG!$C$35,$A$1,1))+1)/DAY(EOMONTH(DATE(EINSTELLUNG!$C$35,$A$1,1),0))*F14,2),"")</f>
        <v>173</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42" t="s">
        <v>70</v>
      </c>
      <c r="P14" s="343"/>
      <c r="Q14" s="344">
        <f>Q12-Q13</f>
        <v>-1860.4500000000007</v>
      </c>
      <c r="R14" s="345"/>
      <c r="S14" s="319"/>
      <c r="T14" s="319"/>
      <c r="U14" s="319"/>
      <c r="V14" s="319"/>
    </row>
    <row r="15" spans="1:28" ht="22" customHeight="1">
      <c r="A15" s="321" t="s">
        <v>69</v>
      </c>
      <c r="B15" s="97">
        <v>401394</v>
      </c>
      <c r="C15" s="49" t="s">
        <v>233</v>
      </c>
      <c r="D15" s="50">
        <v>44379</v>
      </c>
      <c r="E15" s="51" t="s">
        <v>2</v>
      </c>
      <c r="F15" s="52">
        <v>173</v>
      </c>
      <c r="G15" s="322">
        <f>IF(OR(E15="",F15=""),"",PID_KVLohnLookup($A$1,E15,F15,LOHNTABELLE!$H$4))</f>
        <v>2021</v>
      </c>
      <c r="H15" s="323">
        <f>IF(AND(ISNUMBER(D15),ISNUMBER(F15)),ROUNDDOWN(MIN(IF(OR(ISBLANK(I15),I15=""),EOMONTH(DATE(EINSTELLUNG!$C$35,$A$1,1),0),I15)-MAX(D15,DATE(EINSTELLUNG!$C$35,$A$1,1))+1)/DAY(EOMONTH(DATE(EINSTELLUNG!$C$35,$A$1,1),0))*F15,2),"")</f>
        <v>173</v>
      </c>
      <c r="I15" s="53"/>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5"/>
      <c r="N15" s="71"/>
      <c r="O15" s="421" t="str">
        <f>IF(Q14&lt;0, "Schlecht! Zu wenig Stunden für Dienstplan.", IF(Q14&gt;0, "Du hast mehr als genug Stunden für Dienstplan.", ""))</f>
        <v>Schlecht! Zu wenig Stunden für Dienstplan.</v>
      </c>
      <c r="P15" s="422"/>
      <c r="Q15" s="422"/>
      <c r="R15" s="422"/>
      <c r="S15" s="346"/>
      <c r="T15" s="346"/>
      <c r="U15" s="346"/>
      <c r="V15" s="319"/>
    </row>
    <row r="16" spans="1:28" ht="22" customHeight="1" thickBot="1">
      <c r="A16" s="321" t="s">
        <v>71</v>
      </c>
      <c r="B16" s="96">
        <v>401479</v>
      </c>
      <c r="C16" s="41" t="s">
        <v>238</v>
      </c>
      <c r="D16" s="42">
        <v>44511</v>
      </c>
      <c r="E16" s="43" t="s">
        <v>6</v>
      </c>
      <c r="F16" s="44">
        <v>173</v>
      </c>
      <c r="G16" s="322">
        <f>IF(OR(E16="",F16=""),"",PID_KVLohnLookup($A$1,E16,F16,LOHNTABELLE!$H$4))</f>
        <v>2160</v>
      </c>
      <c r="H16" s="323">
        <f>IF(AND(ISNUMBER(D16),ISNUMBER(F16)),ROUNDDOWN(MIN(IF(OR(ISBLANK(I16),I16=""),EOMONTH(DATE(EINSTELLUNG!$C$35,$A$1,1),0),I16)-MAX(D16,DATE(EINSTELLUNG!$C$35,$A$1,1))+1)/DAY(EOMONTH(DATE(EINSTELLUNG!$C$35,$A$1,1),0))*F16,2),"")</f>
        <v>173</v>
      </c>
      <c r="I16" s="45"/>
      <c r="J16" s="46"/>
      <c r="K16" s="322">
        <f t="shared" si="0"/>
        <v>0</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7"/>
      <c r="N16" s="70"/>
      <c r="O16" s="417"/>
      <c r="P16" s="418"/>
      <c r="Q16" s="418"/>
      <c r="R16" s="419"/>
      <c r="S16" s="350"/>
      <c r="T16" s="350"/>
      <c r="U16" s="350"/>
      <c r="V16" s="350"/>
      <c r="W16" s="351"/>
    </row>
    <row r="17" spans="1:29" ht="22" customHeight="1">
      <c r="A17" s="321" t="s">
        <v>72</v>
      </c>
      <c r="B17" s="97">
        <v>401558</v>
      </c>
      <c r="C17" s="49" t="s">
        <v>236</v>
      </c>
      <c r="D17" s="50">
        <v>44460</v>
      </c>
      <c r="E17" s="51" t="s">
        <v>2</v>
      </c>
      <c r="F17" s="52">
        <v>173</v>
      </c>
      <c r="G17" s="322">
        <f>IF(OR(E17="",F17=""),"",PID_KVLohnLookup($A$1,E17,F17,LOHNTABELLE!$H$4))</f>
        <v>2021</v>
      </c>
      <c r="H17" s="323">
        <f>IF(AND(ISNUMBER(D17),ISNUMBER(F17)),ROUNDDOWN(MIN(IF(OR(ISBLANK(I17),I17=""),EOMONTH(DATE(EINSTELLUNG!$C$35,$A$1,1),0),I17)-MAX(D17,DATE(EINSTELLUNG!$C$35,$A$1,1))+1)/DAY(EOMONTH(DATE(EINSTELLUNG!$C$35,$A$1,1),0))*F17,2),"")</f>
        <v>173</v>
      </c>
      <c r="I17" s="53"/>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5"/>
      <c r="N17" s="71"/>
      <c r="O17" s="352" t="s">
        <v>73</v>
      </c>
      <c r="P17" s="334"/>
      <c r="Q17" s="353">
        <f>SUM(L3:L82)</f>
        <v>101214.62225806453</v>
      </c>
      <c r="R17" s="354"/>
      <c r="S17" s="319"/>
      <c r="T17" s="319"/>
      <c r="U17" s="319"/>
      <c r="V17" s="319"/>
      <c r="W17" s="351"/>
    </row>
    <row r="18" spans="1:29" ht="22" customHeight="1">
      <c r="A18" s="321" t="s">
        <v>74</v>
      </c>
      <c r="B18" s="96">
        <v>401564</v>
      </c>
      <c r="C18" s="41" t="s">
        <v>240</v>
      </c>
      <c r="D18" s="42">
        <v>44824</v>
      </c>
      <c r="E18" s="43" t="s">
        <v>2</v>
      </c>
      <c r="F18" s="44">
        <v>151.38</v>
      </c>
      <c r="G18" s="322">
        <f>IF(OR(E18="",F18=""),"",PID_KVLohnLookup($A$1,E18,F18,LOHNTABELLE!$H$4))</f>
        <v>1768.38</v>
      </c>
      <c r="H18" s="323">
        <f>IF(AND(ISNUMBER(D18),ISNUMBER(F18)),ROUNDDOWN(MIN(IF(OR(ISBLANK(I18),I18=""),EOMONTH(DATE(EINSTELLUNG!$C$35,$A$1,1),0),I18)-MAX(D18,DATE(EINSTELLUNG!$C$35,$A$1,1))+1)/DAY(EOMONTH(DATE(EINSTELLUNG!$C$35,$A$1,1),0))*F18,2),"")</f>
        <v>151.38</v>
      </c>
      <c r="I18" s="45"/>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7"/>
      <c r="N18" s="70"/>
      <c r="O18" s="355" t="s">
        <v>376</v>
      </c>
      <c r="P18" s="356"/>
      <c r="Q18" s="357">
        <v>20</v>
      </c>
      <c r="R18" s="358"/>
      <c r="S18" s="319"/>
      <c r="T18" s="319"/>
      <c r="U18" s="319"/>
      <c r="V18" s="319"/>
    </row>
    <row r="19" spans="1:29" ht="22" customHeight="1">
      <c r="A19" s="321" t="s">
        <v>75</v>
      </c>
      <c r="B19" s="97">
        <v>401583</v>
      </c>
      <c r="C19" s="49" t="s">
        <v>242</v>
      </c>
      <c r="D19" s="50">
        <v>44900</v>
      </c>
      <c r="E19" s="51" t="s">
        <v>13</v>
      </c>
      <c r="F19" s="52">
        <v>173</v>
      </c>
      <c r="G19" s="322">
        <f>IF(OR(E19="",F19=""),"",PID_KVLohnLookup($A$1,E19,F19,LOHNTABELLE!$H$4))</f>
        <v>2328</v>
      </c>
      <c r="H19" s="323">
        <f>IF(AND(ISNUMBER(D19),ISNUMBER(F19)),ROUNDDOWN(MIN(IF(OR(ISBLANK(I19),I19=""),EOMONTH(DATE(EINSTELLUNG!$C$35,$A$1,1),0),I19)-MAX(D19,DATE(EINSTELLUNG!$C$35,$A$1,1))+1)/DAY(EOMONTH(DATE(EINSTELLUNG!$C$35,$A$1,1),0))*F19,2),"")</f>
        <v>173</v>
      </c>
      <c r="I19" s="53"/>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5"/>
      <c r="N19" s="71"/>
      <c r="O19" s="355" t="s">
        <v>294</v>
      </c>
      <c r="P19" s="356"/>
      <c r="Q19" s="357">
        <v>333</v>
      </c>
      <c r="R19" s="358"/>
      <c r="S19" s="319"/>
      <c r="T19" s="319"/>
      <c r="U19" s="319"/>
      <c r="V19" s="319"/>
    </row>
    <row r="20" spans="1:29" ht="22" customHeight="1">
      <c r="A20" s="321" t="s">
        <v>76</v>
      </c>
      <c r="B20" s="96">
        <v>401589</v>
      </c>
      <c r="C20" s="41" t="s">
        <v>243</v>
      </c>
      <c r="D20" s="42">
        <v>44926</v>
      </c>
      <c r="E20" s="43" t="s">
        <v>10</v>
      </c>
      <c r="F20" s="44">
        <v>173</v>
      </c>
      <c r="G20" s="322">
        <f>IF(OR(E20="",F20=""),"",PID_KVLohnLookup($A$1,E20,F20,LOHNTABELLE!$H$4))</f>
        <v>2300</v>
      </c>
      <c r="H20" s="323">
        <f>IF(AND(ISNUMBER(D20),ISNUMBER(F20)),ROUNDDOWN(MIN(IF(OR(ISBLANK(I20),I20=""),EOMONTH(DATE(EINSTELLUNG!$C$35,$A$1,1),0),I20)-MAX(D20,DATE(EINSTELLUNG!$C$35,$A$1,1))+1)/DAY(EOMONTH(DATE(EINSTELLUNG!$C$35,$A$1,1),0))*F20,2),"")</f>
        <v>173</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7"/>
      <c r="N20" s="70"/>
      <c r="O20" s="355" t="s">
        <v>294</v>
      </c>
      <c r="P20" s="356"/>
      <c r="Q20" s="357">
        <v>35</v>
      </c>
      <c r="R20" s="358"/>
      <c r="S20" s="319"/>
      <c r="T20" s="319"/>
      <c r="U20" s="319"/>
      <c r="V20" s="319"/>
    </row>
    <row r="21" spans="1:29" ht="22" customHeight="1">
      <c r="A21" s="321" t="s">
        <v>77</v>
      </c>
      <c r="B21" s="97">
        <v>401602</v>
      </c>
      <c r="C21" s="49" t="s">
        <v>244</v>
      </c>
      <c r="D21" s="50">
        <v>45975</v>
      </c>
      <c r="E21" s="51" t="s">
        <v>2</v>
      </c>
      <c r="F21" s="52">
        <v>169</v>
      </c>
      <c r="G21" s="322">
        <f>IF(OR(E21="",F21=""),"",PID_KVLohnLookup($A$1,E21,F21,LOHNTABELLE!$H$4))</f>
        <v>2000</v>
      </c>
      <c r="H21" s="323">
        <f>IF(AND(ISNUMBER(D21),ISNUMBER(F21)),ROUNDDOWN(MIN(IF(OR(ISBLANK(I21),I21=""),EOMONTH(DATE(EINSTELLUNG!$C$35,$A$1,1),0),I21)-MAX(D21,DATE(EINSTELLUNG!$C$35,$A$1,1))+1)/DAY(EOMONTH(DATE(EINSTELLUNG!$C$35,$A$1,1),0))*F21,2),"")</f>
        <v>169</v>
      </c>
      <c r="I21" s="53"/>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5"/>
      <c r="N21" s="71"/>
      <c r="O21" s="355" t="s">
        <v>294</v>
      </c>
      <c r="P21" s="356"/>
      <c r="Q21" s="357">
        <v>100</v>
      </c>
      <c r="R21" s="358"/>
      <c r="S21" s="319"/>
      <c r="T21" s="319"/>
      <c r="U21" s="319"/>
      <c r="V21" s="319"/>
    </row>
    <row r="22" spans="1:29" ht="22" customHeight="1">
      <c r="A22" s="321" t="s">
        <v>78</v>
      </c>
      <c r="B22" s="96">
        <v>401605</v>
      </c>
      <c r="C22" s="41" t="s">
        <v>245</v>
      </c>
      <c r="D22" s="42">
        <v>44986</v>
      </c>
      <c r="E22" s="43" t="s">
        <v>2</v>
      </c>
      <c r="F22" s="44">
        <v>173</v>
      </c>
      <c r="G22" s="322">
        <f>IF(OR(E22="",F22=""),"",PID_KVLohnLookup($A$1,E22,F22,LOHNTABELLE!$H$4))</f>
        <v>2021</v>
      </c>
      <c r="H22" s="323">
        <f>IF(AND(ISNUMBER(D22),ISNUMBER(F22)),ROUNDDOWN(MIN(IF(OR(ISBLANK(I22),I22=""),EOMONTH(DATE(EINSTELLUNG!$C$35,$A$1,1),0),I22)-MAX(D22,DATE(EINSTELLUNG!$C$35,$A$1,1))+1)/DAY(EOMONTH(DATE(EINSTELLUNG!$C$35,$A$1,1),0))*F22,2),"")</f>
        <v>173</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5" t="s">
        <v>294</v>
      </c>
      <c r="P22" s="356"/>
      <c r="Q22" s="357"/>
      <c r="R22" s="358"/>
      <c r="S22" s="319"/>
      <c r="T22" s="319"/>
      <c r="U22" s="319"/>
      <c r="V22" s="319"/>
    </row>
    <row r="23" spans="1:29" ht="22" customHeight="1">
      <c r="A23" s="321" t="s">
        <v>79</v>
      </c>
      <c r="B23" s="97">
        <v>401605</v>
      </c>
      <c r="C23" s="49" t="s">
        <v>393</v>
      </c>
      <c r="D23" s="50">
        <v>36850</v>
      </c>
      <c r="E23" s="51" t="s">
        <v>10</v>
      </c>
      <c r="F23" s="52">
        <v>151.38</v>
      </c>
      <c r="G23" s="322">
        <f>IF(OR(E23="",F23=""),"",PID_KVLohnLookup($A$1,E23,F23,LOHNTABELLE!$H$4))</f>
        <v>2012.5</v>
      </c>
      <c r="H23" s="323">
        <f>IF(AND(ISNUMBER(D23),ISNUMBER(F23)),ROUNDDOWN(MIN(IF(OR(ISBLANK(I23),I23=""),EOMONTH(DATE(EINSTELLUNG!$C$35,$A$1,1),0),I23)-MAX(D23,DATE(EINSTELLUNG!$C$35,$A$1,1))+1)/DAY(EOMONTH(DATE(EINSTELLUNG!$C$35,$A$1,1),0))*F23,2),"")</f>
        <v>151.38</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5"/>
      <c r="N23" s="71"/>
      <c r="O23" s="355" t="s">
        <v>294</v>
      </c>
      <c r="P23" s="356"/>
      <c r="Q23" s="357">
        <v>5000</v>
      </c>
      <c r="R23" s="358"/>
      <c r="S23" s="319"/>
      <c r="T23" s="319"/>
      <c r="U23" s="319"/>
      <c r="V23" s="319"/>
      <c r="W23" s="351"/>
    </row>
    <row r="24" spans="1:29" ht="22" customHeight="1">
      <c r="A24" s="321" t="s">
        <v>80</v>
      </c>
      <c r="B24" s="96">
        <v>401626</v>
      </c>
      <c r="C24" s="41" t="s">
        <v>246</v>
      </c>
      <c r="D24" s="42">
        <v>45063</v>
      </c>
      <c r="E24" s="43" t="s">
        <v>2</v>
      </c>
      <c r="F24" s="44">
        <v>173</v>
      </c>
      <c r="G24" s="322">
        <f>IF(OR(E24="",F24=""),"",PID_KVLohnLookup($A$1,E24,F24,LOHNTABELLE!$H$4))</f>
        <v>2021</v>
      </c>
      <c r="H24" s="323">
        <f>IF(AND(ISNUMBER(D24),ISNUMBER(F24)),ROUNDDOWN(MIN(IF(OR(ISBLANK(I24),I24=""),EOMONTH(DATE(EINSTELLUNG!$C$35,$A$1,1),0),I24)-MAX(D24,DATE(EINSTELLUNG!$C$35,$A$1,1))+1)/DAY(EOMONTH(DATE(EINSTELLUNG!$C$35,$A$1,1),0))*F24,2),"")</f>
        <v>173</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355"/>
      <c r="P24" s="356"/>
      <c r="Q24" s="357"/>
      <c r="R24" s="358"/>
      <c r="S24" s="319"/>
      <c r="T24" s="319"/>
      <c r="U24" s="319"/>
      <c r="V24" s="319"/>
      <c r="W24" s="351"/>
    </row>
    <row r="25" spans="1:29" ht="22" customHeight="1">
      <c r="A25" s="321" t="s">
        <v>81</v>
      </c>
      <c r="B25" s="97">
        <v>401633</v>
      </c>
      <c r="C25" s="49" t="s">
        <v>247</v>
      </c>
      <c r="D25" s="53">
        <v>45089</v>
      </c>
      <c r="E25" s="51" t="s">
        <v>10</v>
      </c>
      <c r="F25" s="52">
        <v>173</v>
      </c>
      <c r="G25" s="322">
        <f>IF(OR(E25="",F25=""),"",PID_KVLohnLookup($A$1,E25,F25,LOHNTABELLE!$H$4))</f>
        <v>2300</v>
      </c>
      <c r="H25" s="323">
        <f>IF(AND(ISNUMBER(D25),ISNUMBER(F25)),ROUNDDOWN(MIN(IF(OR(ISBLANK(I25),I25=""),EOMONTH(DATE(EINSTELLUNG!$C$35,$A$1,1),0),I25)-MAX(D25,DATE(EINSTELLUNG!$C$35,$A$1,1))+1)/DAY(EOMONTH(DATE(EINSTELLUNG!$C$35,$A$1,1),0))*F25,2),"")</f>
        <v>173</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355"/>
      <c r="P25" s="356"/>
      <c r="Q25" s="357"/>
      <c r="R25" s="358"/>
      <c r="S25" s="319"/>
      <c r="T25" s="319"/>
      <c r="U25" s="319"/>
      <c r="V25" s="319"/>
    </row>
    <row r="26" spans="1:29" ht="22" customHeight="1">
      <c r="A26" s="321" t="s">
        <v>82</v>
      </c>
      <c r="B26" s="96">
        <v>401647</v>
      </c>
      <c r="C26" s="41" t="s">
        <v>248</v>
      </c>
      <c r="D26" s="42">
        <v>45182</v>
      </c>
      <c r="E26" s="43" t="s">
        <v>2</v>
      </c>
      <c r="F26" s="44">
        <v>173</v>
      </c>
      <c r="G26" s="322">
        <f>IF(OR(E26="",F26=""),"",PID_KVLohnLookup($A$1,E26,F26,LOHNTABELLE!$H$4))</f>
        <v>2021</v>
      </c>
      <c r="H26" s="323">
        <f>IF(AND(ISNUMBER(D26),ISNUMBER(F26)),ROUNDDOWN(MIN(IF(OR(ISBLANK(I26),I26=""),EOMONTH(DATE(EINSTELLUNG!$C$35,$A$1,1),0),I26)-MAX(D26,DATE(EINSTELLUNG!$C$35,$A$1,1))+1)/DAY(EOMONTH(DATE(EINSTELLUNG!$C$35,$A$1,1),0))*F26,2),"")</f>
        <v>173</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5"/>
      <c r="P26" s="356"/>
      <c r="Q26" s="357"/>
      <c r="R26" s="358"/>
      <c r="S26" s="319"/>
      <c r="T26" s="319"/>
      <c r="U26" s="319"/>
      <c r="V26" s="319"/>
    </row>
    <row r="27" spans="1:29" ht="22" customHeight="1">
      <c r="A27" s="321" t="s">
        <v>83</v>
      </c>
      <c r="B27" s="97">
        <v>401661</v>
      </c>
      <c r="C27" s="49" t="s">
        <v>249</v>
      </c>
      <c r="D27" s="50">
        <v>45261</v>
      </c>
      <c r="E27" s="51" t="s">
        <v>2</v>
      </c>
      <c r="F27" s="52">
        <v>173</v>
      </c>
      <c r="G27" s="322">
        <f>IF(OR(E27="",F27=""),"",PID_KVLohnLookup($A$1,E27,F27,LOHNTABELLE!$H$4))</f>
        <v>2021</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5"/>
      <c r="P27" s="356"/>
      <c r="Q27" s="357"/>
      <c r="R27" s="358"/>
      <c r="S27" s="359" t="s">
        <v>84</v>
      </c>
      <c r="T27" s="359"/>
      <c r="U27" s="359"/>
      <c r="V27" s="359"/>
    </row>
    <row r="28" spans="1:29" ht="22" customHeight="1">
      <c r="A28" s="321" t="s">
        <v>85</v>
      </c>
      <c r="B28" s="96">
        <v>401670</v>
      </c>
      <c r="C28" s="41" t="s">
        <v>250</v>
      </c>
      <c r="D28" s="42">
        <v>45358</v>
      </c>
      <c r="E28" s="43" t="s">
        <v>2</v>
      </c>
      <c r="F28" s="44">
        <v>173</v>
      </c>
      <c r="G28" s="322">
        <f>IF(OR(E28="",F28=""),"",PID_KVLohnLookup($A$1,E28,F28,LOHNTABELLE!$H$4))</f>
        <v>2021</v>
      </c>
      <c r="H28" s="323">
        <f>IF(AND(ISNUMBER(D28),ISNUMBER(F28)),ROUNDDOWN(MIN(IF(OR(ISBLANK(I28),I28=""),EOMONTH(DATE(EINSTELLUNG!$C$35,$A$1,1),0),I28)-MAX(D28,DATE(EINSTELLUNG!$C$35,$A$1,1))+1)/DAY(EOMONTH(DATE(EINSTELLUNG!$C$35,$A$1,1),0))*F28,2),"")</f>
        <v>173</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55"/>
      <c r="P28" s="356"/>
      <c r="Q28" s="357"/>
      <c r="R28" s="358"/>
      <c r="S28" s="319"/>
      <c r="T28" s="319"/>
      <c r="U28" s="319"/>
      <c r="V28" s="319"/>
    </row>
    <row r="29" spans="1:29" ht="22" customHeight="1" thickBot="1">
      <c r="A29" s="321" t="s">
        <v>86</v>
      </c>
      <c r="B29" s="97">
        <v>401678</v>
      </c>
      <c r="C29" s="49" t="s">
        <v>251</v>
      </c>
      <c r="D29" s="50">
        <v>45414</v>
      </c>
      <c r="E29" s="51" t="s">
        <v>2</v>
      </c>
      <c r="F29" s="52">
        <v>173</v>
      </c>
      <c r="G29" s="322">
        <f>IF(OR(E29="",F29=""),"",PID_KVLohnLookup($A$1,E29,F29,LOHNTABELLE!$H$4))</f>
        <v>2021</v>
      </c>
      <c r="H29" s="323">
        <f>IF(AND(ISNUMBER(D29),ISNUMBER(F29)),ROUNDDOWN(MIN(IF(OR(ISBLANK(I29),I29=""),EOMONTH(DATE(EINSTELLUNG!$C$35,$A$1,1),0),I29)-MAX(D29,DATE(EINSTELLUNG!$C$35,$A$1,1))+1)/DAY(EOMONTH(DATE(EINSTELLUNG!$C$35,$A$1,1),0))*F29,2),"")</f>
        <v>173</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0" t="s">
        <v>87</v>
      </c>
      <c r="P29" s="343"/>
      <c r="Q29" s="361">
        <f>EINSTELLUNG!O10</f>
        <v>1250</v>
      </c>
      <c r="R29" s="362"/>
      <c r="S29" s="319"/>
      <c r="T29" s="319"/>
      <c r="U29" s="319"/>
      <c r="V29" s="319"/>
    </row>
    <row r="30" spans="1:29" ht="22" customHeight="1" thickBot="1">
      <c r="A30" s="321" t="s">
        <v>88</v>
      </c>
      <c r="B30" s="96">
        <v>401690</v>
      </c>
      <c r="C30" s="41" t="s">
        <v>253</v>
      </c>
      <c r="D30" s="42">
        <v>45536</v>
      </c>
      <c r="E30" s="43" t="s">
        <v>2</v>
      </c>
      <c r="F30" s="44">
        <v>151.38</v>
      </c>
      <c r="G30" s="322">
        <f>IF(OR(E30="",F30=""),"",PID_KVLohnLookup($A$1,E30,F30,LOHNTABELLE!$H$4))</f>
        <v>1768.38</v>
      </c>
      <c r="H30" s="323">
        <f>IF(AND(ISNUMBER(D30),ISNUMBER(F30)),ROUNDDOWN(MIN(IF(OR(ISBLANK(I30),I30=""),EOMONTH(DATE(EINSTELLUNG!$C$35,$A$1,1),0),I30)-MAX(D30,DATE(EINSTELLUNG!$C$35,$A$1,1))+1)/DAY(EOMONTH(DATE(EINSTELLUNG!$C$35,$A$1,1),0))*F30,2),"")</f>
        <v>151.38</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7"/>
      <c r="N30" s="70"/>
      <c r="O30" s="319"/>
      <c r="P30" s="319"/>
      <c r="Q30" s="319"/>
      <c r="R30" s="319"/>
      <c r="S30" s="319"/>
      <c r="T30" s="319"/>
      <c r="U30" s="319"/>
      <c r="V30" s="319"/>
      <c r="W30" s="363"/>
      <c r="X30" s="363"/>
      <c r="Y30" s="363"/>
      <c r="Z30" s="363"/>
      <c r="AA30" s="363"/>
      <c r="AB30" s="363"/>
      <c r="AC30" s="363"/>
    </row>
    <row r="31" spans="1:29" ht="22" customHeight="1" thickBot="1">
      <c r="A31" s="321" t="s">
        <v>89</v>
      </c>
      <c r="B31" s="97">
        <v>401703</v>
      </c>
      <c r="C31" s="66" t="s">
        <v>254</v>
      </c>
      <c r="D31" s="53">
        <v>45616</v>
      </c>
      <c r="E31" s="51" t="s">
        <v>2</v>
      </c>
      <c r="F31" s="52">
        <v>173</v>
      </c>
      <c r="G31" s="322">
        <f>IF(OR(E31="",F31=""),"",PID_KVLohnLookup($A$1,E31,F31,LOHNTABELLE!$H$4))</f>
        <v>2021</v>
      </c>
      <c r="H31" s="323">
        <f>IF(AND(ISNUMBER(D31),ISNUMBER(F31)),ROUNDDOWN(MIN(IF(OR(ISBLANK(I31),I31=""),EOMONTH(DATE(EINSTELLUNG!$C$35,$A$1,1),0),I31)-MAX(D31,DATE(EINSTELLUNG!$C$35,$A$1,1))+1)/DAY(EOMONTH(DATE(EINSTELLUNG!$C$35,$A$1,1),0))*F31,2),"")</f>
        <v>11.16</v>
      </c>
      <c r="I31" s="53">
        <v>46144</v>
      </c>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130.38709677419354</v>
      </c>
      <c r="M31" s="55"/>
      <c r="N31" s="71" t="s">
        <v>194</v>
      </c>
      <c r="O31" s="364" t="s">
        <v>421</v>
      </c>
      <c r="P31" s="365"/>
      <c r="Q31" s="366">
        <v>3.4188034188034191E-2</v>
      </c>
      <c r="R31" s="367"/>
      <c r="S31" s="319"/>
      <c r="T31" s="319"/>
      <c r="U31" s="319"/>
      <c r="V31" s="319"/>
    </row>
    <row r="32" spans="1:29" ht="22" customHeight="1" thickBot="1">
      <c r="A32" s="321" t="s">
        <v>91</v>
      </c>
      <c r="B32" s="96">
        <v>401715</v>
      </c>
      <c r="C32" s="41" t="s">
        <v>256</v>
      </c>
      <c r="D32" s="45">
        <v>45755</v>
      </c>
      <c r="E32" s="43" t="s">
        <v>2</v>
      </c>
      <c r="F32" s="44">
        <v>173</v>
      </c>
      <c r="G32" s="322">
        <f>IF(OR(E32="",F32=""),"",PID_KVLohnLookup($A$1,E32,F32,LOHNTABELLE!$H$4))</f>
        <v>2021</v>
      </c>
      <c r="H32" s="323">
        <f>IF(AND(ISNUMBER(D32),ISNUMBER(F32)),ROUNDDOWN(MIN(IF(OR(ISBLANK(I32),I32=""),EOMONTH(DATE(EINSTELLUNG!$C$35,$A$1,1),0),I32)-MAX(D32,DATE(EINSTELLUNG!$C$35,$A$1,1))+1)/DAY(EOMONTH(DATE(EINSTELLUNG!$C$35,$A$1,1),0))*F32,2),"")</f>
        <v>173</v>
      </c>
      <c r="I32" s="45"/>
      <c r="J32" s="46"/>
      <c r="K32" s="322">
        <f t="shared" si="0"/>
        <v>0</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319"/>
      <c r="P32" s="319"/>
      <c r="Q32" s="319"/>
      <c r="R32" s="319"/>
      <c r="S32" s="319"/>
      <c r="T32" s="319"/>
      <c r="U32" s="319"/>
      <c r="V32" s="319"/>
    </row>
    <row r="33" spans="1:22" ht="22" customHeight="1">
      <c r="A33" s="321" t="s">
        <v>92</v>
      </c>
      <c r="B33" s="97">
        <v>401716</v>
      </c>
      <c r="C33" s="49" t="s">
        <v>257</v>
      </c>
      <c r="D33" s="50">
        <v>45800</v>
      </c>
      <c r="E33" s="51" t="s">
        <v>2</v>
      </c>
      <c r="F33" s="52">
        <v>173</v>
      </c>
      <c r="G33" s="322">
        <f>IF(OR(E33="",F33=""),"",PID_KVLohnLookup($A$1,E33,F33,LOHNTABELLE!$H$4))</f>
        <v>2021</v>
      </c>
      <c r="H33" s="323">
        <f>IF(AND(ISNUMBER(D33),ISNUMBER(F33)),ROUNDDOWN(MIN(IF(OR(ISBLANK(I33),I33=""),EOMONTH(DATE(EINSTELLUNG!$C$35,$A$1,1),0),I33)-MAX(D33,DATE(EINSTELLUNG!$C$35,$A$1,1))+1)/DAY(EOMONTH(DATE(EINSTELLUNG!$C$35,$A$1,1),0))*F33,2),"")</f>
        <v>173</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68"/>
      <c r="P33" s="369"/>
      <c r="Q33" s="304" t="str">
        <f>EINSTELLUNG!B3</f>
        <v>Budget</v>
      </c>
      <c r="R33" s="304"/>
      <c r="S33" s="304" t="str">
        <f>EINSTELLUNG!B19</f>
        <v>Projection/Aktuell Zahlen</v>
      </c>
      <c r="T33" s="304"/>
      <c r="U33" s="304" t="s">
        <v>95</v>
      </c>
      <c r="V33" s="305"/>
    </row>
    <row r="34" spans="1:22" ht="22" customHeight="1">
      <c r="A34" s="321" t="s">
        <v>96</v>
      </c>
      <c r="B34" s="96">
        <v>401717</v>
      </c>
      <c r="C34" s="41" t="s">
        <v>258</v>
      </c>
      <c r="D34" s="42">
        <v>45814</v>
      </c>
      <c r="E34" s="43" t="s">
        <v>2</v>
      </c>
      <c r="F34" s="44">
        <v>86.5</v>
      </c>
      <c r="G34" s="322">
        <f>IF(OR(E34="",F34=""),"",PID_KVLohnLookup($A$1,E34,F34,LOHNTABELLE!$H$4))</f>
        <v>1010.5</v>
      </c>
      <c r="H34" s="323">
        <f>IF(AND(ISNUMBER(D34),ISNUMBER(F34)),ROUNDDOWN(MIN(IF(OR(ISBLANK(I34),I34=""),EOMONTH(DATE(EINSTELLUNG!$C$35,$A$1,1),0),I34)-MAX(D34,DATE(EINSTELLUNG!$C$35,$A$1,1))+1)/DAY(EOMONTH(DATE(EINSTELLUNG!$C$35,$A$1,1),0))*F34,2),"")</f>
        <v>86.5</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0"/>
      <c r="P34" s="371"/>
      <c r="Q34" s="372"/>
      <c r="R34" s="372"/>
      <c r="S34" s="372"/>
      <c r="T34" s="372"/>
      <c r="U34" s="372"/>
      <c r="V34" s="373"/>
    </row>
    <row r="35" spans="1:22" ht="22" customHeight="1">
      <c r="A35" s="321" t="s">
        <v>97</v>
      </c>
      <c r="B35" s="97">
        <v>401722</v>
      </c>
      <c r="C35" s="49" t="s">
        <v>259</v>
      </c>
      <c r="D35" s="53">
        <v>45848</v>
      </c>
      <c r="E35" s="51" t="s">
        <v>2</v>
      </c>
      <c r="F35" s="52">
        <v>86.5</v>
      </c>
      <c r="G35" s="322">
        <f>IF(OR(E35="",F35=""),"",PID_KVLohnLookup($A$1,E35,F35,LOHNTABELLE!$H$4))</f>
        <v>1010.5</v>
      </c>
      <c r="H35" s="323">
        <f>IF(AND(ISNUMBER(D35),ISNUMBER(F35)),ROUNDDOWN(MIN(IF(OR(ISBLANK(I35),I35=""),EOMONTH(DATE(EINSTELLUNG!$C$35,$A$1,1),0),I35)-MAX(D35,DATE(EINSTELLUNG!$C$35,$A$1,1))+1)/DAY(EOMONTH(DATE(EINSTELLUNG!$C$35,$A$1,1),0))*F35,2),"")</f>
        <v>86.5</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4" t="s">
        <v>98</v>
      </c>
      <c r="P35" s="338"/>
      <c r="Q35" s="375">
        <f>EINSTELLUNG!C10</f>
        <v>400000</v>
      </c>
      <c r="R35" s="375"/>
      <c r="S35" s="375">
        <f>EINSTELLUNG!C26</f>
        <v>420000</v>
      </c>
      <c r="T35" s="375"/>
      <c r="U35" s="375">
        <f>S35-Q35</f>
        <v>20000</v>
      </c>
      <c r="V35" s="376"/>
    </row>
    <row r="36" spans="1:22" ht="22" customHeight="1">
      <c r="A36" s="321" t="s">
        <v>99</v>
      </c>
      <c r="B36" s="96">
        <v>401723</v>
      </c>
      <c r="C36" s="41" t="s">
        <v>260</v>
      </c>
      <c r="D36" s="42">
        <v>45852</v>
      </c>
      <c r="E36" s="43" t="s">
        <v>2</v>
      </c>
      <c r="F36" s="44">
        <v>86.5</v>
      </c>
      <c r="G36" s="322">
        <f>IF(OR(E36="",F36=""),"",PID_KVLohnLookup($A$1,E36,F36,LOHNTABELLE!$H$4))</f>
        <v>1010.5</v>
      </c>
      <c r="H36" s="323">
        <f>IF(AND(ISNUMBER(D36),ISNUMBER(F36)),ROUNDDOWN(MIN(IF(OR(ISBLANK(I36),I36=""),EOMONTH(DATE(EINSTELLUNG!$C$35,$A$1,1),0),I36)-MAX(D36,DATE(EINSTELLUNG!$C$35,$A$1,1))+1)/DAY(EOMONTH(DATE(EINSTELLUNG!$C$35,$A$1,1),0))*F36,2),"")</f>
        <v>86.5</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4" t="s">
        <v>100</v>
      </c>
      <c r="P36" s="338"/>
      <c r="Q36" s="375">
        <f>EINSTELLUNG!D10</f>
        <v>100000</v>
      </c>
      <c r="R36" s="375"/>
      <c r="S36" s="375">
        <f ca="1">SumMergedCells(Q17:R29)</f>
        <v>107952.6223</v>
      </c>
      <c r="T36" s="375"/>
      <c r="U36" s="375">
        <f t="shared" ref="U36:U41" ca="1" si="2">S36-Q36</f>
        <v>7952.6223000000027</v>
      </c>
      <c r="V36" s="376"/>
    </row>
    <row r="37" spans="1:22" ht="22" customHeight="1">
      <c r="A37" s="321" t="s">
        <v>101</v>
      </c>
      <c r="B37" s="97">
        <v>401726</v>
      </c>
      <c r="C37" s="49" t="s">
        <v>261</v>
      </c>
      <c r="D37" s="50">
        <v>45870</v>
      </c>
      <c r="E37" s="51" t="s">
        <v>2</v>
      </c>
      <c r="F37" s="52">
        <v>86.5</v>
      </c>
      <c r="G37" s="322">
        <f>IF(OR(E37="",F37=""),"",PID_KVLohnLookup($A$1,E37,F37,LOHNTABELLE!$H$4))</f>
        <v>1010.5</v>
      </c>
      <c r="H37" s="323">
        <f>IF(AND(ISNUMBER(D37),ISNUMBER(F37)),ROUNDDOWN(MIN(IF(OR(ISBLANK(I37),I37=""),EOMONTH(DATE(EINSTELLUNG!$C$35,$A$1,1),0),I37)-MAX(D37,DATE(EINSTELLUNG!$C$35,$A$1,1))+1)/DAY(EOMONTH(DATE(EINSTELLUNG!$C$35,$A$1,1),0))*F37,2),"")</f>
        <v>86.5</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4" t="s">
        <v>102</v>
      </c>
      <c r="P37" s="338"/>
      <c r="Q37" s="377">
        <f>IF(ISERROR(Q36/Q35), 0, Q36/Q35)</f>
        <v>0.25</v>
      </c>
      <c r="R37" s="377"/>
      <c r="S37" s="377">
        <f ca="1">IF(ISERROR(S36/S35), 0, S36/S35)</f>
        <v>0.25703005309523808</v>
      </c>
      <c r="T37" s="377"/>
      <c r="U37" s="377">
        <f t="shared" ca="1" si="2"/>
        <v>7.0300530952380758E-3</v>
      </c>
      <c r="V37" s="378"/>
    </row>
    <row r="38" spans="1:22" ht="22" customHeight="1">
      <c r="A38" s="321" t="s">
        <v>103</v>
      </c>
      <c r="B38" s="96">
        <v>401730</v>
      </c>
      <c r="C38" s="41" t="s">
        <v>263</v>
      </c>
      <c r="D38" s="45">
        <v>45895</v>
      </c>
      <c r="E38" s="43" t="s">
        <v>2</v>
      </c>
      <c r="F38" s="44">
        <v>86.5</v>
      </c>
      <c r="G38" s="322">
        <f>IF(OR(E38="",F38=""),"",PID_KVLohnLookup($A$1,E38,F38,LOHNTABELLE!$H$4))</f>
        <v>1010.5</v>
      </c>
      <c r="H38" s="323">
        <f>IF(AND(ISNUMBER(D38),ISNUMBER(F38)),ROUNDDOWN(MIN(IF(OR(ISBLANK(I38),I38=""),EOMONTH(DATE(EINSTELLUNG!$C$35,$A$1,1),0),I38)-MAX(D38,DATE(EINSTELLUNG!$C$35,$A$1,1))+1)/DAY(EOMONTH(DATE(EINSTELLUNG!$C$35,$A$1,1),0))*F38,2),"")</f>
        <v>86.5</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4" t="s">
        <v>104</v>
      </c>
      <c r="P38" s="338"/>
      <c r="Q38" s="339">
        <f>EINSTELLUNG!F10</f>
        <v>30000</v>
      </c>
      <c r="R38" s="339"/>
      <c r="S38" s="339">
        <f>EINSTELLUNG!F26</f>
        <v>31000</v>
      </c>
      <c r="T38" s="339"/>
      <c r="U38" s="339">
        <f t="shared" si="2"/>
        <v>1000</v>
      </c>
      <c r="V38" s="340"/>
    </row>
    <row r="39" spans="1:22" ht="22" customHeight="1">
      <c r="A39" s="321" t="s">
        <v>105</v>
      </c>
      <c r="B39" s="97">
        <v>401731</v>
      </c>
      <c r="C39" s="49" t="s">
        <v>262</v>
      </c>
      <c r="D39" s="50">
        <v>45899</v>
      </c>
      <c r="E39" s="51" t="s">
        <v>2</v>
      </c>
      <c r="F39" s="52">
        <v>86.5</v>
      </c>
      <c r="G39" s="322">
        <f>IF(OR(E39="",F39=""),"",PID_KVLohnLookup($A$1,E39,F39,LOHNTABELLE!$H$4))</f>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4" t="s">
        <v>106</v>
      </c>
      <c r="P39" s="338"/>
      <c r="Q39" s="375">
        <f>IF(Q38=0, 0, Q35/Q38)</f>
        <v>13.333333333333334</v>
      </c>
      <c r="R39" s="375"/>
      <c r="S39" s="375">
        <f>IF(S38=0, 0, S35/S38)</f>
        <v>13.548387096774194</v>
      </c>
      <c r="T39" s="375"/>
      <c r="U39" s="375">
        <f t="shared" si="2"/>
        <v>0.21505376344086002</v>
      </c>
      <c r="V39" s="376"/>
    </row>
    <row r="40" spans="1:22" ht="22" customHeight="1">
      <c r="A40" s="321" t="s">
        <v>107</v>
      </c>
      <c r="B40" s="96">
        <v>401734</v>
      </c>
      <c r="C40" s="41" t="s">
        <v>264</v>
      </c>
      <c r="D40" s="42">
        <v>45904</v>
      </c>
      <c r="E40" s="43" t="s">
        <v>2</v>
      </c>
      <c r="F40" s="44">
        <v>86.5</v>
      </c>
      <c r="G40" s="322">
        <f>IF(OR(E40="",F40=""),"",PID_KVLohnLookup($A$1,E40,F40,LOHNTABELLE!$H$4))</f>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4" t="s">
        <v>108</v>
      </c>
      <c r="P40" s="338"/>
      <c r="Q40" s="375">
        <f>IF(Q12=0, 0, Q35/Q12)</f>
        <v>53.766692877929451</v>
      </c>
      <c r="R40" s="375"/>
      <c r="S40" s="375">
        <f>IF(Q12=0, 0, S35/Q12)</f>
        <v>56.455027521825926</v>
      </c>
      <c r="T40" s="375"/>
      <c r="U40" s="375">
        <f t="shared" si="2"/>
        <v>2.688334643896475</v>
      </c>
      <c r="V40" s="376"/>
    </row>
    <row r="41" spans="1:22" ht="22" customHeight="1">
      <c r="A41" s="321" t="s">
        <v>109</v>
      </c>
      <c r="B41" s="97">
        <v>401736</v>
      </c>
      <c r="C41" s="49" t="s">
        <v>265</v>
      </c>
      <c r="D41" s="50">
        <v>45906</v>
      </c>
      <c r="E41" s="51" t="s">
        <v>2</v>
      </c>
      <c r="F41" s="52">
        <v>86.5</v>
      </c>
      <c r="G41" s="322">
        <f>IF(OR(E41="",F41=""),"",PID_KVLohnLookup($A$1,E41,F41,LOHNTABELLE!$H$4))</f>
        <v>1010.5</v>
      </c>
      <c r="H41" s="323">
        <f>IF(AND(ISNUMBER(D41),ISNUMBER(F41)),ROUNDDOWN(MIN(IF(OR(ISBLANK(I41),I41=""),EOMONTH(DATE(EINSTELLUNG!$C$35,$A$1,1),0),I41)-MAX(D41,DATE(EINSTELLUNG!$C$35,$A$1,1))+1)/DAY(EOMONTH(DATE(EINSTELLUNG!$C$35,$A$1,1),0))*F41,2),"")</f>
        <v>69.75</v>
      </c>
      <c r="I41" s="53">
        <v>46167</v>
      </c>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814.91935483870964</v>
      </c>
      <c r="M41" s="55"/>
      <c r="N41" s="71" t="s">
        <v>186</v>
      </c>
      <c r="O41" s="374" t="s">
        <v>110</v>
      </c>
      <c r="P41" s="338"/>
      <c r="Q41" s="339">
        <f>IF(Q12=0, 0, Q38/Q12)</f>
        <v>4.032501965844709</v>
      </c>
      <c r="R41" s="339"/>
      <c r="S41" s="339">
        <f>IF(Q12=0, 0, S38/Q12)</f>
        <v>4.1669186980395327</v>
      </c>
      <c r="T41" s="339"/>
      <c r="U41" s="339">
        <f t="shared" si="2"/>
        <v>0.13441673219482375</v>
      </c>
      <c r="V41" s="340"/>
    </row>
    <row r="42" spans="1:22" ht="22" customHeight="1">
      <c r="A42" s="321" t="s">
        <v>111</v>
      </c>
      <c r="B42" s="96">
        <v>401737</v>
      </c>
      <c r="C42" s="41" t="s">
        <v>266</v>
      </c>
      <c r="D42" s="42">
        <v>45906</v>
      </c>
      <c r="E42" s="43" t="s">
        <v>2</v>
      </c>
      <c r="F42" s="44">
        <v>86.5</v>
      </c>
      <c r="G42" s="322">
        <f>IF(OR(E42="",F42=""),"",PID_KVLohnLookup($A$1,E42,F42,LOHNTABELLE!$H$4))</f>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79" t="s">
        <v>112</v>
      </c>
      <c r="P42" s="380"/>
      <c r="Q42" s="381">
        <f>IFERROR(Q17/Q8, 0)</f>
        <v>11.915242391658715</v>
      </c>
      <c r="R42" s="381"/>
      <c r="S42" s="381"/>
      <c r="T42" s="381"/>
      <c r="U42" s="381"/>
      <c r="V42" s="382"/>
    </row>
    <row r="43" spans="1:22" ht="22" customHeight="1">
      <c r="A43" s="321" t="s">
        <v>113</v>
      </c>
      <c r="B43" s="97">
        <v>401738</v>
      </c>
      <c r="C43" s="49" t="s">
        <v>267</v>
      </c>
      <c r="D43" s="50">
        <v>45909</v>
      </c>
      <c r="E43" s="51" t="s">
        <v>2</v>
      </c>
      <c r="F43" s="52">
        <v>86.5</v>
      </c>
      <c r="G43" s="322">
        <f>IF(OR(E43="",F43=""),"",PID_KVLohnLookup($A$1,E43,F43,LOHNTABELLE!$H$4))</f>
        <v>1010.5</v>
      </c>
      <c r="H43" s="323">
        <f>IF(AND(ISNUMBER(D43),ISNUMBER(F43)),ROUNDDOWN(MIN(IF(OR(ISBLANK(I43),I43=""),EOMONTH(DATE(EINSTELLUNG!$C$35,$A$1,1),0),I43)-MAX(D43,DATE(EINSTELLUNG!$C$35,$A$1,1))+1)/DAY(EOMONTH(DATE(EINSTELLUNG!$C$35,$A$1,1),0))*F43,2),"")</f>
        <v>86.5</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3"/>
      <c r="P43" s="383"/>
      <c r="Q43" s="383"/>
      <c r="R43" s="319"/>
      <c r="S43" s="319"/>
      <c r="T43" s="319"/>
      <c r="U43" s="319"/>
      <c r="V43" s="319"/>
    </row>
    <row r="44" spans="1:22" ht="22" customHeight="1">
      <c r="A44" s="321" t="s">
        <v>114</v>
      </c>
      <c r="B44" s="96">
        <v>401745</v>
      </c>
      <c r="C44" s="41" t="s">
        <v>271</v>
      </c>
      <c r="D44" s="42">
        <v>45934</v>
      </c>
      <c r="E44" s="43" t="s">
        <v>2</v>
      </c>
      <c r="F44" s="44">
        <v>86.5</v>
      </c>
      <c r="G44" s="322">
        <f>IF(OR(E44="",F44=""),"",PID_KVLohnLookup($A$1,E44,F44,LOHNTABELLE!$H$4))</f>
        <v>1010.5</v>
      </c>
      <c r="H44" s="323">
        <f>IF(AND(ISNUMBER(D44),ISNUMBER(F44)),ROUNDDOWN(MIN(IF(OR(ISBLANK(I44),I44=""),EOMONTH(DATE(EINSTELLUNG!$C$35,$A$1,1),0),I44)-MAX(D44,DATE(EINSTELLUNG!$C$35,$A$1,1))+1)/DAY(EOMONTH(DATE(EINSTELLUNG!$C$35,$A$1,1),0))*F44,2),"")</f>
        <v>86.5</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4" t="s">
        <v>115</v>
      </c>
      <c r="P44" s="384"/>
      <c r="Q44" s="384"/>
      <c r="R44" s="384"/>
      <c r="S44" s="384"/>
      <c r="T44" s="384"/>
      <c r="U44" s="384"/>
      <c r="V44" s="384"/>
    </row>
    <row r="45" spans="1:22" ht="22" customHeight="1">
      <c r="A45" s="321" t="s">
        <v>116</v>
      </c>
      <c r="B45" s="97">
        <v>401746</v>
      </c>
      <c r="C45" s="49" t="s">
        <v>270</v>
      </c>
      <c r="D45" s="50">
        <v>45941</v>
      </c>
      <c r="E45" s="51" t="s">
        <v>2</v>
      </c>
      <c r="F45" s="52">
        <v>86.5</v>
      </c>
      <c r="G45" s="322">
        <f>IF(OR(E45="",F45=""),"",PID_KVLohnLookup($A$1,E45,F45,LOHNTABELLE!$H$4))</f>
        <v>1010.5</v>
      </c>
      <c r="H45" s="323">
        <f>IF(AND(ISNUMBER(D45),ISNUMBER(F45)),ROUNDDOWN(MIN(IF(OR(ISBLANK(I45),I45=""),EOMONTH(DATE(EINSTELLUNG!$C$35,$A$1,1),0),I45)-MAX(D45,DATE(EINSTELLUNG!$C$35,$A$1,1))+1)/DAY(EOMONTH(DATE(EINSTELLUNG!$C$35,$A$1,1),0))*F45,2),"")</f>
        <v>86.5</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5"/>
      <c r="P45" s="385"/>
      <c r="Q45" s="385"/>
      <c r="R45" s="386"/>
      <c r="S45" s="386"/>
      <c r="T45" s="386"/>
      <c r="U45" s="386"/>
      <c r="V45" s="319"/>
    </row>
    <row r="46" spans="1:22" ht="22" customHeight="1">
      <c r="A46" s="321" t="s">
        <v>117</v>
      </c>
      <c r="B46" s="96">
        <v>401747</v>
      </c>
      <c r="C46" s="41" t="s">
        <v>268</v>
      </c>
      <c r="D46" s="42">
        <v>45941</v>
      </c>
      <c r="E46" s="43" t="s">
        <v>2</v>
      </c>
      <c r="F46" s="44">
        <v>86.5</v>
      </c>
      <c r="G46" s="322">
        <f>IF(OR(E46="",F46=""),"",PID_KVLohnLookup($A$1,E46,F46,LOHNTABELLE!$H$4))</f>
        <v>1010.5</v>
      </c>
      <c r="H46" s="323">
        <f>IF(AND(ISNUMBER(D46),ISNUMBER(F46)),ROUNDDOWN(MIN(IF(OR(ISBLANK(I46),I46=""),EOMONTH(DATE(EINSTELLUNG!$C$35,$A$1,1),0),I46)-MAX(D46,DATE(EINSTELLUNG!$C$35,$A$1,1))+1)/DAY(EOMONTH(DATE(EINSTELLUNG!$C$35,$A$1,1),0))*F46,2),"")</f>
        <v>86.5</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319"/>
      <c r="P46" s="319"/>
      <c r="Q46" s="319"/>
      <c r="R46" s="319"/>
      <c r="S46" s="319"/>
      <c r="T46" s="319"/>
      <c r="U46" s="319"/>
      <c r="V46" s="319"/>
    </row>
    <row r="47" spans="1:22" ht="22" customHeight="1">
      <c r="A47" s="321" t="s">
        <v>118</v>
      </c>
      <c r="B47" s="97">
        <v>401748</v>
      </c>
      <c r="C47" s="49" t="s">
        <v>269</v>
      </c>
      <c r="D47" s="50">
        <v>45941</v>
      </c>
      <c r="E47" s="51" t="s">
        <v>2</v>
      </c>
      <c r="F47" s="52">
        <v>138.4</v>
      </c>
      <c r="G47" s="322">
        <f>IF(OR(E47="",F47=""),"",PID_KVLohnLookup($A$1,E47,F47,LOHNTABELLE!$H$4))</f>
        <v>1616.8</v>
      </c>
      <c r="H47" s="323">
        <f>IF(AND(ISNUMBER(D47),ISNUMBER(F47)),ROUNDDOWN(MIN(IF(OR(ISBLANK(I47),I47=""),EOMONTH(DATE(EINSTELLUNG!$C$35,$A$1,1),0),I47)-MAX(D47,DATE(EINSTELLUNG!$C$35,$A$1,1))+1)/DAY(EOMONTH(DATE(EINSTELLUNG!$C$35,$A$1,1),0))*F47,2),"")</f>
        <v>138.4</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1616.8</v>
      </c>
      <c r="M47" s="55"/>
      <c r="N47" s="71"/>
      <c r="O47" s="319"/>
      <c r="P47" s="319"/>
      <c r="Q47" s="319"/>
      <c r="R47" s="319"/>
      <c r="S47" s="319"/>
      <c r="T47" s="319"/>
      <c r="U47" s="319"/>
      <c r="V47" s="319"/>
    </row>
    <row r="48" spans="1:22" ht="22" customHeight="1">
      <c r="A48" s="321" t="s">
        <v>119</v>
      </c>
      <c r="B48" s="96">
        <v>401751</v>
      </c>
      <c r="C48" s="41" t="s">
        <v>272</v>
      </c>
      <c r="D48" s="42">
        <v>45961</v>
      </c>
      <c r="E48" s="43" t="s">
        <v>2</v>
      </c>
      <c r="F48" s="44">
        <v>86.5</v>
      </c>
      <c r="G48" s="322">
        <f>IF(OR(E48="",F48=""),"",PID_KVLohnLookup($A$1,E48,F48,LOHNTABELLE!$H$4))</f>
        <v>1010.5</v>
      </c>
      <c r="H48" s="323">
        <f>IF(AND(ISNUMBER(D48),ISNUMBER(F48)),ROUNDDOWN(MIN(IF(OR(ISBLANK(I48),I48=""),EOMONTH(DATE(EINSTELLUNG!$C$35,$A$1,1),0),I48)-MAX(D48,DATE(EINSTELLUNG!$C$35,$A$1,1))+1)/DAY(EOMONTH(DATE(EINSTELLUNG!$C$35,$A$1,1),0))*F48,2),"")</f>
        <v>86.5</v>
      </c>
      <c r="I48" s="45"/>
      <c r="J48" s="46"/>
      <c r="K48" s="322">
        <f t="shared" si="1"/>
        <v>0</v>
      </c>
      <c r="L48" s="32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319"/>
      <c r="P48" s="319"/>
      <c r="Q48" s="319"/>
      <c r="R48" s="319"/>
      <c r="S48" s="319"/>
      <c r="T48" s="319"/>
      <c r="U48" s="319"/>
      <c r="V48" s="319"/>
    </row>
    <row r="49" spans="1:22" ht="22" customHeight="1">
      <c r="A49" s="321" t="s">
        <v>120</v>
      </c>
      <c r="B49" s="97">
        <v>401752</v>
      </c>
      <c r="C49" s="49" t="s">
        <v>273</v>
      </c>
      <c r="D49" s="50">
        <v>45986</v>
      </c>
      <c r="E49" s="51" t="s">
        <v>2</v>
      </c>
      <c r="F49" s="52">
        <v>173</v>
      </c>
      <c r="G49" s="322">
        <f>IF(OR(E49="",F49=""),"",PID_KVLohnLookup($A$1,E49,F49,LOHNTABELLE!$H$4))</f>
        <v>2021</v>
      </c>
      <c r="H49" s="323">
        <f>IF(AND(ISNUMBER(D49),ISNUMBER(F49)),ROUNDDOWN(MIN(IF(OR(ISBLANK(I49),I49=""),EOMONTH(DATE(EINSTELLUNG!$C$35,$A$1,1),0),I49)-MAX(D49,DATE(EINSTELLUNG!$C$35,$A$1,1))+1)/DAY(EOMONTH(DATE(EINSTELLUNG!$C$35,$A$1,1),0))*F49,2),"")</f>
        <v>173</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19"/>
      <c r="P49" s="319"/>
      <c r="Q49" s="319"/>
      <c r="R49" s="319"/>
      <c r="S49" s="319"/>
      <c r="T49" s="319"/>
      <c r="U49" s="319"/>
      <c r="V49" s="319"/>
    </row>
    <row r="50" spans="1:22" ht="22" customHeight="1">
      <c r="A50" s="321" t="s">
        <v>121</v>
      </c>
      <c r="B50" s="96">
        <v>401999</v>
      </c>
      <c r="C50" s="41" t="s">
        <v>355</v>
      </c>
      <c r="D50" s="42">
        <v>46041</v>
      </c>
      <c r="E50" s="43" t="s">
        <v>2</v>
      </c>
      <c r="F50" s="44">
        <v>151.38</v>
      </c>
      <c r="G50" s="322">
        <f>IF(OR(E50="",F50=""),"",PID_KVLohnLookup($A$1,E50,F50,LOHNTABELLE!$H$4))</f>
        <v>1768.38</v>
      </c>
      <c r="H50" s="323">
        <f>IF(AND(ISNUMBER(D50),ISNUMBER(F50)),ROUNDDOWN(MIN(IF(OR(ISBLANK(I50),I50=""),EOMONTH(DATE(EINSTELLUNG!$C$35,$A$1,1),0),I50)-MAX(D50,DATE(EINSTELLUNG!$C$35,$A$1,1))+1)/DAY(EOMONTH(DATE(EINSTELLUNG!$C$35,$A$1,1),0))*F50,2),"")</f>
        <v>151.38</v>
      </c>
      <c r="I50" s="45"/>
      <c r="J50" s="46"/>
      <c r="K50" s="322">
        <f t="shared" si="1"/>
        <v>0</v>
      </c>
      <c r="L50" s="32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47"/>
      <c r="N50" s="70"/>
      <c r="O50" s="319"/>
      <c r="P50" s="319"/>
      <c r="Q50" s="319"/>
      <c r="R50" s="319"/>
      <c r="S50" s="319"/>
      <c r="T50" s="319"/>
      <c r="U50" s="319"/>
      <c r="V50" s="319"/>
    </row>
    <row r="51" spans="1:22" ht="22" customHeight="1">
      <c r="A51" s="321" t="s">
        <v>122</v>
      </c>
      <c r="B51" s="97">
        <v>401999</v>
      </c>
      <c r="C51" s="49" t="s">
        <v>293</v>
      </c>
      <c r="D51" s="50">
        <v>46082</v>
      </c>
      <c r="E51" s="51" t="s">
        <v>2</v>
      </c>
      <c r="F51" s="52">
        <v>173</v>
      </c>
      <c r="G51" s="322">
        <f>IF(OR(E51="",F51=""),"",PID_KVLohnLookup($A$1,E51,F51,LOHNTABELLE!$H$4))</f>
        <v>2021</v>
      </c>
      <c r="H51" s="323">
        <f>IF(AND(ISNUMBER(D51),ISNUMBER(F51)),ROUNDDOWN(MIN(IF(OR(ISBLANK(I51),I51=""),EOMONTH(DATE(EINSTELLUNG!$C$35,$A$1,1),0),I51)-MAX(D51,DATE(EINSTELLUNG!$C$35,$A$1,1))+1)/DAY(EOMONTH(DATE(EINSTELLUNG!$C$35,$A$1,1),0))*F51,2),"")</f>
        <v>173</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1" t="s">
        <v>123</v>
      </c>
      <c r="B52" s="96">
        <v>402000</v>
      </c>
      <c r="C52" s="41" t="s">
        <v>295</v>
      </c>
      <c r="D52" s="45">
        <v>46143</v>
      </c>
      <c r="E52" s="43" t="s">
        <v>2</v>
      </c>
      <c r="F52" s="44">
        <v>173</v>
      </c>
      <c r="G52" s="322">
        <f>IF(OR(E52="",F52=""),"",PID_KVLohnLookup($A$1,E52,F52,LOHNTABELLE!$H$4))</f>
        <v>2021</v>
      </c>
      <c r="H52" s="323">
        <f>IF(AND(ISNUMBER(D52),ISNUMBER(F52)),ROUNDDOWN(MIN(IF(OR(ISBLANK(I52),I52=""),EOMONTH(DATE(EINSTELLUNG!$C$35,$A$1,1),0),I52)-MAX(D52,DATE(EINSTELLUNG!$C$35,$A$1,1))+1)/DAY(EOMONTH(DATE(EINSTELLUNG!$C$35,$A$1,1),0))*F52,2),"")</f>
        <v>173</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2020.9999999999998</v>
      </c>
      <c r="M52" s="47"/>
      <c r="N52" s="70"/>
    </row>
    <row r="53" spans="1:22" ht="22" customHeight="1">
      <c r="A53" s="321" t="s">
        <v>124</v>
      </c>
      <c r="B53" s="97">
        <v>402004</v>
      </c>
      <c r="C53" s="49" t="s">
        <v>296</v>
      </c>
      <c r="D53" s="53">
        <v>46122</v>
      </c>
      <c r="E53" s="51" t="s">
        <v>2</v>
      </c>
      <c r="F53" s="52">
        <v>173</v>
      </c>
      <c r="G53" s="322">
        <f>IF(OR(E53="",F53=""),"",PID_KVLohnLookup($A$1,E53,F53,LOHNTABELLE!$H$4))</f>
        <v>2021</v>
      </c>
      <c r="H53" s="323">
        <f>IF(AND(ISNUMBER(D53),ISNUMBER(F53)),ROUNDDOWN(MIN(IF(OR(ISBLANK(I53),I53=""),EOMONTH(DATE(EINSTELLUNG!$C$35,$A$1,1),0),I53)-MAX(D53,DATE(EINSTELLUNG!$C$35,$A$1,1))+1)/DAY(EOMONTH(DATE(EINSTELLUNG!$C$35,$A$1,1),0))*F53,2),"")</f>
        <v>173</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1" t="s">
        <v>125</v>
      </c>
      <c r="B54" s="96">
        <v>402405</v>
      </c>
      <c r="C54" s="41" t="s">
        <v>298</v>
      </c>
      <c r="D54" s="45">
        <v>46054</v>
      </c>
      <c r="E54" s="43" t="s">
        <v>2</v>
      </c>
      <c r="F54" s="44">
        <v>173</v>
      </c>
      <c r="G54" s="322">
        <f>IF(OR(E54="",F54=""),"",PID_KVLohnLookup($A$1,E54,F54,LOHNTABELLE!$H$4))</f>
        <v>2021</v>
      </c>
      <c r="H54" s="323">
        <f>IF(AND(ISNUMBER(D54),ISNUMBER(F54)),ROUNDDOWN(MIN(IF(OR(ISBLANK(I54),I54=""),EOMONTH(DATE(EINSTELLUNG!$C$35,$A$1,1),0),I54)-MAX(D54,DATE(EINSTELLUNG!$C$35,$A$1,1))+1)/DAY(EOMONTH(DATE(EINSTELLUNG!$C$35,$A$1,1),0))*F54,2),"")</f>
        <v>173</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1" t="s">
        <v>126</v>
      </c>
      <c r="B55" s="97">
        <v>500600</v>
      </c>
      <c r="C55" s="49" t="s">
        <v>302</v>
      </c>
      <c r="D55" s="50">
        <v>46054</v>
      </c>
      <c r="E55" s="51" t="s">
        <v>2</v>
      </c>
      <c r="F55" s="52">
        <v>173</v>
      </c>
      <c r="G55" s="322">
        <f>IF(OR(E55="",F55=""),"",PID_KVLohnLookup($A$1,E55,F55,LOHNTABELLE!$H$4))</f>
        <v>2021</v>
      </c>
      <c r="H55" s="323">
        <f>IF(AND(ISNUMBER(D55),ISNUMBER(F55)),ROUNDDOWN(MIN(IF(OR(ISBLANK(I55),I55=""),EOMONTH(DATE(EINSTELLUNG!$C$35,$A$1,1),0),I55)-MAX(D55,DATE(EINSTELLUNG!$C$35,$A$1,1))+1)/DAY(EOMONTH(DATE(EINSTELLUNG!$C$35,$A$1,1),0))*F55,2),"")</f>
        <v>173</v>
      </c>
      <c r="I55" s="53"/>
      <c r="J55" s="54"/>
      <c r="K55" s="322">
        <f t="shared" si="1"/>
        <v>0</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5"/>
      <c r="N55" s="71"/>
    </row>
    <row r="56" spans="1:22" ht="22" customHeight="1">
      <c r="A56" s="321" t="s">
        <v>127</v>
      </c>
      <c r="B56" s="96">
        <v>502000</v>
      </c>
      <c r="C56" s="41" t="s">
        <v>297</v>
      </c>
      <c r="D56" s="45">
        <v>46147</v>
      </c>
      <c r="E56" s="43" t="s">
        <v>2</v>
      </c>
      <c r="F56" s="44">
        <v>173</v>
      </c>
      <c r="G56" s="322">
        <f>IF(OR(E56="",F56=""),"",PID_KVLohnLookup($A$1,E56,F56,LOHNTABELLE!$H$4))</f>
        <v>2021</v>
      </c>
      <c r="H56" s="323">
        <f>IF(AND(ISNUMBER(D56),ISNUMBER(F56)),ROUNDDOWN(MIN(IF(OR(ISBLANK(I56),I56=""),EOMONTH(DATE(EINSTELLUNG!$C$35,$A$1,1),0),I56)-MAX(D56,DATE(EINSTELLUNG!$C$35,$A$1,1))+1)/DAY(EOMONTH(DATE(EINSTELLUNG!$C$35,$A$1,1),0))*F56,2),"")</f>
        <v>150.66999999999999</v>
      </c>
      <c r="I56" s="45"/>
      <c r="J56" s="46"/>
      <c r="K56" s="322">
        <f t="shared" si="1"/>
        <v>0</v>
      </c>
      <c r="L56" s="32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1760.2258064516127</v>
      </c>
      <c r="M56" s="47"/>
      <c r="N56" s="70"/>
    </row>
    <row r="57" spans="1:22" ht="22" customHeight="1">
      <c r="A57" s="321" t="s">
        <v>128</v>
      </c>
      <c r="B57" s="97">
        <v>503000</v>
      </c>
      <c r="C57" s="49" t="s">
        <v>299</v>
      </c>
      <c r="D57" s="50">
        <v>42401</v>
      </c>
      <c r="E57" s="51" t="s">
        <v>2</v>
      </c>
      <c r="F57" s="52">
        <v>173</v>
      </c>
      <c r="G57" s="322">
        <f>IF(OR(E57="",F57=""),"",PID_KVLohnLookup($A$1,E57,F57,LOHNTABELLE!$H$4))</f>
        <v>2021</v>
      </c>
      <c r="H57" s="323">
        <f>IF(AND(ISNUMBER(D57),ISNUMBER(F57)),ROUNDDOWN(MIN(IF(OR(ISBLANK(I57),I57=""),EOMONTH(DATE(EINSTELLUNG!$C$35,$A$1,1),0),I57)-MAX(D57,DATE(EINSTELLUNG!$C$35,$A$1,1))+1)/DAY(EOMONTH(DATE(EINSTELLUNG!$C$35,$A$1,1),0))*F57,2),"")</f>
        <v>173</v>
      </c>
      <c r="I57" s="53"/>
      <c r="J57" s="54"/>
      <c r="K57" s="322">
        <f t="shared" si="1"/>
        <v>0</v>
      </c>
      <c r="L57" s="32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321" t="s">
        <v>129</v>
      </c>
      <c r="B58" s="96">
        <v>504000</v>
      </c>
      <c r="C58" s="41" t="s">
        <v>300</v>
      </c>
      <c r="D58" s="45">
        <v>46054</v>
      </c>
      <c r="E58" s="43" t="s">
        <v>3</v>
      </c>
      <c r="F58" s="44">
        <v>138.4</v>
      </c>
      <c r="G58" s="322">
        <f>IF(OR(E58="",F58=""),"",PID_KVLohnLookup($A$1,E58,F58,LOHNTABELLE!$H$4))</f>
        <v>1665.6</v>
      </c>
      <c r="H58" s="323">
        <f>IF(AND(ISNUMBER(D58),ISNUMBER(F58)),ROUNDDOWN(MIN(IF(OR(ISBLANK(I58),I58=""),EOMONTH(DATE(EINSTELLUNG!$C$35,$A$1,1),0),I58)-MAX(D58,DATE(EINSTELLUNG!$C$35,$A$1,1))+1)/DAY(EOMONTH(DATE(EINSTELLUNG!$C$35,$A$1,1),0))*F58,2),"")</f>
        <v>138.4</v>
      </c>
      <c r="I58" s="45"/>
      <c r="J58" s="46"/>
      <c r="K58" s="322">
        <f t="shared" si="1"/>
        <v>0</v>
      </c>
      <c r="L58" s="32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7"/>
      <c r="N58" s="70"/>
    </row>
    <row r="59" spans="1:22" ht="22" customHeight="1">
      <c r="A59" s="321" t="s">
        <v>130</v>
      </c>
      <c r="B59" s="97">
        <v>505000</v>
      </c>
      <c r="C59" s="49" t="s">
        <v>301</v>
      </c>
      <c r="D59" s="53">
        <v>46054</v>
      </c>
      <c r="E59" s="51" t="s">
        <v>2</v>
      </c>
      <c r="F59" s="52">
        <v>138.4</v>
      </c>
      <c r="G59" s="322">
        <f>IF(OR(E59="",F59=""),"",PID_KVLohnLookup($A$1,E59,F59,LOHNTABELLE!$H$4))</f>
        <v>1616.8</v>
      </c>
      <c r="H59" s="323">
        <f>IF(AND(ISNUMBER(D59),ISNUMBER(F59)),ROUNDDOWN(MIN(IF(OR(ISBLANK(I59),I59=""),EOMONTH(DATE(EINSTELLUNG!$C$35,$A$1,1),0),I59)-MAX(D59,DATE(EINSTELLUNG!$C$35,$A$1,1))+1)/DAY(EOMONTH(DATE(EINSTELLUNG!$C$35,$A$1,1),0))*F59,2),"")</f>
        <v>138.4</v>
      </c>
      <c r="I59" s="53"/>
      <c r="J59" s="54"/>
      <c r="K59" s="322">
        <f t="shared" si="1"/>
        <v>0</v>
      </c>
      <c r="L59" s="32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55"/>
      <c r="N59" s="71"/>
    </row>
    <row r="60" spans="1:22" ht="22" customHeight="1">
      <c r="A60" s="321" t="s">
        <v>131</v>
      </c>
      <c r="B60" s="96">
        <v>525025</v>
      </c>
      <c r="C60" s="41" t="s">
        <v>356</v>
      </c>
      <c r="D60" s="45">
        <v>46040</v>
      </c>
      <c r="E60" s="43" t="s">
        <v>2</v>
      </c>
      <c r="F60" s="44">
        <v>129.75</v>
      </c>
      <c r="G60" s="322">
        <f>IF(OR(E60="",F60=""),"",PID_KVLohnLookup($A$1,E60,F60,LOHNTABELLE!$H$4))</f>
        <v>1515.75</v>
      </c>
      <c r="H60" s="323">
        <f>IF(AND(ISNUMBER(D60),ISNUMBER(F60)),ROUNDDOWN(MIN(IF(OR(ISBLANK(I60),I60=""),EOMONTH(DATE(EINSTELLUNG!$C$35,$A$1,1),0),I60)-MAX(D60,DATE(EINSTELLUNG!$C$35,$A$1,1))+1)/DAY(EOMONTH(DATE(EINSTELLUNG!$C$35,$A$1,1),0))*F60,2),"")</f>
        <v>129.75</v>
      </c>
      <c r="I60" s="45"/>
      <c r="J60" s="46"/>
      <c r="K60" s="322">
        <f t="shared" si="1"/>
        <v>0</v>
      </c>
      <c r="L60" s="32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47"/>
      <c r="N60" s="70"/>
    </row>
    <row r="61" spans="1:22" ht="22" customHeight="1">
      <c r="A61" s="321" t="s">
        <v>132</v>
      </c>
      <c r="B61" s="97">
        <v>700000</v>
      </c>
      <c r="C61" s="49" t="s">
        <v>309</v>
      </c>
      <c r="D61" s="53">
        <v>46054</v>
      </c>
      <c r="E61" s="51" t="s">
        <v>2</v>
      </c>
      <c r="F61" s="52">
        <v>173</v>
      </c>
      <c r="G61" s="322">
        <f>IF(OR(E61="",F61=""),"",PID_KVLohnLookup($A$1,E61,F61,LOHNTABELLE!$H$4))</f>
        <v>2021</v>
      </c>
      <c r="H61" s="323">
        <f>IF(AND(ISNUMBER(D61),ISNUMBER(F61)),ROUNDDOWN(MIN(IF(OR(ISBLANK(I61),I61=""),EOMONTH(DATE(EINSTELLUNG!$C$35,$A$1,1),0),I61)-MAX(D61,DATE(EINSTELLUNG!$C$35,$A$1,1))+1)/DAY(EOMONTH(DATE(EINSTELLUNG!$C$35,$A$1,1),0))*F61,2),"")</f>
        <v>173</v>
      </c>
      <c r="I61" s="53"/>
      <c r="J61" s="54"/>
      <c r="K61" s="322">
        <f t="shared" si="1"/>
        <v>0</v>
      </c>
      <c r="L61" s="32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55"/>
      <c r="N61" s="71"/>
    </row>
    <row r="62" spans="1:22" ht="22" customHeight="1">
      <c r="A62" s="321" t="s">
        <v>133</v>
      </c>
      <c r="B62" s="96">
        <v>800000</v>
      </c>
      <c r="C62" s="41" t="s">
        <v>310</v>
      </c>
      <c r="D62" s="42">
        <v>46096</v>
      </c>
      <c r="E62" s="43" t="s">
        <v>2</v>
      </c>
      <c r="F62" s="44">
        <v>173</v>
      </c>
      <c r="G62" s="322">
        <f>IF(OR(E62="",F62=""),"",PID_KVLohnLookup($A$1,E62,F62,LOHNTABELLE!$H$4))</f>
        <v>2021</v>
      </c>
      <c r="H62" s="323">
        <f>IF(AND(ISNUMBER(D62),ISNUMBER(F62)),ROUNDDOWN(MIN(IF(OR(ISBLANK(I62),I62=""),EOMONTH(DATE(EINSTELLUNG!$C$35,$A$1,1),0),I62)-MAX(D62,DATE(EINSTELLUNG!$C$35,$A$1,1))+1)/DAY(EOMONTH(DATE(EINSTELLUNG!$C$35,$A$1,1),0))*F62,2),"")</f>
        <v>173</v>
      </c>
      <c r="I62" s="45"/>
      <c r="J62" s="46"/>
      <c r="K62" s="322">
        <f t="shared" si="1"/>
        <v>0</v>
      </c>
      <c r="L62" s="32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47"/>
      <c r="N62" s="70"/>
    </row>
    <row r="63" spans="1:22" ht="22" customHeight="1">
      <c r="A63" s="321" t="s">
        <v>134</v>
      </c>
      <c r="B63" s="97"/>
      <c r="C63" s="49"/>
      <c r="D63" s="53"/>
      <c r="E63" s="51"/>
      <c r="F63" s="52"/>
      <c r="G63" s="322" t="str">
        <f>IF(OR(E63="",F63=""),"",PID_KVLohnLookup($A$1,E63,F63,LOHNTABELLE!$H$4))</f>
        <v/>
      </c>
      <c r="H63" s="323" t="str">
        <f>IF(AND(ISNUMBER(D63),ISNUMBER(F63)),ROUNDDOWN(MIN(IF(OR(ISBLANK(I63),I63=""),EOMONTH(DATE(EINSTELLUNG!$C$35,$A$1,1),0),I63)-MAX(D63,DATE(EINSTELLUNG!$C$35,$A$1,1))+1)/DAY(EOMONTH(DATE(EINSTELLUNG!$C$35,$A$1,1),0))*F63,2),"")</f>
        <v/>
      </c>
      <c r="I63" s="53"/>
      <c r="J63" s="54"/>
      <c r="K63" s="322" t="str">
        <f t="shared" si="1"/>
        <v/>
      </c>
      <c r="L63" s="32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1" t="s">
        <v>135</v>
      </c>
      <c r="B64" s="96"/>
      <c r="C64" s="41"/>
      <c r="D64" s="45"/>
      <c r="E64" s="43"/>
      <c r="F64" s="44"/>
      <c r="G64" s="322" t="str">
        <f>IF(OR(E64="",F64=""),"",PID_KVLohnLookup($A$1,E64,F64,LOHNTABELLE!$H$4))</f>
        <v/>
      </c>
      <c r="H64" s="323" t="str">
        <f>IF(AND(ISNUMBER(D64),ISNUMBER(F64)),ROUNDDOWN(MIN(IF(OR(ISBLANK(I64),I64=""),EOMONTH(DATE(EINSTELLUNG!$C$35,$A$1,1),0),I64)-MAX(D64,DATE(EINSTELLUNG!$C$35,$A$1,1))+1)/DAY(EOMONTH(DATE(EINSTELLUNG!$C$35,$A$1,1),0))*F64,2),"")</f>
        <v/>
      </c>
      <c r="I64" s="45"/>
      <c r="J64" s="46"/>
      <c r="K64" s="322" t="str">
        <f t="shared" si="1"/>
        <v/>
      </c>
      <c r="L64" s="32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1" t="s">
        <v>136</v>
      </c>
      <c r="B65" s="97"/>
      <c r="C65" s="49"/>
      <c r="D65" s="53"/>
      <c r="E65" s="51"/>
      <c r="F65" s="52"/>
      <c r="G65" s="322" t="str">
        <f>IF(OR(E65="",F65=""),"",PID_KVLohnLookup($A$1,E65,F65,LOHNTABELLE!$H$4))</f>
        <v/>
      </c>
      <c r="H65" s="323" t="str">
        <f>IF(AND(ISNUMBER(D65),ISNUMBER(F65)),ROUNDDOWN(MIN(IF(OR(ISBLANK(I65),I65=""),EOMONTH(DATE(EINSTELLUNG!$C$35,$A$1,1),0),I65)-MAX(D65,DATE(EINSTELLUNG!$C$35,$A$1,1))+1)/DAY(EOMONTH(DATE(EINSTELLUNG!$C$35,$A$1,1),0))*F65,2),"")</f>
        <v/>
      </c>
      <c r="I65" s="53"/>
      <c r="J65" s="54"/>
      <c r="K65" s="322" t="str">
        <f t="shared" si="1"/>
        <v/>
      </c>
      <c r="L65" s="32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1" t="s">
        <v>137</v>
      </c>
      <c r="B66" s="96"/>
      <c r="C66" s="41"/>
      <c r="D66" s="45"/>
      <c r="E66" s="43"/>
      <c r="F66" s="44"/>
      <c r="G66" s="322" t="str">
        <f>IF(OR(E66="",F66=""),"",PID_KVLohnLookup($A$1,E66,F66,LOHNTABELLE!$H$4))</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1" t="s">
        <v>138</v>
      </c>
      <c r="B67" s="97"/>
      <c r="C67" s="49"/>
      <c r="D67" s="53"/>
      <c r="E67" s="51"/>
      <c r="F67" s="52"/>
      <c r="G67" s="322" t="str">
        <f>IF(OR(E67="",F67=""),"",PID_KVLohnLookup($A$1,E67,F67,LOHNTABELLE!$H$4))</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1" t="s">
        <v>139</v>
      </c>
      <c r="B68" s="96"/>
      <c r="C68" s="41"/>
      <c r="D68" s="45"/>
      <c r="E68" s="43"/>
      <c r="F68" s="44"/>
      <c r="G68" s="322" t="str">
        <f>IF(OR(E68="",F68=""),"",PID_KVLohnLookup($A$1,E68,F68,LOHNTABELLE!$H$4))</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1" t="s">
        <v>140</v>
      </c>
      <c r="B69" s="97"/>
      <c r="C69" s="49"/>
      <c r="D69" s="53"/>
      <c r="E69" s="51"/>
      <c r="F69" s="52"/>
      <c r="G69" s="322" t="str">
        <f>IF(OR(E69="",F69=""),"",PID_KVLohnLookup($A$1,E69,F69,LOHNTABELLE!$H$4))</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1" t="s">
        <v>141</v>
      </c>
      <c r="B70" s="96"/>
      <c r="C70" s="41"/>
      <c r="D70" s="45"/>
      <c r="E70" s="43"/>
      <c r="F70" s="44"/>
      <c r="G70" s="322" t="str">
        <f>IF(OR(E70="",F70=""),"",PID_KVLohnLookup($A$1,E70,F70,LOHNTABELLE!$H$4))</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1" t="s">
        <v>142</v>
      </c>
      <c r="B71" s="97"/>
      <c r="C71" s="49"/>
      <c r="D71" s="53"/>
      <c r="E71" s="51"/>
      <c r="F71" s="52"/>
      <c r="G71" s="322" t="str">
        <f>IF(OR(E71="",F71=""),"",PID_KVLohnLookup($A$1,E71,F71,LOHNTABELLE!$H$4))</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1" t="s">
        <v>143</v>
      </c>
      <c r="B72" s="96"/>
      <c r="C72" s="41"/>
      <c r="D72" s="45"/>
      <c r="E72" s="43"/>
      <c r="F72" s="44"/>
      <c r="G72" s="322" t="str">
        <f>IF(OR(E72="",F72=""),"",PID_KVLohnLookup($A$1,E72,F72,LOHNTABELLE!$H$4))</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1" t="s">
        <v>144</v>
      </c>
      <c r="B73" s="97"/>
      <c r="C73" s="49"/>
      <c r="D73" s="53"/>
      <c r="E73" s="51"/>
      <c r="F73" s="52"/>
      <c r="G73" s="322" t="str">
        <f>IF(OR(E73="",F73=""),"",PID_KVLohnLookup($A$1,E73,F73,LOHNTABELLE!$H$4))</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1" t="s">
        <v>145</v>
      </c>
      <c r="B74" s="96"/>
      <c r="C74" s="41"/>
      <c r="D74" s="45"/>
      <c r="E74" s="43"/>
      <c r="F74" s="44"/>
      <c r="G74" s="322" t="str">
        <f>IF(OR(E74="",F74=""),"",PID_KVLohnLookup($A$1,E74,F74,LOHNTABELLE!$H$4))</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1" t="s">
        <v>146</v>
      </c>
      <c r="B75" s="97"/>
      <c r="C75" s="49"/>
      <c r="D75" s="53"/>
      <c r="E75" s="51"/>
      <c r="F75" s="52"/>
      <c r="G75" s="322" t="str">
        <f>IF(OR(E75="",F75=""),"",PID_KVLohnLookup($A$1,E75,F75,LOHNTABELLE!$H$4))</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1" t="s">
        <v>147</v>
      </c>
      <c r="B76" s="96"/>
      <c r="C76" s="41"/>
      <c r="D76" s="45"/>
      <c r="E76" s="43"/>
      <c r="F76" s="44"/>
      <c r="G76" s="322" t="str">
        <f>IF(OR(E76="",F76=""),"",PID_KVLohnLookup($A$1,E76,F76,LOHNTABELLE!$H$4))</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1" t="s">
        <v>148</v>
      </c>
      <c r="B77" s="97"/>
      <c r="C77" s="49"/>
      <c r="D77" s="53"/>
      <c r="E77" s="51"/>
      <c r="F77" s="52"/>
      <c r="G77" s="322" t="str">
        <f>IF(OR(E77="",F77=""),"",PID_KVLohnLookup($A$1,E77,F77,LOHNTABELLE!$H$4))</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1" t="s">
        <v>149</v>
      </c>
      <c r="B78" s="96"/>
      <c r="C78" s="41"/>
      <c r="D78" s="45"/>
      <c r="E78" s="43"/>
      <c r="F78" s="44"/>
      <c r="G78" s="322" t="str">
        <f>IF(OR(E78="",F78=""),"",PID_KVLohnLookup($A$1,E78,F78,LOHNTABELLE!$H$4))</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1" t="s">
        <v>150</v>
      </c>
      <c r="B79" s="97"/>
      <c r="C79" s="49"/>
      <c r="D79" s="53"/>
      <c r="E79" s="51"/>
      <c r="F79" s="52"/>
      <c r="G79" s="322" t="str">
        <f>IF(OR(E79="",F79=""),"",PID_KVLohnLookup($A$1,E79,F79,LOHNTABELLE!$H$4))</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1" t="s">
        <v>151</v>
      </c>
      <c r="B80" s="96"/>
      <c r="C80" s="41"/>
      <c r="D80" s="45"/>
      <c r="E80" s="43"/>
      <c r="F80" s="44"/>
      <c r="G80" s="322" t="str">
        <f>IF(OR(E80="",F80=""),"",PID_KVLohnLookup($A$1,E80,F80,LOHNTABELLE!$H$4))</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1" t="s">
        <v>152</v>
      </c>
      <c r="B81" s="97"/>
      <c r="C81" s="49"/>
      <c r="D81" s="53"/>
      <c r="E81" s="51"/>
      <c r="F81" s="52"/>
      <c r="G81" s="322" t="str">
        <f>IF(OR(E81="",F81=""),"",PID_KVLohnLookup($A$1,E81,F81,LOHNTABELLE!$H$4))</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87" t="s">
        <v>153</v>
      </c>
      <c r="B82" s="98"/>
      <c r="C82" s="58"/>
      <c r="D82" s="59"/>
      <c r="E82" s="60"/>
      <c r="F82" s="61"/>
      <c r="G82" s="388" t="str">
        <f>IF(OR(E82="",F82=""),"",PID_KVLohnLookup($A$1,E82,F82,LOHNTABELLE!$H$4))</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301"/>
    </row>
  </sheetData>
  <sheetProtection algorithmName="SHA-512" hashValue="GVgOxeA80e+PShdGDDdekpITVr4SxuAs8D1b0ivYYSWqc7RRZbHmilFG58hi5mtmsOF6uT1DBzu6Ob/o/YkE3Q==" saltValue="jeTHxQaE/i7Gdq3a5CQC2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F20 F23 F25</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F58</xm:sqref>
        </x14:dataValidation>
        <x14:dataValidation type="list" allowBlank="1" showInputMessage="1" showErrorMessage="1" xr:uid="{0A835573-4702-4870-BF88-FC7A996A4332}">
          <x14:formula1>
            <xm:f>KV_DROPDOWN_HELPER!$LO$1:$LO$13</xm:f>
          </x14:formula1>
          <xm:sqref>F63 F64 F65 F66 F67 F68 F69 F70 F71 F72 F73 F74 F75 F76 F77 F78 F79 F80 F81 F82</xm:sqref>
        </x14:dataValidation>
        <x14:dataValidation type="list" allowBlank="1" showInputMessage="1" showErrorMessage="1" xr:uid="{3720765C-5C98-47BF-8AE2-B0A3D2B90F7F}">
          <x14:formula1>
            <xm:f>KV_DROPDOWN_HELPER!$LI$1:$LI$16</xm:f>
          </x14:formula1>
          <xm:sqref>F3 F6 F12 F13 F15 F17 F18 F21 F22 F24 F26 F27 F28 F29 F30 F31 F32 F33 F34 F35 F36 F37 F38 F39 F40 F41 F42 F43 F44 F45 F46 F47 F48 F49 F50 F51 F52 F53 F54 F55 F56 F57 F59 F60 F61 F62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6328125" style="221" bestFit="1" customWidth="1"/>
    <col min="29" max="16384" width="9.1796875" style="221"/>
  </cols>
  <sheetData>
    <row r="1" spans="1:28" ht="18" customHeight="1">
      <c r="A1" s="302">
        <v>6</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46174</v>
      </c>
    </row>
    <row r="2" spans="1:28" ht="18" customHeight="1" thickBot="1">
      <c r="A2" s="307"/>
      <c r="B2" s="308"/>
      <c r="C2" s="309"/>
      <c r="D2" s="309"/>
      <c r="E2" s="309"/>
      <c r="F2" s="309"/>
      <c r="G2" s="309"/>
      <c r="H2" s="309"/>
      <c r="I2" s="309"/>
      <c r="J2" s="309"/>
      <c r="K2" s="309"/>
      <c r="L2" s="309"/>
      <c r="M2" s="309"/>
      <c r="N2" s="310"/>
      <c r="O2" s="311"/>
      <c r="P2" s="311"/>
      <c r="Q2" s="311"/>
      <c r="S2" s="312" t="s">
        <v>384</v>
      </c>
      <c r="T2" s="312"/>
      <c r="U2" s="312"/>
      <c r="V2" s="312"/>
      <c r="AB2" s="306">
        <f>EOMONTH(DATE(EINSTELLUNG!$C$35,$A$1,1),0)</f>
        <v>46203</v>
      </c>
    </row>
    <row r="3" spans="1:28" ht="22" customHeight="1">
      <c r="A3" s="313" t="s">
        <v>389</v>
      </c>
      <c r="B3" s="95">
        <v>401010</v>
      </c>
      <c r="C3" s="33" t="s">
        <v>224</v>
      </c>
      <c r="D3" s="34">
        <v>39388</v>
      </c>
      <c r="E3" s="35" t="s">
        <v>2</v>
      </c>
      <c r="F3" s="64">
        <v>173</v>
      </c>
      <c r="G3" s="314">
        <f>IF(OR(E3="",F3=""),"",PID_KVLohnLookup($A$1,E3,F3,LOHNTABELLE!$H$4))</f>
        <v>2021</v>
      </c>
      <c r="H3" s="315">
        <f>IF(AND(ISNUMBER(D3),ISNUMBER(F3)),ROUNDDOWN(MIN(IF(OR(ISBLANK(I3),I3=""),EOMONTH(DATE(EINSTELLUNG!$C$35,$A$1,1),0),I3)-MAX(D3,DATE(EINSTELLUNG!$C$35,$A$1,1))+1)/DAY(EOMONTH(DATE(EINSTELLUNG!$C$35,$A$1,1),0))*F3,2),"")</f>
        <v>173</v>
      </c>
      <c r="I3" s="37"/>
      <c r="J3" s="38"/>
      <c r="K3" s="314">
        <f t="shared" ref="K3:K34" si="0">IF(OR(B3="",C3=""),"",IFERROR(IF(OR(MONTH(D3)=1,MONTH(D3)=3,MONTH(D3)=5,MONTH(D3)=7,MONTH(D3)=8,MONTH(D3)=10,MONTH(D3)=12),(G3/31)*J3,IF(OR(MONTH(D3)=4,MONTH(D3)=6,MONTH(D3)=9,MONTH(D3)=11),(G3/30)*J3,(G3/DAY(EOMONTH(D3,0)))*J3)),0))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17" t="s">
        <v>47</v>
      </c>
      <c r="P3" s="317" t="s">
        <v>48</v>
      </c>
      <c r="Q3" s="317" t="s">
        <v>49</v>
      </c>
      <c r="R3" s="318" t="s">
        <v>50</v>
      </c>
      <c r="S3" s="319"/>
      <c r="T3" s="319"/>
      <c r="U3" s="319"/>
      <c r="V3" s="319"/>
      <c r="AB3" s="320"/>
    </row>
    <row r="4" spans="1:28" ht="22" customHeight="1">
      <c r="A4" s="321" t="s">
        <v>51</v>
      </c>
      <c r="B4" s="96">
        <v>401047</v>
      </c>
      <c r="C4" s="41" t="s">
        <v>226</v>
      </c>
      <c r="D4" s="42">
        <v>41154</v>
      </c>
      <c r="E4" s="43" t="s">
        <v>4</v>
      </c>
      <c r="F4" s="65">
        <v>173</v>
      </c>
      <c r="G4" s="322">
        <f>IF(OR(E4="",F4=""),"",PID_KVLohnLookup($A$1,E4,F4,LOHNTABELLE!$H$4))</f>
        <v>2123</v>
      </c>
      <c r="H4" s="323">
        <f>IF(AND(ISNUMBER(D4),ISNUMBER(F4)),ROUNDDOWN(MIN(IF(OR(ISBLANK(I4),I4=""),EOMONTH(DATE(EINSTELLUNG!$C$35,$A$1,1),0),I4)-MAX(D4,DATE(EINSTELLUNG!$C$35,$A$1,1))+1)/DAY(EOMONTH(DATE(EINSTELLUNG!$C$35,$A$1,1),0))*F4,2),"")</f>
        <v>115.33</v>
      </c>
      <c r="I4" s="45">
        <v>46193</v>
      </c>
      <c r="J4" s="46">
        <v>5</v>
      </c>
      <c r="K4" s="322">
        <f t="shared" si="0"/>
        <v>353.83333333333331</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7"/>
      <c r="N4" s="70" t="s">
        <v>185</v>
      </c>
      <c r="O4" s="325"/>
      <c r="P4" s="325"/>
      <c r="Q4" s="325"/>
      <c r="R4" s="326"/>
      <c r="S4" s="319"/>
      <c r="T4" s="319"/>
      <c r="U4" s="319"/>
      <c r="V4" s="319"/>
    </row>
    <row r="5" spans="1:28" ht="22" customHeight="1">
      <c r="A5" s="321" t="s">
        <v>52</v>
      </c>
      <c r="B5" s="97">
        <v>401049</v>
      </c>
      <c r="C5" s="49" t="s">
        <v>225</v>
      </c>
      <c r="D5" s="50">
        <v>41130</v>
      </c>
      <c r="E5" s="51" t="s">
        <v>4</v>
      </c>
      <c r="F5" s="52">
        <v>173</v>
      </c>
      <c r="G5" s="322">
        <f>IF(OR(E5="",F5=""),"",PID_KVLohnLookup($A$1,E5,F5,LOHNTABELLE!$H$4))</f>
        <v>2123</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327" cm="1">
        <f t="array" ref="O5">SUMPRODUCT((F3:F82/4.310808)/5*2.08)</f>
        <v>814.08485833746272</v>
      </c>
      <c r="P5" s="328">
        <f>EINSTELLUNG!I11</f>
        <v>600</v>
      </c>
      <c r="Q5" s="328">
        <f>P5-O5</f>
        <v>-214.08485833746272</v>
      </c>
      <c r="R5" s="329">
        <f>IFERROR(Q5*Q42, 0)</f>
        <v>-2559.7340411850428</v>
      </c>
      <c r="S5" s="319"/>
      <c r="T5" s="319"/>
      <c r="U5" s="319"/>
      <c r="V5" s="319"/>
    </row>
    <row r="6" spans="1:28" ht="22" customHeight="1">
      <c r="A6" s="321" t="s">
        <v>53</v>
      </c>
      <c r="B6" s="96">
        <v>401051</v>
      </c>
      <c r="C6" s="41" t="s">
        <v>227</v>
      </c>
      <c r="D6" s="42">
        <v>41176</v>
      </c>
      <c r="E6" s="43" t="s">
        <v>2</v>
      </c>
      <c r="F6" s="44">
        <v>173</v>
      </c>
      <c r="G6" s="322">
        <f>IF(OR(E6="",F6=""),"",PID_KVLohnLookup($A$1,E6,F6,LOHNTABELLE!$H$4))</f>
        <v>2021</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21" t="s">
        <v>54</v>
      </c>
      <c r="B7" s="97">
        <v>401089</v>
      </c>
      <c r="C7" s="49" t="s">
        <v>241</v>
      </c>
      <c r="D7" s="50">
        <v>44868</v>
      </c>
      <c r="E7" s="51" t="s">
        <v>3</v>
      </c>
      <c r="F7" s="52">
        <v>173</v>
      </c>
      <c r="G7" s="322">
        <f>IF(OR(E7="",F7=""),"",PID_KVLohnLookup($A$1,E7,F7,LOHNTABELLE!$H$4))</f>
        <v>2082</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319"/>
      <c r="P7" s="319"/>
      <c r="Q7" s="319"/>
      <c r="R7" s="319"/>
      <c r="S7" s="319"/>
      <c r="T7" s="319"/>
      <c r="U7" s="319"/>
      <c r="V7" s="319"/>
    </row>
    <row r="8" spans="1:28" ht="22" customHeight="1">
      <c r="A8" s="321" t="s">
        <v>55</v>
      </c>
      <c r="B8" s="96">
        <v>401138</v>
      </c>
      <c r="C8" s="41" t="s">
        <v>228</v>
      </c>
      <c r="D8" s="42">
        <v>42006</v>
      </c>
      <c r="E8" s="43" t="s">
        <v>4</v>
      </c>
      <c r="F8" s="44">
        <v>173</v>
      </c>
      <c r="G8" s="322">
        <f>IF(OR(E8="",F8=""),"",PID_KVLohnLookup($A$1,E8,F8,LOHNTABELLE!$H$4))</f>
        <v>2123</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33" t="s">
        <v>56</v>
      </c>
      <c r="P8" s="334"/>
      <c r="Q8" s="335">
        <f>SUM(H3:H82)</f>
        <v>8378.2999999999993</v>
      </c>
      <c r="R8" s="336"/>
      <c r="S8" s="319"/>
      <c r="T8" s="319"/>
      <c r="U8" s="319"/>
      <c r="V8" s="319"/>
    </row>
    <row r="9" spans="1:28" ht="22" customHeight="1">
      <c r="A9" s="321" t="s">
        <v>57</v>
      </c>
      <c r="B9" s="97">
        <v>401197</v>
      </c>
      <c r="C9" s="49" t="s">
        <v>229</v>
      </c>
      <c r="D9" s="53">
        <v>42644</v>
      </c>
      <c r="E9" s="51" t="s">
        <v>3</v>
      </c>
      <c r="F9" s="52">
        <v>173</v>
      </c>
      <c r="G9" s="322">
        <f>IF(OR(E9="",F9=""),"",PID_KVLohnLookup($A$1,E9,F9,LOHNTABELLE!$H$4))</f>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37" t="s">
        <v>58</v>
      </c>
      <c r="P9" s="338"/>
      <c r="Q9" s="339">
        <f>EINSTELLUNG!L27</f>
        <v>6</v>
      </c>
      <c r="R9" s="340"/>
      <c r="S9" s="341">
        <f>IFERROR(Q9/Q8, 0)</f>
        <v>7.1613573159232786E-4</v>
      </c>
      <c r="T9" s="319"/>
      <c r="U9" s="319"/>
      <c r="V9" s="319"/>
    </row>
    <row r="10" spans="1:28" ht="22" customHeight="1">
      <c r="A10" s="321" t="s">
        <v>59</v>
      </c>
      <c r="B10" s="96">
        <v>401214</v>
      </c>
      <c r="C10" s="41" t="s">
        <v>255</v>
      </c>
      <c r="D10" s="45">
        <v>45636</v>
      </c>
      <c r="E10" s="43" t="s">
        <v>3</v>
      </c>
      <c r="F10" s="44">
        <v>173</v>
      </c>
      <c r="G10" s="322">
        <f>IF(OR(E10="",F10=""),"",PID_KVLohnLookup($A$1,E10,F10,LOHNTABELLE!$H$4))</f>
        <v>2082</v>
      </c>
      <c r="H10" s="323">
        <f>IF(AND(ISNUMBER(D10),ISNUMBER(F10)),ROUNDDOWN(MIN(IF(OR(ISBLANK(I10),I10=""),EOMONTH(DATE(EINSTELLUNG!$C$35,$A$1,1),0),I10)-MAX(D10,DATE(EINSTELLUNG!$C$35,$A$1,1))+1)/DAY(EOMONTH(DATE(EINSTELLUNG!$C$35,$A$1,1),0))*F10,2),"")</f>
        <v>173</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37" t="s">
        <v>60</v>
      </c>
      <c r="P10" s="338"/>
      <c r="Q10" s="339">
        <f>EINSTELLUNG!I27</f>
        <v>150</v>
      </c>
      <c r="R10" s="340"/>
      <c r="S10" s="319"/>
      <c r="T10" s="319"/>
      <c r="U10" s="319"/>
      <c r="V10" s="319"/>
    </row>
    <row r="11" spans="1:28" ht="22" customHeight="1">
      <c r="A11" s="321" t="s">
        <v>61</v>
      </c>
      <c r="B11" s="97">
        <v>401276</v>
      </c>
      <c r="C11" s="49" t="s">
        <v>230</v>
      </c>
      <c r="D11" s="50">
        <v>43252</v>
      </c>
      <c r="E11" s="51" t="s">
        <v>3</v>
      </c>
      <c r="F11" s="52">
        <v>173</v>
      </c>
      <c r="G11" s="322">
        <f>IF(OR(E11="",F11=""),"",PID_KVLohnLookup($A$1,E11,F11,LOHNTABELLE!$H$4))</f>
        <v>2082</v>
      </c>
      <c r="H11" s="323">
        <f>IF(AND(ISNUMBER(D11),ISNUMBER(F11)),ROUNDDOWN(MIN(IF(OR(ISBLANK(I11),I11=""),EOMONTH(DATE(EINSTELLUNG!$C$35,$A$1,1),0),I11)-MAX(D11,DATE(EINSTELLUNG!$C$35,$A$1,1))+1)/DAY(EOMONTH(DATE(EINSTELLUNG!$C$35,$A$1,1),0))*F11,2),"")</f>
        <v>173</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337" t="s">
        <v>62</v>
      </c>
      <c r="P11" s="338"/>
      <c r="Q11" s="339">
        <f>P5</f>
        <v>600</v>
      </c>
      <c r="R11" s="340"/>
      <c r="S11" s="319"/>
      <c r="T11" s="319"/>
      <c r="U11" s="319"/>
      <c r="V11" s="319"/>
    </row>
    <row r="12" spans="1:28" ht="22" customHeight="1">
      <c r="A12" s="321" t="s">
        <v>63</v>
      </c>
      <c r="B12" s="96">
        <v>401276</v>
      </c>
      <c r="C12" s="41" t="s">
        <v>392</v>
      </c>
      <c r="D12" s="42">
        <v>38899</v>
      </c>
      <c r="E12" s="43" t="s">
        <v>2</v>
      </c>
      <c r="F12" s="44">
        <v>55</v>
      </c>
      <c r="G12" s="322">
        <f>IF(OR(E12="",F12=""),"",PID_KVLohnLookup($A$1,E12,F12,LOHNTABELLE!$H$4))</f>
        <v>666</v>
      </c>
      <c r="H12" s="323">
        <f>IF(AND(ISNUMBER(D12),ISNUMBER(F12)),ROUNDDOWN(MIN(IF(OR(ISBLANK(I12),I12=""),EOMONTH(DATE(EINSTELLUNG!$C$35,$A$1,1),0),I12)-MAX(D12,DATE(EINSTELLUNG!$C$35,$A$1,1))+1)/DAY(EOMONTH(DATE(EINSTELLUNG!$C$35,$A$1,1),0))*F12,2),"")</f>
        <v>55</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37" t="s">
        <v>64</v>
      </c>
      <c r="P12" s="338"/>
      <c r="Q12" s="167">
        <v>100</v>
      </c>
      <c r="R12" s="168"/>
      <c r="S12" s="319"/>
      <c r="T12" s="319"/>
      <c r="U12" s="319"/>
      <c r="V12" s="319"/>
    </row>
    <row r="13" spans="1:28" ht="22" customHeight="1">
      <c r="A13" s="321" t="s">
        <v>65</v>
      </c>
      <c r="B13" s="97">
        <v>401307</v>
      </c>
      <c r="C13" s="49" t="s">
        <v>231</v>
      </c>
      <c r="D13" s="53">
        <v>43571</v>
      </c>
      <c r="E13" s="51" t="s">
        <v>2</v>
      </c>
      <c r="F13" s="52">
        <v>55</v>
      </c>
      <c r="G13" s="322">
        <f>IF(OR(E13="",F13=""),"",PID_KVLohnLookup($A$1,E13,F13,LOHNTABELLE!$H$4))</f>
        <v>666</v>
      </c>
      <c r="H13" s="323">
        <f>IF(AND(ISNUMBER(D13),ISNUMBER(F13)),ROUNDDOWN(MIN(IF(OR(ISBLANK(I13),I13=""),EOMONTH(DATE(EINSTELLUNG!$C$35,$A$1,1),0),I13)-MAX(D13,DATE(EINSTELLUNG!$C$35,$A$1,1))+1)/DAY(EOMONTH(DATE(EINSTELLUNG!$C$35,$A$1,1),0))*F13,2),"")</f>
        <v>55</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337" t="s">
        <v>66</v>
      </c>
      <c r="P13" s="338"/>
      <c r="Q13" s="339">
        <f>Q8-Q9-Q10-Q11-Q12</f>
        <v>7522.2999999999993</v>
      </c>
      <c r="R13" s="340"/>
      <c r="S13" s="319"/>
      <c r="T13" s="319"/>
      <c r="U13" s="319"/>
      <c r="V13" s="319"/>
    </row>
    <row r="14" spans="1:28" ht="22" customHeight="1">
      <c r="A14" s="321" t="s">
        <v>67</v>
      </c>
      <c r="B14" s="96">
        <v>401308</v>
      </c>
      <c r="C14" s="41" t="s">
        <v>232</v>
      </c>
      <c r="D14" s="42">
        <v>43579</v>
      </c>
      <c r="E14" s="43" t="s">
        <v>3</v>
      </c>
      <c r="F14" s="44">
        <v>173</v>
      </c>
      <c r="G14" s="322">
        <f>IF(OR(E14="",F14=""),"",PID_KVLohnLookup($A$1,E14,F14,LOHNTABELLE!$H$4))</f>
        <v>2082</v>
      </c>
      <c r="H14" s="323">
        <f>IF(AND(ISNUMBER(D14),ISNUMBER(F14)),ROUNDDOWN(MIN(IF(OR(ISBLANK(I14),I14=""),EOMONTH(DATE(EINSTELLUNG!$C$35,$A$1,1),0),I14)-MAX(D14,DATE(EINSTELLUNG!$C$35,$A$1,1))+1)/DAY(EOMONTH(DATE(EINSTELLUNG!$C$35,$A$1,1),0))*F14,2),"")</f>
        <v>173</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37" t="s">
        <v>68</v>
      </c>
      <c r="P14" s="338"/>
      <c r="Q14" s="339">
        <f>EINSTELLUNG!L11</f>
        <v>9300</v>
      </c>
      <c r="R14" s="340"/>
      <c r="S14" s="319"/>
      <c r="T14" s="319"/>
      <c r="U14" s="319"/>
      <c r="V14" s="319"/>
    </row>
    <row r="15" spans="1:28" ht="22" customHeight="1" thickBot="1">
      <c r="A15" s="321" t="s">
        <v>69</v>
      </c>
      <c r="B15" s="97">
        <v>401394</v>
      </c>
      <c r="C15" s="49" t="s">
        <v>233</v>
      </c>
      <c r="D15" s="50">
        <v>44379</v>
      </c>
      <c r="E15" s="51" t="s">
        <v>2</v>
      </c>
      <c r="F15" s="52">
        <v>173</v>
      </c>
      <c r="G15" s="322">
        <f>IF(OR(E15="",F15=""),"",PID_KVLohnLookup($A$1,E15,F15,LOHNTABELLE!$H$4))</f>
        <v>2021</v>
      </c>
      <c r="H15" s="323">
        <f>IF(AND(ISNUMBER(D15),ISNUMBER(F15)),ROUNDDOWN(MIN(IF(OR(ISBLANK(I15),I15=""),EOMONTH(DATE(EINSTELLUNG!$C$35,$A$1,1),0),I15)-MAX(D15,DATE(EINSTELLUNG!$C$35,$A$1,1))+1)/DAY(EOMONTH(DATE(EINSTELLUNG!$C$35,$A$1,1),0))*F15,2),"")</f>
        <v>173</v>
      </c>
      <c r="I15" s="53"/>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5"/>
      <c r="N15" s="71"/>
      <c r="O15" s="342" t="s">
        <v>70</v>
      </c>
      <c r="P15" s="343"/>
      <c r="Q15" s="344">
        <f>Q13-Q14</f>
        <v>-1777.7000000000007</v>
      </c>
      <c r="R15" s="345"/>
      <c r="S15" s="346"/>
      <c r="T15" s="346"/>
      <c r="U15" s="346"/>
      <c r="V15" s="319"/>
    </row>
    <row r="16" spans="1:28" ht="22" customHeight="1" thickBot="1">
      <c r="A16" s="321" t="s">
        <v>71</v>
      </c>
      <c r="B16" s="96">
        <v>401479</v>
      </c>
      <c r="C16" s="41" t="s">
        <v>238</v>
      </c>
      <c r="D16" s="42">
        <v>44511</v>
      </c>
      <c r="E16" s="43" t="s">
        <v>6</v>
      </c>
      <c r="F16" s="44">
        <v>173</v>
      </c>
      <c r="G16" s="322">
        <f>IF(OR(E16="",F16=""),"",PID_KVLohnLookup($A$1,E16,F16,LOHNTABELLE!$H$4))</f>
        <v>2160</v>
      </c>
      <c r="H16" s="323">
        <f>IF(AND(ISNUMBER(D16),ISNUMBER(F16)),ROUNDDOWN(MIN(IF(OR(ISBLANK(I16),I16=""),EOMONTH(DATE(EINSTELLUNG!$C$35,$A$1,1),0),I16)-MAX(D16,DATE(EINSTELLUNG!$C$35,$A$1,1))+1)/DAY(EOMONTH(DATE(EINSTELLUNG!$C$35,$A$1,1),0))*F16,2),"")</f>
        <v>173</v>
      </c>
      <c r="I16" s="45"/>
      <c r="J16" s="46"/>
      <c r="K16" s="322">
        <f t="shared" si="0"/>
        <v>0</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7"/>
      <c r="N16" s="70"/>
      <c r="O16" s="347" t="str">
        <f>IF(Q15&lt;0, "Schlecht! Zu wenig Stunden für Dienstplan.", IF(Q15&gt;0, "Du hast mehr als genug Stunden für Dienstplan.", ""))</f>
        <v>Schlecht! Zu wenig Stunden für Dienstplan.</v>
      </c>
      <c r="P16" s="348"/>
      <c r="Q16" s="348"/>
      <c r="R16" s="349"/>
      <c r="S16" s="350"/>
      <c r="T16" s="350"/>
      <c r="U16" s="350"/>
      <c r="V16" s="350"/>
      <c r="W16" s="351"/>
    </row>
    <row r="17" spans="1:29" ht="22" customHeight="1">
      <c r="A17" s="321" t="s">
        <v>72</v>
      </c>
      <c r="B17" s="97">
        <v>401558</v>
      </c>
      <c r="C17" s="49" t="s">
        <v>236</v>
      </c>
      <c r="D17" s="50">
        <v>44460</v>
      </c>
      <c r="E17" s="51" t="s">
        <v>2</v>
      </c>
      <c r="F17" s="52">
        <v>173</v>
      </c>
      <c r="G17" s="322">
        <f>IF(OR(E17="",F17=""),"",PID_KVLohnLookup($A$1,E17,F17,LOHNTABELLE!$H$4))</f>
        <v>2021</v>
      </c>
      <c r="H17" s="323">
        <f>IF(AND(ISNUMBER(D17),ISNUMBER(F17)),ROUNDDOWN(MIN(IF(OR(ISBLANK(I17),I17=""),EOMONTH(DATE(EINSTELLUNG!$C$35,$A$1,1),0),I17)-MAX(D17,DATE(EINSTELLUNG!$C$35,$A$1,1))+1)/DAY(EOMONTH(DATE(EINSTELLUNG!$C$35,$A$1,1),0))*F17,2),"")</f>
        <v>173</v>
      </c>
      <c r="I17" s="53"/>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5"/>
      <c r="N17" s="71"/>
      <c r="O17" s="352" t="s">
        <v>73</v>
      </c>
      <c r="P17" s="334"/>
      <c r="Q17" s="353">
        <f>SUM(L3:L82)</f>
        <v>100176.25666666668</v>
      </c>
      <c r="R17" s="354"/>
      <c r="S17" s="319"/>
      <c r="T17" s="319"/>
      <c r="U17" s="319"/>
      <c r="V17" s="319"/>
      <c r="W17" s="351"/>
    </row>
    <row r="18" spans="1:29" ht="22" customHeight="1">
      <c r="A18" s="321" t="s">
        <v>74</v>
      </c>
      <c r="B18" s="96">
        <v>401564</v>
      </c>
      <c r="C18" s="41" t="s">
        <v>240</v>
      </c>
      <c r="D18" s="42">
        <v>44824</v>
      </c>
      <c r="E18" s="43" t="s">
        <v>2</v>
      </c>
      <c r="F18" s="44">
        <v>151.38</v>
      </c>
      <c r="G18" s="322">
        <f>IF(OR(E18="",F18=""),"",PID_KVLohnLookup($A$1,E18,F18,LOHNTABELLE!$H$4))</f>
        <v>1768.38</v>
      </c>
      <c r="H18" s="323">
        <f>IF(AND(ISNUMBER(D18),ISNUMBER(F18)),ROUNDDOWN(MIN(IF(OR(ISBLANK(I18),I18=""),EOMONTH(DATE(EINSTELLUNG!$C$35,$A$1,1),0),I18)-MAX(D18,DATE(EINSTELLUNG!$C$35,$A$1,1))+1)/DAY(EOMONTH(DATE(EINSTELLUNG!$C$35,$A$1,1),0))*F18,2),"")</f>
        <v>151.38</v>
      </c>
      <c r="I18" s="45"/>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7"/>
      <c r="N18" s="70"/>
      <c r="O18" s="355" t="s">
        <v>376</v>
      </c>
      <c r="P18" s="356"/>
      <c r="Q18" s="357">
        <v>20</v>
      </c>
      <c r="R18" s="358"/>
      <c r="S18" s="319"/>
      <c r="T18" s="319"/>
      <c r="U18" s="319"/>
      <c r="V18" s="319"/>
    </row>
    <row r="19" spans="1:29" ht="22" customHeight="1">
      <c r="A19" s="321" t="s">
        <v>75</v>
      </c>
      <c r="B19" s="97">
        <v>401583</v>
      </c>
      <c r="C19" s="49" t="s">
        <v>242</v>
      </c>
      <c r="D19" s="50">
        <v>44900</v>
      </c>
      <c r="E19" s="51" t="s">
        <v>13</v>
      </c>
      <c r="F19" s="52">
        <v>173</v>
      </c>
      <c r="G19" s="322">
        <f>IF(OR(E19="",F19=""),"",PID_KVLohnLookup($A$1,E19,F19,LOHNTABELLE!$H$4))</f>
        <v>2328</v>
      </c>
      <c r="H19" s="323">
        <f>IF(AND(ISNUMBER(D19),ISNUMBER(F19)),ROUNDDOWN(MIN(IF(OR(ISBLANK(I19),I19=""),EOMONTH(DATE(EINSTELLUNG!$C$35,$A$1,1),0),I19)-MAX(D19,DATE(EINSTELLUNG!$C$35,$A$1,1))+1)/DAY(EOMONTH(DATE(EINSTELLUNG!$C$35,$A$1,1),0))*F19,2),"")</f>
        <v>173</v>
      </c>
      <c r="I19" s="53"/>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5"/>
      <c r="N19" s="71"/>
      <c r="O19" s="355" t="s">
        <v>294</v>
      </c>
      <c r="P19" s="356"/>
      <c r="Q19" s="357">
        <v>333</v>
      </c>
      <c r="R19" s="358"/>
      <c r="S19" s="319"/>
      <c r="T19" s="319"/>
      <c r="U19" s="319"/>
      <c r="V19" s="319"/>
    </row>
    <row r="20" spans="1:29" ht="22" customHeight="1">
      <c r="A20" s="321" t="s">
        <v>76</v>
      </c>
      <c r="B20" s="96">
        <v>401589</v>
      </c>
      <c r="C20" s="41" t="s">
        <v>243</v>
      </c>
      <c r="D20" s="42">
        <v>44926</v>
      </c>
      <c r="E20" s="43" t="s">
        <v>10</v>
      </c>
      <c r="F20" s="44">
        <v>173</v>
      </c>
      <c r="G20" s="322">
        <f>IF(OR(E20="",F20=""),"",PID_KVLohnLookup($A$1,E20,F20,LOHNTABELLE!$H$4))</f>
        <v>2300</v>
      </c>
      <c r="H20" s="323">
        <f>IF(AND(ISNUMBER(D20),ISNUMBER(F20)),ROUNDDOWN(MIN(IF(OR(ISBLANK(I20),I20=""),EOMONTH(DATE(EINSTELLUNG!$C$35,$A$1,1),0),I20)-MAX(D20,DATE(EINSTELLUNG!$C$35,$A$1,1))+1)/DAY(EOMONTH(DATE(EINSTELLUNG!$C$35,$A$1,1),0))*F20,2),"")</f>
        <v>173</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7"/>
      <c r="N20" s="70"/>
      <c r="O20" s="355" t="s">
        <v>294</v>
      </c>
      <c r="P20" s="356"/>
      <c r="Q20" s="357">
        <v>35</v>
      </c>
      <c r="R20" s="358"/>
      <c r="S20" s="319"/>
      <c r="T20" s="319"/>
      <c r="U20" s="319"/>
      <c r="V20" s="319"/>
    </row>
    <row r="21" spans="1:29" ht="22" customHeight="1">
      <c r="A21" s="321" t="s">
        <v>77</v>
      </c>
      <c r="B21" s="97">
        <v>401602</v>
      </c>
      <c r="C21" s="66" t="s">
        <v>244</v>
      </c>
      <c r="D21" s="53">
        <v>45975</v>
      </c>
      <c r="E21" s="51" t="s">
        <v>2</v>
      </c>
      <c r="F21" s="52">
        <v>169</v>
      </c>
      <c r="G21" s="322">
        <f>IF(OR(E21="",F21=""),"",PID_KVLohnLookup($A$1,E21,F21,LOHNTABELLE!$H$4))</f>
        <v>2000</v>
      </c>
      <c r="H21" s="323">
        <f>IF(AND(ISNUMBER(D21),ISNUMBER(F21)),ROUNDDOWN(MIN(IF(OR(ISBLANK(I21),I21=""),EOMONTH(DATE(EINSTELLUNG!$C$35,$A$1,1),0),I21)-MAX(D21,DATE(EINSTELLUNG!$C$35,$A$1,1))+1)/DAY(EOMONTH(DATE(EINSTELLUNG!$C$35,$A$1,1),0))*F21,2),"")</f>
        <v>169</v>
      </c>
      <c r="I21" s="53"/>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5"/>
      <c r="N21" s="71"/>
      <c r="O21" s="355" t="s">
        <v>294</v>
      </c>
      <c r="P21" s="356"/>
      <c r="Q21" s="357">
        <v>100</v>
      </c>
      <c r="R21" s="358"/>
      <c r="S21" s="319"/>
      <c r="T21" s="319"/>
      <c r="U21" s="319"/>
      <c r="V21" s="319"/>
    </row>
    <row r="22" spans="1:29" ht="22" customHeight="1">
      <c r="A22" s="321" t="s">
        <v>78</v>
      </c>
      <c r="B22" s="96">
        <v>401605</v>
      </c>
      <c r="C22" s="41" t="s">
        <v>245</v>
      </c>
      <c r="D22" s="42">
        <v>44986</v>
      </c>
      <c r="E22" s="43" t="s">
        <v>2</v>
      </c>
      <c r="F22" s="44">
        <v>173</v>
      </c>
      <c r="G22" s="322">
        <f>IF(OR(E22="",F22=""),"",PID_KVLohnLookup($A$1,E22,F22,LOHNTABELLE!$H$4))</f>
        <v>2021</v>
      </c>
      <c r="H22" s="323">
        <f>IF(AND(ISNUMBER(D22),ISNUMBER(F22)),ROUNDDOWN(MIN(IF(OR(ISBLANK(I22),I22=""),EOMONTH(DATE(EINSTELLUNG!$C$35,$A$1,1),0),I22)-MAX(D22,DATE(EINSTELLUNG!$C$35,$A$1,1))+1)/DAY(EOMONTH(DATE(EINSTELLUNG!$C$35,$A$1,1),0))*F22,2),"")</f>
        <v>173</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5" t="s">
        <v>294</v>
      </c>
      <c r="P22" s="356"/>
      <c r="Q22" s="357"/>
      <c r="R22" s="358"/>
      <c r="S22" s="319"/>
      <c r="T22" s="319"/>
      <c r="U22" s="319"/>
      <c r="V22" s="319"/>
    </row>
    <row r="23" spans="1:29" ht="22" customHeight="1">
      <c r="A23" s="321" t="s">
        <v>79</v>
      </c>
      <c r="B23" s="97">
        <v>401605</v>
      </c>
      <c r="C23" s="49" t="s">
        <v>393</v>
      </c>
      <c r="D23" s="50">
        <v>36850</v>
      </c>
      <c r="E23" s="51" t="s">
        <v>10</v>
      </c>
      <c r="F23" s="52">
        <v>151.38</v>
      </c>
      <c r="G23" s="322">
        <f>IF(OR(E23="",F23=""),"",PID_KVLohnLookup($A$1,E23,F23,LOHNTABELLE!$H$4))</f>
        <v>2012.5</v>
      </c>
      <c r="H23" s="323">
        <f>IF(AND(ISNUMBER(D23),ISNUMBER(F23)),ROUNDDOWN(MIN(IF(OR(ISBLANK(I23),I23=""),EOMONTH(DATE(EINSTELLUNG!$C$35,$A$1,1),0),I23)-MAX(D23,DATE(EINSTELLUNG!$C$35,$A$1,1))+1)/DAY(EOMONTH(DATE(EINSTELLUNG!$C$35,$A$1,1),0))*F23,2),"")</f>
        <v>151.38</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5"/>
      <c r="N23" s="71"/>
      <c r="O23" s="355" t="s">
        <v>294</v>
      </c>
      <c r="P23" s="356"/>
      <c r="Q23" s="357">
        <v>5000</v>
      </c>
      <c r="R23" s="358"/>
      <c r="S23" s="319"/>
      <c r="T23" s="319"/>
      <c r="U23" s="319"/>
      <c r="V23" s="319"/>
      <c r="W23" s="351"/>
    </row>
    <row r="24" spans="1:29" ht="22" customHeight="1">
      <c r="A24" s="321" t="s">
        <v>80</v>
      </c>
      <c r="B24" s="96">
        <v>401626</v>
      </c>
      <c r="C24" s="41" t="s">
        <v>246</v>
      </c>
      <c r="D24" s="42">
        <v>45063</v>
      </c>
      <c r="E24" s="43" t="s">
        <v>2</v>
      </c>
      <c r="F24" s="44">
        <v>173</v>
      </c>
      <c r="G24" s="322">
        <f>IF(OR(E24="",F24=""),"",PID_KVLohnLookup($A$1,E24,F24,LOHNTABELLE!$H$4))</f>
        <v>2021</v>
      </c>
      <c r="H24" s="323">
        <f>IF(AND(ISNUMBER(D24),ISNUMBER(F24)),ROUNDDOWN(MIN(IF(OR(ISBLANK(I24),I24=""),EOMONTH(DATE(EINSTELLUNG!$C$35,$A$1,1),0),I24)-MAX(D24,DATE(EINSTELLUNG!$C$35,$A$1,1))+1)/DAY(EOMONTH(DATE(EINSTELLUNG!$C$35,$A$1,1),0))*F24,2),"")</f>
        <v>173</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355"/>
      <c r="P24" s="356"/>
      <c r="Q24" s="357"/>
      <c r="R24" s="358"/>
      <c r="S24" s="319"/>
      <c r="T24" s="319"/>
      <c r="U24" s="319"/>
      <c r="V24" s="319"/>
      <c r="W24" s="351"/>
    </row>
    <row r="25" spans="1:29" ht="22" customHeight="1">
      <c r="A25" s="321" t="s">
        <v>81</v>
      </c>
      <c r="B25" s="97">
        <v>401633</v>
      </c>
      <c r="C25" s="49" t="s">
        <v>247</v>
      </c>
      <c r="D25" s="50">
        <v>45089</v>
      </c>
      <c r="E25" s="51" t="s">
        <v>10</v>
      </c>
      <c r="F25" s="52">
        <v>173</v>
      </c>
      <c r="G25" s="322">
        <f>IF(OR(E25="",F25=""),"",PID_KVLohnLookup($A$1,E25,F25,LOHNTABELLE!$H$4))</f>
        <v>2300</v>
      </c>
      <c r="H25" s="323">
        <f>IF(AND(ISNUMBER(D25),ISNUMBER(F25)),ROUNDDOWN(MIN(IF(OR(ISBLANK(I25),I25=""),EOMONTH(DATE(EINSTELLUNG!$C$35,$A$1,1),0),I25)-MAX(D25,DATE(EINSTELLUNG!$C$35,$A$1,1))+1)/DAY(EOMONTH(DATE(EINSTELLUNG!$C$35,$A$1,1),0))*F25,2),"")</f>
        <v>173</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355"/>
      <c r="P25" s="356"/>
      <c r="Q25" s="357"/>
      <c r="R25" s="358"/>
      <c r="S25" s="319"/>
      <c r="T25" s="319"/>
      <c r="U25" s="319"/>
      <c r="V25" s="319"/>
    </row>
    <row r="26" spans="1:29" ht="22" customHeight="1">
      <c r="A26" s="321" t="s">
        <v>82</v>
      </c>
      <c r="B26" s="96">
        <v>401647</v>
      </c>
      <c r="C26" s="41" t="s">
        <v>248</v>
      </c>
      <c r="D26" s="42">
        <v>45182</v>
      </c>
      <c r="E26" s="43" t="s">
        <v>2</v>
      </c>
      <c r="F26" s="44">
        <v>173</v>
      </c>
      <c r="G26" s="322">
        <f>IF(OR(E26="",F26=""),"",PID_KVLohnLookup($A$1,E26,F26,LOHNTABELLE!$H$4))</f>
        <v>2021</v>
      </c>
      <c r="H26" s="323">
        <f>IF(AND(ISNUMBER(D26),ISNUMBER(F26)),ROUNDDOWN(MIN(IF(OR(ISBLANK(I26),I26=""),EOMONTH(DATE(EINSTELLUNG!$C$35,$A$1,1),0),I26)-MAX(D26,DATE(EINSTELLUNG!$C$35,$A$1,1))+1)/DAY(EOMONTH(DATE(EINSTELLUNG!$C$35,$A$1,1),0))*F26,2),"")</f>
        <v>173</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5"/>
      <c r="P26" s="356"/>
      <c r="Q26" s="357"/>
      <c r="R26" s="358"/>
      <c r="S26" s="319"/>
      <c r="T26" s="319"/>
      <c r="U26" s="319"/>
      <c r="V26" s="319"/>
    </row>
    <row r="27" spans="1:29" ht="22" customHeight="1">
      <c r="A27" s="321" t="s">
        <v>83</v>
      </c>
      <c r="B27" s="97">
        <v>401661</v>
      </c>
      <c r="C27" s="49" t="s">
        <v>249</v>
      </c>
      <c r="D27" s="50">
        <v>45261</v>
      </c>
      <c r="E27" s="51" t="s">
        <v>2</v>
      </c>
      <c r="F27" s="52">
        <v>173</v>
      </c>
      <c r="G27" s="322">
        <f>IF(OR(E27="",F27=""),"",PID_KVLohnLookup($A$1,E27,F27,LOHNTABELLE!$H$4))</f>
        <v>2021</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5"/>
      <c r="P27" s="356"/>
      <c r="Q27" s="357"/>
      <c r="R27" s="358"/>
      <c r="S27" s="359" t="s">
        <v>84</v>
      </c>
      <c r="T27" s="359"/>
      <c r="U27" s="359"/>
      <c r="V27" s="359"/>
    </row>
    <row r="28" spans="1:29" ht="22" customHeight="1">
      <c r="A28" s="321" t="s">
        <v>85</v>
      </c>
      <c r="B28" s="96">
        <v>401670</v>
      </c>
      <c r="C28" s="41" t="s">
        <v>250</v>
      </c>
      <c r="D28" s="42">
        <v>45358</v>
      </c>
      <c r="E28" s="43" t="s">
        <v>2</v>
      </c>
      <c r="F28" s="44">
        <v>173</v>
      </c>
      <c r="G28" s="322">
        <f>IF(OR(E28="",F28=""),"",PID_KVLohnLookup($A$1,E28,F28,LOHNTABELLE!$H$4))</f>
        <v>2021</v>
      </c>
      <c r="H28" s="323">
        <f>IF(AND(ISNUMBER(D28),ISNUMBER(F28)),ROUNDDOWN(MIN(IF(OR(ISBLANK(I28),I28=""),EOMONTH(DATE(EINSTELLUNG!$C$35,$A$1,1),0),I28)-MAX(D28,DATE(EINSTELLUNG!$C$35,$A$1,1))+1)/DAY(EOMONTH(DATE(EINSTELLUNG!$C$35,$A$1,1),0))*F28,2),"")</f>
        <v>173</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55"/>
      <c r="P28" s="356"/>
      <c r="Q28" s="357"/>
      <c r="R28" s="358"/>
      <c r="S28" s="319"/>
      <c r="T28" s="319"/>
      <c r="U28" s="319"/>
      <c r="V28" s="319"/>
    </row>
    <row r="29" spans="1:29" ht="22" customHeight="1" thickBot="1">
      <c r="A29" s="321" t="s">
        <v>86</v>
      </c>
      <c r="B29" s="97">
        <v>401678</v>
      </c>
      <c r="C29" s="49" t="s">
        <v>251</v>
      </c>
      <c r="D29" s="50">
        <v>45414</v>
      </c>
      <c r="E29" s="51" t="s">
        <v>2</v>
      </c>
      <c r="F29" s="52">
        <v>173</v>
      </c>
      <c r="G29" s="322">
        <f>IF(OR(E29="",F29=""),"",PID_KVLohnLookup($A$1,E29,F29,LOHNTABELLE!$H$4))</f>
        <v>2021</v>
      </c>
      <c r="H29" s="323">
        <f>IF(AND(ISNUMBER(D29),ISNUMBER(F29)),ROUNDDOWN(MIN(IF(OR(ISBLANK(I29),I29=""),EOMONTH(DATE(EINSTELLUNG!$C$35,$A$1,1),0),I29)-MAX(D29,DATE(EINSTELLUNG!$C$35,$A$1,1))+1)/DAY(EOMONTH(DATE(EINSTELLUNG!$C$35,$A$1,1),0))*F29,2),"")</f>
        <v>173</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0" t="s">
        <v>87</v>
      </c>
      <c r="P29" s="343"/>
      <c r="Q29" s="361">
        <f>EINSTELLUNG!O11</f>
        <v>1250</v>
      </c>
      <c r="R29" s="362"/>
      <c r="S29" s="319"/>
      <c r="T29" s="319"/>
      <c r="U29" s="319"/>
      <c r="V29" s="319"/>
    </row>
    <row r="30" spans="1:29" ht="22" customHeight="1" thickBot="1">
      <c r="A30" s="321" t="s">
        <v>88</v>
      </c>
      <c r="B30" s="96">
        <v>401690</v>
      </c>
      <c r="C30" s="41" t="s">
        <v>253</v>
      </c>
      <c r="D30" s="42">
        <v>45536</v>
      </c>
      <c r="E30" s="43" t="s">
        <v>2</v>
      </c>
      <c r="F30" s="44">
        <v>151.38</v>
      </c>
      <c r="G30" s="322">
        <f>IF(OR(E30="",F30=""),"",PID_KVLohnLookup($A$1,E30,F30,LOHNTABELLE!$H$4))</f>
        <v>1768.38</v>
      </c>
      <c r="H30" s="323">
        <f>IF(AND(ISNUMBER(D30),ISNUMBER(F30)),ROUNDDOWN(MIN(IF(OR(ISBLANK(I30),I30=""),EOMONTH(DATE(EINSTELLUNG!$C$35,$A$1,1),0),I30)-MAX(D30,DATE(EINSTELLUNG!$C$35,$A$1,1))+1)/DAY(EOMONTH(DATE(EINSTELLUNG!$C$35,$A$1,1),0))*F30,2),"")</f>
        <v>151.38</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7"/>
      <c r="N30" s="70"/>
      <c r="O30" s="319"/>
      <c r="P30" s="319"/>
      <c r="Q30" s="319"/>
      <c r="R30" s="319"/>
      <c r="S30" s="319"/>
      <c r="T30" s="319"/>
      <c r="U30" s="319"/>
      <c r="V30" s="319"/>
      <c r="W30" s="363"/>
      <c r="X30" s="363"/>
      <c r="Y30" s="363"/>
      <c r="Z30" s="363"/>
      <c r="AA30" s="363"/>
      <c r="AB30" s="363"/>
      <c r="AC30" s="363"/>
    </row>
    <row r="31" spans="1:29" ht="22" customHeight="1" thickBot="1">
      <c r="A31" s="321" t="s">
        <v>89</v>
      </c>
      <c r="B31" s="97">
        <v>401715</v>
      </c>
      <c r="C31" s="49" t="s">
        <v>256</v>
      </c>
      <c r="D31" s="50">
        <v>45755</v>
      </c>
      <c r="E31" s="51" t="s">
        <v>2</v>
      </c>
      <c r="F31" s="52">
        <v>173</v>
      </c>
      <c r="G31" s="322">
        <f>IF(OR(E31="",F31=""),"",PID_KVLohnLookup($A$1,E31,F31,LOHNTABELLE!$H$4))</f>
        <v>2021</v>
      </c>
      <c r="H31" s="323">
        <f>IF(AND(ISNUMBER(D31),ISNUMBER(F31)),ROUNDDOWN(MIN(IF(OR(ISBLANK(I31),I31=""),EOMONTH(DATE(EINSTELLUNG!$C$35,$A$1,1),0),I31)-MAX(D31,DATE(EINSTELLUNG!$C$35,$A$1,1))+1)/DAY(EOMONTH(DATE(EINSTELLUNG!$C$35,$A$1,1),0))*F31,2),"")</f>
        <v>173</v>
      </c>
      <c r="I31" s="53"/>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4" t="s">
        <v>421</v>
      </c>
      <c r="P31" s="365"/>
      <c r="Q31" s="366">
        <v>1.7391304347826087E-2</v>
      </c>
      <c r="R31" s="367"/>
      <c r="S31" s="319"/>
      <c r="T31" s="319"/>
      <c r="U31" s="319"/>
      <c r="V31" s="319"/>
    </row>
    <row r="32" spans="1:29" ht="22" customHeight="1" thickBot="1">
      <c r="A32" s="321" t="s">
        <v>91</v>
      </c>
      <c r="B32" s="96">
        <v>401716</v>
      </c>
      <c r="C32" s="41" t="s">
        <v>257</v>
      </c>
      <c r="D32" s="42">
        <v>45800</v>
      </c>
      <c r="E32" s="43" t="s">
        <v>2</v>
      </c>
      <c r="F32" s="44">
        <v>173</v>
      </c>
      <c r="G32" s="322">
        <f>IF(OR(E32="",F32=""),"",PID_KVLohnLookup($A$1,E32,F32,LOHNTABELLE!$H$4))</f>
        <v>2021</v>
      </c>
      <c r="H32" s="323">
        <f>IF(AND(ISNUMBER(D32),ISNUMBER(F32)),ROUNDDOWN(MIN(IF(OR(ISBLANK(I32),I32=""),EOMONTH(DATE(EINSTELLUNG!$C$35,$A$1,1),0),I32)-MAX(D32,DATE(EINSTELLUNG!$C$35,$A$1,1))+1)/DAY(EOMONTH(DATE(EINSTELLUNG!$C$35,$A$1,1),0))*F32,2),"")</f>
        <v>173</v>
      </c>
      <c r="I32" s="45"/>
      <c r="J32" s="46"/>
      <c r="K32" s="322">
        <f t="shared" si="0"/>
        <v>0</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319"/>
      <c r="P32" s="319"/>
      <c r="Q32" s="319"/>
      <c r="R32" s="319"/>
      <c r="S32" s="319"/>
      <c r="T32" s="319"/>
      <c r="U32" s="319"/>
      <c r="V32" s="319"/>
    </row>
    <row r="33" spans="1:22" ht="22" customHeight="1">
      <c r="A33" s="321" t="s">
        <v>92</v>
      </c>
      <c r="B33" s="97">
        <v>401717</v>
      </c>
      <c r="C33" s="49" t="s">
        <v>258</v>
      </c>
      <c r="D33" s="50">
        <v>45814</v>
      </c>
      <c r="E33" s="51" t="s">
        <v>2</v>
      </c>
      <c r="F33" s="52">
        <v>86.5</v>
      </c>
      <c r="G33" s="322">
        <f>IF(OR(E33="",F33=""),"",PID_KVLohnLookup($A$1,E33,F33,LOHNTABELLE!$H$4))</f>
        <v>1010.5</v>
      </c>
      <c r="H33" s="323">
        <f>IF(AND(ISNUMBER(D33),ISNUMBER(F33)),ROUNDDOWN(MIN(IF(OR(ISBLANK(I33),I33=""),EOMONTH(DATE(EINSTELLUNG!$C$35,$A$1,1),0),I33)-MAX(D33,DATE(EINSTELLUNG!$C$35,$A$1,1))+1)/DAY(EOMONTH(DATE(EINSTELLUNG!$C$35,$A$1,1),0))*F33,2),"")</f>
        <v>86.5</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68"/>
      <c r="P33" s="369"/>
      <c r="Q33" s="304" t="str">
        <f>EINSTELLUNG!B3</f>
        <v>Budget</v>
      </c>
      <c r="R33" s="304"/>
      <c r="S33" s="304" t="str">
        <f>EINSTELLUNG!B19</f>
        <v>Projection/Aktuell Zahlen</v>
      </c>
      <c r="T33" s="304"/>
      <c r="U33" s="304" t="s">
        <v>95</v>
      </c>
      <c r="V33" s="305"/>
    </row>
    <row r="34" spans="1:22" ht="22" customHeight="1">
      <c r="A34" s="321" t="s">
        <v>96</v>
      </c>
      <c r="B34" s="96">
        <v>401722</v>
      </c>
      <c r="C34" s="41" t="s">
        <v>259</v>
      </c>
      <c r="D34" s="42">
        <v>45848</v>
      </c>
      <c r="E34" s="43" t="s">
        <v>2</v>
      </c>
      <c r="F34" s="44">
        <v>86.5</v>
      </c>
      <c r="G34" s="322">
        <f>IF(OR(E34="",F34=""),"",PID_KVLohnLookup($A$1,E34,F34,LOHNTABELLE!$H$4))</f>
        <v>1010.5</v>
      </c>
      <c r="H34" s="323">
        <f>IF(AND(ISNUMBER(D34),ISNUMBER(F34)),ROUNDDOWN(MIN(IF(OR(ISBLANK(I34),I34=""),EOMONTH(DATE(EINSTELLUNG!$C$35,$A$1,1),0),I34)-MAX(D34,DATE(EINSTELLUNG!$C$35,$A$1,1))+1)/DAY(EOMONTH(DATE(EINSTELLUNG!$C$35,$A$1,1),0))*F34,2),"")</f>
        <v>86.5</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0"/>
      <c r="P34" s="371"/>
      <c r="Q34" s="372"/>
      <c r="R34" s="372"/>
      <c r="S34" s="372"/>
      <c r="T34" s="372"/>
      <c r="U34" s="372"/>
      <c r="V34" s="373"/>
    </row>
    <row r="35" spans="1:22" ht="22" customHeight="1">
      <c r="A35" s="321" t="s">
        <v>97</v>
      </c>
      <c r="B35" s="97">
        <v>401723</v>
      </c>
      <c r="C35" s="49" t="s">
        <v>260</v>
      </c>
      <c r="D35" s="50">
        <v>45852</v>
      </c>
      <c r="E35" s="51" t="s">
        <v>2</v>
      </c>
      <c r="F35" s="52">
        <v>86.5</v>
      </c>
      <c r="G35" s="322">
        <f>IF(OR(E35="",F35=""),"",PID_KVLohnLookup($A$1,E35,F35,LOHNTABELLE!$H$4))</f>
        <v>1010.5</v>
      </c>
      <c r="H35" s="323">
        <f>IF(AND(ISNUMBER(D35),ISNUMBER(F35)),ROUNDDOWN(MIN(IF(OR(ISBLANK(I35),I35=""),EOMONTH(DATE(EINSTELLUNG!$C$35,$A$1,1),0),I35)-MAX(D35,DATE(EINSTELLUNG!$C$35,$A$1,1))+1)/DAY(EOMONTH(DATE(EINSTELLUNG!$C$35,$A$1,1),0))*F35,2),"")</f>
        <v>86.5</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4" t="s">
        <v>98</v>
      </c>
      <c r="P35" s="338"/>
      <c r="Q35" s="375">
        <f>EINSTELLUNG!C11</f>
        <v>400000</v>
      </c>
      <c r="R35" s="375"/>
      <c r="S35" s="375">
        <f>EINSTELLUNG!C27</f>
        <v>435000</v>
      </c>
      <c r="T35" s="375"/>
      <c r="U35" s="375">
        <f>S35-Q35</f>
        <v>35000</v>
      </c>
      <c r="V35" s="376"/>
    </row>
    <row r="36" spans="1:22" ht="22" customHeight="1">
      <c r="A36" s="321" t="s">
        <v>99</v>
      </c>
      <c r="B36" s="96">
        <v>401726</v>
      </c>
      <c r="C36" s="41" t="s">
        <v>261</v>
      </c>
      <c r="D36" s="42">
        <v>45870</v>
      </c>
      <c r="E36" s="43" t="s">
        <v>2</v>
      </c>
      <c r="F36" s="44">
        <v>86.5</v>
      </c>
      <c r="G36" s="322">
        <f>IF(OR(E36="",F36=""),"",PID_KVLohnLookup($A$1,E36,F36,LOHNTABELLE!$H$4))</f>
        <v>1010.5</v>
      </c>
      <c r="H36" s="323">
        <f>IF(AND(ISNUMBER(D36),ISNUMBER(F36)),ROUNDDOWN(MIN(IF(OR(ISBLANK(I36),I36=""),EOMONTH(DATE(EINSTELLUNG!$C$35,$A$1,1),0),I36)-MAX(D36,DATE(EINSTELLUNG!$C$35,$A$1,1))+1)/DAY(EOMONTH(DATE(EINSTELLUNG!$C$35,$A$1,1),0))*F36,2),"")</f>
        <v>86.5</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4" t="s">
        <v>100</v>
      </c>
      <c r="P36" s="338"/>
      <c r="Q36" s="375">
        <f>EINSTELLUNG!D11</f>
        <v>100000</v>
      </c>
      <c r="R36" s="375"/>
      <c r="S36" s="375">
        <f ca="1">SumMergedCells(Q17:R29)</f>
        <v>106914.2567</v>
      </c>
      <c r="T36" s="375"/>
      <c r="U36" s="375">
        <f t="shared" ref="U36:U41" ca="1" si="2">S36-Q36</f>
        <v>6914.2566999999981</v>
      </c>
      <c r="V36" s="376"/>
    </row>
    <row r="37" spans="1:22" ht="22" customHeight="1">
      <c r="A37" s="321" t="s">
        <v>101</v>
      </c>
      <c r="B37" s="97">
        <v>401730</v>
      </c>
      <c r="C37" s="49" t="s">
        <v>263</v>
      </c>
      <c r="D37" s="50">
        <v>45895</v>
      </c>
      <c r="E37" s="51" t="s">
        <v>2</v>
      </c>
      <c r="F37" s="52">
        <v>86.5</v>
      </c>
      <c r="G37" s="322">
        <f>IF(OR(E37="",F37=""),"",PID_KVLohnLookup($A$1,E37,F37,LOHNTABELLE!$H$4))</f>
        <v>1010.5</v>
      </c>
      <c r="H37" s="323">
        <f>IF(AND(ISNUMBER(D37),ISNUMBER(F37)),ROUNDDOWN(MIN(IF(OR(ISBLANK(I37),I37=""),EOMONTH(DATE(EINSTELLUNG!$C$35,$A$1,1),0),I37)-MAX(D37,DATE(EINSTELLUNG!$C$35,$A$1,1))+1)/DAY(EOMONTH(DATE(EINSTELLUNG!$C$35,$A$1,1),0))*F37,2),"")</f>
        <v>86.5</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4" t="s">
        <v>102</v>
      </c>
      <c r="P37" s="338"/>
      <c r="Q37" s="377">
        <f>IF(ISERROR(Q36/Q35), 0, Q36/Q35)</f>
        <v>0.25</v>
      </c>
      <c r="R37" s="377"/>
      <c r="S37" s="377">
        <f ca="1">IF(ISERROR(S36/S35), 0, S36/S35)</f>
        <v>0.24577990045977011</v>
      </c>
      <c r="T37" s="377"/>
      <c r="U37" s="377">
        <f t="shared" ca="1" si="2"/>
        <v>-4.2200995402298935E-3</v>
      </c>
      <c r="V37" s="378"/>
    </row>
    <row r="38" spans="1:22" ht="22" customHeight="1">
      <c r="A38" s="321" t="s">
        <v>103</v>
      </c>
      <c r="B38" s="96">
        <v>401731</v>
      </c>
      <c r="C38" s="41" t="s">
        <v>262</v>
      </c>
      <c r="D38" s="42">
        <v>45899</v>
      </c>
      <c r="E38" s="43" t="s">
        <v>2</v>
      </c>
      <c r="F38" s="44">
        <v>86.5</v>
      </c>
      <c r="G38" s="322">
        <f>IF(OR(E38="",F38=""),"",PID_KVLohnLookup($A$1,E38,F38,LOHNTABELLE!$H$4))</f>
        <v>1010.5</v>
      </c>
      <c r="H38" s="323">
        <f>IF(AND(ISNUMBER(D38),ISNUMBER(F38)),ROUNDDOWN(MIN(IF(OR(ISBLANK(I38),I38=""),EOMONTH(DATE(EINSTELLUNG!$C$35,$A$1,1),0),I38)-MAX(D38,DATE(EINSTELLUNG!$C$35,$A$1,1))+1)/DAY(EOMONTH(DATE(EINSTELLUNG!$C$35,$A$1,1),0))*F38,2),"")</f>
        <v>86.5</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4" t="s">
        <v>104</v>
      </c>
      <c r="P38" s="338"/>
      <c r="Q38" s="339">
        <f>EINSTELLUNG!F11</f>
        <v>30000</v>
      </c>
      <c r="R38" s="339"/>
      <c r="S38" s="339">
        <f>EINSTELLUNG!F27</f>
        <v>31000</v>
      </c>
      <c r="T38" s="339"/>
      <c r="U38" s="339">
        <f t="shared" si="2"/>
        <v>1000</v>
      </c>
      <c r="V38" s="340"/>
    </row>
    <row r="39" spans="1:22" ht="22" customHeight="1">
      <c r="A39" s="321" t="s">
        <v>105</v>
      </c>
      <c r="B39" s="97">
        <v>401734</v>
      </c>
      <c r="C39" s="49" t="s">
        <v>264</v>
      </c>
      <c r="D39" s="50">
        <v>45904</v>
      </c>
      <c r="E39" s="51" t="s">
        <v>2</v>
      </c>
      <c r="F39" s="52">
        <v>86.5</v>
      </c>
      <c r="G39" s="322">
        <f>IF(OR(E39="",F39=""),"",PID_KVLohnLookup($A$1,E39,F39,LOHNTABELLE!$H$4))</f>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4" t="s">
        <v>106</v>
      </c>
      <c r="P39" s="338"/>
      <c r="Q39" s="375">
        <f>IF(Q38=0, 0, Q35/Q38)</f>
        <v>13.333333333333334</v>
      </c>
      <c r="R39" s="375"/>
      <c r="S39" s="375">
        <f>IF(S38=0, 0, S35/S38)</f>
        <v>14.03225806451613</v>
      </c>
      <c r="T39" s="375"/>
      <c r="U39" s="375">
        <f t="shared" si="2"/>
        <v>0.69892473118279597</v>
      </c>
      <c r="V39" s="376"/>
    </row>
    <row r="40" spans="1:22" ht="22" customHeight="1">
      <c r="A40" s="321" t="s">
        <v>107</v>
      </c>
      <c r="B40" s="96">
        <v>401737</v>
      </c>
      <c r="C40" s="41" t="s">
        <v>266</v>
      </c>
      <c r="D40" s="45">
        <v>45906</v>
      </c>
      <c r="E40" s="43" t="s">
        <v>2</v>
      </c>
      <c r="F40" s="44">
        <v>86.5</v>
      </c>
      <c r="G40" s="322">
        <f>IF(OR(E40="",F40=""),"",PID_KVLohnLookup($A$1,E40,F40,LOHNTABELLE!$H$4))</f>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4" t="s">
        <v>108</v>
      </c>
      <c r="P40" s="338"/>
      <c r="Q40" s="375">
        <f>IF(Q12=0, 0, Q35/Q12)</f>
        <v>4000</v>
      </c>
      <c r="R40" s="375"/>
      <c r="S40" s="375">
        <f>IF(Q12=0, 0, S35/Q12)</f>
        <v>4350</v>
      </c>
      <c r="T40" s="375"/>
      <c r="U40" s="375">
        <f t="shared" si="2"/>
        <v>350</v>
      </c>
      <c r="V40" s="376"/>
    </row>
    <row r="41" spans="1:22" ht="22" customHeight="1">
      <c r="A41" s="321" t="s">
        <v>109</v>
      </c>
      <c r="B41" s="97">
        <v>401738</v>
      </c>
      <c r="C41" s="49" t="s">
        <v>267</v>
      </c>
      <c r="D41" s="50">
        <v>45909</v>
      </c>
      <c r="E41" s="51" t="s">
        <v>2</v>
      </c>
      <c r="F41" s="52">
        <v>86.5</v>
      </c>
      <c r="G41" s="322">
        <f>IF(OR(E41="",F41=""),"",PID_KVLohnLookup($A$1,E41,F41,LOHNTABELLE!$H$4))</f>
        <v>1010.5</v>
      </c>
      <c r="H41" s="323">
        <f>IF(AND(ISNUMBER(D41),ISNUMBER(F41)),ROUNDDOWN(MIN(IF(OR(ISBLANK(I41),I41=""),EOMONTH(DATE(EINSTELLUNG!$C$35,$A$1,1),0),I41)-MAX(D41,DATE(EINSTELLUNG!$C$35,$A$1,1))+1)/DAY(EOMONTH(DATE(EINSTELLUNG!$C$35,$A$1,1),0))*F41,2),"")</f>
        <v>86.5</v>
      </c>
      <c r="I41" s="53"/>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4" t="s">
        <v>110</v>
      </c>
      <c r="P41" s="338"/>
      <c r="Q41" s="339">
        <f>IF(Q12=0, 0, Q38/Q12)</f>
        <v>300</v>
      </c>
      <c r="R41" s="339"/>
      <c r="S41" s="339">
        <f>IF(Q12=0, 0, S38/Q12)</f>
        <v>310</v>
      </c>
      <c r="T41" s="339"/>
      <c r="U41" s="339">
        <f t="shared" si="2"/>
        <v>10</v>
      </c>
      <c r="V41" s="340"/>
    </row>
    <row r="42" spans="1:22" ht="22" customHeight="1">
      <c r="A42" s="321" t="s">
        <v>111</v>
      </c>
      <c r="B42" s="96">
        <v>401745</v>
      </c>
      <c r="C42" s="41" t="s">
        <v>271</v>
      </c>
      <c r="D42" s="42">
        <v>45934</v>
      </c>
      <c r="E42" s="43" t="s">
        <v>2</v>
      </c>
      <c r="F42" s="44">
        <v>86.5</v>
      </c>
      <c r="G42" s="322">
        <f>IF(OR(E42="",F42=""),"",PID_KVLohnLookup($A$1,E42,F42,LOHNTABELLE!$H$4))</f>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79" t="s">
        <v>112</v>
      </c>
      <c r="P42" s="380"/>
      <c r="Q42" s="381">
        <f>IFERROR(Q17/Q8, 0)</f>
        <v>11.956632809360693</v>
      </c>
      <c r="R42" s="381"/>
      <c r="S42" s="381"/>
      <c r="T42" s="381"/>
      <c r="U42" s="381"/>
      <c r="V42" s="382"/>
    </row>
    <row r="43" spans="1:22" ht="22" customHeight="1">
      <c r="A43" s="321" t="s">
        <v>113</v>
      </c>
      <c r="B43" s="97">
        <v>401746</v>
      </c>
      <c r="C43" s="49" t="s">
        <v>270</v>
      </c>
      <c r="D43" s="50">
        <v>45941</v>
      </c>
      <c r="E43" s="51" t="s">
        <v>2</v>
      </c>
      <c r="F43" s="52">
        <v>86.5</v>
      </c>
      <c r="G43" s="322">
        <f>IF(OR(E43="",F43=""),"",PID_KVLohnLookup($A$1,E43,F43,LOHNTABELLE!$H$4))</f>
        <v>1010.5</v>
      </c>
      <c r="H43" s="323">
        <f>IF(AND(ISNUMBER(D43),ISNUMBER(F43)),ROUNDDOWN(MIN(IF(OR(ISBLANK(I43),I43=""),EOMONTH(DATE(EINSTELLUNG!$C$35,$A$1,1),0),I43)-MAX(D43,DATE(EINSTELLUNG!$C$35,$A$1,1))+1)/DAY(EOMONTH(DATE(EINSTELLUNG!$C$35,$A$1,1),0))*F43,2),"")</f>
        <v>86.5</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3"/>
      <c r="P43" s="383"/>
      <c r="Q43" s="383"/>
      <c r="R43" s="319"/>
      <c r="S43" s="319"/>
      <c r="T43" s="319"/>
      <c r="U43" s="319"/>
      <c r="V43" s="319"/>
    </row>
    <row r="44" spans="1:22" ht="22" customHeight="1">
      <c r="A44" s="321" t="s">
        <v>114</v>
      </c>
      <c r="B44" s="96">
        <v>401747</v>
      </c>
      <c r="C44" s="41" t="s">
        <v>268</v>
      </c>
      <c r="D44" s="42">
        <v>45941</v>
      </c>
      <c r="E44" s="43" t="s">
        <v>2</v>
      </c>
      <c r="F44" s="44">
        <v>86.5</v>
      </c>
      <c r="G44" s="322">
        <f>IF(OR(E44="",F44=""),"",PID_KVLohnLookup($A$1,E44,F44,LOHNTABELLE!$H$4))</f>
        <v>1010.5</v>
      </c>
      <c r="H44" s="323">
        <f>IF(AND(ISNUMBER(D44),ISNUMBER(F44)),ROUNDDOWN(MIN(IF(OR(ISBLANK(I44),I44=""),EOMONTH(DATE(EINSTELLUNG!$C$35,$A$1,1),0),I44)-MAX(D44,DATE(EINSTELLUNG!$C$35,$A$1,1))+1)/DAY(EOMONTH(DATE(EINSTELLUNG!$C$35,$A$1,1),0))*F44,2),"")</f>
        <v>86.5</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4" t="s">
        <v>115</v>
      </c>
      <c r="P44" s="384"/>
      <c r="Q44" s="384"/>
      <c r="R44" s="384"/>
      <c r="S44" s="384"/>
      <c r="T44" s="384"/>
      <c r="U44" s="384"/>
      <c r="V44" s="384"/>
    </row>
    <row r="45" spans="1:22" ht="22" customHeight="1">
      <c r="A45" s="321" t="s">
        <v>116</v>
      </c>
      <c r="B45" s="97">
        <v>401748</v>
      </c>
      <c r="C45" s="49" t="s">
        <v>269</v>
      </c>
      <c r="D45" s="50">
        <v>45941</v>
      </c>
      <c r="E45" s="51" t="s">
        <v>2</v>
      </c>
      <c r="F45" s="52">
        <v>138.4</v>
      </c>
      <c r="G45" s="322">
        <f>IF(OR(E45="",F45=""),"",PID_KVLohnLookup($A$1,E45,F45,LOHNTABELLE!$H$4))</f>
        <v>1616.8</v>
      </c>
      <c r="H45" s="323">
        <f>IF(AND(ISNUMBER(D45),ISNUMBER(F45)),ROUNDDOWN(MIN(IF(OR(ISBLANK(I45),I45=""),EOMONTH(DATE(EINSTELLUNG!$C$35,$A$1,1),0),I45)-MAX(D45,DATE(EINSTELLUNG!$C$35,$A$1,1))+1)/DAY(EOMONTH(DATE(EINSTELLUNG!$C$35,$A$1,1),0))*F45,2),"")</f>
        <v>138.4</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55"/>
      <c r="N45" s="71"/>
      <c r="O45" s="385"/>
      <c r="P45" s="385"/>
      <c r="Q45" s="385"/>
      <c r="R45" s="386"/>
      <c r="S45" s="386"/>
      <c r="T45" s="386"/>
      <c r="U45" s="386"/>
      <c r="V45" s="319"/>
    </row>
    <row r="46" spans="1:22" ht="22" customHeight="1">
      <c r="A46" s="321" t="s">
        <v>117</v>
      </c>
      <c r="B46" s="96">
        <v>401751</v>
      </c>
      <c r="C46" s="41" t="s">
        <v>272</v>
      </c>
      <c r="D46" s="42">
        <v>45961</v>
      </c>
      <c r="E46" s="43" t="s">
        <v>2</v>
      </c>
      <c r="F46" s="44">
        <v>86.5</v>
      </c>
      <c r="G46" s="322">
        <f>IF(OR(E46="",F46=""),"",PID_KVLohnLookup($A$1,E46,F46,LOHNTABELLE!$H$4))</f>
        <v>1010.5</v>
      </c>
      <c r="H46" s="323">
        <f>IF(AND(ISNUMBER(D46),ISNUMBER(F46)),ROUNDDOWN(MIN(IF(OR(ISBLANK(I46),I46=""),EOMONTH(DATE(EINSTELLUNG!$C$35,$A$1,1),0),I46)-MAX(D46,DATE(EINSTELLUNG!$C$35,$A$1,1))+1)/DAY(EOMONTH(DATE(EINSTELLUNG!$C$35,$A$1,1),0))*F46,2),"")</f>
        <v>86.5</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319"/>
      <c r="P46" s="319"/>
      <c r="Q46" s="319"/>
      <c r="R46" s="319"/>
      <c r="S46" s="319"/>
      <c r="T46" s="319"/>
      <c r="U46" s="319"/>
      <c r="V46" s="319"/>
    </row>
    <row r="47" spans="1:22" ht="22" customHeight="1">
      <c r="A47" s="321" t="s">
        <v>118</v>
      </c>
      <c r="B47" s="97">
        <v>401752</v>
      </c>
      <c r="C47" s="49" t="s">
        <v>273</v>
      </c>
      <c r="D47" s="50">
        <v>45986</v>
      </c>
      <c r="E47" s="51" t="s">
        <v>2</v>
      </c>
      <c r="F47" s="52">
        <v>173</v>
      </c>
      <c r="G47" s="322">
        <f>IF(OR(E47="",F47=""),"",PID_KVLohnLookup($A$1,E47,F47,LOHNTABELLE!$H$4))</f>
        <v>2021</v>
      </c>
      <c r="H47" s="323">
        <f>IF(AND(ISNUMBER(D47),ISNUMBER(F47)),ROUNDDOWN(MIN(IF(OR(ISBLANK(I47),I47=""),EOMONTH(DATE(EINSTELLUNG!$C$35,$A$1,1),0),I47)-MAX(D47,DATE(EINSTELLUNG!$C$35,$A$1,1))+1)/DAY(EOMONTH(DATE(EINSTELLUNG!$C$35,$A$1,1),0))*F47,2),"")</f>
        <v>173</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319"/>
      <c r="P47" s="319"/>
      <c r="Q47" s="319"/>
      <c r="R47" s="319"/>
      <c r="S47" s="319"/>
      <c r="T47" s="319"/>
      <c r="U47" s="319"/>
      <c r="V47" s="319"/>
    </row>
    <row r="48" spans="1:22" ht="22" customHeight="1">
      <c r="A48" s="321" t="s">
        <v>119</v>
      </c>
      <c r="B48" s="96">
        <v>401999</v>
      </c>
      <c r="C48" s="41" t="s">
        <v>355</v>
      </c>
      <c r="D48" s="42">
        <v>46041</v>
      </c>
      <c r="E48" s="43" t="s">
        <v>2</v>
      </c>
      <c r="F48" s="44">
        <v>151.38</v>
      </c>
      <c r="G48" s="322">
        <f>IF(OR(E48="",F48=""),"",PID_KVLohnLookup($A$1,E48,F48,LOHNTABELLE!$H$4))</f>
        <v>1768.38</v>
      </c>
      <c r="H48" s="323">
        <f>IF(AND(ISNUMBER(D48),ISNUMBER(F48)),ROUNDDOWN(MIN(IF(OR(ISBLANK(I48),I48=""),EOMONTH(DATE(EINSTELLUNG!$C$35,$A$1,1),0),I48)-MAX(D48,DATE(EINSTELLUNG!$C$35,$A$1,1))+1)/DAY(EOMONTH(DATE(EINSTELLUNG!$C$35,$A$1,1),0))*F48,2),"")</f>
        <v>151.38</v>
      </c>
      <c r="I48" s="45"/>
      <c r="J48" s="46"/>
      <c r="K48" s="322">
        <f t="shared" si="1"/>
        <v>0</v>
      </c>
      <c r="L48" s="32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47"/>
      <c r="N48" s="70"/>
      <c r="O48" s="319"/>
      <c r="P48" s="319"/>
      <c r="Q48" s="319"/>
      <c r="R48" s="319"/>
      <c r="S48" s="319"/>
      <c r="T48" s="319"/>
      <c r="U48" s="319"/>
      <c r="V48" s="319"/>
    </row>
    <row r="49" spans="1:22" ht="22" customHeight="1">
      <c r="A49" s="321" t="s">
        <v>120</v>
      </c>
      <c r="B49" s="97">
        <v>401999</v>
      </c>
      <c r="C49" s="49" t="s">
        <v>293</v>
      </c>
      <c r="D49" s="50">
        <v>46082</v>
      </c>
      <c r="E49" s="51" t="s">
        <v>2</v>
      </c>
      <c r="F49" s="52">
        <v>173</v>
      </c>
      <c r="G49" s="322">
        <f>IF(OR(E49="",F49=""),"",PID_KVLohnLookup($A$1,E49,F49,LOHNTABELLE!$H$4))</f>
        <v>2021</v>
      </c>
      <c r="H49" s="323">
        <f>IF(AND(ISNUMBER(D49),ISNUMBER(F49)),ROUNDDOWN(MIN(IF(OR(ISBLANK(I49),I49=""),EOMONTH(DATE(EINSTELLUNG!$C$35,$A$1,1),0),I49)-MAX(D49,DATE(EINSTELLUNG!$C$35,$A$1,1))+1)/DAY(EOMONTH(DATE(EINSTELLUNG!$C$35,$A$1,1),0))*F49,2),"")</f>
        <v>173</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19"/>
      <c r="P49" s="319"/>
      <c r="Q49" s="319"/>
      <c r="R49" s="319"/>
      <c r="S49" s="319"/>
      <c r="T49" s="319"/>
      <c r="U49" s="319"/>
      <c r="V49" s="319"/>
    </row>
    <row r="50" spans="1:22" ht="22" customHeight="1">
      <c r="A50" s="321" t="s">
        <v>121</v>
      </c>
      <c r="B50" s="96">
        <v>402000</v>
      </c>
      <c r="C50" s="41" t="s">
        <v>295</v>
      </c>
      <c r="D50" s="45">
        <v>46143</v>
      </c>
      <c r="E50" s="43" t="s">
        <v>2</v>
      </c>
      <c r="F50" s="44">
        <v>173</v>
      </c>
      <c r="G50" s="322">
        <f>IF(OR(E50="",F50=""),"",PID_KVLohnLookup($A$1,E50,F50,LOHNTABELLE!$H$4))</f>
        <v>2021</v>
      </c>
      <c r="H50" s="323">
        <f>IF(AND(ISNUMBER(D50),ISNUMBER(F50)),ROUNDDOWN(MIN(IF(OR(ISBLANK(I50),I50=""),EOMONTH(DATE(EINSTELLUNG!$C$35,$A$1,1),0),I50)-MAX(D50,DATE(EINSTELLUNG!$C$35,$A$1,1))+1)/DAY(EOMONTH(DATE(EINSTELLUNG!$C$35,$A$1,1),0))*F50,2),"")</f>
        <v>173</v>
      </c>
      <c r="I50" s="45"/>
      <c r="J50" s="46"/>
      <c r="K50" s="322">
        <f t="shared" si="1"/>
        <v>0</v>
      </c>
      <c r="L50" s="32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319"/>
      <c r="P50" s="319"/>
      <c r="Q50" s="319"/>
      <c r="R50" s="319"/>
      <c r="S50" s="319"/>
      <c r="T50" s="319"/>
      <c r="U50" s="319"/>
      <c r="V50" s="319"/>
    </row>
    <row r="51" spans="1:22" ht="22" customHeight="1">
      <c r="A51" s="321" t="s">
        <v>122</v>
      </c>
      <c r="B51" s="97">
        <v>402004</v>
      </c>
      <c r="C51" s="49" t="s">
        <v>296</v>
      </c>
      <c r="D51" s="53">
        <v>46122</v>
      </c>
      <c r="E51" s="51" t="s">
        <v>2</v>
      </c>
      <c r="F51" s="52">
        <v>173</v>
      </c>
      <c r="G51" s="322">
        <f>IF(OR(E51="",F51=""),"",PID_KVLohnLookup($A$1,E51,F51,LOHNTABELLE!$H$4))</f>
        <v>2021</v>
      </c>
      <c r="H51" s="323">
        <f>IF(AND(ISNUMBER(D51),ISNUMBER(F51)),ROUNDDOWN(MIN(IF(OR(ISBLANK(I51),I51=""),EOMONTH(DATE(EINSTELLUNG!$C$35,$A$1,1),0),I51)-MAX(D51,DATE(EINSTELLUNG!$C$35,$A$1,1))+1)/DAY(EOMONTH(DATE(EINSTELLUNG!$C$35,$A$1,1),0))*F51,2),"")</f>
        <v>173</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1" t="s">
        <v>123</v>
      </c>
      <c r="B52" s="96">
        <v>402405</v>
      </c>
      <c r="C52" s="41" t="s">
        <v>298</v>
      </c>
      <c r="D52" s="45">
        <v>46054</v>
      </c>
      <c r="E52" s="43" t="s">
        <v>2</v>
      </c>
      <c r="F52" s="44">
        <v>173</v>
      </c>
      <c r="G52" s="322">
        <f>IF(OR(E52="",F52=""),"",PID_KVLohnLookup($A$1,E52,F52,LOHNTABELLE!$H$4))</f>
        <v>2021</v>
      </c>
      <c r="H52" s="323">
        <f>IF(AND(ISNUMBER(D52),ISNUMBER(F52)),ROUNDDOWN(MIN(IF(OR(ISBLANK(I52),I52=""),EOMONTH(DATE(EINSTELLUNG!$C$35,$A$1,1),0),I52)-MAX(D52,DATE(EINSTELLUNG!$C$35,$A$1,1))+1)/DAY(EOMONTH(DATE(EINSTELLUNG!$C$35,$A$1,1),0))*F52,2),"")</f>
        <v>173</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1" t="s">
        <v>124</v>
      </c>
      <c r="B53" s="97">
        <v>500600</v>
      </c>
      <c r="C53" s="49" t="s">
        <v>302</v>
      </c>
      <c r="D53" s="50">
        <v>46054</v>
      </c>
      <c r="E53" s="51" t="s">
        <v>2</v>
      </c>
      <c r="F53" s="52">
        <v>173</v>
      </c>
      <c r="G53" s="322">
        <f>IF(OR(E53="",F53=""),"",PID_KVLohnLookup($A$1,E53,F53,LOHNTABELLE!$H$4))</f>
        <v>2021</v>
      </c>
      <c r="H53" s="323">
        <f>IF(AND(ISNUMBER(D53),ISNUMBER(F53)),ROUNDDOWN(MIN(IF(OR(ISBLANK(I53),I53=""),EOMONTH(DATE(EINSTELLUNG!$C$35,$A$1,1),0),I53)-MAX(D53,DATE(EINSTELLUNG!$C$35,$A$1,1))+1)/DAY(EOMONTH(DATE(EINSTELLUNG!$C$35,$A$1,1),0))*F53,2),"")</f>
        <v>173</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1" t="s">
        <v>125</v>
      </c>
      <c r="B54" s="96">
        <v>502000</v>
      </c>
      <c r="C54" s="41" t="s">
        <v>297</v>
      </c>
      <c r="D54" s="45">
        <v>46147</v>
      </c>
      <c r="E54" s="43" t="s">
        <v>2</v>
      </c>
      <c r="F54" s="44">
        <v>173</v>
      </c>
      <c r="G54" s="322">
        <f>IF(OR(E54="",F54=""),"",PID_KVLohnLookup($A$1,E54,F54,LOHNTABELLE!$H$4))</f>
        <v>2021</v>
      </c>
      <c r="H54" s="323">
        <f>IF(AND(ISNUMBER(D54),ISNUMBER(F54)),ROUNDDOWN(MIN(IF(OR(ISBLANK(I54),I54=""),EOMONTH(DATE(EINSTELLUNG!$C$35,$A$1,1),0),I54)-MAX(D54,DATE(EINSTELLUNG!$C$35,$A$1,1))+1)/DAY(EOMONTH(DATE(EINSTELLUNG!$C$35,$A$1,1),0))*F54,2),"")</f>
        <v>173</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1" t="s">
        <v>126</v>
      </c>
      <c r="B55" s="97">
        <v>503000</v>
      </c>
      <c r="C55" s="49" t="s">
        <v>299</v>
      </c>
      <c r="D55" s="50">
        <v>42401</v>
      </c>
      <c r="E55" s="51" t="s">
        <v>2</v>
      </c>
      <c r="F55" s="52">
        <v>173</v>
      </c>
      <c r="G55" s="322">
        <f>IF(OR(E55="",F55=""),"",PID_KVLohnLookup($A$1,E55,F55,LOHNTABELLE!$H$4))</f>
        <v>2021</v>
      </c>
      <c r="H55" s="323">
        <f>IF(AND(ISNUMBER(D55),ISNUMBER(F55)),ROUNDDOWN(MIN(IF(OR(ISBLANK(I55),I55=""),EOMONTH(DATE(EINSTELLUNG!$C$35,$A$1,1),0),I55)-MAX(D55,DATE(EINSTELLUNG!$C$35,$A$1,1))+1)/DAY(EOMONTH(DATE(EINSTELLUNG!$C$35,$A$1,1),0))*F55,2),"")</f>
        <v>173</v>
      </c>
      <c r="I55" s="53"/>
      <c r="J55" s="54"/>
      <c r="K55" s="322">
        <f t="shared" si="1"/>
        <v>0</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5"/>
      <c r="N55" s="71"/>
    </row>
    <row r="56" spans="1:22" ht="22" customHeight="1">
      <c r="A56" s="321" t="s">
        <v>127</v>
      </c>
      <c r="B56" s="96">
        <v>504000</v>
      </c>
      <c r="C56" s="41" t="s">
        <v>300</v>
      </c>
      <c r="D56" s="45">
        <v>46054</v>
      </c>
      <c r="E56" s="43" t="s">
        <v>3</v>
      </c>
      <c r="F56" s="44">
        <v>138.4</v>
      </c>
      <c r="G56" s="322">
        <f>IF(OR(E56="",F56=""),"",PID_KVLohnLookup($A$1,E56,F56,LOHNTABELLE!$H$4))</f>
        <v>1665.6</v>
      </c>
      <c r="H56" s="323">
        <f>IF(AND(ISNUMBER(D56),ISNUMBER(F56)),ROUNDDOWN(MIN(IF(OR(ISBLANK(I56),I56=""),EOMONTH(DATE(EINSTELLUNG!$C$35,$A$1,1),0),I56)-MAX(D56,DATE(EINSTELLUNG!$C$35,$A$1,1))+1)/DAY(EOMONTH(DATE(EINSTELLUNG!$C$35,$A$1,1),0))*F56,2),"")</f>
        <v>138.4</v>
      </c>
      <c r="I56" s="45"/>
      <c r="J56" s="46"/>
      <c r="K56" s="322">
        <f t="shared" si="1"/>
        <v>0</v>
      </c>
      <c r="L56" s="32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7"/>
      <c r="N56" s="70"/>
    </row>
    <row r="57" spans="1:22" ht="22" customHeight="1">
      <c r="A57" s="321" t="s">
        <v>128</v>
      </c>
      <c r="B57" s="97">
        <v>505000</v>
      </c>
      <c r="C57" s="49" t="s">
        <v>301</v>
      </c>
      <c r="D57" s="53">
        <v>46054</v>
      </c>
      <c r="E57" s="51" t="s">
        <v>2</v>
      </c>
      <c r="F57" s="52">
        <v>138.4</v>
      </c>
      <c r="G57" s="322">
        <f>IF(OR(E57="",F57=""),"",PID_KVLohnLookup($A$1,E57,F57,LOHNTABELLE!$H$4))</f>
        <v>1616.8</v>
      </c>
      <c r="H57" s="323">
        <f>IF(AND(ISNUMBER(D57),ISNUMBER(F57)),ROUNDDOWN(MIN(IF(OR(ISBLANK(I57),I57=""),EOMONTH(DATE(EINSTELLUNG!$C$35,$A$1,1),0),I57)-MAX(D57,DATE(EINSTELLUNG!$C$35,$A$1,1))+1)/DAY(EOMONTH(DATE(EINSTELLUNG!$C$35,$A$1,1),0))*F57,2),"")</f>
        <v>138.4</v>
      </c>
      <c r="I57" s="53"/>
      <c r="J57" s="54"/>
      <c r="K57" s="322">
        <f t="shared" si="1"/>
        <v>0</v>
      </c>
      <c r="L57" s="32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55"/>
      <c r="N57" s="71"/>
    </row>
    <row r="58" spans="1:22" ht="22" customHeight="1">
      <c r="A58" s="321" t="s">
        <v>129</v>
      </c>
      <c r="B58" s="96">
        <v>525025</v>
      </c>
      <c r="C58" s="41" t="s">
        <v>356</v>
      </c>
      <c r="D58" s="45">
        <v>46040</v>
      </c>
      <c r="E58" s="43" t="s">
        <v>2</v>
      </c>
      <c r="F58" s="44">
        <v>129.75</v>
      </c>
      <c r="G58" s="322">
        <f>IF(OR(E58="",F58=""),"",PID_KVLohnLookup($A$1,E58,F58,LOHNTABELLE!$H$4))</f>
        <v>1515.75</v>
      </c>
      <c r="H58" s="323">
        <f>IF(AND(ISNUMBER(D58),ISNUMBER(F58)),ROUNDDOWN(MIN(IF(OR(ISBLANK(I58),I58=""),EOMONTH(DATE(EINSTELLUNG!$C$35,$A$1,1),0),I58)-MAX(D58,DATE(EINSTELLUNG!$C$35,$A$1,1))+1)/DAY(EOMONTH(DATE(EINSTELLUNG!$C$35,$A$1,1),0))*F58,2),"")</f>
        <v>129.75</v>
      </c>
      <c r="I58" s="45"/>
      <c r="J58" s="46"/>
      <c r="K58" s="322">
        <f t="shared" si="1"/>
        <v>0</v>
      </c>
      <c r="L58" s="32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47"/>
      <c r="N58" s="70"/>
    </row>
    <row r="59" spans="1:22" ht="22" customHeight="1">
      <c r="A59" s="321" t="s">
        <v>130</v>
      </c>
      <c r="B59" s="97">
        <v>700000</v>
      </c>
      <c r="C59" s="49" t="s">
        <v>309</v>
      </c>
      <c r="D59" s="53">
        <v>46054</v>
      </c>
      <c r="E59" s="51" t="s">
        <v>2</v>
      </c>
      <c r="F59" s="52">
        <v>173</v>
      </c>
      <c r="G59" s="322">
        <f>IF(OR(E59="",F59=""),"",PID_KVLohnLookup($A$1,E59,F59,LOHNTABELLE!$H$4))</f>
        <v>2021</v>
      </c>
      <c r="H59" s="323">
        <f>IF(AND(ISNUMBER(D59),ISNUMBER(F59)),ROUNDDOWN(MIN(IF(OR(ISBLANK(I59),I59=""),EOMONTH(DATE(EINSTELLUNG!$C$35,$A$1,1),0),I59)-MAX(D59,DATE(EINSTELLUNG!$C$35,$A$1,1))+1)/DAY(EOMONTH(DATE(EINSTELLUNG!$C$35,$A$1,1),0))*F59,2),"")</f>
        <v>173</v>
      </c>
      <c r="I59" s="53"/>
      <c r="J59" s="54"/>
      <c r="K59" s="322">
        <f t="shared" si="1"/>
        <v>0</v>
      </c>
      <c r="L59" s="32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321" t="s">
        <v>131</v>
      </c>
      <c r="B60" s="96">
        <v>800000</v>
      </c>
      <c r="C60" s="41" t="s">
        <v>310</v>
      </c>
      <c r="D60" s="42">
        <v>46096</v>
      </c>
      <c r="E60" s="43" t="s">
        <v>2</v>
      </c>
      <c r="F60" s="44">
        <v>173</v>
      </c>
      <c r="G60" s="322">
        <f>IF(OR(E60="",F60=""),"",PID_KVLohnLookup($A$1,E60,F60,LOHNTABELLE!$H$4))</f>
        <v>2021</v>
      </c>
      <c r="H60" s="323">
        <f>IF(AND(ISNUMBER(D60),ISNUMBER(F60)),ROUNDDOWN(MIN(IF(OR(ISBLANK(I60),I60=""),EOMONTH(DATE(EINSTELLUNG!$C$35,$A$1,1),0),I60)-MAX(D60,DATE(EINSTELLUNG!$C$35,$A$1,1))+1)/DAY(EOMONTH(DATE(EINSTELLUNG!$C$35,$A$1,1),0))*F60,2),"")</f>
        <v>173</v>
      </c>
      <c r="I60" s="45"/>
      <c r="J60" s="46"/>
      <c r="K60" s="322">
        <f t="shared" si="1"/>
        <v>0</v>
      </c>
      <c r="L60" s="32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7"/>
      <c r="N60" s="70"/>
    </row>
    <row r="61" spans="1:22" ht="22" customHeight="1">
      <c r="A61" s="321" t="s">
        <v>132</v>
      </c>
      <c r="B61" s="97"/>
      <c r="C61" s="49"/>
      <c r="D61" s="53"/>
      <c r="E61" s="51"/>
      <c r="F61" s="52"/>
      <c r="G61" s="322" t="str">
        <f>IF(OR(E61="",F61=""),"",PID_KVLohnLookup($A$1,E61,F61,LOHNTABELLE!$H$4))</f>
        <v/>
      </c>
      <c r="H61" s="323" t="str">
        <f>IF(AND(ISNUMBER(D61),ISNUMBER(F61)),ROUNDDOWN(MIN(IF(OR(ISBLANK(I61),I61=""),EOMONTH(DATE(EINSTELLUNG!$C$35,$A$1,1),0),I61)-MAX(D61,DATE(EINSTELLUNG!$C$35,$A$1,1))+1)/DAY(EOMONTH(DATE(EINSTELLUNG!$C$35,$A$1,1),0))*F61,2),"")</f>
        <v/>
      </c>
      <c r="I61" s="53"/>
      <c r="J61" s="54"/>
      <c r="K61" s="322" t="str">
        <f t="shared" si="1"/>
        <v/>
      </c>
      <c r="L61" s="32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1" t="s">
        <v>133</v>
      </c>
      <c r="B62" s="96"/>
      <c r="C62" s="41"/>
      <c r="D62" s="45"/>
      <c r="E62" s="43"/>
      <c r="F62" s="44"/>
      <c r="G62" s="322" t="str">
        <f>IF(OR(E62="",F62=""),"",PID_KVLohnLookup($A$1,E62,F62,LOHNTABELLE!$H$4))</f>
        <v/>
      </c>
      <c r="H62" s="323" t="str">
        <f>IF(AND(ISNUMBER(D62),ISNUMBER(F62)),ROUNDDOWN(MIN(IF(OR(ISBLANK(I62),I62=""),EOMONTH(DATE(EINSTELLUNG!$C$35,$A$1,1),0),I62)-MAX(D62,DATE(EINSTELLUNG!$C$35,$A$1,1))+1)/DAY(EOMONTH(DATE(EINSTELLUNG!$C$35,$A$1,1),0))*F62,2),"")</f>
        <v/>
      </c>
      <c r="I62" s="45"/>
      <c r="J62" s="46"/>
      <c r="K62" s="322" t="str">
        <f t="shared" si="1"/>
        <v/>
      </c>
      <c r="L62" s="32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1" t="s">
        <v>134</v>
      </c>
      <c r="B63" s="97"/>
      <c r="C63" s="49"/>
      <c r="D63" s="53"/>
      <c r="E63" s="51"/>
      <c r="F63" s="52"/>
      <c r="G63" s="322" t="str">
        <f>IF(OR(E63="",F63=""),"",PID_KVLohnLookup($A$1,E63,F63,LOHNTABELLE!$H$4))</f>
        <v/>
      </c>
      <c r="H63" s="323" t="str">
        <f>IF(AND(ISNUMBER(D63),ISNUMBER(F63)),ROUNDDOWN(MIN(IF(OR(ISBLANK(I63),I63=""),EOMONTH(DATE(EINSTELLUNG!$C$35,$A$1,1),0),I63)-MAX(D63,DATE(EINSTELLUNG!$C$35,$A$1,1))+1)/DAY(EOMONTH(DATE(EINSTELLUNG!$C$35,$A$1,1),0))*F63,2),"")</f>
        <v/>
      </c>
      <c r="I63" s="53"/>
      <c r="J63" s="54"/>
      <c r="K63" s="322" t="str">
        <f t="shared" si="1"/>
        <v/>
      </c>
      <c r="L63" s="32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1" t="s">
        <v>135</v>
      </c>
      <c r="B64" s="96"/>
      <c r="C64" s="41"/>
      <c r="D64" s="45"/>
      <c r="E64" s="43"/>
      <c r="F64" s="44"/>
      <c r="G64" s="322" t="str">
        <f>IF(OR(E64="",F64=""),"",PID_KVLohnLookup($A$1,E64,F64,LOHNTABELLE!$H$4))</f>
        <v/>
      </c>
      <c r="H64" s="323" t="str">
        <f>IF(AND(ISNUMBER(D64),ISNUMBER(F64)),ROUNDDOWN(MIN(IF(OR(ISBLANK(I64),I64=""),EOMONTH(DATE(EINSTELLUNG!$C$35,$A$1,1),0),I64)-MAX(D64,DATE(EINSTELLUNG!$C$35,$A$1,1))+1)/DAY(EOMONTH(DATE(EINSTELLUNG!$C$35,$A$1,1),0))*F64,2),"")</f>
        <v/>
      </c>
      <c r="I64" s="45"/>
      <c r="J64" s="46"/>
      <c r="K64" s="322" t="str">
        <f t="shared" si="1"/>
        <v/>
      </c>
      <c r="L64" s="32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1" t="s">
        <v>136</v>
      </c>
      <c r="B65" s="97"/>
      <c r="C65" s="49"/>
      <c r="D65" s="53"/>
      <c r="E65" s="51"/>
      <c r="F65" s="52"/>
      <c r="G65" s="322" t="str">
        <f>IF(OR(E65="",F65=""),"",PID_KVLohnLookup($A$1,E65,F65,LOHNTABELLE!$H$4))</f>
        <v/>
      </c>
      <c r="H65" s="323" t="str">
        <f>IF(AND(ISNUMBER(D65),ISNUMBER(F65)),ROUNDDOWN(MIN(IF(OR(ISBLANK(I65),I65=""),EOMONTH(DATE(EINSTELLUNG!$C$35,$A$1,1),0),I65)-MAX(D65,DATE(EINSTELLUNG!$C$35,$A$1,1))+1)/DAY(EOMONTH(DATE(EINSTELLUNG!$C$35,$A$1,1),0))*F65,2),"")</f>
        <v/>
      </c>
      <c r="I65" s="53"/>
      <c r="J65" s="54"/>
      <c r="K65" s="322" t="str">
        <f t="shared" si="1"/>
        <v/>
      </c>
      <c r="L65" s="32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1" t="s">
        <v>137</v>
      </c>
      <c r="B66" s="96"/>
      <c r="C66" s="41"/>
      <c r="D66" s="45"/>
      <c r="E66" s="43"/>
      <c r="F66" s="44"/>
      <c r="G66" s="322" t="str">
        <f>IF(OR(E66="",F66=""),"",PID_KVLohnLookup($A$1,E66,F66,LOHNTABELLE!$H$4))</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1" t="s">
        <v>138</v>
      </c>
      <c r="B67" s="97"/>
      <c r="C67" s="49"/>
      <c r="D67" s="53"/>
      <c r="E67" s="51"/>
      <c r="F67" s="52"/>
      <c r="G67" s="322" t="str">
        <f>IF(OR(E67="",F67=""),"",PID_KVLohnLookup($A$1,E67,F67,LOHNTABELLE!$H$4))</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1" t="s">
        <v>139</v>
      </c>
      <c r="B68" s="96"/>
      <c r="C68" s="41"/>
      <c r="D68" s="45"/>
      <c r="E68" s="43"/>
      <c r="F68" s="44"/>
      <c r="G68" s="322" t="str">
        <f>IF(OR(E68="",F68=""),"",PID_KVLohnLookup($A$1,E68,F68,LOHNTABELLE!$H$4))</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1" t="s">
        <v>140</v>
      </c>
      <c r="B69" s="97"/>
      <c r="C69" s="49"/>
      <c r="D69" s="53"/>
      <c r="E69" s="51"/>
      <c r="F69" s="52"/>
      <c r="G69" s="322" t="str">
        <f>IF(OR(E69="",F69=""),"",PID_KVLohnLookup($A$1,E69,F69,LOHNTABELLE!$H$4))</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1" t="s">
        <v>141</v>
      </c>
      <c r="B70" s="96"/>
      <c r="C70" s="41"/>
      <c r="D70" s="45"/>
      <c r="E70" s="43"/>
      <c r="F70" s="44"/>
      <c r="G70" s="322" t="str">
        <f>IF(OR(E70="",F70=""),"",PID_KVLohnLookup($A$1,E70,F70,LOHNTABELLE!$H$4))</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1" t="s">
        <v>142</v>
      </c>
      <c r="B71" s="97"/>
      <c r="C71" s="49"/>
      <c r="D71" s="53"/>
      <c r="E71" s="51"/>
      <c r="F71" s="52"/>
      <c r="G71" s="322" t="str">
        <f>IF(OR(E71="",F71=""),"",PID_KVLohnLookup($A$1,E71,F71,LOHNTABELLE!$H$4))</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1" t="s">
        <v>143</v>
      </c>
      <c r="B72" s="96"/>
      <c r="C72" s="41"/>
      <c r="D72" s="45"/>
      <c r="E72" s="43"/>
      <c r="F72" s="44"/>
      <c r="G72" s="322" t="str">
        <f>IF(OR(E72="",F72=""),"",PID_KVLohnLookup($A$1,E72,F72,LOHNTABELLE!$H$4))</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1" t="s">
        <v>144</v>
      </c>
      <c r="B73" s="97"/>
      <c r="C73" s="49"/>
      <c r="D73" s="53"/>
      <c r="E73" s="51"/>
      <c r="F73" s="52"/>
      <c r="G73" s="322" t="str">
        <f>IF(OR(E73="",F73=""),"",PID_KVLohnLookup($A$1,E73,F73,LOHNTABELLE!$H$4))</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1" t="s">
        <v>145</v>
      </c>
      <c r="B74" s="96"/>
      <c r="C74" s="41"/>
      <c r="D74" s="45"/>
      <c r="E74" s="43"/>
      <c r="F74" s="44"/>
      <c r="G74" s="322" t="str">
        <f>IF(OR(E74="",F74=""),"",PID_KVLohnLookup($A$1,E74,F74,LOHNTABELLE!$H$4))</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1" t="s">
        <v>146</v>
      </c>
      <c r="B75" s="97"/>
      <c r="C75" s="49"/>
      <c r="D75" s="53"/>
      <c r="E75" s="51"/>
      <c r="F75" s="52"/>
      <c r="G75" s="322" t="str">
        <f>IF(OR(E75="",F75=""),"",PID_KVLohnLookup($A$1,E75,F75,LOHNTABELLE!$H$4))</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1" t="s">
        <v>147</v>
      </c>
      <c r="B76" s="96"/>
      <c r="C76" s="41"/>
      <c r="D76" s="45"/>
      <c r="E76" s="43"/>
      <c r="F76" s="44"/>
      <c r="G76" s="322" t="str">
        <f>IF(OR(E76="",F76=""),"",PID_KVLohnLookup($A$1,E76,F76,LOHNTABELLE!$H$4))</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1" t="s">
        <v>148</v>
      </c>
      <c r="B77" s="97"/>
      <c r="C77" s="49"/>
      <c r="D77" s="53"/>
      <c r="E77" s="51"/>
      <c r="F77" s="52"/>
      <c r="G77" s="322" t="str">
        <f>IF(OR(E77="",F77=""),"",PID_KVLohnLookup($A$1,E77,F77,LOHNTABELLE!$H$4))</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1" t="s">
        <v>149</v>
      </c>
      <c r="B78" s="96"/>
      <c r="C78" s="41"/>
      <c r="D78" s="45"/>
      <c r="E78" s="43"/>
      <c r="F78" s="44"/>
      <c r="G78" s="322" t="str">
        <f>IF(OR(E78="",F78=""),"",PID_KVLohnLookup($A$1,E78,F78,LOHNTABELLE!$H$4))</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1" t="s">
        <v>150</v>
      </c>
      <c r="B79" s="97"/>
      <c r="C79" s="49"/>
      <c r="D79" s="53"/>
      <c r="E79" s="51"/>
      <c r="F79" s="52"/>
      <c r="G79" s="322" t="str">
        <f>IF(OR(E79="",F79=""),"",PID_KVLohnLookup($A$1,E79,F79,LOHNTABELLE!$H$4))</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1" t="s">
        <v>151</v>
      </c>
      <c r="B80" s="96"/>
      <c r="C80" s="41"/>
      <c r="D80" s="45"/>
      <c r="E80" s="43"/>
      <c r="F80" s="44"/>
      <c r="G80" s="322" t="str">
        <f>IF(OR(E80="",F80=""),"",PID_KVLohnLookup($A$1,E80,F80,LOHNTABELLE!$H$4))</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1" t="s">
        <v>152</v>
      </c>
      <c r="B81" s="97"/>
      <c r="C81" s="49"/>
      <c r="D81" s="53"/>
      <c r="E81" s="51"/>
      <c r="F81" s="52"/>
      <c r="G81" s="322" t="str">
        <f>IF(OR(E81="",F81=""),"",PID_KVLohnLookup($A$1,E81,F81,LOHNTABELLE!$H$4))</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87" t="s">
        <v>153</v>
      </c>
      <c r="B82" s="98"/>
      <c r="C82" s="58"/>
      <c r="D82" s="59"/>
      <c r="E82" s="60"/>
      <c r="F82" s="61"/>
      <c r="G82" s="388" t="str">
        <f>IF(OR(E82="",F82=""),"",PID_KVLohnLookup($A$1,E82,F82,LOHNTABELLE!$H$4))</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301"/>
    </row>
  </sheetData>
  <sheetProtection algorithmName="SHA-512" hashValue="KJkmCQl1mYQNai8cAnyGCBMeOsStoHPVS4Mau55El9eudRjaLtxWtLCkCx7JB6UCcL90upuSJrQ4+w8ZspAS9A==" saltValue="CvmZTMPpVzxLKwGD8x1qsg=="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F20 F23 F25</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xm:sqref>
        </x14:dataValidation>
        <x14:dataValidation type="list" allowBlank="1" showInputMessage="1" showErrorMessage="1" xr:uid="{8092244E-8A59-4D1A-8D30-E7094D11CFB3}">
          <x14:formula1>
            <xm:f>KV_DROPDOWN_HELPER!$OM$1:$OM$13</xm:f>
          </x14:formula1>
          <xm:sqref>F7 F9 F10 F11 F14 F56</xm:sqref>
        </x14:dataValidation>
        <x14:dataValidation type="list" allowBlank="1" showInputMessage="1" showErrorMessage="1" xr:uid="{CBA6A94C-1587-4F76-9A2D-0CBD2C042E18}">
          <x14:formula1>
            <xm:f>KV_DROPDOWN_HELPER!$OQ$1:$OQ$13</xm:f>
          </x14:formula1>
          <xm:sqref>F61 F62 F63 F64 F65 F66 F67 F68 F69 F70 F71 F72 F73 F74 F75 F76 F77 F78 F79 F80 F81 F82</xm:sqref>
        </x14:dataValidation>
        <x14:dataValidation type="list" allowBlank="1" showInputMessage="1" showErrorMessage="1" xr:uid="{880A6842-57DE-4AC4-8D5B-681E185CAA42}">
          <x14:formula1>
            <xm:f>KV_DROPDOWN_HELPER!$OK$1:$OK$15</xm:f>
          </x14:formula1>
          <xm:sqref>F3 F6 F12 F13 F15 F17 F18 F21 F22 F24 F26 F27 F28 F29 F30 F31 F32 F33 F34 F35 F36 F37 F38 F39 F40 F41 F42 F43 F44 F45 F46 F47 F48 F49 F50 F51 F52 F53 F54 F55 F57 F58 F59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6328125" style="221" bestFit="1" customWidth="1"/>
    <col min="29" max="16384" width="9.1796875" style="221"/>
  </cols>
  <sheetData>
    <row r="1" spans="1:28" ht="18" customHeight="1">
      <c r="A1" s="302">
        <v>7</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46204</v>
      </c>
    </row>
    <row r="2" spans="1:28" ht="18" customHeight="1" thickBot="1">
      <c r="A2" s="307"/>
      <c r="B2" s="308"/>
      <c r="C2" s="309"/>
      <c r="D2" s="309"/>
      <c r="E2" s="309"/>
      <c r="F2" s="309"/>
      <c r="G2" s="309"/>
      <c r="H2" s="309"/>
      <c r="I2" s="309"/>
      <c r="J2" s="309"/>
      <c r="K2" s="309"/>
      <c r="L2" s="309"/>
      <c r="M2" s="309"/>
      <c r="N2" s="310"/>
      <c r="O2" s="311"/>
      <c r="P2" s="311"/>
      <c r="Q2" s="311"/>
      <c r="S2" s="312" t="s">
        <v>384</v>
      </c>
      <c r="T2" s="312"/>
      <c r="U2" s="312"/>
      <c r="V2" s="312"/>
      <c r="AB2" s="306">
        <f>EOMONTH(DATE(EINSTELLUNG!$C$35,$A$1,1),0)</f>
        <v>46234</v>
      </c>
    </row>
    <row r="3" spans="1:28" ht="22" customHeight="1">
      <c r="A3" s="313" t="s">
        <v>389</v>
      </c>
      <c r="B3" s="95">
        <v>401010</v>
      </c>
      <c r="C3" s="33" t="s">
        <v>224</v>
      </c>
      <c r="D3" s="34">
        <v>39388</v>
      </c>
      <c r="E3" s="35" t="s">
        <v>2</v>
      </c>
      <c r="F3" s="64">
        <v>138.4</v>
      </c>
      <c r="G3" s="314">
        <f>IF(OR(E3="",F3=""),"",PID_KVLohnLookup($A$1,E3,F3,LOHNTABELLE!$H$4))</f>
        <v>1616.8</v>
      </c>
      <c r="H3" s="315">
        <f>IF(AND(ISNUMBER(D3),ISNUMBER(F3)),ROUNDDOWN(MIN(IF(OR(ISBLANK(I3),I3=""),EOMONTH(DATE(EINSTELLUNG!$C$35,$A$1,1),0),I3)-MAX(D3,DATE(EINSTELLUNG!$C$35,$A$1,1))+1)/DAY(EOMONTH(DATE(EINSTELLUNG!$C$35,$A$1,1),0))*F3,2),"")</f>
        <v>138.4</v>
      </c>
      <c r="I3" s="37"/>
      <c r="J3" s="38"/>
      <c r="K3" s="314">
        <f t="shared" ref="K3:K34" si="0">IF(OR(B3="",C3=""),"",IFERROR(IF(OR(MONTH(D3)=1,MONTH(D3)=3,MONTH(D3)=5,MONTH(D3)=7,MONTH(D3)=8,MONTH(D3)=10,MONTH(D3)=12),(G3/31)*J3,IF(OR(MONTH(D3)=4,MONTH(D3)=6,MONTH(D3)=9,MONTH(D3)=11),(G3/30)*J3,(G3/DAY(EOMONTH(D3,0)))*J3)),0))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9"/>
      <c r="N3" s="69"/>
      <c r="O3" s="317" t="s">
        <v>47</v>
      </c>
      <c r="P3" s="317" t="s">
        <v>48</v>
      </c>
      <c r="Q3" s="317" t="s">
        <v>49</v>
      </c>
      <c r="R3" s="318" t="s">
        <v>50</v>
      </c>
      <c r="S3" s="319"/>
      <c r="T3" s="319"/>
      <c r="U3" s="319"/>
      <c r="V3" s="319"/>
      <c r="AB3" s="320"/>
    </row>
    <row r="4" spans="1:28" ht="22" customHeight="1">
      <c r="A4" s="321" t="s">
        <v>51</v>
      </c>
      <c r="B4" s="96">
        <v>401049</v>
      </c>
      <c r="C4" s="41" t="s">
        <v>225</v>
      </c>
      <c r="D4" s="42">
        <v>41130</v>
      </c>
      <c r="E4" s="43" t="s">
        <v>4</v>
      </c>
      <c r="F4" s="44">
        <v>173</v>
      </c>
      <c r="G4" s="322">
        <f>IF(OR(E4="",F4=""),"",PID_KVLohnLookup($A$1,E4,F4,LOHNTABELLE!$H$4))</f>
        <v>2123</v>
      </c>
      <c r="H4" s="323">
        <f>IF(AND(ISNUMBER(D4),ISNUMBER(F4)),ROUNDDOWN(MIN(IF(OR(ISBLANK(I4),I4=""),EOMONTH(DATE(EINSTELLUNG!$C$35,$A$1,1),0),I4)-MAX(D4,DATE(EINSTELLUNG!$C$35,$A$1,1))+1)/DAY(EOMONTH(DATE(EINSTELLUNG!$C$35,$A$1,1),0))*F4,2),"")</f>
        <v>173</v>
      </c>
      <c r="I4" s="45"/>
      <c r="J4" s="46"/>
      <c r="K4" s="322">
        <f t="shared" si="0"/>
        <v>0</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5"/>
      <c r="P4" s="325"/>
      <c r="Q4" s="325"/>
      <c r="R4" s="326"/>
      <c r="S4" s="319"/>
      <c r="T4" s="319"/>
      <c r="U4" s="319"/>
      <c r="V4" s="319"/>
    </row>
    <row r="5" spans="1:28" ht="22" customHeight="1">
      <c r="A5" s="321" t="s">
        <v>52</v>
      </c>
      <c r="B5" s="97">
        <v>401051</v>
      </c>
      <c r="C5" s="49" t="s">
        <v>227</v>
      </c>
      <c r="D5" s="50">
        <v>41176</v>
      </c>
      <c r="E5" s="51" t="s">
        <v>2</v>
      </c>
      <c r="F5" s="52">
        <v>173</v>
      </c>
      <c r="G5" s="322">
        <f>IF(OR(E5="",F5=""),"",PID_KVLohnLookup($A$1,E5,F5,LOHNTABELLE!$H$4))</f>
        <v>2021</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27" cm="1">
        <f t="array" ref="O5">SUMPRODUCT((F3:F82/4.310808)/5*2.08)</f>
        <v>789.87742437148711</v>
      </c>
      <c r="P5" s="328">
        <f>EINSTELLUNG!I12</f>
        <v>600</v>
      </c>
      <c r="Q5" s="328">
        <f>P5-O5</f>
        <v>-189.87742437148711</v>
      </c>
      <c r="R5" s="329">
        <f>IFERROR(Q5*Q42, 0)</f>
        <v>-2261.738467548244</v>
      </c>
      <c r="S5" s="319"/>
      <c r="T5" s="319"/>
      <c r="U5" s="319"/>
      <c r="V5" s="319"/>
    </row>
    <row r="6" spans="1:28" ht="22" customHeight="1">
      <c r="A6" s="321" t="s">
        <v>53</v>
      </c>
      <c r="B6" s="96">
        <v>401089</v>
      </c>
      <c r="C6" s="41" t="s">
        <v>241</v>
      </c>
      <c r="D6" s="42">
        <v>44868</v>
      </c>
      <c r="E6" s="43" t="s">
        <v>3</v>
      </c>
      <c r="F6" s="44">
        <v>173</v>
      </c>
      <c r="G6" s="322">
        <f>IF(OR(E6="",F6=""),"",PID_KVLohnLookup($A$1,E6,F6,LOHNTABELLE!$H$4))</f>
        <v>2082</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21" t="s">
        <v>54</v>
      </c>
      <c r="B7" s="97">
        <v>401138</v>
      </c>
      <c r="C7" s="49" t="s">
        <v>228</v>
      </c>
      <c r="D7" s="50">
        <v>42006</v>
      </c>
      <c r="E7" s="51" t="s">
        <v>4</v>
      </c>
      <c r="F7" s="52">
        <v>173</v>
      </c>
      <c r="G7" s="322">
        <f>IF(OR(E7="",F7=""),"",PID_KVLohnLookup($A$1,E7,F7,LOHNTABELLE!$H$4))</f>
        <v>2123</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19"/>
      <c r="P7" s="319"/>
      <c r="Q7" s="319"/>
      <c r="R7" s="319"/>
      <c r="S7" s="319"/>
      <c r="T7" s="319"/>
      <c r="U7" s="319"/>
      <c r="V7" s="319"/>
    </row>
    <row r="8" spans="1:28" ht="22" customHeight="1">
      <c r="A8" s="321" t="s">
        <v>55</v>
      </c>
      <c r="B8" s="96">
        <v>401197</v>
      </c>
      <c r="C8" s="41" t="s">
        <v>229</v>
      </c>
      <c r="D8" s="45">
        <v>42644</v>
      </c>
      <c r="E8" s="43" t="s">
        <v>3</v>
      </c>
      <c r="F8" s="44">
        <v>173</v>
      </c>
      <c r="G8" s="322">
        <f>IF(OR(E8="",F8=""),"",PID_KVLohnLookup($A$1,E8,F8,LOHNTABELLE!$H$4))</f>
        <v>2082</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3" t="s">
        <v>56</v>
      </c>
      <c r="P8" s="334"/>
      <c r="Q8" s="335">
        <f>SUM(H3:H82)</f>
        <v>8185.119999999999</v>
      </c>
      <c r="R8" s="336"/>
      <c r="S8" s="319"/>
      <c r="T8" s="319"/>
      <c r="U8" s="319"/>
      <c r="V8" s="319"/>
    </row>
    <row r="9" spans="1:28" ht="22" customHeight="1">
      <c r="A9" s="321" t="s">
        <v>57</v>
      </c>
      <c r="B9" s="97">
        <v>401214</v>
      </c>
      <c r="C9" s="49" t="s">
        <v>255</v>
      </c>
      <c r="D9" s="50">
        <v>45636</v>
      </c>
      <c r="E9" s="51" t="s">
        <v>3</v>
      </c>
      <c r="F9" s="52">
        <v>173</v>
      </c>
      <c r="G9" s="322">
        <f>IF(OR(E9="",F9=""),"",PID_KVLohnLookup($A$1,E9,F9,LOHNTABELLE!$H$4))</f>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37" t="s">
        <v>58</v>
      </c>
      <c r="P9" s="338"/>
      <c r="Q9" s="339">
        <f>EINSTELLUNG!L28</f>
        <v>7</v>
      </c>
      <c r="R9" s="340"/>
      <c r="S9" s="341">
        <f>IFERROR(Q9/Q8, 0)</f>
        <v>8.5521043063510377E-4</v>
      </c>
      <c r="T9" s="319"/>
      <c r="U9" s="319"/>
      <c r="V9" s="319"/>
    </row>
    <row r="10" spans="1:28" ht="22" customHeight="1">
      <c r="A10" s="321" t="s">
        <v>59</v>
      </c>
      <c r="B10" s="96">
        <v>401276</v>
      </c>
      <c r="C10" s="41" t="s">
        <v>230</v>
      </c>
      <c r="D10" s="42">
        <v>43252</v>
      </c>
      <c r="E10" s="43" t="s">
        <v>3</v>
      </c>
      <c r="F10" s="44">
        <v>173</v>
      </c>
      <c r="G10" s="322">
        <f>IF(OR(E10="",F10=""),"",PID_KVLohnLookup($A$1,E10,F10,LOHNTABELLE!$H$4))</f>
        <v>2082</v>
      </c>
      <c r="H10" s="323">
        <f>IF(AND(ISNUMBER(D10),ISNUMBER(F10)),ROUNDDOWN(MIN(IF(OR(ISBLANK(I10),I10=""),EOMONTH(DATE(EINSTELLUNG!$C$35,$A$1,1),0),I10)-MAX(D10,DATE(EINSTELLUNG!$C$35,$A$1,1))+1)/DAY(EOMONTH(DATE(EINSTELLUNG!$C$35,$A$1,1),0))*F10,2),"")</f>
        <v>173</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37" t="s">
        <v>60</v>
      </c>
      <c r="P10" s="338"/>
      <c r="Q10" s="339">
        <f>EINSTELLUNG!I28</f>
        <v>0</v>
      </c>
      <c r="R10" s="340"/>
      <c r="S10" s="319"/>
      <c r="T10" s="319"/>
      <c r="U10" s="319"/>
      <c r="V10" s="319"/>
    </row>
    <row r="11" spans="1:28" ht="22" customHeight="1">
      <c r="A11" s="321" t="s">
        <v>61</v>
      </c>
      <c r="B11" s="97">
        <v>401276</v>
      </c>
      <c r="C11" s="49" t="s">
        <v>392</v>
      </c>
      <c r="D11" s="50">
        <v>38899</v>
      </c>
      <c r="E11" s="51" t="s">
        <v>2</v>
      </c>
      <c r="F11" s="52">
        <v>55</v>
      </c>
      <c r="G11" s="322">
        <f>IF(OR(E11="",F11=""),"",PID_KVLohnLookup($A$1,E11,F11,LOHNTABELLE!$H$4))</f>
        <v>666</v>
      </c>
      <c r="H11" s="323">
        <f>IF(AND(ISNUMBER(D11),ISNUMBER(F11)),ROUNDDOWN(MIN(IF(OR(ISBLANK(I11),I11=""),EOMONTH(DATE(EINSTELLUNG!$C$35,$A$1,1),0),I11)-MAX(D11,DATE(EINSTELLUNG!$C$35,$A$1,1))+1)/DAY(EOMONTH(DATE(EINSTELLUNG!$C$35,$A$1,1),0))*F11,2),"")</f>
        <v>55</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37" t="s">
        <v>62</v>
      </c>
      <c r="P11" s="338"/>
      <c r="Q11" s="339">
        <f>P5</f>
        <v>600</v>
      </c>
      <c r="R11" s="340"/>
      <c r="S11" s="319"/>
      <c r="T11" s="319"/>
      <c r="U11" s="319"/>
      <c r="V11" s="319"/>
    </row>
    <row r="12" spans="1:28" ht="22" customHeight="1">
      <c r="A12" s="321" t="s">
        <v>63</v>
      </c>
      <c r="B12" s="96">
        <v>401307</v>
      </c>
      <c r="C12" s="41" t="s">
        <v>231</v>
      </c>
      <c r="D12" s="45">
        <v>43571</v>
      </c>
      <c r="E12" s="43" t="s">
        <v>2</v>
      </c>
      <c r="F12" s="44">
        <v>55</v>
      </c>
      <c r="G12" s="322">
        <f>IF(OR(E12="",F12=""),"",PID_KVLohnLookup($A$1,E12,F12,LOHNTABELLE!$H$4))</f>
        <v>666</v>
      </c>
      <c r="H12" s="323">
        <f>IF(AND(ISNUMBER(D12),ISNUMBER(F12)),ROUNDDOWN(MIN(IF(OR(ISBLANK(I12),I12=""),EOMONTH(DATE(EINSTELLUNG!$C$35,$A$1,1),0),I12)-MAX(D12,DATE(EINSTELLUNG!$C$35,$A$1,1))+1)/DAY(EOMONTH(DATE(EINSTELLUNG!$C$35,$A$1,1),0))*F12,2),"")</f>
        <v>55</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37" t="s">
        <v>64</v>
      </c>
      <c r="P12" s="338"/>
      <c r="Q12" s="167">
        <v>-50</v>
      </c>
      <c r="R12" s="168"/>
      <c r="S12" s="319"/>
      <c r="T12" s="319"/>
      <c r="U12" s="319"/>
      <c r="V12" s="319"/>
    </row>
    <row r="13" spans="1:28" ht="22" customHeight="1">
      <c r="A13" s="321" t="s">
        <v>65</v>
      </c>
      <c r="B13" s="97">
        <v>401308</v>
      </c>
      <c r="C13" s="49" t="s">
        <v>232</v>
      </c>
      <c r="D13" s="50">
        <v>43579</v>
      </c>
      <c r="E13" s="51" t="s">
        <v>3</v>
      </c>
      <c r="F13" s="52">
        <v>173</v>
      </c>
      <c r="G13" s="322">
        <f>IF(OR(E13="",F13=""),"",PID_KVLohnLookup($A$1,E13,F13,LOHNTABELLE!$H$4))</f>
        <v>2082</v>
      </c>
      <c r="H13" s="323">
        <f>IF(AND(ISNUMBER(D13),ISNUMBER(F13)),ROUNDDOWN(MIN(IF(OR(ISBLANK(I13),I13=""),EOMONTH(DATE(EINSTELLUNG!$C$35,$A$1,1),0),I13)-MAX(D13,DATE(EINSTELLUNG!$C$35,$A$1,1))+1)/DAY(EOMONTH(DATE(EINSTELLUNG!$C$35,$A$1,1),0))*F13,2),"")</f>
        <v>173</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37" t="s">
        <v>66</v>
      </c>
      <c r="P13" s="338"/>
      <c r="Q13" s="339">
        <f>Q8-Q9-Q10-Q11-Q12</f>
        <v>7628.119999999999</v>
      </c>
      <c r="R13" s="340"/>
      <c r="S13" s="319"/>
      <c r="T13" s="319"/>
      <c r="U13" s="319"/>
      <c r="V13" s="319"/>
    </row>
    <row r="14" spans="1:28" ht="22" customHeight="1">
      <c r="A14" s="321" t="s">
        <v>67</v>
      </c>
      <c r="B14" s="96">
        <v>401394</v>
      </c>
      <c r="C14" s="41" t="s">
        <v>233</v>
      </c>
      <c r="D14" s="42">
        <v>44379</v>
      </c>
      <c r="E14" s="43" t="s">
        <v>2</v>
      </c>
      <c r="F14" s="44">
        <v>173</v>
      </c>
      <c r="G14" s="322">
        <f>IF(OR(E14="",F14=""),"",PID_KVLohnLookup($A$1,E14,F14,LOHNTABELLE!$H$4))</f>
        <v>2021</v>
      </c>
      <c r="H14" s="323">
        <f>IF(AND(ISNUMBER(D14),ISNUMBER(F14)),ROUNDDOWN(MIN(IF(OR(ISBLANK(I14),I14=""),EOMONTH(DATE(EINSTELLUNG!$C$35,$A$1,1),0),I14)-MAX(D14,DATE(EINSTELLUNG!$C$35,$A$1,1))+1)/DAY(EOMONTH(DATE(EINSTELLUNG!$C$35,$A$1,1),0))*F14,2),"")</f>
        <v>173</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37" t="s">
        <v>68</v>
      </c>
      <c r="P14" s="338"/>
      <c r="Q14" s="339">
        <f>EINSTELLUNG!L12</f>
        <v>9300</v>
      </c>
      <c r="R14" s="340"/>
      <c r="S14" s="319"/>
      <c r="T14" s="319"/>
      <c r="U14" s="319"/>
      <c r="V14" s="319"/>
    </row>
    <row r="15" spans="1:28" ht="22" customHeight="1" thickBot="1">
      <c r="A15" s="321" t="s">
        <v>69</v>
      </c>
      <c r="B15" s="97">
        <v>401479</v>
      </c>
      <c r="C15" s="49" t="s">
        <v>238</v>
      </c>
      <c r="D15" s="50">
        <v>44511</v>
      </c>
      <c r="E15" s="51" t="s">
        <v>6</v>
      </c>
      <c r="F15" s="52">
        <v>173</v>
      </c>
      <c r="G15" s="322">
        <f>IF(OR(E15="",F15=""),"",PID_KVLohnLookup($A$1,E15,F15,LOHNTABELLE!$H$4))</f>
        <v>2160</v>
      </c>
      <c r="H15" s="323">
        <f>IF(AND(ISNUMBER(D15),ISNUMBER(F15)),ROUNDDOWN(MIN(IF(OR(ISBLANK(I15),I15=""),EOMONTH(DATE(EINSTELLUNG!$C$35,$A$1,1),0),I15)-MAX(D15,DATE(EINSTELLUNG!$C$35,$A$1,1))+1)/DAY(EOMONTH(DATE(EINSTELLUNG!$C$35,$A$1,1),0))*F15,2),"")</f>
        <v>173</v>
      </c>
      <c r="I15" s="53"/>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342" t="s">
        <v>70</v>
      </c>
      <c r="P15" s="343"/>
      <c r="Q15" s="344">
        <f>Q13-Q14</f>
        <v>-1671.880000000001</v>
      </c>
      <c r="R15" s="345"/>
      <c r="S15" s="346"/>
      <c r="T15" s="346"/>
      <c r="U15" s="346"/>
      <c r="V15" s="319"/>
    </row>
    <row r="16" spans="1:28" ht="22" customHeight="1" thickBot="1">
      <c r="A16" s="321" t="s">
        <v>71</v>
      </c>
      <c r="B16" s="96">
        <v>401558</v>
      </c>
      <c r="C16" s="41" t="s">
        <v>236</v>
      </c>
      <c r="D16" s="42">
        <v>44460</v>
      </c>
      <c r="E16" s="43" t="s">
        <v>2</v>
      </c>
      <c r="F16" s="44">
        <v>173</v>
      </c>
      <c r="G16" s="322">
        <f>IF(OR(E16="",F16=""),"",PID_KVLohnLookup($A$1,E16,F16,LOHNTABELLE!$H$4))</f>
        <v>2021</v>
      </c>
      <c r="H16" s="323">
        <f>IF(AND(ISNUMBER(D16),ISNUMBER(F16)),ROUNDDOWN(MIN(IF(OR(ISBLANK(I16),I16=""),EOMONTH(DATE(EINSTELLUNG!$C$35,$A$1,1),0),I16)-MAX(D16,DATE(EINSTELLUNG!$C$35,$A$1,1))+1)/DAY(EOMONTH(DATE(EINSTELLUNG!$C$35,$A$1,1),0))*F16,2),"")</f>
        <v>173</v>
      </c>
      <c r="I16" s="45"/>
      <c r="J16" s="46"/>
      <c r="K16" s="322">
        <f t="shared" si="0"/>
        <v>0</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47" t="str">
        <f>IF(Q15&lt;0, "Schlecht! Zu wenig Stunden für Dienstplan.", IF(Q15&gt;0, "Du hast mehr als genug Stunden für Dienstplan.", ""))</f>
        <v>Schlecht! Zu wenig Stunden für Dienstplan.</v>
      </c>
      <c r="P16" s="348"/>
      <c r="Q16" s="348"/>
      <c r="R16" s="349"/>
      <c r="S16" s="350"/>
      <c r="T16" s="350"/>
      <c r="U16" s="350"/>
      <c r="V16" s="350"/>
      <c r="W16" s="351"/>
    </row>
    <row r="17" spans="1:29" ht="22" customHeight="1">
      <c r="A17" s="321" t="s">
        <v>72</v>
      </c>
      <c r="B17" s="97">
        <v>401564</v>
      </c>
      <c r="C17" s="49" t="s">
        <v>240</v>
      </c>
      <c r="D17" s="50">
        <v>44824</v>
      </c>
      <c r="E17" s="51" t="s">
        <v>2</v>
      </c>
      <c r="F17" s="52">
        <v>151.38</v>
      </c>
      <c r="G17" s="322">
        <f>IF(OR(E17="",F17=""),"",PID_KVLohnLookup($A$1,E17,F17,LOHNTABELLE!$H$4))</f>
        <v>1768.38</v>
      </c>
      <c r="H17" s="323">
        <f>IF(AND(ISNUMBER(D17),ISNUMBER(F17)),ROUNDDOWN(MIN(IF(OR(ISBLANK(I17),I17=""),EOMONTH(DATE(EINSTELLUNG!$C$35,$A$1,1),0),I17)-MAX(D17,DATE(EINSTELLUNG!$C$35,$A$1,1))+1)/DAY(EOMONTH(DATE(EINSTELLUNG!$C$35,$A$1,1),0))*F17,2),"")</f>
        <v>151.38</v>
      </c>
      <c r="I17" s="53"/>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5"/>
      <c r="N17" s="71"/>
      <c r="O17" s="352" t="s">
        <v>73</v>
      </c>
      <c r="P17" s="334"/>
      <c r="Q17" s="353">
        <f>SUM(L3:L82)</f>
        <v>97497.640000000014</v>
      </c>
      <c r="R17" s="354"/>
      <c r="S17" s="319"/>
      <c r="T17" s="319"/>
      <c r="U17" s="319"/>
      <c r="V17" s="319"/>
      <c r="W17" s="351"/>
    </row>
    <row r="18" spans="1:29" ht="22" customHeight="1">
      <c r="A18" s="321" t="s">
        <v>74</v>
      </c>
      <c r="B18" s="96">
        <v>401583</v>
      </c>
      <c r="C18" s="41" t="s">
        <v>242</v>
      </c>
      <c r="D18" s="42">
        <v>44900</v>
      </c>
      <c r="E18" s="43" t="s">
        <v>13</v>
      </c>
      <c r="F18" s="44">
        <v>173</v>
      </c>
      <c r="G18" s="322">
        <f>IF(OR(E18="",F18=""),"",PID_KVLohnLookup($A$1,E18,F18,LOHNTABELLE!$H$4))</f>
        <v>2328</v>
      </c>
      <c r="H18" s="323">
        <f>IF(AND(ISNUMBER(D18),ISNUMBER(F18)),ROUNDDOWN(MIN(IF(OR(ISBLANK(I18),I18=""),EOMONTH(DATE(EINSTELLUNG!$C$35,$A$1,1),0),I18)-MAX(D18,DATE(EINSTELLUNG!$C$35,$A$1,1))+1)/DAY(EOMONTH(DATE(EINSTELLUNG!$C$35,$A$1,1),0))*F18,2),"")</f>
        <v>173</v>
      </c>
      <c r="I18" s="45"/>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7"/>
      <c r="N18" s="70"/>
      <c r="O18" s="355" t="s">
        <v>376</v>
      </c>
      <c r="P18" s="356"/>
      <c r="Q18" s="357">
        <v>20</v>
      </c>
      <c r="R18" s="358"/>
      <c r="S18" s="319"/>
      <c r="T18" s="319"/>
      <c r="U18" s="319"/>
      <c r="V18" s="319"/>
    </row>
    <row r="19" spans="1:29" ht="22" customHeight="1">
      <c r="A19" s="321" t="s">
        <v>75</v>
      </c>
      <c r="B19" s="97">
        <v>401589</v>
      </c>
      <c r="C19" s="49" t="s">
        <v>243</v>
      </c>
      <c r="D19" s="50">
        <v>44926</v>
      </c>
      <c r="E19" s="51" t="s">
        <v>10</v>
      </c>
      <c r="F19" s="52">
        <v>173</v>
      </c>
      <c r="G19" s="322">
        <f>IF(OR(E19="",F19=""),"",PID_KVLohnLookup($A$1,E19,F19,LOHNTABELLE!$H$4))</f>
        <v>2300</v>
      </c>
      <c r="H19" s="323">
        <f>IF(AND(ISNUMBER(D19),ISNUMBER(F19)),ROUNDDOWN(MIN(IF(OR(ISBLANK(I19),I19=""),EOMONTH(DATE(EINSTELLUNG!$C$35,$A$1,1),0),I19)-MAX(D19,DATE(EINSTELLUNG!$C$35,$A$1,1))+1)/DAY(EOMONTH(DATE(EINSTELLUNG!$C$35,$A$1,1),0))*F19,2),"")</f>
        <v>173</v>
      </c>
      <c r="I19" s="53"/>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5"/>
      <c r="N19" s="71"/>
      <c r="O19" s="355" t="s">
        <v>294</v>
      </c>
      <c r="P19" s="356"/>
      <c r="Q19" s="357">
        <v>333</v>
      </c>
      <c r="R19" s="358"/>
      <c r="S19" s="319"/>
      <c r="T19" s="319"/>
      <c r="U19" s="319"/>
      <c r="V19" s="319"/>
    </row>
    <row r="20" spans="1:29" ht="22" customHeight="1">
      <c r="A20" s="321" t="s">
        <v>76</v>
      </c>
      <c r="B20" s="96">
        <v>401602</v>
      </c>
      <c r="C20" s="41" t="s">
        <v>244</v>
      </c>
      <c r="D20" s="45">
        <v>45975</v>
      </c>
      <c r="E20" s="43" t="s">
        <v>2</v>
      </c>
      <c r="F20" s="44">
        <v>169</v>
      </c>
      <c r="G20" s="322">
        <f>IF(OR(E20="",F20=""),"",PID_KVLohnLookup($A$1,E20,F20,LOHNTABELLE!$H$4))</f>
        <v>2000</v>
      </c>
      <c r="H20" s="323">
        <f>IF(AND(ISNUMBER(D20),ISNUMBER(F20)),ROUNDDOWN(MIN(IF(OR(ISBLANK(I20),I20=""),EOMONTH(DATE(EINSTELLUNG!$C$35,$A$1,1),0),I20)-MAX(D20,DATE(EINSTELLUNG!$C$35,$A$1,1))+1)/DAY(EOMONTH(DATE(EINSTELLUNG!$C$35,$A$1,1),0))*F20,2),"")</f>
        <v>169</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7"/>
      <c r="N20" s="70"/>
      <c r="O20" s="355" t="s">
        <v>294</v>
      </c>
      <c r="P20" s="356"/>
      <c r="Q20" s="357">
        <v>35</v>
      </c>
      <c r="R20" s="358"/>
      <c r="S20" s="319"/>
      <c r="T20" s="319"/>
      <c r="U20" s="319"/>
      <c r="V20" s="319"/>
    </row>
    <row r="21" spans="1:29" ht="22" customHeight="1">
      <c r="A21" s="321" t="s">
        <v>77</v>
      </c>
      <c r="B21" s="97">
        <v>401605</v>
      </c>
      <c r="C21" s="49" t="s">
        <v>245</v>
      </c>
      <c r="D21" s="50">
        <v>44986</v>
      </c>
      <c r="E21" s="51" t="s">
        <v>2</v>
      </c>
      <c r="F21" s="52">
        <v>173</v>
      </c>
      <c r="G21" s="322">
        <f>IF(OR(E21="",F21=""),"",PID_KVLohnLookup($A$1,E21,F21,LOHNTABELLE!$H$4))</f>
        <v>2021</v>
      </c>
      <c r="H21" s="323">
        <f>IF(AND(ISNUMBER(D21),ISNUMBER(F21)),ROUNDDOWN(MIN(IF(OR(ISBLANK(I21),I21=""),EOMONTH(DATE(EINSTELLUNG!$C$35,$A$1,1),0),I21)-MAX(D21,DATE(EINSTELLUNG!$C$35,$A$1,1))+1)/DAY(EOMONTH(DATE(EINSTELLUNG!$C$35,$A$1,1),0))*F21,2),"")</f>
        <v>173</v>
      </c>
      <c r="I21" s="53"/>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5"/>
      <c r="N21" s="71"/>
      <c r="O21" s="355" t="s">
        <v>294</v>
      </c>
      <c r="P21" s="356"/>
      <c r="Q21" s="357">
        <v>100</v>
      </c>
      <c r="R21" s="358"/>
      <c r="S21" s="319"/>
      <c r="T21" s="319"/>
      <c r="U21" s="319"/>
      <c r="V21" s="319"/>
    </row>
    <row r="22" spans="1:29" ht="22" customHeight="1">
      <c r="A22" s="321" t="s">
        <v>78</v>
      </c>
      <c r="B22" s="96">
        <v>401605</v>
      </c>
      <c r="C22" s="41" t="s">
        <v>393</v>
      </c>
      <c r="D22" s="42">
        <v>36850</v>
      </c>
      <c r="E22" s="43" t="s">
        <v>10</v>
      </c>
      <c r="F22" s="44">
        <v>151.38</v>
      </c>
      <c r="G22" s="322">
        <f>IF(OR(E22="",F22=""),"",PID_KVLohnLookup($A$1,E22,F22,LOHNTABELLE!$H$4))</f>
        <v>2012.5</v>
      </c>
      <c r="H22" s="323">
        <f>IF(AND(ISNUMBER(D22),ISNUMBER(F22)),ROUNDDOWN(MIN(IF(OR(ISBLANK(I22),I22=""),EOMONTH(DATE(EINSTELLUNG!$C$35,$A$1,1),0),I22)-MAX(D22,DATE(EINSTELLUNG!$C$35,$A$1,1))+1)/DAY(EOMONTH(DATE(EINSTELLUNG!$C$35,$A$1,1),0))*F22,2),"")</f>
        <v>151.38</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7"/>
      <c r="N22" s="70"/>
      <c r="O22" s="355" t="s">
        <v>294</v>
      </c>
      <c r="P22" s="356"/>
      <c r="Q22" s="357"/>
      <c r="R22" s="358"/>
      <c r="S22" s="319"/>
      <c r="T22" s="319"/>
      <c r="U22" s="319"/>
      <c r="V22" s="319"/>
    </row>
    <row r="23" spans="1:29" ht="22" customHeight="1">
      <c r="A23" s="321" t="s">
        <v>79</v>
      </c>
      <c r="B23" s="97">
        <v>401626</v>
      </c>
      <c r="C23" s="49" t="s">
        <v>246</v>
      </c>
      <c r="D23" s="50">
        <v>45063</v>
      </c>
      <c r="E23" s="51" t="s">
        <v>2</v>
      </c>
      <c r="F23" s="52">
        <v>173</v>
      </c>
      <c r="G23" s="322">
        <f>IF(OR(E23="",F23=""),"",PID_KVLohnLookup($A$1,E23,F23,LOHNTABELLE!$H$4))</f>
        <v>2021</v>
      </c>
      <c r="H23" s="323">
        <f>IF(AND(ISNUMBER(D23),ISNUMBER(F23)),ROUNDDOWN(MIN(IF(OR(ISBLANK(I23),I23=""),EOMONTH(DATE(EINSTELLUNG!$C$35,$A$1,1),0),I23)-MAX(D23,DATE(EINSTELLUNG!$C$35,$A$1,1))+1)/DAY(EOMONTH(DATE(EINSTELLUNG!$C$35,$A$1,1),0))*F23,2),"")</f>
        <v>173</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5"/>
      <c r="N23" s="71"/>
      <c r="O23" s="355" t="s">
        <v>294</v>
      </c>
      <c r="P23" s="356"/>
      <c r="Q23" s="357">
        <v>5000</v>
      </c>
      <c r="R23" s="358"/>
      <c r="S23" s="319"/>
      <c r="T23" s="319"/>
      <c r="U23" s="319"/>
      <c r="V23" s="319"/>
      <c r="W23" s="351"/>
    </row>
    <row r="24" spans="1:29" ht="22" customHeight="1">
      <c r="A24" s="321" t="s">
        <v>80</v>
      </c>
      <c r="B24" s="96">
        <v>401633</v>
      </c>
      <c r="C24" s="41" t="s">
        <v>247</v>
      </c>
      <c r="D24" s="42">
        <v>45089</v>
      </c>
      <c r="E24" s="43" t="s">
        <v>10</v>
      </c>
      <c r="F24" s="44">
        <v>173</v>
      </c>
      <c r="G24" s="322">
        <f>IF(OR(E24="",F24=""),"",PID_KVLohnLookup($A$1,E24,F24,LOHNTABELLE!$H$4))</f>
        <v>2300</v>
      </c>
      <c r="H24" s="323">
        <f>IF(AND(ISNUMBER(D24),ISNUMBER(F24)),ROUNDDOWN(MIN(IF(OR(ISBLANK(I24),I24=""),EOMONTH(DATE(EINSTELLUNG!$C$35,$A$1,1),0),I24)-MAX(D24,DATE(EINSTELLUNG!$C$35,$A$1,1))+1)/DAY(EOMONTH(DATE(EINSTELLUNG!$C$35,$A$1,1),0))*F24,2),"")</f>
        <v>173</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7"/>
      <c r="N24" s="70"/>
      <c r="O24" s="355"/>
      <c r="P24" s="356"/>
      <c r="Q24" s="357"/>
      <c r="R24" s="358"/>
      <c r="S24" s="319"/>
      <c r="T24" s="319"/>
      <c r="U24" s="319"/>
      <c r="V24" s="319"/>
      <c r="W24" s="351"/>
    </row>
    <row r="25" spans="1:29" ht="22" customHeight="1">
      <c r="A25" s="321" t="s">
        <v>81</v>
      </c>
      <c r="B25" s="97">
        <v>401647</v>
      </c>
      <c r="C25" s="49" t="s">
        <v>248</v>
      </c>
      <c r="D25" s="50">
        <v>45182</v>
      </c>
      <c r="E25" s="51" t="s">
        <v>2</v>
      </c>
      <c r="F25" s="52">
        <v>173</v>
      </c>
      <c r="G25" s="322">
        <f>IF(OR(E25="",F25=""),"",PID_KVLohnLookup($A$1,E25,F25,LOHNTABELLE!$H$4))</f>
        <v>2021</v>
      </c>
      <c r="H25" s="323">
        <f>IF(AND(ISNUMBER(D25),ISNUMBER(F25)),ROUNDDOWN(MIN(IF(OR(ISBLANK(I25),I25=""),EOMONTH(DATE(EINSTELLUNG!$C$35,$A$1,1),0),I25)-MAX(D25,DATE(EINSTELLUNG!$C$35,$A$1,1))+1)/DAY(EOMONTH(DATE(EINSTELLUNG!$C$35,$A$1,1),0))*F25,2),"")</f>
        <v>173</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5"/>
      <c r="P25" s="356"/>
      <c r="Q25" s="357"/>
      <c r="R25" s="358"/>
      <c r="S25" s="319"/>
      <c r="T25" s="319"/>
      <c r="U25" s="319"/>
      <c r="V25" s="319"/>
    </row>
    <row r="26" spans="1:29" ht="22" customHeight="1">
      <c r="A26" s="321" t="s">
        <v>82</v>
      </c>
      <c r="B26" s="96">
        <v>401661</v>
      </c>
      <c r="C26" s="41" t="s">
        <v>249</v>
      </c>
      <c r="D26" s="42">
        <v>45261</v>
      </c>
      <c r="E26" s="43" t="s">
        <v>2</v>
      </c>
      <c r="F26" s="44">
        <v>173</v>
      </c>
      <c r="G26" s="322">
        <f>IF(OR(E26="",F26=""),"",PID_KVLohnLookup($A$1,E26,F26,LOHNTABELLE!$H$4))</f>
        <v>2021</v>
      </c>
      <c r="H26" s="323">
        <f>IF(AND(ISNUMBER(D26),ISNUMBER(F26)),ROUNDDOWN(MIN(IF(OR(ISBLANK(I26),I26=""),EOMONTH(DATE(EINSTELLUNG!$C$35,$A$1,1),0),I26)-MAX(D26,DATE(EINSTELLUNG!$C$35,$A$1,1))+1)/DAY(EOMONTH(DATE(EINSTELLUNG!$C$35,$A$1,1),0))*F26,2),"")</f>
        <v>173</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5"/>
      <c r="P26" s="356"/>
      <c r="Q26" s="357"/>
      <c r="R26" s="358"/>
      <c r="S26" s="319"/>
      <c r="T26" s="319"/>
      <c r="U26" s="319"/>
      <c r="V26" s="319"/>
    </row>
    <row r="27" spans="1:29" ht="22" customHeight="1">
      <c r="A27" s="321" t="s">
        <v>83</v>
      </c>
      <c r="B27" s="97">
        <v>401670</v>
      </c>
      <c r="C27" s="49" t="s">
        <v>250</v>
      </c>
      <c r="D27" s="50">
        <v>45358</v>
      </c>
      <c r="E27" s="51" t="s">
        <v>2</v>
      </c>
      <c r="F27" s="52">
        <v>173</v>
      </c>
      <c r="G27" s="322">
        <f>IF(OR(E27="",F27=""),"",PID_KVLohnLookup($A$1,E27,F27,LOHNTABELLE!$H$4))</f>
        <v>2021</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5"/>
      <c r="P27" s="356"/>
      <c r="Q27" s="357"/>
      <c r="R27" s="358"/>
      <c r="S27" s="359" t="s">
        <v>84</v>
      </c>
      <c r="T27" s="359"/>
      <c r="U27" s="359"/>
      <c r="V27" s="359"/>
    </row>
    <row r="28" spans="1:29" ht="22" customHeight="1">
      <c r="A28" s="321" t="s">
        <v>85</v>
      </c>
      <c r="B28" s="96">
        <v>401678</v>
      </c>
      <c r="C28" s="41" t="s">
        <v>251</v>
      </c>
      <c r="D28" s="42">
        <v>45414</v>
      </c>
      <c r="E28" s="43" t="s">
        <v>2</v>
      </c>
      <c r="F28" s="44">
        <v>173</v>
      </c>
      <c r="G28" s="322">
        <f>IF(OR(E28="",F28=""),"",PID_KVLohnLookup($A$1,E28,F28,LOHNTABELLE!$H$4))</f>
        <v>2021</v>
      </c>
      <c r="H28" s="323">
        <f>IF(AND(ISNUMBER(D28),ISNUMBER(F28)),ROUNDDOWN(MIN(IF(OR(ISBLANK(I28),I28=""),EOMONTH(DATE(EINSTELLUNG!$C$35,$A$1,1),0),I28)-MAX(D28,DATE(EINSTELLUNG!$C$35,$A$1,1))+1)/DAY(EOMONTH(DATE(EINSTELLUNG!$C$35,$A$1,1),0))*F28,2),"")</f>
        <v>173</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55"/>
      <c r="P28" s="356"/>
      <c r="Q28" s="357"/>
      <c r="R28" s="358"/>
      <c r="S28" s="319"/>
      <c r="T28" s="319"/>
      <c r="U28" s="319"/>
      <c r="V28" s="319"/>
    </row>
    <row r="29" spans="1:29" ht="22" customHeight="1" thickBot="1">
      <c r="A29" s="321" t="s">
        <v>86</v>
      </c>
      <c r="B29" s="97">
        <v>401690</v>
      </c>
      <c r="C29" s="49" t="s">
        <v>253</v>
      </c>
      <c r="D29" s="50">
        <v>45536</v>
      </c>
      <c r="E29" s="51" t="s">
        <v>2</v>
      </c>
      <c r="F29" s="52">
        <v>151.38</v>
      </c>
      <c r="G29" s="322">
        <f>IF(OR(E29="",F29=""),"",PID_KVLohnLookup($A$1,E29,F29,LOHNTABELLE!$H$4))</f>
        <v>1768.38</v>
      </c>
      <c r="H29" s="323">
        <f>IF(AND(ISNUMBER(D29),ISNUMBER(F29)),ROUNDDOWN(MIN(IF(OR(ISBLANK(I29),I29=""),EOMONTH(DATE(EINSTELLUNG!$C$35,$A$1,1),0),I29)-MAX(D29,DATE(EINSTELLUNG!$C$35,$A$1,1))+1)/DAY(EOMONTH(DATE(EINSTELLUNG!$C$35,$A$1,1),0))*F29,2),"")</f>
        <v>151.38</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5"/>
      <c r="N29" s="71"/>
      <c r="O29" s="360" t="s">
        <v>87</v>
      </c>
      <c r="P29" s="343"/>
      <c r="Q29" s="361">
        <f>EINSTELLUNG!O12</f>
        <v>1250</v>
      </c>
      <c r="R29" s="362"/>
      <c r="S29" s="319"/>
      <c r="T29" s="319"/>
      <c r="U29" s="319"/>
      <c r="V29" s="319"/>
    </row>
    <row r="30" spans="1:29" ht="22" customHeight="1" thickBot="1">
      <c r="A30" s="321" t="s">
        <v>88</v>
      </c>
      <c r="B30" s="96">
        <v>401715</v>
      </c>
      <c r="C30" s="41" t="s">
        <v>256</v>
      </c>
      <c r="D30" s="42">
        <v>45755</v>
      </c>
      <c r="E30" s="43" t="s">
        <v>2</v>
      </c>
      <c r="F30" s="65">
        <v>173</v>
      </c>
      <c r="G30" s="322">
        <f>IF(OR(E30="",F30=""),"",PID_KVLohnLookup($A$1,E30,F30,LOHNTABELLE!$H$4))</f>
        <v>2021</v>
      </c>
      <c r="H30" s="323">
        <f>IF(AND(ISNUMBER(D30),ISNUMBER(F30)),ROUNDDOWN(MIN(IF(OR(ISBLANK(I30),I30=""),EOMONTH(DATE(EINSTELLUNG!$C$35,$A$1,1),0),I30)-MAX(D30,DATE(EINSTELLUNG!$C$35,$A$1,1))+1)/DAY(EOMONTH(DATE(EINSTELLUNG!$C$35,$A$1,1),0))*F30,2),"")</f>
        <v>173</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19"/>
      <c r="P30" s="319"/>
      <c r="Q30" s="319"/>
      <c r="R30" s="319"/>
      <c r="S30" s="319"/>
      <c r="T30" s="319"/>
      <c r="U30" s="319"/>
      <c r="V30" s="319"/>
      <c r="W30" s="363"/>
      <c r="X30" s="363"/>
      <c r="Y30" s="363"/>
      <c r="Z30" s="363"/>
      <c r="AA30" s="363"/>
      <c r="AB30" s="363"/>
      <c r="AC30" s="363"/>
    </row>
    <row r="31" spans="1:29" ht="22" customHeight="1" thickBot="1">
      <c r="A31" s="321" t="s">
        <v>89</v>
      </c>
      <c r="B31" s="97">
        <v>401716</v>
      </c>
      <c r="C31" s="49" t="s">
        <v>257</v>
      </c>
      <c r="D31" s="50">
        <v>45800</v>
      </c>
      <c r="E31" s="51" t="s">
        <v>2</v>
      </c>
      <c r="F31" s="52">
        <v>173</v>
      </c>
      <c r="G31" s="322">
        <f>IF(OR(E31="",F31=""),"",PID_KVLohnLookup($A$1,E31,F31,LOHNTABELLE!$H$4))</f>
        <v>2021</v>
      </c>
      <c r="H31" s="323">
        <f>IF(AND(ISNUMBER(D31),ISNUMBER(F31)),ROUNDDOWN(MIN(IF(OR(ISBLANK(I31),I31=""),EOMONTH(DATE(EINSTELLUNG!$C$35,$A$1,1),0),I31)-MAX(D31,DATE(EINSTELLUNG!$C$35,$A$1,1))+1)/DAY(EOMONTH(DATE(EINSTELLUNG!$C$35,$A$1,1),0))*F31,2),"")</f>
        <v>173</v>
      </c>
      <c r="I31" s="53"/>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4" t="s">
        <v>421</v>
      </c>
      <c r="P31" s="365"/>
      <c r="Q31" s="366">
        <v>0</v>
      </c>
      <c r="R31" s="367"/>
      <c r="S31" s="319"/>
      <c r="T31" s="319"/>
      <c r="U31" s="319"/>
      <c r="V31" s="319"/>
    </row>
    <row r="32" spans="1:29" ht="22" customHeight="1" thickBot="1">
      <c r="A32" s="321" t="s">
        <v>91</v>
      </c>
      <c r="B32" s="96">
        <v>401717</v>
      </c>
      <c r="C32" s="41" t="s">
        <v>258</v>
      </c>
      <c r="D32" s="42">
        <v>45814</v>
      </c>
      <c r="E32" s="43" t="s">
        <v>2</v>
      </c>
      <c r="F32" s="44">
        <v>86.5</v>
      </c>
      <c r="G32" s="322">
        <f>IF(OR(E32="",F32=""),"",PID_KVLohnLookup($A$1,E32,F32,LOHNTABELLE!$H$4))</f>
        <v>1010.5</v>
      </c>
      <c r="H32" s="323">
        <f>IF(AND(ISNUMBER(D32),ISNUMBER(F32)),ROUNDDOWN(MIN(IF(OR(ISBLANK(I32),I32=""),EOMONTH(DATE(EINSTELLUNG!$C$35,$A$1,1),0),I32)-MAX(D32,DATE(EINSTELLUNG!$C$35,$A$1,1))+1)/DAY(EOMONTH(DATE(EINSTELLUNG!$C$35,$A$1,1),0))*F32,2),"")</f>
        <v>86.5</v>
      </c>
      <c r="I32" s="45"/>
      <c r="J32" s="46"/>
      <c r="K32" s="322">
        <f t="shared" si="0"/>
        <v>0</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19"/>
      <c r="P32" s="319"/>
      <c r="Q32" s="319"/>
      <c r="R32" s="319"/>
      <c r="S32" s="319"/>
      <c r="T32" s="319"/>
      <c r="U32" s="319"/>
      <c r="V32" s="319"/>
    </row>
    <row r="33" spans="1:22" ht="22" customHeight="1">
      <c r="A33" s="321" t="s">
        <v>92</v>
      </c>
      <c r="B33" s="97">
        <v>401722</v>
      </c>
      <c r="C33" s="49" t="s">
        <v>259</v>
      </c>
      <c r="D33" s="50">
        <v>45848</v>
      </c>
      <c r="E33" s="51" t="s">
        <v>2</v>
      </c>
      <c r="F33" s="52">
        <v>86.5</v>
      </c>
      <c r="G33" s="322">
        <f>IF(OR(E33="",F33=""),"",PID_KVLohnLookup($A$1,E33,F33,LOHNTABELLE!$H$4))</f>
        <v>1010.5</v>
      </c>
      <c r="H33" s="323">
        <f>IF(AND(ISNUMBER(D33),ISNUMBER(F33)),ROUNDDOWN(MIN(IF(OR(ISBLANK(I33),I33=""),EOMONTH(DATE(EINSTELLUNG!$C$35,$A$1,1),0),I33)-MAX(D33,DATE(EINSTELLUNG!$C$35,$A$1,1))+1)/DAY(EOMONTH(DATE(EINSTELLUNG!$C$35,$A$1,1),0))*F33,2),"")</f>
        <v>86.5</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68"/>
      <c r="P33" s="369"/>
      <c r="Q33" s="304" t="str">
        <f>EINSTELLUNG!B3</f>
        <v>Budget</v>
      </c>
      <c r="R33" s="304"/>
      <c r="S33" s="304" t="str">
        <f>EINSTELLUNG!B19</f>
        <v>Projection/Aktuell Zahlen</v>
      </c>
      <c r="T33" s="304"/>
      <c r="U33" s="304" t="s">
        <v>95</v>
      </c>
      <c r="V33" s="305"/>
    </row>
    <row r="34" spans="1:22" ht="22" customHeight="1">
      <c r="A34" s="321" t="s">
        <v>96</v>
      </c>
      <c r="B34" s="96">
        <v>401723</v>
      </c>
      <c r="C34" s="41" t="s">
        <v>260</v>
      </c>
      <c r="D34" s="42">
        <v>45852</v>
      </c>
      <c r="E34" s="43" t="s">
        <v>2</v>
      </c>
      <c r="F34" s="44">
        <v>86.5</v>
      </c>
      <c r="G34" s="322">
        <f>IF(OR(E34="",F34=""),"",PID_KVLohnLookup($A$1,E34,F34,LOHNTABELLE!$H$4))</f>
        <v>1010.5</v>
      </c>
      <c r="H34" s="323">
        <f>IF(AND(ISNUMBER(D34),ISNUMBER(F34)),ROUNDDOWN(MIN(IF(OR(ISBLANK(I34),I34=""),EOMONTH(DATE(EINSTELLUNG!$C$35,$A$1,1),0),I34)-MAX(D34,DATE(EINSTELLUNG!$C$35,$A$1,1))+1)/DAY(EOMONTH(DATE(EINSTELLUNG!$C$35,$A$1,1),0))*F34,2),"")</f>
        <v>86.5</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0"/>
      <c r="P34" s="371"/>
      <c r="Q34" s="372"/>
      <c r="R34" s="372"/>
      <c r="S34" s="372"/>
      <c r="T34" s="372"/>
      <c r="U34" s="372"/>
      <c r="V34" s="373"/>
    </row>
    <row r="35" spans="1:22" ht="22" customHeight="1">
      <c r="A35" s="321" t="s">
        <v>97</v>
      </c>
      <c r="B35" s="97">
        <v>401726</v>
      </c>
      <c r="C35" s="49" t="s">
        <v>261</v>
      </c>
      <c r="D35" s="50">
        <v>45870</v>
      </c>
      <c r="E35" s="51" t="s">
        <v>2</v>
      </c>
      <c r="F35" s="52">
        <v>86.5</v>
      </c>
      <c r="G35" s="322">
        <f>IF(OR(E35="",F35=""),"",PID_KVLohnLookup($A$1,E35,F35,LOHNTABELLE!$H$4))</f>
        <v>1010.5</v>
      </c>
      <c r="H35" s="323">
        <f>IF(AND(ISNUMBER(D35),ISNUMBER(F35)),ROUNDDOWN(MIN(IF(OR(ISBLANK(I35),I35=""),EOMONTH(DATE(EINSTELLUNG!$C$35,$A$1,1),0),I35)-MAX(D35,DATE(EINSTELLUNG!$C$35,$A$1,1))+1)/DAY(EOMONTH(DATE(EINSTELLUNG!$C$35,$A$1,1),0))*F35,2),"")</f>
        <v>86.5</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4" t="s">
        <v>98</v>
      </c>
      <c r="P35" s="338"/>
      <c r="Q35" s="375">
        <f>EINSTELLUNG!C12</f>
        <v>400000</v>
      </c>
      <c r="R35" s="375"/>
      <c r="S35" s="375">
        <f>EINSTELLUNG!C28</f>
        <v>435000</v>
      </c>
      <c r="T35" s="375"/>
      <c r="U35" s="375">
        <f>S35-Q35</f>
        <v>35000</v>
      </c>
      <c r="V35" s="376"/>
    </row>
    <row r="36" spans="1:22" ht="22" customHeight="1">
      <c r="A36" s="321" t="s">
        <v>99</v>
      </c>
      <c r="B36" s="96">
        <v>401730</v>
      </c>
      <c r="C36" s="41" t="s">
        <v>263</v>
      </c>
      <c r="D36" s="42">
        <v>45895</v>
      </c>
      <c r="E36" s="43" t="s">
        <v>2</v>
      </c>
      <c r="F36" s="44">
        <v>86.5</v>
      </c>
      <c r="G36" s="322">
        <f>IF(OR(E36="",F36=""),"",PID_KVLohnLookup($A$1,E36,F36,LOHNTABELLE!$H$4))</f>
        <v>1010.5</v>
      </c>
      <c r="H36" s="323">
        <f>IF(AND(ISNUMBER(D36),ISNUMBER(F36)),ROUNDDOWN(MIN(IF(OR(ISBLANK(I36),I36=""),EOMONTH(DATE(EINSTELLUNG!$C$35,$A$1,1),0),I36)-MAX(D36,DATE(EINSTELLUNG!$C$35,$A$1,1))+1)/DAY(EOMONTH(DATE(EINSTELLUNG!$C$35,$A$1,1),0))*F36,2),"")</f>
        <v>86.5</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4" t="s">
        <v>100</v>
      </c>
      <c r="P36" s="338"/>
      <c r="Q36" s="375">
        <f>EINSTELLUNG!D12</f>
        <v>100000</v>
      </c>
      <c r="R36" s="375"/>
      <c r="S36" s="375">
        <f ca="1">SumMergedCells(Q17:R29)</f>
        <v>104235.64</v>
      </c>
      <c r="T36" s="375"/>
      <c r="U36" s="375">
        <f t="shared" ref="U36:U41" ca="1" si="2">S36-Q36</f>
        <v>4235.6399999999994</v>
      </c>
      <c r="V36" s="376"/>
    </row>
    <row r="37" spans="1:22" ht="22" customHeight="1">
      <c r="A37" s="321" t="s">
        <v>101</v>
      </c>
      <c r="B37" s="97">
        <v>401731</v>
      </c>
      <c r="C37" s="49" t="s">
        <v>262</v>
      </c>
      <c r="D37" s="50">
        <v>45899</v>
      </c>
      <c r="E37" s="51" t="s">
        <v>2</v>
      </c>
      <c r="F37" s="52">
        <v>86.5</v>
      </c>
      <c r="G37" s="322">
        <f>IF(OR(E37="",F37=""),"",PID_KVLohnLookup($A$1,E37,F37,LOHNTABELLE!$H$4))</f>
        <v>1010.5</v>
      </c>
      <c r="H37" s="323">
        <f>IF(AND(ISNUMBER(D37),ISNUMBER(F37)),ROUNDDOWN(MIN(IF(OR(ISBLANK(I37),I37=""),EOMONTH(DATE(EINSTELLUNG!$C$35,$A$1,1),0),I37)-MAX(D37,DATE(EINSTELLUNG!$C$35,$A$1,1))+1)/DAY(EOMONTH(DATE(EINSTELLUNG!$C$35,$A$1,1),0))*F37,2),"")</f>
        <v>86.5</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4" t="s">
        <v>102</v>
      </c>
      <c r="P37" s="338"/>
      <c r="Q37" s="377">
        <f>IF(ISERROR(Q36/Q35), 0, Q36/Q35)</f>
        <v>0.25</v>
      </c>
      <c r="R37" s="377"/>
      <c r="S37" s="377">
        <f ca="1">IF(ISERROR(S36/S35), 0, S36/S35)</f>
        <v>0.23962216091954022</v>
      </c>
      <c r="T37" s="377"/>
      <c r="U37" s="377">
        <f t="shared" ca="1" si="2"/>
        <v>-1.0377839080459778E-2</v>
      </c>
      <c r="V37" s="378"/>
    </row>
    <row r="38" spans="1:22" ht="22" customHeight="1">
      <c r="A38" s="321" t="s">
        <v>103</v>
      </c>
      <c r="B38" s="96">
        <v>401734</v>
      </c>
      <c r="C38" s="41" t="s">
        <v>264</v>
      </c>
      <c r="D38" s="42">
        <v>45904</v>
      </c>
      <c r="E38" s="43" t="s">
        <v>2</v>
      </c>
      <c r="F38" s="44">
        <v>86.5</v>
      </c>
      <c r="G38" s="322">
        <f>IF(OR(E38="",F38=""),"",PID_KVLohnLookup($A$1,E38,F38,LOHNTABELLE!$H$4))</f>
        <v>1010.5</v>
      </c>
      <c r="H38" s="323">
        <f>IF(AND(ISNUMBER(D38),ISNUMBER(F38)),ROUNDDOWN(MIN(IF(OR(ISBLANK(I38),I38=""),EOMONTH(DATE(EINSTELLUNG!$C$35,$A$1,1),0),I38)-MAX(D38,DATE(EINSTELLUNG!$C$35,$A$1,1))+1)/DAY(EOMONTH(DATE(EINSTELLUNG!$C$35,$A$1,1),0))*F38,2),"")</f>
        <v>86.5</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4" t="s">
        <v>104</v>
      </c>
      <c r="P38" s="338"/>
      <c r="Q38" s="339">
        <f>EINSTELLUNG!F12</f>
        <v>30000</v>
      </c>
      <c r="R38" s="339"/>
      <c r="S38" s="339">
        <f>EINSTELLUNG!F28</f>
        <v>31000</v>
      </c>
      <c r="T38" s="339"/>
      <c r="U38" s="339">
        <f t="shared" si="2"/>
        <v>1000</v>
      </c>
      <c r="V38" s="340"/>
    </row>
    <row r="39" spans="1:22" ht="22" customHeight="1">
      <c r="A39" s="321" t="s">
        <v>105</v>
      </c>
      <c r="B39" s="97">
        <v>401737</v>
      </c>
      <c r="C39" s="49" t="s">
        <v>266</v>
      </c>
      <c r="D39" s="53">
        <v>45906</v>
      </c>
      <c r="E39" s="51" t="s">
        <v>2</v>
      </c>
      <c r="F39" s="52">
        <v>86.5</v>
      </c>
      <c r="G39" s="322">
        <f>IF(OR(E39="",F39=""),"",PID_KVLohnLookup($A$1,E39,F39,LOHNTABELLE!$H$4))</f>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4" t="s">
        <v>106</v>
      </c>
      <c r="P39" s="338"/>
      <c r="Q39" s="375">
        <f>IF(Q38=0, 0, Q35/Q38)</f>
        <v>13.333333333333334</v>
      </c>
      <c r="R39" s="375"/>
      <c r="S39" s="375">
        <f>IF(S38=0, 0, S35/S38)</f>
        <v>14.03225806451613</v>
      </c>
      <c r="T39" s="375"/>
      <c r="U39" s="375">
        <f t="shared" si="2"/>
        <v>0.69892473118279597</v>
      </c>
      <c r="V39" s="376"/>
    </row>
    <row r="40" spans="1:22" ht="22" customHeight="1">
      <c r="A40" s="321" t="s">
        <v>107</v>
      </c>
      <c r="B40" s="96">
        <v>401738</v>
      </c>
      <c r="C40" s="41" t="s">
        <v>267</v>
      </c>
      <c r="D40" s="42">
        <v>45909</v>
      </c>
      <c r="E40" s="43" t="s">
        <v>2</v>
      </c>
      <c r="F40" s="44">
        <v>86.5</v>
      </c>
      <c r="G40" s="322">
        <f>IF(OR(E40="",F40=""),"",PID_KVLohnLookup($A$1,E40,F40,LOHNTABELLE!$H$4))</f>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4" t="s">
        <v>108</v>
      </c>
      <c r="P40" s="338"/>
      <c r="Q40" s="375">
        <f>IF(Q13=0, 0, Q35/Q13)</f>
        <v>52.43755997545923</v>
      </c>
      <c r="R40" s="375"/>
      <c r="S40" s="375">
        <f>IF(Q13=0, 0, S35/Q13)</f>
        <v>57.025846473311908</v>
      </c>
      <c r="T40" s="375"/>
      <c r="U40" s="375">
        <f t="shared" si="2"/>
        <v>4.5882864978526783</v>
      </c>
      <c r="V40" s="376"/>
    </row>
    <row r="41" spans="1:22" ht="22" customHeight="1">
      <c r="A41" s="321" t="s">
        <v>109</v>
      </c>
      <c r="B41" s="97">
        <v>401745</v>
      </c>
      <c r="C41" s="49" t="s">
        <v>271</v>
      </c>
      <c r="D41" s="50">
        <v>45934</v>
      </c>
      <c r="E41" s="51" t="s">
        <v>2</v>
      </c>
      <c r="F41" s="52">
        <v>86.5</v>
      </c>
      <c r="G41" s="322">
        <f>IF(OR(E41="",F41=""),"",PID_KVLohnLookup($A$1,E41,F41,LOHNTABELLE!$H$4))</f>
        <v>1010.5</v>
      </c>
      <c r="H41" s="323">
        <f>IF(AND(ISNUMBER(D41),ISNUMBER(F41)),ROUNDDOWN(MIN(IF(OR(ISBLANK(I41),I41=""),EOMONTH(DATE(EINSTELLUNG!$C$35,$A$1,1),0),I41)-MAX(D41,DATE(EINSTELLUNG!$C$35,$A$1,1))+1)/DAY(EOMONTH(DATE(EINSTELLUNG!$C$35,$A$1,1),0))*F41,2),"")</f>
        <v>86.5</v>
      </c>
      <c r="I41" s="53"/>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4" t="s">
        <v>110</v>
      </c>
      <c r="P41" s="338"/>
      <c r="Q41" s="339">
        <f>IF(Q13=0, 0, Q38/Q13)</f>
        <v>3.9328169981594421</v>
      </c>
      <c r="R41" s="339"/>
      <c r="S41" s="339">
        <f>IF(Q13=0, 0, S38/Q13)</f>
        <v>4.06391089809809</v>
      </c>
      <c r="T41" s="339"/>
      <c r="U41" s="339">
        <f t="shared" si="2"/>
        <v>0.13109389993864795</v>
      </c>
      <c r="V41" s="340"/>
    </row>
    <row r="42" spans="1:22" ht="22" customHeight="1">
      <c r="A42" s="321" t="s">
        <v>111</v>
      </c>
      <c r="B42" s="96">
        <v>401746</v>
      </c>
      <c r="C42" s="41" t="s">
        <v>270</v>
      </c>
      <c r="D42" s="42">
        <v>45941</v>
      </c>
      <c r="E42" s="43" t="s">
        <v>2</v>
      </c>
      <c r="F42" s="44">
        <v>86.5</v>
      </c>
      <c r="G42" s="322">
        <f>IF(OR(E42="",F42=""),"",PID_KVLohnLookup($A$1,E42,F42,LOHNTABELLE!$H$4))</f>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79" t="s">
        <v>112</v>
      </c>
      <c r="P42" s="380"/>
      <c r="Q42" s="381">
        <f>IFERROR(Q17/Q8, 0)</f>
        <v>11.911571241472334</v>
      </c>
      <c r="R42" s="381"/>
      <c r="S42" s="381"/>
      <c r="T42" s="381"/>
      <c r="U42" s="381"/>
      <c r="V42" s="382"/>
    </row>
    <row r="43" spans="1:22" ht="22" customHeight="1">
      <c r="A43" s="321" t="s">
        <v>113</v>
      </c>
      <c r="B43" s="97">
        <v>401747</v>
      </c>
      <c r="C43" s="49" t="s">
        <v>268</v>
      </c>
      <c r="D43" s="50">
        <v>45941</v>
      </c>
      <c r="E43" s="51" t="s">
        <v>2</v>
      </c>
      <c r="F43" s="52">
        <v>86.5</v>
      </c>
      <c r="G43" s="322">
        <f>IF(OR(E43="",F43=""),"",PID_KVLohnLookup($A$1,E43,F43,LOHNTABELLE!$H$4))</f>
        <v>1010.5</v>
      </c>
      <c r="H43" s="323">
        <f>IF(AND(ISNUMBER(D43),ISNUMBER(F43)),ROUNDDOWN(MIN(IF(OR(ISBLANK(I43),I43=""),EOMONTH(DATE(EINSTELLUNG!$C$35,$A$1,1),0),I43)-MAX(D43,DATE(EINSTELLUNG!$C$35,$A$1,1))+1)/DAY(EOMONTH(DATE(EINSTELLUNG!$C$35,$A$1,1),0))*F43,2),"")</f>
        <v>86.5</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3"/>
      <c r="P43" s="383"/>
      <c r="Q43" s="383"/>
      <c r="R43" s="319"/>
      <c r="S43" s="319"/>
      <c r="T43" s="319"/>
      <c r="U43" s="319"/>
      <c r="V43" s="319"/>
    </row>
    <row r="44" spans="1:22" ht="22" customHeight="1">
      <c r="A44" s="321" t="s">
        <v>114</v>
      </c>
      <c r="B44" s="96">
        <v>401748</v>
      </c>
      <c r="C44" s="41" t="s">
        <v>269</v>
      </c>
      <c r="D44" s="42">
        <v>45941</v>
      </c>
      <c r="E44" s="43" t="s">
        <v>2</v>
      </c>
      <c r="F44" s="44">
        <v>138.4</v>
      </c>
      <c r="G44" s="322">
        <f>IF(OR(E44="",F44=""),"",PID_KVLohnLookup($A$1,E44,F44,LOHNTABELLE!$H$4))</f>
        <v>1616.8</v>
      </c>
      <c r="H44" s="323">
        <f>IF(AND(ISNUMBER(D44),ISNUMBER(F44)),ROUNDDOWN(MIN(IF(OR(ISBLANK(I44),I44=""),EOMONTH(DATE(EINSTELLUNG!$C$35,$A$1,1),0),I44)-MAX(D44,DATE(EINSTELLUNG!$C$35,$A$1,1))+1)/DAY(EOMONTH(DATE(EINSTELLUNG!$C$35,$A$1,1),0))*F44,2),"")</f>
        <v>138.4</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7"/>
      <c r="N44" s="70"/>
      <c r="O44" s="384" t="s">
        <v>115</v>
      </c>
      <c r="P44" s="384"/>
      <c r="Q44" s="384"/>
      <c r="R44" s="384"/>
      <c r="S44" s="384"/>
      <c r="T44" s="384"/>
      <c r="U44" s="384"/>
      <c r="V44" s="384"/>
    </row>
    <row r="45" spans="1:22" ht="22" customHeight="1">
      <c r="A45" s="321" t="s">
        <v>116</v>
      </c>
      <c r="B45" s="97">
        <v>401751</v>
      </c>
      <c r="C45" s="49" t="s">
        <v>272</v>
      </c>
      <c r="D45" s="50">
        <v>45961</v>
      </c>
      <c r="E45" s="51" t="s">
        <v>2</v>
      </c>
      <c r="F45" s="52">
        <v>86.5</v>
      </c>
      <c r="G45" s="322">
        <f>IF(OR(E45="",F45=""),"",PID_KVLohnLookup($A$1,E45,F45,LOHNTABELLE!$H$4))</f>
        <v>1010.5</v>
      </c>
      <c r="H45" s="323">
        <f>IF(AND(ISNUMBER(D45),ISNUMBER(F45)),ROUNDDOWN(MIN(IF(OR(ISBLANK(I45),I45=""),EOMONTH(DATE(EINSTELLUNG!$C$35,$A$1,1),0),I45)-MAX(D45,DATE(EINSTELLUNG!$C$35,$A$1,1))+1)/DAY(EOMONTH(DATE(EINSTELLUNG!$C$35,$A$1,1),0))*F45,2),"")</f>
        <v>86.5</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5" t="s">
        <v>437</v>
      </c>
      <c r="P45" s="385"/>
      <c r="Q45" s="385"/>
      <c r="R45" s="386"/>
      <c r="S45" s="386"/>
      <c r="T45" s="386"/>
      <c r="U45" s="386"/>
      <c r="V45" s="319"/>
    </row>
    <row r="46" spans="1:22" ht="22" customHeight="1">
      <c r="A46" s="321" t="s">
        <v>117</v>
      </c>
      <c r="B46" s="96">
        <v>401752</v>
      </c>
      <c r="C46" s="41" t="s">
        <v>273</v>
      </c>
      <c r="D46" s="42">
        <v>45986</v>
      </c>
      <c r="E46" s="43" t="s">
        <v>2</v>
      </c>
      <c r="F46" s="44">
        <v>173</v>
      </c>
      <c r="G46" s="322">
        <f>IF(OR(E46="",F46=""),"",PID_KVLohnLookup($A$1,E46,F46,LOHNTABELLE!$H$4))</f>
        <v>2021</v>
      </c>
      <c r="H46" s="323">
        <f>IF(AND(ISNUMBER(D46),ISNUMBER(F46)),ROUNDDOWN(MIN(IF(OR(ISBLANK(I46),I46=""),EOMONTH(DATE(EINSTELLUNG!$C$35,$A$1,1),0),I46)-MAX(D46,DATE(EINSTELLUNG!$C$35,$A$1,1))+1)/DAY(EOMONTH(DATE(EINSTELLUNG!$C$35,$A$1,1),0))*F46,2),"")</f>
        <v>173</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7"/>
      <c r="N46" s="70"/>
      <c r="O46" s="319"/>
      <c r="P46" s="319"/>
      <c r="Q46" s="319"/>
      <c r="R46" s="319"/>
      <c r="S46" s="319"/>
      <c r="T46" s="319"/>
      <c r="U46" s="319"/>
      <c r="V46" s="319"/>
    </row>
    <row r="47" spans="1:22" ht="22" customHeight="1">
      <c r="A47" s="321" t="s">
        <v>118</v>
      </c>
      <c r="B47" s="97">
        <v>401999</v>
      </c>
      <c r="C47" s="49" t="s">
        <v>355</v>
      </c>
      <c r="D47" s="50">
        <v>46041</v>
      </c>
      <c r="E47" s="51" t="s">
        <v>2</v>
      </c>
      <c r="F47" s="52">
        <v>151.38</v>
      </c>
      <c r="G47" s="322">
        <f>IF(OR(E47="",F47=""),"",PID_KVLohnLookup($A$1,E47,F47,LOHNTABELLE!$H$4))</f>
        <v>1768.38</v>
      </c>
      <c r="H47" s="323">
        <f>IF(AND(ISNUMBER(D47),ISNUMBER(F47)),ROUNDDOWN(MIN(IF(OR(ISBLANK(I47),I47=""),EOMONTH(DATE(EINSTELLUNG!$C$35,$A$1,1),0),I47)-MAX(D47,DATE(EINSTELLUNG!$C$35,$A$1,1))+1)/DAY(EOMONTH(DATE(EINSTELLUNG!$C$35,$A$1,1),0))*F47,2),"")</f>
        <v>151.38</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55"/>
      <c r="N47" s="71"/>
      <c r="O47" s="319"/>
      <c r="P47" s="319"/>
      <c r="Q47" s="319"/>
      <c r="R47" s="319"/>
      <c r="S47" s="319"/>
      <c r="T47" s="319"/>
      <c r="U47" s="319"/>
      <c r="V47" s="319"/>
    </row>
    <row r="48" spans="1:22" ht="22" customHeight="1">
      <c r="A48" s="321" t="s">
        <v>119</v>
      </c>
      <c r="B48" s="96">
        <v>401999</v>
      </c>
      <c r="C48" s="41" t="s">
        <v>293</v>
      </c>
      <c r="D48" s="42">
        <v>46082</v>
      </c>
      <c r="E48" s="43" t="s">
        <v>2</v>
      </c>
      <c r="F48" s="44">
        <v>173</v>
      </c>
      <c r="G48" s="322">
        <f>IF(OR(E48="",F48=""),"",PID_KVLohnLookup($A$1,E48,F48,LOHNTABELLE!$H$4))</f>
        <v>2021</v>
      </c>
      <c r="H48" s="323">
        <f>IF(AND(ISNUMBER(D48),ISNUMBER(F48)),ROUNDDOWN(MIN(IF(OR(ISBLANK(I48),I48=""),EOMONTH(DATE(EINSTELLUNG!$C$35,$A$1,1),0),I48)-MAX(D48,DATE(EINSTELLUNG!$C$35,$A$1,1))+1)/DAY(EOMONTH(DATE(EINSTELLUNG!$C$35,$A$1,1),0))*F48,2),"")</f>
        <v>173</v>
      </c>
      <c r="I48" s="45"/>
      <c r="J48" s="46"/>
      <c r="K48" s="322">
        <f t="shared" si="1"/>
        <v>0</v>
      </c>
      <c r="L48" s="32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7"/>
      <c r="N48" s="70"/>
      <c r="O48" s="319"/>
      <c r="P48" s="319"/>
      <c r="Q48" s="319"/>
      <c r="R48" s="319"/>
      <c r="S48" s="319"/>
      <c r="T48" s="319"/>
      <c r="U48" s="319"/>
      <c r="V48" s="319"/>
    </row>
    <row r="49" spans="1:22" ht="22" customHeight="1">
      <c r="A49" s="321" t="s">
        <v>120</v>
      </c>
      <c r="B49" s="97">
        <v>402000</v>
      </c>
      <c r="C49" s="49" t="s">
        <v>295</v>
      </c>
      <c r="D49" s="53">
        <v>46143</v>
      </c>
      <c r="E49" s="51" t="s">
        <v>2</v>
      </c>
      <c r="F49" s="52">
        <v>173</v>
      </c>
      <c r="G49" s="322">
        <f>IF(OR(E49="",F49=""),"",PID_KVLohnLookup($A$1,E49,F49,LOHNTABELLE!$H$4))</f>
        <v>2021</v>
      </c>
      <c r="H49" s="323">
        <f>IF(AND(ISNUMBER(D49),ISNUMBER(F49)),ROUNDDOWN(MIN(IF(OR(ISBLANK(I49),I49=""),EOMONTH(DATE(EINSTELLUNG!$C$35,$A$1,1),0),I49)-MAX(D49,DATE(EINSTELLUNG!$C$35,$A$1,1))+1)/DAY(EOMONTH(DATE(EINSTELLUNG!$C$35,$A$1,1),0))*F49,2),"")</f>
        <v>173</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19"/>
      <c r="P49" s="319"/>
      <c r="Q49" s="319"/>
      <c r="R49" s="319"/>
      <c r="S49" s="319"/>
      <c r="T49" s="319"/>
      <c r="U49" s="319"/>
      <c r="V49" s="319"/>
    </row>
    <row r="50" spans="1:22" ht="22" customHeight="1">
      <c r="A50" s="321" t="s">
        <v>121</v>
      </c>
      <c r="B50" s="96">
        <v>402004</v>
      </c>
      <c r="C50" s="41" t="s">
        <v>296</v>
      </c>
      <c r="D50" s="45">
        <v>46122</v>
      </c>
      <c r="E50" s="43" t="s">
        <v>2</v>
      </c>
      <c r="F50" s="44">
        <v>173</v>
      </c>
      <c r="G50" s="322">
        <f>IF(OR(E50="",F50=""),"",PID_KVLohnLookup($A$1,E50,F50,LOHNTABELLE!$H$4))</f>
        <v>2021</v>
      </c>
      <c r="H50" s="323">
        <f>IF(AND(ISNUMBER(D50),ISNUMBER(F50)),ROUNDDOWN(MIN(IF(OR(ISBLANK(I50),I50=""),EOMONTH(DATE(EINSTELLUNG!$C$35,$A$1,1),0),I50)-MAX(D50,DATE(EINSTELLUNG!$C$35,$A$1,1))+1)/DAY(EOMONTH(DATE(EINSTELLUNG!$C$35,$A$1,1),0))*F50,2),"")</f>
        <v>173</v>
      </c>
      <c r="I50" s="45"/>
      <c r="J50" s="46"/>
      <c r="K50" s="322">
        <f t="shared" si="1"/>
        <v>0</v>
      </c>
      <c r="L50" s="32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319"/>
      <c r="P50" s="319"/>
      <c r="Q50" s="319"/>
      <c r="R50" s="319"/>
      <c r="S50" s="319"/>
      <c r="T50" s="319"/>
      <c r="U50" s="319"/>
      <c r="V50" s="319"/>
    </row>
    <row r="51" spans="1:22" ht="22" customHeight="1">
      <c r="A51" s="321" t="s">
        <v>122</v>
      </c>
      <c r="B51" s="97">
        <v>402405</v>
      </c>
      <c r="C51" s="49" t="s">
        <v>298</v>
      </c>
      <c r="D51" s="53">
        <v>46054</v>
      </c>
      <c r="E51" s="51" t="s">
        <v>2</v>
      </c>
      <c r="F51" s="52">
        <v>173</v>
      </c>
      <c r="G51" s="322">
        <f>IF(OR(E51="",F51=""),"",PID_KVLohnLookup($A$1,E51,F51,LOHNTABELLE!$H$4))</f>
        <v>2021</v>
      </c>
      <c r="H51" s="323">
        <f>IF(AND(ISNUMBER(D51),ISNUMBER(F51)),ROUNDDOWN(MIN(IF(OR(ISBLANK(I51),I51=""),EOMONTH(DATE(EINSTELLUNG!$C$35,$A$1,1),0),I51)-MAX(D51,DATE(EINSTELLUNG!$C$35,$A$1,1))+1)/DAY(EOMONTH(DATE(EINSTELLUNG!$C$35,$A$1,1),0))*F51,2),"")</f>
        <v>173</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1" t="s">
        <v>123</v>
      </c>
      <c r="B52" s="96">
        <v>500600</v>
      </c>
      <c r="C52" s="41" t="s">
        <v>302</v>
      </c>
      <c r="D52" s="42">
        <v>46054</v>
      </c>
      <c r="E52" s="43" t="s">
        <v>2</v>
      </c>
      <c r="F52" s="44">
        <v>173</v>
      </c>
      <c r="G52" s="322">
        <f>IF(OR(E52="",F52=""),"",PID_KVLohnLookup($A$1,E52,F52,LOHNTABELLE!$H$4))</f>
        <v>2021</v>
      </c>
      <c r="H52" s="323">
        <f>IF(AND(ISNUMBER(D52),ISNUMBER(F52)),ROUNDDOWN(MIN(IF(OR(ISBLANK(I52),I52=""),EOMONTH(DATE(EINSTELLUNG!$C$35,$A$1,1),0),I52)-MAX(D52,DATE(EINSTELLUNG!$C$35,$A$1,1))+1)/DAY(EOMONTH(DATE(EINSTELLUNG!$C$35,$A$1,1),0))*F52,2),"")</f>
        <v>173</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1" t="s">
        <v>124</v>
      </c>
      <c r="B53" s="97">
        <v>502000</v>
      </c>
      <c r="C53" s="49" t="s">
        <v>297</v>
      </c>
      <c r="D53" s="53">
        <v>46147</v>
      </c>
      <c r="E53" s="51" t="s">
        <v>2</v>
      </c>
      <c r="F53" s="52">
        <v>173</v>
      </c>
      <c r="G53" s="322">
        <f>IF(OR(E53="",F53=""),"",PID_KVLohnLookup($A$1,E53,F53,LOHNTABELLE!$H$4))</f>
        <v>2021</v>
      </c>
      <c r="H53" s="323">
        <f>IF(AND(ISNUMBER(D53),ISNUMBER(F53)),ROUNDDOWN(MIN(IF(OR(ISBLANK(I53),I53=""),EOMONTH(DATE(EINSTELLUNG!$C$35,$A$1,1),0),I53)-MAX(D53,DATE(EINSTELLUNG!$C$35,$A$1,1))+1)/DAY(EOMONTH(DATE(EINSTELLUNG!$C$35,$A$1,1),0))*F53,2),"")</f>
        <v>173</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1" t="s">
        <v>125</v>
      </c>
      <c r="B54" s="96">
        <v>503000</v>
      </c>
      <c r="C54" s="41" t="s">
        <v>299</v>
      </c>
      <c r="D54" s="42">
        <v>42401</v>
      </c>
      <c r="E54" s="43" t="s">
        <v>2</v>
      </c>
      <c r="F54" s="44">
        <v>173</v>
      </c>
      <c r="G54" s="322">
        <f>IF(OR(E54="",F54=""),"",PID_KVLohnLookup($A$1,E54,F54,LOHNTABELLE!$H$4))</f>
        <v>2021</v>
      </c>
      <c r="H54" s="323">
        <f>IF(AND(ISNUMBER(D54),ISNUMBER(F54)),ROUNDDOWN(MIN(IF(OR(ISBLANK(I54),I54=""),EOMONTH(DATE(EINSTELLUNG!$C$35,$A$1,1),0),I54)-MAX(D54,DATE(EINSTELLUNG!$C$35,$A$1,1))+1)/DAY(EOMONTH(DATE(EINSTELLUNG!$C$35,$A$1,1),0))*F54,2),"")</f>
        <v>173</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1" t="s">
        <v>126</v>
      </c>
      <c r="B55" s="97">
        <v>504000</v>
      </c>
      <c r="C55" s="49" t="s">
        <v>300</v>
      </c>
      <c r="D55" s="53">
        <v>46054</v>
      </c>
      <c r="E55" s="51" t="s">
        <v>3</v>
      </c>
      <c r="F55" s="52">
        <v>138.4</v>
      </c>
      <c r="G55" s="322">
        <f>IF(OR(E55="",F55=""),"",PID_KVLohnLookup($A$1,E55,F55,LOHNTABELLE!$H$4))</f>
        <v>1665.6</v>
      </c>
      <c r="H55" s="323">
        <f>IF(AND(ISNUMBER(D55),ISNUMBER(F55)),ROUNDDOWN(MIN(IF(OR(ISBLANK(I55),I55=""),EOMONTH(DATE(EINSTELLUNG!$C$35,$A$1,1),0),I55)-MAX(D55,DATE(EINSTELLUNG!$C$35,$A$1,1))+1)/DAY(EOMONTH(DATE(EINSTELLUNG!$C$35,$A$1,1),0))*F55,2),"")</f>
        <v>138.4</v>
      </c>
      <c r="I55" s="53"/>
      <c r="J55" s="54"/>
      <c r="K55" s="322">
        <f t="shared" si="1"/>
        <v>0</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5"/>
      <c r="N55" s="71"/>
    </row>
    <row r="56" spans="1:22" ht="22" customHeight="1">
      <c r="A56" s="321" t="s">
        <v>127</v>
      </c>
      <c r="B56" s="96">
        <v>505000</v>
      </c>
      <c r="C56" s="41" t="s">
        <v>301</v>
      </c>
      <c r="D56" s="45">
        <v>46054</v>
      </c>
      <c r="E56" s="43" t="s">
        <v>2</v>
      </c>
      <c r="F56" s="44">
        <v>138.4</v>
      </c>
      <c r="G56" s="322">
        <f>IF(OR(E56="",F56=""),"",PID_KVLohnLookup($A$1,E56,F56,LOHNTABELLE!$H$4))</f>
        <v>1616.8</v>
      </c>
      <c r="H56" s="323">
        <f>IF(AND(ISNUMBER(D56),ISNUMBER(F56)),ROUNDDOWN(MIN(IF(OR(ISBLANK(I56),I56=""),EOMONTH(DATE(EINSTELLUNG!$C$35,$A$1,1),0),I56)-MAX(D56,DATE(EINSTELLUNG!$C$35,$A$1,1))+1)/DAY(EOMONTH(DATE(EINSTELLUNG!$C$35,$A$1,1),0))*F56,2),"")</f>
        <v>138.4</v>
      </c>
      <c r="I56" s="45"/>
      <c r="J56" s="46"/>
      <c r="K56" s="322">
        <f t="shared" si="1"/>
        <v>0</v>
      </c>
      <c r="L56" s="32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7"/>
      <c r="N56" s="70"/>
    </row>
    <row r="57" spans="1:22" ht="22" customHeight="1">
      <c r="A57" s="321" t="s">
        <v>128</v>
      </c>
      <c r="B57" s="97">
        <v>525025</v>
      </c>
      <c r="C57" s="49" t="s">
        <v>356</v>
      </c>
      <c r="D57" s="53">
        <v>46040</v>
      </c>
      <c r="E57" s="51" t="s">
        <v>2</v>
      </c>
      <c r="F57" s="52">
        <v>129.75</v>
      </c>
      <c r="G57" s="322">
        <f>IF(OR(E57="",F57=""),"",PID_KVLohnLookup($A$1,E57,F57,LOHNTABELLE!$H$4))</f>
        <v>1515.75</v>
      </c>
      <c r="H57" s="323">
        <f>IF(AND(ISNUMBER(D57),ISNUMBER(F57)),ROUNDDOWN(MIN(IF(OR(ISBLANK(I57),I57=""),EOMONTH(DATE(EINSTELLUNG!$C$35,$A$1,1),0),I57)-MAX(D57,DATE(EINSTELLUNG!$C$35,$A$1,1))+1)/DAY(EOMONTH(DATE(EINSTELLUNG!$C$35,$A$1,1),0))*F57,2),"")</f>
        <v>129.75</v>
      </c>
      <c r="I57" s="53"/>
      <c r="J57" s="54"/>
      <c r="K57" s="322">
        <f t="shared" si="1"/>
        <v>0</v>
      </c>
      <c r="L57" s="32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5"/>
      <c r="N57" s="71"/>
    </row>
    <row r="58" spans="1:22" ht="22" customHeight="1">
      <c r="A58" s="321" t="s">
        <v>129</v>
      </c>
      <c r="B58" s="96">
        <v>700000</v>
      </c>
      <c r="C58" s="41" t="s">
        <v>309</v>
      </c>
      <c r="D58" s="45">
        <v>46054</v>
      </c>
      <c r="E58" s="43" t="s">
        <v>2</v>
      </c>
      <c r="F58" s="44">
        <v>173</v>
      </c>
      <c r="G58" s="322">
        <f>IF(OR(E58="",F58=""),"",PID_KVLohnLookup($A$1,E58,F58,LOHNTABELLE!$H$4))</f>
        <v>2021</v>
      </c>
      <c r="H58" s="323">
        <f>IF(AND(ISNUMBER(D58),ISNUMBER(F58)),ROUNDDOWN(MIN(IF(OR(ISBLANK(I58),I58=""),EOMONTH(DATE(EINSTELLUNG!$C$35,$A$1,1),0),I58)-MAX(D58,DATE(EINSTELLUNG!$C$35,$A$1,1))+1)/DAY(EOMONTH(DATE(EINSTELLUNG!$C$35,$A$1,1),0))*F58,2),"")</f>
        <v>173</v>
      </c>
      <c r="I58" s="45"/>
      <c r="J58" s="46"/>
      <c r="K58" s="322">
        <f t="shared" si="1"/>
        <v>0</v>
      </c>
      <c r="L58" s="32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1" t="s">
        <v>130</v>
      </c>
      <c r="B59" s="97">
        <v>800000</v>
      </c>
      <c r="C59" s="49" t="s">
        <v>310</v>
      </c>
      <c r="D59" s="50">
        <v>46096</v>
      </c>
      <c r="E59" s="51" t="s">
        <v>2</v>
      </c>
      <c r="F59" s="52">
        <v>129.75</v>
      </c>
      <c r="G59" s="322">
        <f>IF(OR(E59="",F59=""),"",PID_KVLohnLookup($A$1,E59,F59,LOHNTABELLE!$H$4))</f>
        <v>1515.75</v>
      </c>
      <c r="H59" s="323">
        <f>IF(AND(ISNUMBER(D59),ISNUMBER(F59)),ROUNDDOWN(MIN(IF(OR(ISBLANK(I59),I59=""),EOMONTH(DATE(EINSTELLUNG!$C$35,$A$1,1),0),I59)-MAX(D59,DATE(EINSTELLUNG!$C$35,$A$1,1))+1)/DAY(EOMONTH(DATE(EINSTELLUNG!$C$35,$A$1,1),0))*F59,2),"")</f>
        <v>129.75</v>
      </c>
      <c r="I59" s="53"/>
      <c r="J59" s="54"/>
      <c r="K59" s="322">
        <f t="shared" si="1"/>
        <v>0</v>
      </c>
      <c r="L59" s="32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5"/>
      <c r="N59" s="71"/>
    </row>
    <row r="60" spans="1:22" ht="22" customHeight="1">
      <c r="A60" s="321" t="s">
        <v>131</v>
      </c>
      <c r="B60" s="96"/>
      <c r="C60" s="41"/>
      <c r="D60" s="45"/>
      <c r="E60" s="43"/>
      <c r="F60" s="44"/>
      <c r="G60" s="322" t="str">
        <f>IF(OR(E60="",F60=""),"",PID_KVLohnLookup($A$1,E60,F60,LOHNTABELLE!$H$4))</f>
        <v/>
      </c>
      <c r="H60" s="323" t="str">
        <f>IF(AND(ISNUMBER(D60),ISNUMBER(F60)),ROUNDDOWN(MIN(IF(OR(ISBLANK(I60),I60=""),EOMONTH(DATE(EINSTELLUNG!$C$35,$A$1,1),0),I60)-MAX(D60,DATE(EINSTELLUNG!$C$35,$A$1,1))+1)/DAY(EOMONTH(DATE(EINSTELLUNG!$C$35,$A$1,1),0))*F60,2),"")</f>
        <v/>
      </c>
      <c r="I60" s="45"/>
      <c r="J60" s="46"/>
      <c r="K60" s="322" t="str">
        <f t="shared" si="1"/>
        <v/>
      </c>
      <c r="L60" s="324"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1" t="s">
        <v>132</v>
      </c>
      <c r="B61" s="97"/>
      <c r="C61" s="66"/>
      <c r="D61" s="53"/>
      <c r="E61" s="51"/>
      <c r="F61" s="52"/>
      <c r="G61" s="322" t="str">
        <f>IF(OR(E61="",F61=""),"",PID_KVLohnLookup($A$1,E61,F61,LOHNTABELLE!$H$4))</f>
        <v/>
      </c>
      <c r="H61" s="323" t="str">
        <f>IF(AND(ISNUMBER(D61),ISNUMBER(F61)),ROUNDDOWN(MIN(IF(OR(ISBLANK(I61),I61=""),EOMONTH(DATE(EINSTELLUNG!$C$35,$A$1,1),0),I61)-MAX(D61,DATE(EINSTELLUNG!$C$35,$A$1,1))+1)/DAY(EOMONTH(DATE(EINSTELLUNG!$C$35,$A$1,1),0))*F61,2),"")</f>
        <v/>
      </c>
      <c r="I61" s="53"/>
      <c r="J61" s="54"/>
      <c r="K61" s="322" t="str">
        <f t="shared" si="1"/>
        <v/>
      </c>
      <c r="L61" s="32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1" t="s">
        <v>133</v>
      </c>
      <c r="B62" s="96"/>
      <c r="C62" s="41"/>
      <c r="D62" s="45"/>
      <c r="E62" s="43"/>
      <c r="F62" s="44"/>
      <c r="G62" s="322" t="str">
        <f>IF(OR(E62="",F62=""),"",PID_KVLohnLookup($A$1,E62,F62,LOHNTABELLE!$H$4))</f>
        <v/>
      </c>
      <c r="H62" s="323" t="str">
        <f>IF(AND(ISNUMBER(D62),ISNUMBER(F62)),ROUNDDOWN(MIN(IF(OR(ISBLANK(I62),I62=""),EOMONTH(DATE(EINSTELLUNG!$C$35,$A$1,1),0),I62)-MAX(D62,DATE(EINSTELLUNG!$C$35,$A$1,1))+1)/DAY(EOMONTH(DATE(EINSTELLUNG!$C$35,$A$1,1),0))*F62,2),"")</f>
        <v/>
      </c>
      <c r="I62" s="45"/>
      <c r="J62" s="46"/>
      <c r="K62" s="322" t="str">
        <f t="shared" si="1"/>
        <v/>
      </c>
      <c r="L62" s="32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1" t="s">
        <v>134</v>
      </c>
      <c r="B63" s="97"/>
      <c r="C63" s="49"/>
      <c r="D63" s="53"/>
      <c r="E63" s="51"/>
      <c r="F63" s="52"/>
      <c r="G63" s="322" t="str">
        <f>IF(OR(E63="",F63=""),"",PID_KVLohnLookup($A$1,E63,F63,LOHNTABELLE!$H$4))</f>
        <v/>
      </c>
      <c r="H63" s="323" t="str">
        <f>IF(AND(ISNUMBER(D63),ISNUMBER(F63)),ROUNDDOWN(MIN(IF(OR(ISBLANK(I63),I63=""),EOMONTH(DATE(EINSTELLUNG!$C$35,$A$1,1),0),I63)-MAX(D63,DATE(EINSTELLUNG!$C$35,$A$1,1))+1)/DAY(EOMONTH(DATE(EINSTELLUNG!$C$35,$A$1,1),0))*F63,2),"")</f>
        <v/>
      </c>
      <c r="I63" s="53"/>
      <c r="J63" s="54"/>
      <c r="K63" s="322" t="str">
        <f t="shared" si="1"/>
        <v/>
      </c>
      <c r="L63" s="32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1" t="s">
        <v>135</v>
      </c>
      <c r="B64" s="96"/>
      <c r="C64" s="41"/>
      <c r="D64" s="45"/>
      <c r="E64" s="43"/>
      <c r="F64" s="44"/>
      <c r="G64" s="322" t="str">
        <f>IF(OR(E64="",F64=""),"",PID_KVLohnLookup($A$1,E64,F64,LOHNTABELLE!$H$4))</f>
        <v/>
      </c>
      <c r="H64" s="323" t="str">
        <f>IF(AND(ISNUMBER(D64),ISNUMBER(F64)),ROUNDDOWN(MIN(IF(OR(ISBLANK(I64),I64=""),EOMONTH(DATE(EINSTELLUNG!$C$35,$A$1,1),0),I64)-MAX(D64,DATE(EINSTELLUNG!$C$35,$A$1,1))+1)/DAY(EOMONTH(DATE(EINSTELLUNG!$C$35,$A$1,1),0))*F64,2),"")</f>
        <v/>
      </c>
      <c r="I64" s="45"/>
      <c r="J64" s="46"/>
      <c r="K64" s="322" t="str">
        <f t="shared" si="1"/>
        <v/>
      </c>
      <c r="L64" s="32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1" t="s">
        <v>136</v>
      </c>
      <c r="B65" s="97"/>
      <c r="C65" s="49"/>
      <c r="D65" s="53"/>
      <c r="E65" s="51"/>
      <c r="F65" s="52"/>
      <c r="G65" s="322" t="str">
        <f>IF(OR(E65="",F65=""),"",PID_KVLohnLookup($A$1,E65,F65,LOHNTABELLE!$H$4))</f>
        <v/>
      </c>
      <c r="H65" s="323" t="str">
        <f>IF(AND(ISNUMBER(D65),ISNUMBER(F65)),ROUNDDOWN(MIN(IF(OR(ISBLANK(I65),I65=""),EOMONTH(DATE(EINSTELLUNG!$C$35,$A$1,1),0),I65)-MAX(D65,DATE(EINSTELLUNG!$C$35,$A$1,1))+1)/DAY(EOMONTH(DATE(EINSTELLUNG!$C$35,$A$1,1),0))*F65,2),"")</f>
        <v/>
      </c>
      <c r="I65" s="53"/>
      <c r="J65" s="54"/>
      <c r="K65" s="322" t="str">
        <f t="shared" si="1"/>
        <v/>
      </c>
      <c r="L65" s="32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1" t="s">
        <v>137</v>
      </c>
      <c r="B66" s="96"/>
      <c r="C66" s="41"/>
      <c r="D66" s="45"/>
      <c r="E66" s="43"/>
      <c r="F66" s="44"/>
      <c r="G66" s="322" t="str">
        <f>IF(OR(E66="",F66=""),"",PID_KVLohnLookup($A$1,E66,F66,LOHNTABELLE!$H$4))</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1" t="s">
        <v>138</v>
      </c>
      <c r="B67" s="97"/>
      <c r="C67" s="49"/>
      <c r="D67" s="53"/>
      <c r="E67" s="51"/>
      <c r="F67" s="52"/>
      <c r="G67" s="322" t="str">
        <f>IF(OR(E67="",F67=""),"",PID_KVLohnLookup($A$1,E67,F67,LOHNTABELLE!$H$4))</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1" t="s">
        <v>139</v>
      </c>
      <c r="B68" s="96"/>
      <c r="C68" s="41"/>
      <c r="D68" s="45"/>
      <c r="E68" s="43"/>
      <c r="F68" s="44"/>
      <c r="G68" s="322" t="str">
        <f>IF(OR(E68="",F68=""),"",PID_KVLohnLookup($A$1,E68,F68,LOHNTABELLE!$H$4))</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1" t="s">
        <v>140</v>
      </c>
      <c r="B69" s="97"/>
      <c r="C69" s="49"/>
      <c r="D69" s="53"/>
      <c r="E69" s="51"/>
      <c r="F69" s="52"/>
      <c r="G69" s="322" t="str">
        <f>IF(OR(E69="",F69=""),"",PID_KVLohnLookup($A$1,E69,F69,LOHNTABELLE!$H$4))</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1" t="s">
        <v>141</v>
      </c>
      <c r="B70" s="96"/>
      <c r="C70" s="41"/>
      <c r="D70" s="45"/>
      <c r="E70" s="43"/>
      <c r="F70" s="44"/>
      <c r="G70" s="322" t="str">
        <f>IF(OR(E70="",F70=""),"",PID_KVLohnLookup($A$1,E70,F70,LOHNTABELLE!$H$4))</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1" t="s">
        <v>142</v>
      </c>
      <c r="B71" s="97"/>
      <c r="C71" s="49"/>
      <c r="D71" s="53"/>
      <c r="E71" s="51"/>
      <c r="F71" s="52"/>
      <c r="G71" s="322" t="str">
        <f>IF(OR(E71="",F71=""),"",PID_KVLohnLookup($A$1,E71,F71,LOHNTABELLE!$H$4))</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1" t="s">
        <v>143</v>
      </c>
      <c r="B72" s="96"/>
      <c r="C72" s="41"/>
      <c r="D72" s="45"/>
      <c r="E72" s="43"/>
      <c r="F72" s="44"/>
      <c r="G72" s="322" t="str">
        <f>IF(OR(E72="",F72=""),"",PID_KVLohnLookup($A$1,E72,F72,LOHNTABELLE!$H$4))</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1" t="s">
        <v>144</v>
      </c>
      <c r="B73" s="97"/>
      <c r="C73" s="49"/>
      <c r="D73" s="53"/>
      <c r="E73" s="51"/>
      <c r="F73" s="52"/>
      <c r="G73" s="322" t="str">
        <f>IF(OR(E73="",F73=""),"",PID_KVLohnLookup($A$1,E73,F73,LOHNTABELLE!$H$4))</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1" t="s">
        <v>145</v>
      </c>
      <c r="B74" s="96"/>
      <c r="C74" s="41"/>
      <c r="D74" s="45"/>
      <c r="E74" s="43"/>
      <c r="F74" s="44"/>
      <c r="G74" s="322" t="str">
        <f>IF(OR(E74="",F74=""),"",PID_KVLohnLookup($A$1,E74,F74,LOHNTABELLE!$H$4))</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1" t="s">
        <v>146</v>
      </c>
      <c r="B75" s="97"/>
      <c r="C75" s="49"/>
      <c r="D75" s="53"/>
      <c r="E75" s="51"/>
      <c r="F75" s="52"/>
      <c r="G75" s="322" t="str">
        <f>IF(OR(E75="",F75=""),"",PID_KVLohnLookup($A$1,E75,F75,LOHNTABELLE!$H$4))</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1" t="s">
        <v>147</v>
      </c>
      <c r="B76" s="96"/>
      <c r="C76" s="41"/>
      <c r="D76" s="45"/>
      <c r="E76" s="43"/>
      <c r="F76" s="44"/>
      <c r="G76" s="322" t="str">
        <f>IF(OR(E76="",F76=""),"",PID_KVLohnLookup($A$1,E76,F76,LOHNTABELLE!$H$4))</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1" t="s">
        <v>148</v>
      </c>
      <c r="B77" s="97"/>
      <c r="C77" s="49"/>
      <c r="D77" s="53"/>
      <c r="E77" s="51"/>
      <c r="F77" s="52"/>
      <c r="G77" s="322" t="str">
        <f>IF(OR(E77="",F77=""),"",PID_KVLohnLookup($A$1,E77,F77,LOHNTABELLE!$H$4))</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1" t="s">
        <v>149</v>
      </c>
      <c r="B78" s="96"/>
      <c r="C78" s="41"/>
      <c r="D78" s="45"/>
      <c r="E78" s="43"/>
      <c r="F78" s="44"/>
      <c r="G78" s="322" t="str">
        <f>IF(OR(E78="",F78=""),"",PID_KVLohnLookup($A$1,E78,F78,LOHNTABELLE!$H$4))</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1" t="s">
        <v>150</v>
      </c>
      <c r="B79" s="97"/>
      <c r="C79" s="49"/>
      <c r="D79" s="53"/>
      <c r="E79" s="51"/>
      <c r="F79" s="52"/>
      <c r="G79" s="322" t="str">
        <f>IF(OR(E79="",F79=""),"",PID_KVLohnLookup($A$1,E79,F79,LOHNTABELLE!$H$4))</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1" t="s">
        <v>151</v>
      </c>
      <c r="B80" s="96"/>
      <c r="C80" s="41"/>
      <c r="D80" s="45"/>
      <c r="E80" s="43"/>
      <c r="F80" s="44"/>
      <c r="G80" s="322" t="str">
        <f>IF(OR(E80="",F80=""),"",PID_KVLohnLookup($A$1,E80,F80,LOHNTABELLE!$H$4))</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1" t="s">
        <v>152</v>
      </c>
      <c r="B81" s="97"/>
      <c r="C81" s="49"/>
      <c r="D81" s="53"/>
      <c r="E81" s="51"/>
      <c r="F81" s="52"/>
      <c r="G81" s="322" t="str">
        <f>IF(OR(E81="",F81=""),"",PID_KVLohnLookup($A$1,E81,F81,LOHNTABELLE!$H$4))</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87" t="s">
        <v>153</v>
      </c>
      <c r="B82" s="98"/>
      <c r="C82" s="58"/>
      <c r="D82" s="59"/>
      <c r="E82" s="60"/>
      <c r="F82" s="61"/>
      <c r="G82" s="388" t="str">
        <f>IF(OR(E82="",F82=""),"",PID_KVLohnLookup($A$1,E82,F82,LOHNTABELLE!$H$4))</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91"/>
      <c r="B83" s="391"/>
    </row>
    <row r="100" spans="26:26" ht="16" customHeight="1">
      <c r="Z100" s="301"/>
    </row>
  </sheetData>
  <sheetProtection algorithmName="SHA-512" hashValue="Q3cO11EnVYSdDtJ7bGf7Xap8jtZB8lK670RHpkxSep6GA6V51129Ch/ft5MEM41ul5Bbt0UAy96LBBq5IJQzUg==" saltValue="EsxAqI+Q1aOVZ7ctQYM2E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F19 F22 F24</xm:sqref>
        </x14:dataValidation>
        <x14:dataValidation type="list" allowBlank="1" showInputMessage="1" showErrorMessage="1" xr:uid="{D6298043-07D6-7841-B2A0-655EA0682284}">
          <x14:formula1>
            <xm:f>KV_DROPDOWN_HELPER!$RS$1:$RS$13</xm:f>
          </x14:formula1>
          <xm:sqref>F60 F61 F62 F63 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F55</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6B8A718E-120D-47B9-AF80-E76513992071}">
          <x14:formula1>
            <xm:f>KV_DROPDOWN_HELPER!$RP$1:$RP$13</xm:f>
          </x14:formula1>
          <xm:sqref>F15</xm:sqref>
        </x14:dataValidation>
        <x14:dataValidation type="list" allowBlank="1" showInputMessage="1" showErrorMessage="1" xr:uid="{3DCAA92C-7143-4F0A-8F87-EF16F228EAFC}">
          <x14:formula1>
            <xm:f>KV_DROPDOWN_HELPER!$RM$1:$RM$15</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6328125" style="221" bestFit="1" customWidth="1"/>
    <col min="29" max="16384" width="9.1796875" style="221"/>
  </cols>
  <sheetData>
    <row r="1" spans="1:28" ht="18" customHeight="1">
      <c r="A1" s="302">
        <v>8</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46235</v>
      </c>
    </row>
    <row r="2" spans="1:28" ht="18" customHeight="1" thickBot="1">
      <c r="A2" s="307"/>
      <c r="B2" s="308"/>
      <c r="C2" s="309"/>
      <c r="D2" s="309"/>
      <c r="E2" s="309"/>
      <c r="F2" s="309"/>
      <c r="G2" s="309"/>
      <c r="H2" s="309"/>
      <c r="I2" s="309"/>
      <c r="J2" s="309"/>
      <c r="K2" s="309"/>
      <c r="L2" s="309"/>
      <c r="M2" s="309"/>
      <c r="N2" s="310"/>
      <c r="O2" s="311"/>
      <c r="P2" s="311"/>
      <c r="Q2" s="311"/>
      <c r="S2" s="312" t="s">
        <v>384</v>
      </c>
      <c r="T2" s="312"/>
      <c r="U2" s="312"/>
      <c r="V2" s="312"/>
      <c r="AB2" s="306">
        <f>EOMONTH(DATE(EINSTELLUNG!$C$35,$A$1,1),0)</f>
        <v>46265</v>
      </c>
    </row>
    <row r="3" spans="1:28" ht="22" customHeight="1">
      <c r="A3" s="313" t="s">
        <v>389</v>
      </c>
      <c r="B3" s="95">
        <v>401010</v>
      </c>
      <c r="C3" s="33" t="s">
        <v>224</v>
      </c>
      <c r="D3" s="34">
        <v>39388</v>
      </c>
      <c r="E3" s="35" t="s">
        <v>2</v>
      </c>
      <c r="F3" s="64">
        <v>138.4</v>
      </c>
      <c r="G3" s="314">
        <f>IF(OR(E3="",F3=""),"",PID_KVLohnLookup($A$1,E3,F3,LOHNTABELLE!$H$4))</f>
        <v>1616.8</v>
      </c>
      <c r="H3" s="315">
        <f>IF(AND(ISNUMBER(D3),ISNUMBER(F3)),ROUNDDOWN(MIN(IF(OR(ISBLANK(I3),I3=""),EOMONTH(DATE(EINSTELLUNG!$C$35,$A$1,1),0),I3)-MAX(D3,DATE(EINSTELLUNG!$C$35,$A$1,1))+1)/DAY(EOMONTH(DATE(EINSTELLUNG!$C$35,$A$1,1),0))*F3,2),"")</f>
        <v>138.4</v>
      </c>
      <c r="I3" s="37"/>
      <c r="J3" s="38"/>
      <c r="K3" s="314">
        <f t="shared" ref="K3:K34" si="0">IF(OR(B3="",C3=""),"",IFERROR(IF(OR(MONTH(D3)=1,MONTH(D3)=3,MONTH(D3)=5,MONTH(D3)=7,MONTH(D3)=8,MONTH(D3)=10,MONTH(D3)=12),(G3/31)*J3,IF(OR(MONTH(D3)=4,MONTH(D3)=6,MONTH(D3)=9,MONTH(D3)=11),(G3/30)*J3,(G3/DAY(EOMONTH(D3,0)))*J3)),0))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9"/>
      <c r="N3" s="69"/>
      <c r="O3" s="317" t="s">
        <v>47</v>
      </c>
      <c r="P3" s="317" t="s">
        <v>48</v>
      </c>
      <c r="Q3" s="317" t="s">
        <v>49</v>
      </c>
      <c r="R3" s="318" t="s">
        <v>50</v>
      </c>
      <c r="S3" s="319"/>
      <c r="T3" s="319"/>
      <c r="U3" s="319"/>
      <c r="V3" s="319"/>
      <c r="AB3" s="320"/>
    </row>
    <row r="4" spans="1:28" ht="22" customHeight="1">
      <c r="A4" s="321" t="s">
        <v>51</v>
      </c>
      <c r="B4" s="96">
        <v>401049</v>
      </c>
      <c r="C4" s="41" t="s">
        <v>225</v>
      </c>
      <c r="D4" s="42">
        <v>41130</v>
      </c>
      <c r="E4" s="43" t="s">
        <v>4</v>
      </c>
      <c r="F4" s="44">
        <v>173</v>
      </c>
      <c r="G4" s="322">
        <f>IF(OR(E4="",F4=""),"",PID_KVLohnLookup($A$1,E4,F4,LOHNTABELLE!$H$4))</f>
        <v>2123</v>
      </c>
      <c r="H4" s="323">
        <f>IF(AND(ISNUMBER(D4),ISNUMBER(F4)),ROUNDDOWN(MIN(IF(OR(ISBLANK(I4),I4=""),EOMONTH(DATE(EINSTELLUNG!$C$35,$A$1,1),0),I4)-MAX(D4,DATE(EINSTELLUNG!$C$35,$A$1,1))+1)/DAY(EOMONTH(DATE(EINSTELLUNG!$C$35,$A$1,1),0))*F4,2),"")</f>
        <v>173</v>
      </c>
      <c r="I4" s="45"/>
      <c r="J4" s="46"/>
      <c r="K4" s="322">
        <f t="shared" si="0"/>
        <v>0</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5"/>
      <c r="P4" s="325"/>
      <c r="Q4" s="325"/>
      <c r="R4" s="326"/>
      <c r="S4" s="319"/>
      <c r="T4" s="319"/>
      <c r="U4" s="319"/>
      <c r="V4" s="319"/>
    </row>
    <row r="5" spans="1:28" ht="22" customHeight="1">
      <c r="A5" s="321" t="s">
        <v>52</v>
      </c>
      <c r="B5" s="97">
        <v>401051</v>
      </c>
      <c r="C5" s="49" t="s">
        <v>227</v>
      </c>
      <c r="D5" s="50">
        <v>41176</v>
      </c>
      <c r="E5" s="51" t="s">
        <v>2</v>
      </c>
      <c r="F5" s="52">
        <v>173</v>
      </c>
      <c r="G5" s="322">
        <f>IF(OR(E5="",F5=""),"",PID_KVLohnLookup($A$1,E5,F5,LOHNTABELLE!$H$4))</f>
        <v>2021</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27" cm="1">
        <f t="array" ref="O5">SUMPRODUCT((F3:F82/4.310808)/5*2.08)</f>
        <v>789.87742437148711</v>
      </c>
      <c r="P5" s="328">
        <f>EINSTELLUNG!I13</f>
        <v>620</v>
      </c>
      <c r="Q5" s="328">
        <f>P5-O5</f>
        <v>-169.87742437148711</v>
      </c>
      <c r="R5" s="329">
        <f>IFERROR(Q5*Q42, 0)</f>
        <v>-2023.5070427187973</v>
      </c>
      <c r="S5" s="319"/>
      <c r="T5" s="319"/>
      <c r="U5" s="319"/>
      <c r="V5" s="319"/>
    </row>
    <row r="6" spans="1:28" ht="22" customHeight="1">
      <c r="A6" s="321" t="s">
        <v>53</v>
      </c>
      <c r="B6" s="96">
        <v>401089</v>
      </c>
      <c r="C6" s="41" t="s">
        <v>241</v>
      </c>
      <c r="D6" s="42">
        <v>44868</v>
      </c>
      <c r="E6" s="43" t="s">
        <v>3</v>
      </c>
      <c r="F6" s="44">
        <v>173</v>
      </c>
      <c r="G6" s="322">
        <f>IF(OR(E6="",F6=""),"",PID_KVLohnLookup($A$1,E6,F6,LOHNTABELLE!$H$4))</f>
        <v>2082</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21" t="s">
        <v>54</v>
      </c>
      <c r="B7" s="97">
        <v>401138</v>
      </c>
      <c r="C7" s="49" t="s">
        <v>228</v>
      </c>
      <c r="D7" s="50">
        <v>42006</v>
      </c>
      <c r="E7" s="51" t="s">
        <v>4</v>
      </c>
      <c r="F7" s="52">
        <v>173</v>
      </c>
      <c r="G7" s="322">
        <f>IF(OR(E7="",F7=""),"",PID_KVLohnLookup($A$1,E7,F7,LOHNTABELLE!$H$4))</f>
        <v>2123</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19"/>
      <c r="P7" s="319"/>
      <c r="Q7" s="319"/>
      <c r="R7" s="319"/>
      <c r="S7" s="319"/>
      <c r="T7" s="319"/>
      <c r="U7" s="319"/>
      <c r="V7" s="319"/>
    </row>
    <row r="8" spans="1:28" ht="22" customHeight="1">
      <c r="A8" s="321" t="s">
        <v>55</v>
      </c>
      <c r="B8" s="96">
        <v>401197</v>
      </c>
      <c r="C8" s="41" t="s">
        <v>229</v>
      </c>
      <c r="D8" s="42">
        <v>42644</v>
      </c>
      <c r="E8" s="43" t="s">
        <v>3</v>
      </c>
      <c r="F8" s="44">
        <v>173</v>
      </c>
      <c r="G8" s="322">
        <f>IF(OR(E8="",F8=""),"",PID_KVLohnLookup($A$1,E8,F8,LOHNTABELLE!$H$4))</f>
        <v>2082</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3" t="s">
        <v>56</v>
      </c>
      <c r="P8" s="334"/>
      <c r="Q8" s="335">
        <f>SUM(H3:H82)</f>
        <v>8185.119999999999</v>
      </c>
      <c r="R8" s="336"/>
      <c r="S8" s="319"/>
      <c r="T8" s="319"/>
      <c r="U8" s="319"/>
      <c r="V8" s="319"/>
    </row>
    <row r="9" spans="1:28" ht="22" customHeight="1">
      <c r="A9" s="321" t="s">
        <v>57</v>
      </c>
      <c r="B9" s="97">
        <v>401214</v>
      </c>
      <c r="C9" s="49" t="s">
        <v>255</v>
      </c>
      <c r="D9" s="50">
        <v>45636</v>
      </c>
      <c r="E9" s="51" t="s">
        <v>3</v>
      </c>
      <c r="F9" s="52">
        <v>173</v>
      </c>
      <c r="G9" s="322">
        <f>IF(OR(E9="",F9=""),"",PID_KVLohnLookup($A$1,E9,F9,LOHNTABELLE!$H$4))</f>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37" t="s">
        <v>58</v>
      </c>
      <c r="P9" s="338"/>
      <c r="Q9" s="339">
        <f>EINSTELLUNG!L29</f>
        <v>8</v>
      </c>
      <c r="R9" s="340"/>
      <c r="S9" s="341">
        <f>IFERROR(Q9/Q8, 0)</f>
        <v>9.7738334929726154E-4</v>
      </c>
      <c r="T9" s="319"/>
      <c r="U9" s="319"/>
      <c r="V9" s="319"/>
    </row>
    <row r="10" spans="1:28" ht="22" customHeight="1">
      <c r="A10" s="321" t="s">
        <v>59</v>
      </c>
      <c r="B10" s="96">
        <v>401276</v>
      </c>
      <c r="C10" s="41" t="s">
        <v>230</v>
      </c>
      <c r="D10" s="42">
        <v>43252</v>
      </c>
      <c r="E10" s="43" t="s">
        <v>3</v>
      </c>
      <c r="F10" s="44">
        <v>173</v>
      </c>
      <c r="G10" s="322">
        <f>IF(OR(E10="",F10=""),"",PID_KVLohnLookup($A$1,E10,F10,LOHNTABELLE!$H$4))</f>
        <v>2082</v>
      </c>
      <c r="H10" s="323">
        <f>IF(AND(ISNUMBER(D10),ISNUMBER(F10)),ROUNDDOWN(MIN(IF(OR(ISBLANK(I10),I10=""),EOMONTH(DATE(EINSTELLUNG!$C$35,$A$1,1),0),I10)-MAX(D10,DATE(EINSTELLUNG!$C$35,$A$1,1))+1)/DAY(EOMONTH(DATE(EINSTELLUNG!$C$35,$A$1,1),0))*F10,2),"")</f>
        <v>173</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37" t="s">
        <v>60</v>
      </c>
      <c r="P10" s="338"/>
      <c r="Q10" s="339">
        <f>EINSTELLUNG!I29</f>
        <v>150</v>
      </c>
      <c r="R10" s="340"/>
      <c r="S10" s="319"/>
      <c r="T10" s="319"/>
      <c r="U10" s="319"/>
      <c r="V10" s="319"/>
    </row>
    <row r="11" spans="1:28" ht="22" customHeight="1">
      <c r="A11" s="321" t="s">
        <v>61</v>
      </c>
      <c r="B11" s="97">
        <v>401276</v>
      </c>
      <c r="C11" s="49" t="s">
        <v>392</v>
      </c>
      <c r="D11" s="50">
        <v>38899</v>
      </c>
      <c r="E11" s="51" t="s">
        <v>2</v>
      </c>
      <c r="F11" s="52">
        <v>55</v>
      </c>
      <c r="G11" s="322">
        <f>IF(OR(E11="",F11=""),"",PID_KVLohnLookup($A$1,E11,F11,LOHNTABELLE!$H$4))</f>
        <v>666</v>
      </c>
      <c r="H11" s="323">
        <f>IF(AND(ISNUMBER(D11),ISNUMBER(F11)),ROUNDDOWN(MIN(IF(OR(ISBLANK(I11),I11=""),EOMONTH(DATE(EINSTELLUNG!$C$35,$A$1,1),0),I11)-MAX(D11,DATE(EINSTELLUNG!$C$35,$A$1,1))+1)/DAY(EOMONTH(DATE(EINSTELLUNG!$C$35,$A$1,1),0))*F11,2),"")</f>
        <v>55</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37" t="s">
        <v>62</v>
      </c>
      <c r="P11" s="338"/>
      <c r="Q11" s="339">
        <f>P5</f>
        <v>620</v>
      </c>
      <c r="R11" s="340"/>
      <c r="S11" s="319"/>
      <c r="T11" s="319"/>
      <c r="U11" s="319"/>
      <c r="V11" s="319"/>
    </row>
    <row r="12" spans="1:28" ht="22" customHeight="1">
      <c r="A12" s="321" t="s">
        <v>63</v>
      </c>
      <c r="B12" s="96">
        <v>401307</v>
      </c>
      <c r="C12" s="41" t="s">
        <v>231</v>
      </c>
      <c r="D12" s="42">
        <v>43571</v>
      </c>
      <c r="E12" s="43" t="s">
        <v>2</v>
      </c>
      <c r="F12" s="44">
        <v>55</v>
      </c>
      <c r="G12" s="322">
        <f>IF(OR(E12="",F12=""),"",PID_KVLohnLookup($A$1,E12,F12,LOHNTABELLE!$H$4))</f>
        <v>666</v>
      </c>
      <c r="H12" s="323">
        <f>IF(AND(ISNUMBER(D12),ISNUMBER(F12)),ROUNDDOWN(MIN(IF(OR(ISBLANK(I12),I12=""),EOMONTH(DATE(EINSTELLUNG!$C$35,$A$1,1),0),I12)-MAX(D12,DATE(EINSTELLUNG!$C$35,$A$1,1))+1)/DAY(EOMONTH(DATE(EINSTELLUNG!$C$35,$A$1,1),0))*F12,2),"")</f>
        <v>55</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37" t="s">
        <v>66</v>
      </c>
      <c r="P12" s="338"/>
      <c r="Q12" s="339">
        <f>Q8-Q9-Q10-Q11</f>
        <v>7407.119999999999</v>
      </c>
      <c r="R12" s="340"/>
      <c r="S12" s="319"/>
      <c r="T12" s="319"/>
      <c r="U12" s="319"/>
      <c r="V12" s="319"/>
    </row>
    <row r="13" spans="1:28" ht="22" customHeight="1">
      <c r="A13" s="321" t="s">
        <v>65</v>
      </c>
      <c r="B13" s="97">
        <v>401308</v>
      </c>
      <c r="C13" s="49" t="s">
        <v>232</v>
      </c>
      <c r="D13" s="50">
        <v>43579</v>
      </c>
      <c r="E13" s="51" t="s">
        <v>3</v>
      </c>
      <c r="F13" s="100">
        <v>173</v>
      </c>
      <c r="G13" s="322">
        <f>IF(OR(E13="",F13=""),"",PID_KVLohnLookup($A$1,E13,F13,LOHNTABELLE!$H$4))</f>
        <v>2082</v>
      </c>
      <c r="H13" s="323">
        <f>IF(AND(ISNUMBER(D13),ISNUMBER(F13)),ROUNDDOWN(MIN(IF(OR(ISBLANK(I13),I13=""),EOMONTH(DATE(EINSTELLUNG!$C$35,$A$1,1),0),I13)-MAX(D13,DATE(EINSTELLUNG!$C$35,$A$1,1))+1)/DAY(EOMONTH(DATE(EINSTELLUNG!$C$35,$A$1,1),0))*F13,2),"")</f>
        <v>173</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37" t="s">
        <v>68</v>
      </c>
      <c r="P13" s="338"/>
      <c r="Q13" s="339">
        <f>EINSTELLUNG!L13</f>
        <v>9300</v>
      </c>
      <c r="R13" s="340"/>
      <c r="S13" s="319"/>
      <c r="T13" s="319"/>
      <c r="U13" s="319"/>
      <c r="V13" s="319"/>
    </row>
    <row r="14" spans="1:28" ht="22" customHeight="1" thickBot="1">
      <c r="A14" s="321" t="s">
        <v>67</v>
      </c>
      <c r="B14" s="96">
        <v>401394</v>
      </c>
      <c r="C14" s="41" t="s">
        <v>233</v>
      </c>
      <c r="D14" s="42">
        <v>44379</v>
      </c>
      <c r="E14" s="43" t="s">
        <v>2</v>
      </c>
      <c r="F14" s="44">
        <v>173</v>
      </c>
      <c r="G14" s="322">
        <f>IF(OR(E14="",F14=""),"",PID_KVLohnLookup($A$1,E14,F14,LOHNTABELLE!$H$4))</f>
        <v>2021</v>
      </c>
      <c r="H14" s="323">
        <f>IF(AND(ISNUMBER(D14),ISNUMBER(F14)),ROUNDDOWN(MIN(IF(OR(ISBLANK(I14),I14=""),EOMONTH(DATE(EINSTELLUNG!$C$35,$A$1,1),0),I14)-MAX(D14,DATE(EINSTELLUNG!$C$35,$A$1,1))+1)/DAY(EOMONTH(DATE(EINSTELLUNG!$C$35,$A$1,1),0))*F14,2),"")</f>
        <v>173</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42" t="s">
        <v>70</v>
      </c>
      <c r="P14" s="343"/>
      <c r="Q14" s="344">
        <f>Q12-Q13</f>
        <v>-1892.880000000001</v>
      </c>
      <c r="R14" s="345"/>
      <c r="S14" s="319"/>
      <c r="T14" s="319"/>
      <c r="U14" s="319"/>
      <c r="V14" s="319"/>
    </row>
    <row r="15" spans="1:28" ht="22" customHeight="1">
      <c r="A15" s="321" t="s">
        <v>69</v>
      </c>
      <c r="B15" s="97">
        <v>401479</v>
      </c>
      <c r="C15" s="49" t="s">
        <v>238</v>
      </c>
      <c r="D15" s="50">
        <v>44511</v>
      </c>
      <c r="E15" s="51" t="s">
        <v>6</v>
      </c>
      <c r="F15" s="52">
        <v>173</v>
      </c>
      <c r="G15" s="322">
        <f>IF(OR(E15="",F15=""),"",PID_KVLohnLookup($A$1,E15,F15,LOHNTABELLE!$H$4))</f>
        <v>2160</v>
      </c>
      <c r="H15" s="323">
        <f>IF(AND(ISNUMBER(D15),ISNUMBER(F15)),ROUNDDOWN(MIN(IF(OR(ISBLANK(I15),I15=""),EOMONTH(DATE(EINSTELLUNG!$C$35,$A$1,1),0),I15)-MAX(D15,DATE(EINSTELLUNG!$C$35,$A$1,1))+1)/DAY(EOMONTH(DATE(EINSTELLUNG!$C$35,$A$1,1),0))*F15,2),"")</f>
        <v>173</v>
      </c>
      <c r="I15" s="53"/>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415" t="str">
        <f>IF(Q14&lt;0, "Schlecht! Zu wenig Stunden für Dienstplan.", IF(Q14&gt;0, "Du hast mehr als genug Stunden für Dienstplan.", ""))</f>
        <v>Schlecht! Zu wenig Stunden für Dienstplan.</v>
      </c>
      <c r="P15" s="416"/>
      <c r="Q15" s="416"/>
      <c r="R15" s="416"/>
      <c r="S15" s="346"/>
      <c r="T15" s="346"/>
      <c r="U15" s="346"/>
      <c r="V15" s="319"/>
    </row>
    <row r="16" spans="1:28" ht="22" customHeight="1" thickBot="1">
      <c r="A16" s="321" t="s">
        <v>71</v>
      </c>
      <c r="B16" s="96">
        <v>401558</v>
      </c>
      <c r="C16" s="41" t="s">
        <v>236</v>
      </c>
      <c r="D16" s="42">
        <v>44460</v>
      </c>
      <c r="E16" s="43" t="s">
        <v>2</v>
      </c>
      <c r="F16" s="44">
        <v>173</v>
      </c>
      <c r="G16" s="322">
        <f>IF(OR(E16="",F16=""),"",PID_KVLohnLookup($A$1,E16,F16,LOHNTABELLE!$H$4))</f>
        <v>2021</v>
      </c>
      <c r="H16" s="323">
        <f>IF(AND(ISNUMBER(D16),ISNUMBER(F16)),ROUNDDOWN(MIN(IF(OR(ISBLANK(I16),I16=""),EOMONTH(DATE(EINSTELLUNG!$C$35,$A$1,1),0),I16)-MAX(D16,DATE(EINSTELLUNG!$C$35,$A$1,1))+1)/DAY(EOMONTH(DATE(EINSTELLUNG!$C$35,$A$1,1),0))*F16,2),"")</f>
        <v>173</v>
      </c>
      <c r="I16" s="45"/>
      <c r="J16" s="46"/>
      <c r="K16" s="322">
        <f t="shared" si="0"/>
        <v>0</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417"/>
      <c r="P16" s="418"/>
      <c r="Q16" s="418"/>
      <c r="R16" s="419"/>
      <c r="S16" s="350"/>
      <c r="T16" s="350"/>
      <c r="U16" s="350"/>
      <c r="V16" s="350"/>
      <c r="W16" s="351"/>
    </row>
    <row r="17" spans="1:29" ht="22" customHeight="1">
      <c r="A17" s="321" t="s">
        <v>72</v>
      </c>
      <c r="B17" s="97">
        <v>401564</v>
      </c>
      <c r="C17" s="49" t="s">
        <v>240</v>
      </c>
      <c r="D17" s="50">
        <v>44824</v>
      </c>
      <c r="E17" s="51" t="s">
        <v>2</v>
      </c>
      <c r="F17" s="52">
        <v>151.38</v>
      </c>
      <c r="G17" s="322">
        <f>IF(OR(E17="",F17=""),"",PID_KVLohnLookup($A$1,E17,F17,LOHNTABELLE!$H$4))</f>
        <v>1768.38</v>
      </c>
      <c r="H17" s="323">
        <f>IF(AND(ISNUMBER(D17),ISNUMBER(F17)),ROUNDDOWN(MIN(IF(OR(ISBLANK(I17),I17=""),EOMONTH(DATE(EINSTELLUNG!$C$35,$A$1,1),0),I17)-MAX(D17,DATE(EINSTELLUNG!$C$35,$A$1,1))+1)/DAY(EOMONTH(DATE(EINSTELLUNG!$C$35,$A$1,1),0))*F17,2),"")</f>
        <v>151.38</v>
      </c>
      <c r="I17" s="53"/>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5"/>
      <c r="N17" s="71"/>
      <c r="O17" s="352" t="s">
        <v>73</v>
      </c>
      <c r="P17" s="334"/>
      <c r="Q17" s="353">
        <f>SUM(L3:L82)</f>
        <v>97497.640000000014</v>
      </c>
      <c r="R17" s="354"/>
      <c r="S17" s="319"/>
      <c r="T17" s="319"/>
      <c r="U17" s="319"/>
      <c r="V17" s="319"/>
      <c r="W17" s="351"/>
    </row>
    <row r="18" spans="1:29" ht="22" customHeight="1">
      <c r="A18" s="321" t="s">
        <v>74</v>
      </c>
      <c r="B18" s="96">
        <v>401583</v>
      </c>
      <c r="C18" s="41" t="s">
        <v>242</v>
      </c>
      <c r="D18" s="45">
        <v>44900</v>
      </c>
      <c r="E18" s="43" t="s">
        <v>13</v>
      </c>
      <c r="F18" s="44">
        <v>173</v>
      </c>
      <c r="G18" s="322">
        <f>IF(OR(E18="",F18=""),"",PID_KVLohnLookup($A$1,E18,F18,LOHNTABELLE!$H$4))</f>
        <v>2328</v>
      </c>
      <c r="H18" s="323">
        <f>IF(AND(ISNUMBER(D18),ISNUMBER(F18)),ROUNDDOWN(MIN(IF(OR(ISBLANK(I18),I18=""),EOMONTH(DATE(EINSTELLUNG!$C$35,$A$1,1),0),I18)-MAX(D18,DATE(EINSTELLUNG!$C$35,$A$1,1))+1)/DAY(EOMONTH(DATE(EINSTELLUNG!$C$35,$A$1,1),0))*F18,2),"")</f>
        <v>173</v>
      </c>
      <c r="I18" s="45"/>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7"/>
      <c r="N18" s="70"/>
      <c r="O18" s="355" t="s">
        <v>376</v>
      </c>
      <c r="P18" s="356"/>
      <c r="Q18" s="357">
        <v>20</v>
      </c>
      <c r="R18" s="358"/>
      <c r="S18" s="319"/>
      <c r="T18" s="319"/>
      <c r="U18" s="319"/>
      <c r="V18" s="319"/>
    </row>
    <row r="19" spans="1:29" ht="22" customHeight="1">
      <c r="A19" s="321" t="s">
        <v>75</v>
      </c>
      <c r="B19" s="97">
        <v>401589</v>
      </c>
      <c r="C19" s="49" t="s">
        <v>243</v>
      </c>
      <c r="D19" s="50">
        <v>44926</v>
      </c>
      <c r="E19" s="51" t="s">
        <v>10</v>
      </c>
      <c r="F19" s="52">
        <v>173</v>
      </c>
      <c r="G19" s="322">
        <f>IF(OR(E19="",F19=""),"",PID_KVLohnLookup($A$1,E19,F19,LOHNTABELLE!$H$4))</f>
        <v>2300</v>
      </c>
      <c r="H19" s="323">
        <f>IF(AND(ISNUMBER(D19),ISNUMBER(F19)),ROUNDDOWN(MIN(IF(OR(ISBLANK(I19),I19=""),EOMONTH(DATE(EINSTELLUNG!$C$35,$A$1,1),0),I19)-MAX(D19,DATE(EINSTELLUNG!$C$35,$A$1,1))+1)/DAY(EOMONTH(DATE(EINSTELLUNG!$C$35,$A$1,1),0))*F19,2),"")</f>
        <v>173</v>
      </c>
      <c r="I19" s="53"/>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5"/>
      <c r="N19" s="71"/>
      <c r="O19" s="355" t="s">
        <v>294</v>
      </c>
      <c r="P19" s="356"/>
      <c r="Q19" s="357">
        <v>333</v>
      </c>
      <c r="R19" s="358"/>
      <c r="S19" s="319"/>
      <c r="T19" s="319"/>
      <c r="U19" s="319"/>
      <c r="V19" s="319"/>
    </row>
    <row r="20" spans="1:29" ht="22" customHeight="1">
      <c r="A20" s="321" t="s">
        <v>76</v>
      </c>
      <c r="B20" s="96">
        <v>401602</v>
      </c>
      <c r="C20" s="41" t="s">
        <v>244</v>
      </c>
      <c r="D20" s="42">
        <v>45975</v>
      </c>
      <c r="E20" s="43" t="s">
        <v>2</v>
      </c>
      <c r="F20" s="44">
        <v>169</v>
      </c>
      <c r="G20" s="322">
        <f>IF(OR(E20="",F20=""),"",PID_KVLohnLookup($A$1,E20,F20,LOHNTABELLE!$H$4))</f>
        <v>2000</v>
      </c>
      <c r="H20" s="323">
        <f>IF(AND(ISNUMBER(D20),ISNUMBER(F20)),ROUNDDOWN(MIN(IF(OR(ISBLANK(I20),I20=""),EOMONTH(DATE(EINSTELLUNG!$C$35,$A$1,1),0),I20)-MAX(D20,DATE(EINSTELLUNG!$C$35,$A$1,1))+1)/DAY(EOMONTH(DATE(EINSTELLUNG!$C$35,$A$1,1),0))*F20,2),"")</f>
        <v>169</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7"/>
      <c r="N20" s="70"/>
      <c r="O20" s="355" t="s">
        <v>294</v>
      </c>
      <c r="P20" s="356"/>
      <c r="Q20" s="357">
        <v>35</v>
      </c>
      <c r="R20" s="358"/>
      <c r="S20" s="319"/>
      <c r="T20" s="319"/>
      <c r="U20" s="319"/>
      <c r="V20" s="319"/>
    </row>
    <row r="21" spans="1:29" ht="22" customHeight="1">
      <c r="A21" s="321" t="s">
        <v>77</v>
      </c>
      <c r="B21" s="97">
        <v>401605</v>
      </c>
      <c r="C21" s="49" t="s">
        <v>245</v>
      </c>
      <c r="D21" s="50">
        <v>44986</v>
      </c>
      <c r="E21" s="51" t="s">
        <v>2</v>
      </c>
      <c r="F21" s="52">
        <v>173</v>
      </c>
      <c r="G21" s="322">
        <f>IF(OR(E21="",F21=""),"",PID_KVLohnLookup($A$1,E21,F21,LOHNTABELLE!$H$4))</f>
        <v>2021</v>
      </c>
      <c r="H21" s="323">
        <f>IF(AND(ISNUMBER(D21),ISNUMBER(F21)),ROUNDDOWN(MIN(IF(OR(ISBLANK(I21),I21=""),EOMONTH(DATE(EINSTELLUNG!$C$35,$A$1,1),0),I21)-MAX(D21,DATE(EINSTELLUNG!$C$35,$A$1,1))+1)/DAY(EOMONTH(DATE(EINSTELLUNG!$C$35,$A$1,1),0))*F21,2),"")</f>
        <v>173</v>
      </c>
      <c r="I21" s="53"/>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5"/>
      <c r="N21" s="71"/>
      <c r="O21" s="355" t="s">
        <v>294</v>
      </c>
      <c r="P21" s="356"/>
      <c r="Q21" s="357">
        <v>100</v>
      </c>
      <c r="R21" s="358"/>
      <c r="S21" s="319"/>
      <c r="T21" s="319"/>
      <c r="U21" s="319"/>
      <c r="V21" s="319"/>
    </row>
    <row r="22" spans="1:29" ht="22" customHeight="1">
      <c r="A22" s="321" t="s">
        <v>78</v>
      </c>
      <c r="B22" s="96">
        <v>401605</v>
      </c>
      <c r="C22" s="41" t="s">
        <v>393</v>
      </c>
      <c r="D22" s="42">
        <v>36850</v>
      </c>
      <c r="E22" s="43" t="s">
        <v>10</v>
      </c>
      <c r="F22" s="44">
        <v>151.38</v>
      </c>
      <c r="G22" s="322">
        <f>IF(OR(E22="",F22=""),"",PID_KVLohnLookup($A$1,E22,F22,LOHNTABELLE!$H$4))</f>
        <v>2012.5</v>
      </c>
      <c r="H22" s="323">
        <f>IF(AND(ISNUMBER(D22),ISNUMBER(F22)),ROUNDDOWN(MIN(IF(OR(ISBLANK(I22),I22=""),EOMONTH(DATE(EINSTELLUNG!$C$35,$A$1,1),0),I22)-MAX(D22,DATE(EINSTELLUNG!$C$35,$A$1,1))+1)/DAY(EOMONTH(DATE(EINSTELLUNG!$C$35,$A$1,1),0))*F22,2),"")</f>
        <v>151.38</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7"/>
      <c r="N22" s="70"/>
      <c r="O22" s="355" t="s">
        <v>294</v>
      </c>
      <c r="P22" s="356"/>
      <c r="Q22" s="357"/>
      <c r="R22" s="358"/>
      <c r="S22" s="319"/>
      <c r="T22" s="319"/>
      <c r="U22" s="319"/>
      <c r="V22" s="319"/>
    </row>
    <row r="23" spans="1:29" ht="22" customHeight="1">
      <c r="A23" s="321" t="s">
        <v>79</v>
      </c>
      <c r="B23" s="97">
        <v>401626</v>
      </c>
      <c r="C23" s="49" t="s">
        <v>246</v>
      </c>
      <c r="D23" s="50">
        <v>45063</v>
      </c>
      <c r="E23" s="51" t="s">
        <v>2</v>
      </c>
      <c r="F23" s="52">
        <v>173</v>
      </c>
      <c r="G23" s="322">
        <f>IF(OR(E23="",F23=""),"",PID_KVLohnLookup($A$1,E23,F23,LOHNTABELLE!$H$4))</f>
        <v>2021</v>
      </c>
      <c r="H23" s="323">
        <f>IF(AND(ISNUMBER(D23),ISNUMBER(F23)),ROUNDDOWN(MIN(IF(OR(ISBLANK(I23),I23=""),EOMONTH(DATE(EINSTELLUNG!$C$35,$A$1,1),0),I23)-MAX(D23,DATE(EINSTELLUNG!$C$35,$A$1,1))+1)/DAY(EOMONTH(DATE(EINSTELLUNG!$C$35,$A$1,1),0))*F23,2),"")</f>
        <v>173</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5"/>
      <c r="N23" s="71"/>
      <c r="O23" s="355" t="s">
        <v>294</v>
      </c>
      <c r="P23" s="356"/>
      <c r="Q23" s="357">
        <v>5000</v>
      </c>
      <c r="R23" s="358"/>
      <c r="S23" s="319"/>
      <c r="T23" s="319"/>
      <c r="U23" s="319"/>
      <c r="V23" s="319"/>
      <c r="W23" s="351"/>
    </row>
    <row r="24" spans="1:29" ht="22" customHeight="1">
      <c r="A24" s="321" t="s">
        <v>80</v>
      </c>
      <c r="B24" s="96">
        <v>401633</v>
      </c>
      <c r="C24" s="41" t="s">
        <v>247</v>
      </c>
      <c r="D24" s="42">
        <v>45089</v>
      </c>
      <c r="E24" s="43" t="s">
        <v>10</v>
      </c>
      <c r="F24" s="44">
        <v>173</v>
      </c>
      <c r="G24" s="322">
        <f>IF(OR(E24="",F24=""),"",PID_KVLohnLookup($A$1,E24,F24,LOHNTABELLE!$H$4))</f>
        <v>2300</v>
      </c>
      <c r="H24" s="323">
        <f>IF(AND(ISNUMBER(D24),ISNUMBER(F24)),ROUNDDOWN(MIN(IF(OR(ISBLANK(I24),I24=""),EOMONTH(DATE(EINSTELLUNG!$C$35,$A$1,1),0),I24)-MAX(D24,DATE(EINSTELLUNG!$C$35,$A$1,1))+1)/DAY(EOMONTH(DATE(EINSTELLUNG!$C$35,$A$1,1),0))*F24,2),"")</f>
        <v>173</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7"/>
      <c r="N24" s="70"/>
      <c r="O24" s="355"/>
      <c r="P24" s="356"/>
      <c r="Q24" s="357"/>
      <c r="R24" s="358"/>
      <c r="S24" s="319"/>
      <c r="T24" s="319"/>
      <c r="U24" s="319"/>
      <c r="V24" s="319"/>
      <c r="W24" s="351"/>
    </row>
    <row r="25" spans="1:29" ht="22" customHeight="1">
      <c r="A25" s="321" t="s">
        <v>81</v>
      </c>
      <c r="B25" s="97">
        <v>401647</v>
      </c>
      <c r="C25" s="49" t="s">
        <v>248</v>
      </c>
      <c r="D25" s="50">
        <v>45182</v>
      </c>
      <c r="E25" s="51" t="s">
        <v>2</v>
      </c>
      <c r="F25" s="52">
        <v>173</v>
      </c>
      <c r="G25" s="322">
        <f>IF(OR(E25="",F25=""),"",PID_KVLohnLookup($A$1,E25,F25,LOHNTABELLE!$H$4))</f>
        <v>2021</v>
      </c>
      <c r="H25" s="323">
        <f>IF(AND(ISNUMBER(D25),ISNUMBER(F25)),ROUNDDOWN(MIN(IF(OR(ISBLANK(I25),I25=""),EOMONTH(DATE(EINSTELLUNG!$C$35,$A$1,1),0),I25)-MAX(D25,DATE(EINSTELLUNG!$C$35,$A$1,1))+1)/DAY(EOMONTH(DATE(EINSTELLUNG!$C$35,$A$1,1),0))*F25,2),"")</f>
        <v>173</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5"/>
      <c r="P25" s="356"/>
      <c r="Q25" s="357"/>
      <c r="R25" s="358"/>
      <c r="S25" s="319"/>
      <c r="T25" s="319"/>
      <c r="U25" s="319"/>
      <c r="V25" s="319"/>
    </row>
    <row r="26" spans="1:29" ht="22" customHeight="1">
      <c r="A26" s="321" t="s">
        <v>82</v>
      </c>
      <c r="B26" s="96">
        <v>401661</v>
      </c>
      <c r="C26" s="41" t="s">
        <v>249</v>
      </c>
      <c r="D26" s="42">
        <v>45261</v>
      </c>
      <c r="E26" s="43" t="s">
        <v>2</v>
      </c>
      <c r="F26" s="44">
        <v>173</v>
      </c>
      <c r="G26" s="322">
        <f>IF(OR(E26="",F26=""),"",PID_KVLohnLookup($A$1,E26,F26,LOHNTABELLE!$H$4))</f>
        <v>2021</v>
      </c>
      <c r="H26" s="323">
        <f>IF(AND(ISNUMBER(D26),ISNUMBER(F26)),ROUNDDOWN(MIN(IF(OR(ISBLANK(I26),I26=""),EOMONTH(DATE(EINSTELLUNG!$C$35,$A$1,1),0),I26)-MAX(D26,DATE(EINSTELLUNG!$C$35,$A$1,1))+1)/DAY(EOMONTH(DATE(EINSTELLUNG!$C$35,$A$1,1),0))*F26,2),"")</f>
        <v>173</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5"/>
      <c r="P26" s="356"/>
      <c r="Q26" s="357"/>
      <c r="R26" s="358"/>
      <c r="S26" s="319"/>
      <c r="T26" s="319"/>
      <c r="U26" s="319"/>
      <c r="V26" s="319"/>
    </row>
    <row r="27" spans="1:29" ht="22" customHeight="1">
      <c r="A27" s="321" t="s">
        <v>83</v>
      </c>
      <c r="B27" s="97">
        <v>401670</v>
      </c>
      <c r="C27" s="49" t="s">
        <v>250</v>
      </c>
      <c r="D27" s="50">
        <v>45358</v>
      </c>
      <c r="E27" s="51" t="s">
        <v>2</v>
      </c>
      <c r="F27" s="52">
        <v>173</v>
      </c>
      <c r="G27" s="322">
        <f>IF(OR(E27="",F27=""),"",PID_KVLohnLookup($A$1,E27,F27,LOHNTABELLE!$H$4))</f>
        <v>2021</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5"/>
      <c r="P27" s="356"/>
      <c r="Q27" s="357"/>
      <c r="R27" s="358"/>
      <c r="S27" s="359" t="s">
        <v>84</v>
      </c>
      <c r="T27" s="359"/>
      <c r="U27" s="359"/>
      <c r="V27" s="359"/>
    </row>
    <row r="28" spans="1:29" ht="22" customHeight="1">
      <c r="A28" s="321" t="s">
        <v>85</v>
      </c>
      <c r="B28" s="96">
        <v>401678</v>
      </c>
      <c r="C28" s="41" t="s">
        <v>251</v>
      </c>
      <c r="D28" s="42">
        <v>45414</v>
      </c>
      <c r="E28" s="43" t="s">
        <v>2</v>
      </c>
      <c r="F28" s="44">
        <v>173</v>
      </c>
      <c r="G28" s="322">
        <f>IF(OR(E28="",F28=""),"",PID_KVLohnLookup($A$1,E28,F28,LOHNTABELLE!$H$4))</f>
        <v>2021</v>
      </c>
      <c r="H28" s="323">
        <f>IF(AND(ISNUMBER(D28),ISNUMBER(F28)),ROUNDDOWN(MIN(IF(OR(ISBLANK(I28),I28=""),EOMONTH(DATE(EINSTELLUNG!$C$35,$A$1,1),0),I28)-MAX(D28,DATE(EINSTELLUNG!$C$35,$A$1,1))+1)/DAY(EOMONTH(DATE(EINSTELLUNG!$C$35,$A$1,1),0))*F28,2),"")</f>
        <v>173</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55"/>
      <c r="P28" s="356"/>
      <c r="Q28" s="357"/>
      <c r="R28" s="358"/>
      <c r="S28" s="319"/>
      <c r="T28" s="319"/>
      <c r="U28" s="319"/>
      <c r="V28" s="319"/>
    </row>
    <row r="29" spans="1:29" ht="22" customHeight="1" thickBot="1">
      <c r="A29" s="321" t="s">
        <v>86</v>
      </c>
      <c r="B29" s="97">
        <v>401690</v>
      </c>
      <c r="C29" s="49" t="s">
        <v>253</v>
      </c>
      <c r="D29" s="50">
        <v>45536</v>
      </c>
      <c r="E29" s="51" t="s">
        <v>2</v>
      </c>
      <c r="F29" s="52">
        <v>151.38</v>
      </c>
      <c r="G29" s="322">
        <f>IF(OR(E29="",F29=""),"",PID_KVLohnLookup($A$1,E29,F29,LOHNTABELLE!$H$4))</f>
        <v>1768.38</v>
      </c>
      <c r="H29" s="323">
        <f>IF(AND(ISNUMBER(D29),ISNUMBER(F29)),ROUNDDOWN(MIN(IF(OR(ISBLANK(I29),I29=""),EOMONTH(DATE(EINSTELLUNG!$C$35,$A$1,1),0),I29)-MAX(D29,DATE(EINSTELLUNG!$C$35,$A$1,1))+1)/DAY(EOMONTH(DATE(EINSTELLUNG!$C$35,$A$1,1),0))*F29,2),"")</f>
        <v>151.38</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5"/>
      <c r="N29" s="71"/>
      <c r="O29" s="360" t="s">
        <v>87</v>
      </c>
      <c r="P29" s="343"/>
      <c r="Q29" s="361">
        <f>EINSTELLUNG!O13</f>
        <v>1250</v>
      </c>
      <c r="R29" s="362"/>
      <c r="S29" s="319"/>
      <c r="T29" s="319"/>
      <c r="U29" s="319"/>
      <c r="V29" s="319"/>
    </row>
    <row r="30" spans="1:29" ht="22" customHeight="1" thickBot="1">
      <c r="A30" s="321" t="s">
        <v>88</v>
      </c>
      <c r="B30" s="96">
        <v>401715</v>
      </c>
      <c r="C30" s="41" t="s">
        <v>256</v>
      </c>
      <c r="D30" s="42">
        <v>45755</v>
      </c>
      <c r="E30" s="43" t="s">
        <v>2</v>
      </c>
      <c r="F30" s="44">
        <v>173</v>
      </c>
      <c r="G30" s="322">
        <f>IF(OR(E30="",F30=""),"",PID_KVLohnLookup($A$1,E30,F30,LOHNTABELLE!$H$4))</f>
        <v>2021</v>
      </c>
      <c r="H30" s="323">
        <f>IF(AND(ISNUMBER(D30),ISNUMBER(F30)),ROUNDDOWN(MIN(IF(OR(ISBLANK(I30),I30=""),EOMONTH(DATE(EINSTELLUNG!$C$35,$A$1,1),0),I30)-MAX(D30,DATE(EINSTELLUNG!$C$35,$A$1,1))+1)/DAY(EOMONTH(DATE(EINSTELLUNG!$C$35,$A$1,1),0))*F30,2),"")</f>
        <v>173</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19"/>
      <c r="P30" s="319"/>
      <c r="Q30" s="319"/>
      <c r="R30" s="319"/>
      <c r="S30" s="319"/>
      <c r="T30" s="319"/>
      <c r="U30" s="319"/>
      <c r="V30" s="319"/>
      <c r="W30" s="363"/>
      <c r="X30" s="363"/>
      <c r="Y30" s="363"/>
      <c r="Z30" s="363"/>
      <c r="AA30" s="363"/>
      <c r="AB30" s="363"/>
      <c r="AC30" s="363"/>
    </row>
    <row r="31" spans="1:29" ht="22" customHeight="1" thickBot="1">
      <c r="A31" s="321" t="s">
        <v>89</v>
      </c>
      <c r="B31" s="97">
        <v>401716</v>
      </c>
      <c r="C31" s="49" t="s">
        <v>257</v>
      </c>
      <c r="D31" s="50">
        <v>45800</v>
      </c>
      <c r="E31" s="51" t="s">
        <v>2</v>
      </c>
      <c r="F31" s="52">
        <v>173</v>
      </c>
      <c r="G31" s="322">
        <f>IF(OR(E31="",F31=""),"",PID_KVLohnLookup($A$1,E31,F31,LOHNTABELLE!$H$4))</f>
        <v>2021</v>
      </c>
      <c r="H31" s="323">
        <f>IF(AND(ISNUMBER(D31),ISNUMBER(F31)),ROUNDDOWN(MIN(IF(OR(ISBLANK(I31),I31=""),EOMONTH(DATE(EINSTELLUNG!$C$35,$A$1,1),0),I31)-MAX(D31,DATE(EINSTELLUNG!$C$35,$A$1,1))+1)/DAY(EOMONTH(DATE(EINSTELLUNG!$C$35,$A$1,1),0))*F31,2),"")</f>
        <v>173</v>
      </c>
      <c r="I31" s="53"/>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4" t="s">
        <v>421</v>
      </c>
      <c r="P31" s="365"/>
      <c r="Q31" s="366">
        <v>0</v>
      </c>
      <c r="R31" s="367"/>
      <c r="S31" s="319"/>
      <c r="T31" s="319"/>
      <c r="U31" s="319"/>
      <c r="V31" s="319"/>
    </row>
    <row r="32" spans="1:29" ht="22" customHeight="1" thickBot="1">
      <c r="A32" s="321" t="s">
        <v>91</v>
      </c>
      <c r="B32" s="96">
        <v>401717</v>
      </c>
      <c r="C32" s="41" t="s">
        <v>258</v>
      </c>
      <c r="D32" s="42">
        <v>45814</v>
      </c>
      <c r="E32" s="43" t="s">
        <v>2</v>
      </c>
      <c r="F32" s="44">
        <v>86.5</v>
      </c>
      <c r="G32" s="322">
        <f>IF(OR(E32="",F32=""),"",PID_KVLohnLookup($A$1,E32,F32,LOHNTABELLE!$H$4))</f>
        <v>1010.5</v>
      </c>
      <c r="H32" s="323">
        <f>IF(AND(ISNUMBER(D32),ISNUMBER(F32)),ROUNDDOWN(MIN(IF(OR(ISBLANK(I32),I32=""),EOMONTH(DATE(EINSTELLUNG!$C$35,$A$1,1),0),I32)-MAX(D32,DATE(EINSTELLUNG!$C$35,$A$1,1))+1)/DAY(EOMONTH(DATE(EINSTELLUNG!$C$35,$A$1,1),0))*F32,2),"")</f>
        <v>86.5</v>
      </c>
      <c r="I32" s="45"/>
      <c r="J32" s="46"/>
      <c r="K32" s="322">
        <f t="shared" si="0"/>
        <v>0</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19"/>
      <c r="P32" s="319"/>
      <c r="Q32" s="319"/>
      <c r="R32" s="319"/>
      <c r="S32" s="319"/>
      <c r="T32" s="319"/>
      <c r="U32" s="319"/>
      <c r="V32" s="319"/>
    </row>
    <row r="33" spans="1:22" ht="22" customHeight="1">
      <c r="A33" s="321" t="s">
        <v>92</v>
      </c>
      <c r="B33" s="97">
        <v>401722</v>
      </c>
      <c r="C33" s="49" t="s">
        <v>259</v>
      </c>
      <c r="D33" s="50">
        <v>45848</v>
      </c>
      <c r="E33" s="51" t="s">
        <v>2</v>
      </c>
      <c r="F33" s="52">
        <v>86.5</v>
      </c>
      <c r="G33" s="322">
        <f>IF(OR(E33="",F33=""),"",PID_KVLohnLookup($A$1,E33,F33,LOHNTABELLE!$H$4))</f>
        <v>1010.5</v>
      </c>
      <c r="H33" s="323">
        <f>IF(AND(ISNUMBER(D33),ISNUMBER(F33)),ROUNDDOWN(MIN(IF(OR(ISBLANK(I33),I33=""),EOMONTH(DATE(EINSTELLUNG!$C$35,$A$1,1),0),I33)-MAX(D33,DATE(EINSTELLUNG!$C$35,$A$1,1))+1)/DAY(EOMONTH(DATE(EINSTELLUNG!$C$35,$A$1,1),0))*F33,2),"")</f>
        <v>86.5</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68"/>
      <c r="P33" s="369"/>
      <c r="Q33" s="304" t="str">
        <f>EINSTELLUNG!B3</f>
        <v>Budget</v>
      </c>
      <c r="R33" s="304"/>
      <c r="S33" s="304" t="str">
        <f>EINSTELLUNG!B19</f>
        <v>Projection/Aktuell Zahlen</v>
      </c>
      <c r="T33" s="304"/>
      <c r="U33" s="304" t="s">
        <v>95</v>
      </c>
      <c r="V33" s="305"/>
    </row>
    <row r="34" spans="1:22" ht="22" customHeight="1">
      <c r="A34" s="321" t="s">
        <v>96</v>
      </c>
      <c r="B34" s="96">
        <v>401723</v>
      </c>
      <c r="C34" s="41" t="s">
        <v>260</v>
      </c>
      <c r="D34" s="42">
        <v>45852</v>
      </c>
      <c r="E34" s="43" t="s">
        <v>2</v>
      </c>
      <c r="F34" s="44">
        <v>86.5</v>
      </c>
      <c r="G34" s="322">
        <f>IF(OR(E34="",F34=""),"",PID_KVLohnLookup($A$1,E34,F34,LOHNTABELLE!$H$4))</f>
        <v>1010.5</v>
      </c>
      <c r="H34" s="323">
        <f>IF(AND(ISNUMBER(D34),ISNUMBER(F34)),ROUNDDOWN(MIN(IF(OR(ISBLANK(I34),I34=""),EOMONTH(DATE(EINSTELLUNG!$C$35,$A$1,1),0),I34)-MAX(D34,DATE(EINSTELLUNG!$C$35,$A$1,1))+1)/DAY(EOMONTH(DATE(EINSTELLUNG!$C$35,$A$1,1),0))*F34,2),"")</f>
        <v>86.5</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0"/>
      <c r="P34" s="371"/>
      <c r="Q34" s="372"/>
      <c r="R34" s="372"/>
      <c r="S34" s="372"/>
      <c r="T34" s="372"/>
      <c r="U34" s="372"/>
      <c r="V34" s="373"/>
    </row>
    <row r="35" spans="1:22" ht="22" customHeight="1">
      <c r="A35" s="321" t="s">
        <v>97</v>
      </c>
      <c r="B35" s="97">
        <v>401726</v>
      </c>
      <c r="C35" s="49" t="s">
        <v>261</v>
      </c>
      <c r="D35" s="50">
        <v>45870</v>
      </c>
      <c r="E35" s="51" t="s">
        <v>2</v>
      </c>
      <c r="F35" s="52">
        <v>86.5</v>
      </c>
      <c r="G35" s="322">
        <f>IF(OR(E35="",F35=""),"",PID_KVLohnLookup($A$1,E35,F35,LOHNTABELLE!$H$4))</f>
        <v>1010.5</v>
      </c>
      <c r="H35" s="323">
        <f>IF(AND(ISNUMBER(D35),ISNUMBER(F35)),ROUNDDOWN(MIN(IF(OR(ISBLANK(I35),I35=""),EOMONTH(DATE(EINSTELLUNG!$C$35,$A$1,1),0),I35)-MAX(D35,DATE(EINSTELLUNG!$C$35,$A$1,1))+1)/DAY(EOMONTH(DATE(EINSTELLUNG!$C$35,$A$1,1),0))*F35,2),"")</f>
        <v>86.5</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4" t="s">
        <v>98</v>
      </c>
      <c r="P35" s="338"/>
      <c r="Q35" s="375">
        <f>EINSTELLUNG!C13</f>
        <v>400000</v>
      </c>
      <c r="R35" s="375"/>
      <c r="S35" s="375">
        <f>EINSTELLUNG!C29</f>
        <v>435000</v>
      </c>
      <c r="T35" s="375"/>
      <c r="U35" s="375">
        <f>S35-Q35</f>
        <v>35000</v>
      </c>
      <c r="V35" s="376"/>
    </row>
    <row r="36" spans="1:22" ht="22" customHeight="1">
      <c r="A36" s="321" t="s">
        <v>99</v>
      </c>
      <c r="B36" s="96">
        <v>401730</v>
      </c>
      <c r="C36" s="41" t="s">
        <v>263</v>
      </c>
      <c r="D36" s="42">
        <v>45895</v>
      </c>
      <c r="E36" s="43" t="s">
        <v>2</v>
      </c>
      <c r="F36" s="44">
        <v>86.5</v>
      </c>
      <c r="G36" s="322">
        <f>IF(OR(E36="",F36=""),"",PID_KVLohnLookup($A$1,E36,F36,LOHNTABELLE!$H$4))</f>
        <v>1010.5</v>
      </c>
      <c r="H36" s="323">
        <f>IF(AND(ISNUMBER(D36),ISNUMBER(F36)),ROUNDDOWN(MIN(IF(OR(ISBLANK(I36),I36=""),EOMONTH(DATE(EINSTELLUNG!$C$35,$A$1,1),0),I36)-MAX(D36,DATE(EINSTELLUNG!$C$35,$A$1,1))+1)/DAY(EOMONTH(DATE(EINSTELLUNG!$C$35,$A$1,1),0))*F36,2),"")</f>
        <v>86.5</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4" t="s">
        <v>100</v>
      </c>
      <c r="P36" s="338"/>
      <c r="Q36" s="375">
        <f>EINSTELLUNG!D13</f>
        <v>100000</v>
      </c>
      <c r="R36" s="375"/>
      <c r="S36" s="375">
        <f ca="1">SumMergedCells(Q17:R29)</f>
        <v>104235.64</v>
      </c>
      <c r="T36" s="375"/>
      <c r="U36" s="375">
        <f t="shared" ref="U36:U41" ca="1" si="2">S36-Q36</f>
        <v>4235.6399999999994</v>
      </c>
      <c r="V36" s="376"/>
    </row>
    <row r="37" spans="1:22" ht="22" customHeight="1">
      <c r="A37" s="321" t="s">
        <v>101</v>
      </c>
      <c r="B37" s="97">
        <v>401731</v>
      </c>
      <c r="C37" s="49" t="s">
        <v>262</v>
      </c>
      <c r="D37" s="50">
        <v>45899</v>
      </c>
      <c r="E37" s="51" t="s">
        <v>2</v>
      </c>
      <c r="F37" s="52">
        <v>86.5</v>
      </c>
      <c r="G37" s="322">
        <f>IF(OR(E37="",F37=""),"",PID_KVLohnLookup($A$1,E37,F37,LOHNTABELLE!$H$4))</f>
        <v>1010.5</v>
      </c>
      <c r="H37" s="323">
        <f>IF(AND(ISNUMBER(D37),ISNUMBER(F37)),ROUNDDOWN(MIN(IF(OR(ISBLANK(I37),I37=""),EOMONTH(DATE(EINSTELLUNG!$C$35,$A$1,1),0),I37)-MAX(D37,DATE(EINSTELLUNG!$C$35,$A$1,1))+1)/DAY(EOMONTH(DATE(EINSTELLUNG!$C$35,$A$1,1),0))*F37,2),"")</f>
        <v>86.5</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4" t="s">
        <v>102</v>
      </c>
      <c r="P37" s="338"/>
      <c r="Q37" s="377">
        <f>IF(ISERROR(Q36/Q35), 0, Q36/Q35)</f>
        <v>0.25</v>
      </c>
      <c r="R37" s="377"/>
      <c r="S37" s="377">
        <f ca="1">IF(ISERROR(S36/S35), 0, S36/S35)</f>
        <v>0.23962216091954022</v>
      </c>
      <c r="T37" s="377"/>
      <c r="U37" s="377">
        <f t="shared" ca="1" si="2"/>
        <v>-1.0377839080459778E-2</v>
      </c>
      <c r="V37" s="378"/>
    </row>
    <row r="38" spans="1:22" ht="22" customHeight="1">
      <c r="A38" s="321" t="s">
        <v>103</v>
      </c>
      <c r="B38" s="96">
        <v>401734</v>
      </c>
      <c r="C38" s="41" t="s">
        <v>264</v>
      </c>
      <c r="D38" s="42">
        <v>45904</v>
      </c>
      <c r="E38" s="43" t="s">
        <v>2</v>
      </c>
      <c r="F38" s="44">
        <v>86.5</v>
      </c>
      <c r="G38" s="322">
        <f>IF(OR(E38="",F38=""),"",PID_KVLohnLookup($A$1,E38,F38,LOHNTABELLE!$H$4))</f>
        <v>1010.5</v>
      </c>
      <c r="H38" s="323">
        <f>IF(AND(ISNUMBER(D38),ISNUMBER(F38)),ROUNDDOWN(MIN(IF(OR(ISBLANK(I38),I38=""),EOMONTH(DATE(EINSTELLUNG!$C$35,$A$1,1),0),I38)-MAX(D38,DATE(EINSTELLUNG!$C$35,$A$1,1))+1)/DAY(EOMONTH(DATE(EINSTELLUNG!$C$35,$A$1,1),0))*F38,2),"")</f>
        <v>86.5</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4" t="s">
        <v>104</v>
      </c>
      <c r="P38" s="338"/>
      <c r="Q38" s="339">
        <f>EINSTELLUNG!F13</f>
        <v>30000</v>
      </c>
      <c r="R38" s="339"/>
      <c r="S38" s="339">
        <f>EINSTELLUNG!F29</f>
        <v>31000</v>
      </c>
      <c r="T38" s="339"/>
      <c r="U38" s="339">
        <f t="shared" si="2"/>
        <v>1000</v>
      </c>
      <c r="V38" s="340"/>
    </row>
    <row r="39" spans="1:22" ht="22" customHeight="1">
      <c r="A39" s="321" t="s">
        <v>105</v>
      </c>
      <c r="B39" s="97">
        <v>401737</v>
      </c>
      <c r="C39" s="49" t="s">
        <v>266</v>
      </c>
      <c r="D39" s="53">
        <v>45906</v>
      </c>
      <c r="E39" s="51" t="s">
        <v>2</v>
      </c>
      <c r="F39" s="52">
        <v>86.5</v>
      </c>
      <c r="G39" s="322">
        <f>IF(OR(E39="",F39=""),"",PID_KVLohnLookup($A$1,E39,F39,LOHNTABELLE!$H$4))</f>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4" t="s">
        <v>106</v>
      </c>
      <c r="P39" s="338"/>
      <c r="Q39" s="375">
        <f>IF(Q38=0, 0, Q35/Q38)</f>
        <v>13.333333333333334</v>
      </c>
      <c r="R39" s="375"/>
      <c r="S39" s="375">
        <f>IF(S38=0, 0, S35/S38)</f>
        <v>14.03225806451613</v>
      </c>
      <c r="T39" s="375"/>
      <c r="U39" s="375">
        <f t="shared" si="2"/>
        <v>0.69892473118279597</v>
      </c>
      <c r="V39" s="376"/>
    </row>
    <row r="40" spans="1:22" ht="22" customHeight="1">
      <c r="A40" s="321" t="s">
        <v>107</v>
      </c>
      <c r="B40" s="96">
        <v>401738</v>
      </c>
      <c r="C40" s="41" t="s">
        <v>267</v>
      </c>
      <c r="D40" s="42">
        <v>45909</v>
      </c>
      <c r="E40" s="43" t="s">
        <v>2</v>
      </c>
      <c r="F40" s="44">
        <v>86.5</v>
      </c>
      <c r="G40" s="322">
        <f>IF(OR(E40="",F40=""),"",PID_KVLohnLookup($A$1,E40,F40,LOHNTABELLE!$H$4))</f>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4" t="s">
        <v>108</v>
      </c>
      <c r="P40" s="338"/>
      <c r="Q40" s="375">
        <f>IF(Q12=0, 0, Q35/Q12)</f>
        <v>54.002095281296924</v>
      </c>
      <c r="R40" s="375"/>
      <c r="S40" s="375">
        <f>IF(Q12=0, 0, S35/Q12)</f>
        <v>58.727278618410402</v>
      </c>
      <c r="T40" s="375"/>
      <c r="U40" s="375">
        <f t="shared" si="2"/>
        <v>4.7251833371134779</v>
      </c>
      <c r="V40" s="376"/>
    </row>
    <row r="41" spans="1:22" ht="22" customHeight="1">
      <c r="A41" s="321" t="s">
        <v>109</v>
      </c>
      <c r="B41" s="97">
        <v>401745</v>
      </c>
      <c r="C41" s="49" t="s">
        <v>271</v>
      </c>
      <c r="D41" s="50">
        <v>45934</v>
      </c>
      <c r="E41" s="51" t="s">
        <v>2</v>
      </c>
      <c r="F41" s="52">
        <v>86.5</v>
      </c>
      <c r="G41" s="322">
        <f>IF(OR(E41="",F41=""),"",PID_KVLohnLookup($A$1,E41,F41,LOHNTABELLE!$H$4))</f>
        <v>1010.5</v>
      </c>
      <c r="H41" s="323">
        <f>IF(AND(ISNUMBER(D41),ISNUMBER(F41)),ROUNDDOWN(MIN(IF(OR(ISBLANK(I41),I41=""),EOMONTH(DATE(EINSTELLUNG!$C$35,$A$1,1),0),I41)-MAX(D41,DATE(EINSTELLUNG!$C$35,$A$1,1))+1)/DAY(EOMONTH(DATE(EINSTELLUNG!$C$35,$A$1,1),0))*F41,2),"")</f>
        <v>86.5</v>
      </c>
      <c r="I41" s="53"/>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4" t="s">
        <v>110</v>
      </c>
      <c r="P41" s="338"/>
      <c r="Q41" s="339">
        <f>IF(Q12=0, 0, Q38/Q12)</f>
        <v>4.050157146097269</v>
      </c>
      <c r="R41" s="339"/>
      <c r="S41" s="339">
        <f>IF(Q12=0, 0, S38/Q12)</f>
        <v>4.1851623843005115</v>
      </c>
      <c r="T41" s="339"/>
      <c r="U41" s="339">
        <f t="shared" si="2"/>
        <v>0.13500523820324251</v>
      </c>
      <c r="V41" s="340"/>
    </row>
    <row r="42" spans="1:22" ht="22" customHeight="1">
      <c r="A42" s="321" t="s">
        <v>111</v>
      </c>
      <c r="B42" s="96">
        <v>401746</v>
      </c>
      <c r="C42" s="41" t="s">
        <v>270</v>
      </c>
      <c r="D42" s="42">
        <v>45941</v>
      </c>
      <c r="E42" s="43" t="s">
        <v>2</v>
      </c>
      <c r="F42" s="44">
        <v>86.5</v>
      </c>
      <c r="G42" s="322">
        <f>IF(OR(E42="",F42=""),"",PID_KVLohnLookup($A$1,E42,F42,LOHNTABELLE!$H$4))</f>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79" t="s">
        <v>112</v>
      </c>
      <c r="P42" s="380"/>
      <c r="Q42" s="381">
        <f>IFERROR(Q17/Q8, 0)</f>
        <v>11.911571241472334</v>
      </c>
      <c r="R42" s="381"/>
      <c r="S42" s="381"/>
      <c r="T42" s="381"/>
      <c r="U42" s="381"/>
      <c r="V42" s="382"/>
    </row>
    <row r="43" spans="1:22" ht="22" customHeight="1">
      <c r="A43" s="321" t="s">
        <v>113</v>
      </c>
      <c r="B43" s="97">
        <v>401747</v>
      </c>
      <c r="C43" s="49" t="s">
        <v>268</v>
      </c>
      <c r="D43" s="53">
        <v>45941</v>
      </c>
      <c r="E43" s="51" t="s">
        <v>2</v>
      </c>
      <c r="F43" s="52">
        <v>86.5</v>
      </c>
      <c r="G43" s="322">
        <f>IF(OR(E43="",F43=""),"",PID_KVLohnLookup($A$1,E43,F43,LOHNTABELLE!$H$4))</f>
        <v>1010.5</v>
      </c>
      <c r="H43" s="323">
        <f>IF(AND(ISNUMBER(D43),ISNUMBER(F43)),ROUNDDOWN(MIN(IF(OR(ISBLANK(I43),I43=""),EOMONTH(DATE(EINSTELLUNG!$C$35,$A$1,1),0),I43)-MAX(D43,DATE(EINSTELLUNG!$C$35,$A$1,1))+1)/DAY(EOMONTH(DATE(EINSTELLUNG!$C$35,$A$1,1),0))*F43,2),"")</f>
        <v>86.5</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3"/>
      <c r="P43" s="383"/>
      <c r="Q43" s="383"/>
      <c r="R43" s="319"/>
      <c r="S43" s="319"/>
      <c r="T43" s="319"/>
      <c r="U43" s="319"/>
      <c r="V43" s="319"/>
    </row>
    <row r="44" spans="1:22" ht="22" customHeight="1">
      <c r="A44" s="321" t="s">
        <v>114</v>
      </c>
      <c r="B44" s="96">
        <v>401748</v>
      </c>
      <c r="C44" s="41" t="s">
        <v>269</v>
      </c>
      <c r="D44" s="42">
        <v>45941</v>
      </c>
      <c r="E44" s="43" t="s">
        <v>2</v>
      </c>
      <c r="F44" s="44">
        <v>138.4</v>
      </c>
      <c r="G44" s="322">
        <f>IF(OR(E44="",F44=""),"",PID_KVLohnLookup($A$1,E44,F44,LOHNTABELLE!$H$4))</f>
        <v>1616.8</v>
      </c>
      <c r="H44" s="323">
        <f>IF(AND(ISNUMBER(D44),ISNUMBER(F44)),ROUNDDOWN(MIN(IF(OR(ISBLANK(I44),I44=""),EOMONTH(DATE(EINSTELLUNG!$C$35,$A$1,1),0),I44)-MAX(D44,DATE(EINSTELLUNG!$C$35,$A$1,1))+1)/DAY(EOMONTH(DATE(EINSTELLUNG!$C$35,$A$1,1),0))*F44,2),"")</f>
        <v>138.4</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7"/>
      <c r="N44" s="70"/>
      <c r="O44" s="384" t="s">
        <v>115</v>
      </c>
      <c r="P44" s="384"/>
      <c r="Q44" s="384"/>
      <c r="R44" s="384"/>
      <c r="S44" s="384"/>
      <c r="T44" s="384"/>
      <c r="U44" s="384"/>
      <c r="V44" s="384"/>
    </row>
    <row r="45" spans="1:22" ht="22" customHeight="1">
      <c r="A45" s="321" t="s">
        <v>116</v>
      </c>
      <c r="B45" s="97">
        <v>401751</v>
      </c>
      <c r="C45" s="49" t="s">
        <v>272</v>
      </c>
      <c r="D45" s="50">
        <v>45961</v>
      </c>
      <c r="E45" s="51" t="s">
        <v>2</v>
      </c>
      <c r="F45" s="52">
        <v>86.5</v>
      </c>
      <c r="G45" s="322">
        <f>IF(OR(E45="",F45=""),"",PID_KVLohnLookup($A$1,E45,F45,LOHNTABELLE!$H$4))</f>
        <v>1010.5</v>
      </c>
      <c r="H45" s="323">
        <f>IF(AND(ISNUMBER(D45),ISNUMBER(F45)),ROUNDDOWN(MIN(IF(OR(ISBLANK(I45),I45=""),EOMONTH(DATE(EINSTELLUNG!$C$35,$A$1,1),0),I45)-MAX(D45,DATE(EINSTELLUNG!$C$35,$A$1,1))+1)/DAY(EOMONTH(DATE(EINSTELLUNG!$C$35,$A$1,1),0))*F45,2),"")</f>
        <v>86.5</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5"/>
      <c r="P45" s="385"/>
      <c r="Q45" s="385"/>
      <c r="R45" s="386"/>
      <c r="S45" s="386"/>
      <c r="T45" s="386"/>
      <c r="U45" s="386"/>
      <c r="V45" s="319"/>
    </row>
    <row r="46" spans="1:22" ht="22" customHeight="1">
      <c r="A46" s="321" t="s">
        <v>117</v>
      </c>
      <c r="B46" s="96">
        <v>401752</v>
      </c>
      <c r="C46" s="41" t="s">
        <v>273</v>
      </c>
      <c r="D46" s="42">
        <v>45986</v>
      </c>
      <c r="E46" s="43" t="s">
        <v>2</v>
      </c>
      <c r="F46" s="44">
        <v>173</v>
      </c>
      <c r="G46" s="322">
        <f>IF(OR(E46="",F46=""),"",PID_KVLohnLookup($A$1,E46,F46,LOHNTABELLE!$H$4))</f>
        <v>2021</v>
      </c>
      <c r="H46" s="323">
        <f>IF(AND(ISNUMBER(D46),ISNUMBER(F46)),ROUNDDOWN(MIN(IF(OR(ISBLANK(I46),I46=""),EOMONTH(DATE(EINSTELLUNG!$C$35,$A$1,1),0),I46)-MAX(D46,DATE(EINSTELLUNG!$C$35,$A$1,1))+1)/DAY(EOMONTH(DATE(EINSTELLUNG!$C$35,$A$1,1),0))*F46,2),"")</f>
        <v>173</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7"/>
      <c r="N46" s="70"/>
      <c r="O46" s="319"/>
      <c r="P46" s="319"/>
      <c r="Q46" s="319"/>
      <c r="R46" s="319"/>
      <c r="S46" s="319"/>
      <c r="T46" s="319"/>
      <c r="U46" s="319"/>
      <c r="V46" s="319"/>
    </row>
    <row r="47" spans="1:22" ht="22" customHeight="1">
      <c r="A47" s="321" t="s">
        <v>118</v>
      </c>
      <c r="B47" s="97">
        <v>401999</v>
      </c>
      <c r="C47" s="49" t="s">
        <v>355</v>
      </c>
      <c r="D47" s="50">
        <v>46041</v>
      </c>
      <c r="E47" s="51" t="s">
        <v>2</v>
      </c>
      <c r="F47" s="52">
        <v>151.38</v>
      </c>
      <c r="G47" s="322">
        <f>IF(OR(E47="",F47=""),"",PID_KVLohnLookup($A$1,E47,F47,LOHNTABELLE!$H$4))</f>
        <v>1768.38</v>
      </c>
      <c r="H47" s="323">
        <f>IF(AND(ISNUMBER(D47),ISNUMBER(F47)),ROUNDDOWN(MIN(IF(OR(ISBLANK(I47),I47=""),EOMONTH(DATE(EINSTELLUNG!$C$35,$A$1,1),0),I47)-MAX(D47,DATE(EINSTELLUNG!$C$35,$A$1,1))+1)/DAY(EOMONTH(DATE(EINSTELLUNG!$C$35,$A$1,1),0))*F47,2),"")</f>
        <v>151.38</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55"/>
      <c r="N47" s="71"/>
      <c r="O47" s="319"/>
      <c r="P47" s="319"/>
      <c r="Q47" s="319"/>
      <c r="R47" s="319"/>
      <c r="S47" s="319"/>
      <c r="T47" s="319"/>
      <c r="U47" s="319"/>
      <c r="V47" s="319"/>
    </row>
    <row r="48" spans="1:22" ht="22" customHeight="1">
      <c r="A48" s="321" t="s">
        <v>119</v>
      </c>
      <c r="B48" s="96">
        <v>401999</v>
      </c>
      <c r="C48" s="41" t="s">
        <v>293</v>
      </c>
      <c r="D48" s="42">
        <v>46082</v>
      </c>
      <c r="E48" s="43" t="s">
        <v>2</v>
      </c>
      <c r="F48" s="44">
        <v>173</v>
      </c>
      <c r="G48" s="322">
        <f>IF(OR(E48="",F48=""),"",PID_KVLohnLookup($A$1,E48,F48,LOHNTABELLE!$H$4))</f>
        <v>2021</v>
      </c>
      <c r="H48" s="323">
        <f>IF(AND(ISNUMBER(D48),ISNUMBER(F48)),ROUNDDOWN(MIN(IF(OR(ISBLANK(I48),I48=""),EOMONTH(DATE(EINSTELLUNG!$C$35,$A$1,1),0),I48)-MAX(D48,DATE(EINSTELLUNG!$C$35,$A$1,1))+1)/DAY(EOMONTH(DATE(EINSTELLUNG!$C$35,$A$1,1),0))*F48,2),"")</f>
        <v>173</v>
      </c>
      <c r="I48" s="45"/>
      <c r="J48" s="46"/>
      <c r="K48" s="322">
        <f t="shared" si="1"/>
        <v>0</v>
      </c>
      <c r="L48" s="32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7"/>
      <c r="N48" s="70"/>
      <c r="O48" s="319"/>
      <c r="P48" s="319"/>
      <c r="Q48" s="319"/>
      <c r="R48" s="319"/>
      <c r="S48" s="319"/>
      <c r="T48" s="319"/>
      <c r="U48" s="319"/>
      <c r="V48" s="319"/>
    </row>
    <row r="49" spans="1:22" ht="22" customHeight="1">
      <c r="A49" s="321" t="s">
        <v>120</v>
      </c>
      <c r="B49" s="97">
        <v>402000</v>
      </c>
      <c r="C49" s="49" t="s">
        <v>295</v>
      </c>
      <c r="D49" s="53">
        <v>46143</v>
      </c>
      <c r="E49" s="51" t="s">
        <v>2</v>
      </c>
      <c r="F49" s="52">
        <v>173</v>
      </c>
      <c r="G49" s="322">
        <f>IF(OR(E49="",F49=""),"",PID_KVLohnLookup($A$1,E49,F49,LOHNTABELLE!$H$4))</f>
        <v>2021</v>
      </c>
      <c r="H49" s="323">
        <f>IF(AND(ISNUMBER(D49),ISNUMBER(F49)),ROUNDDOWN(MIN(IF(OR(ISBLANK(I49),I49=""),EOMONTH(DATE(EINSTELLUNG!$C$35,$A$1,1),0),I49)-MAX(D49,DATE(EINSTELLUNG!$C$35,$A$1,1))+1)/DAY(EOMONTH(DATE(EINSTELLUNG!$C$35,$A$1,1),0))*F49,2),"")</f>
        <v>173</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19"/>
      <c r="P49" s="319"/>
      <c r="Q49" s="319"/>
      <c r="R49" s="319"/>
      <c r="S49" s="319"/>
      <c r="T49" s="319"/>
      <c r="U49" s="319"/>
      <c r="V49" s="319"/>
    </row>
    <row r="50" spans="1:22" ht="22" customHeight="1">
      <c r="A50" s="321" t="s">
        <v>121</v>
      </c>
      <c r="B50" s="96">
        <v>402004</v>
      </c>
      <c r="C50" s="41" t="s">
        <v>296</v>
      </c>
      <c r="D50" s="45">
        <v>46122</v>
      </c>
      <c r="E50" s="43" t="s">
        <v>2</v>
      </c>
      <c r="F50" s="44">
        <v>173</v>
      </c>
      <c r="G50" s="322">
        <f>IF(OR(E50="",F50=""),"",PID_KVLohnLookup($A$1,E50,F50,LOHNTABELLE!$H$4))</f>
        <v>2021</v>
      </c>
      <c r="H50" s="323">
        <f>IF(AND(ISNUMBER(D50),ISNUMBER(F50)),ROUNDDOWN(MIN(IF(OR(ISBLANK(I50),I50=""),EOMONTH(DATE(EINSTELLUNG!$C$35,$A$1,1),0),I50)-MAX(D50,DATE(EINSTELLUNG!$C$35,$A$1,1))+1)/DAY(EOMONTH(DATE(EINSTELLUNG!$C$35,$A$1,1),0))*F50,2),"")</f>
        <v>173</v>
      </c>
      <c r="I50" s="45"/>
      <c r="J50" s="46"/>
      <c r="K50" s="322">
        <f t="shared" si="1"/>
        <v>0</v>
      </c>
      <c r="L50" s="32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319"/>
      <c r="P50" s="319"/>
      <c r="Q50" s="319"/>
      <c r="R50" s="319"/>
      <c r="S50" s="319"/>
      <c r="T50" s="319"/>
      <c r="U50" s="319"/>
      <c r="V50" s="319"/>
    </row>
    <row r="51" spans="1:22" ht="22" customHeight="1">
      <c r="A51" s="321" t="s">
        <v>122</v>
      </c>
      <c r="B51" s="97">
        <v>402405</v>
      </c>
      <c r="C51" s="49" t="s">
        <v>298</v>
      </c>
      <c r="D51" s="53">
        <v>46054</v>
      </c>
      <c r="E51" s="51" t="s">
        <v>2</v>
      </c>
      <c r="F51" s="52">
        <v>173</v>
      </c>
      <c r="G51" s="322">
        <f>IF(OR(E51="",F51=""),"",PID_KVLohnLookup($A$1,E51,F51,LOHNTABELLE!$H$4))</f>
        <v>2021</v>
      </c>
      <c r="H51" s="323">
        <f>IF(AND(ISNUMBER(D51),ISNUMBER(F51)),ROUNDDOWN(MIN(IF(OR(ISBLANK(I51),I51=""),EOMONTH(DATE(EINSTELLUNG!$C$35,$A$1,1),0),I51)-MAX(D51,DATE(EINSTELLUNG!$C$35,$A$1,1))+1)/DAY(EOMONTH(DATE(EINSTELLUNG!$C$35,$A$1,1),0))*F51,2),"")</f>
        <v>173</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1" t="s">
        <v>123</v>
      </c>
      <c r="B52" s="96">
        <v>500600</v>
      </c>
      <c r="C52" s="41" t="s">
        <v>302</v>
      </c>
      <c r="D52" s="42">
        <v>46054</v>
      </c>
      <c r="E52" s="43" t="s">
        <v>2</v>
      </c>
      <c r="F52" s="44">
        <v>173</v>
      </c>
      <c r="G52" s="322">
        <f>IF(OR(E52="",F52=""),"",PID_KVLohnLookup($A$1,E52,F52,LOHNTABELLE!$H$4))</f>
        <v>2021</v>
      </c>
      <c r="H52" s="323">
        <f>IF(AND(ISNUMBER(D52),ISNUMBER(F52)),ROUNDDOWN(MIN(IF(OR(ISBLANK(I52),I52=""),EOMONTH(DATE(EINSTELLUNG!$C$35,$A$1,1),0),I52)-MAX(D52,DATE(EINSTELLUNG!$C$35,$A$1,1))+1)/DAY(EOMONTH(DATE(EINSTELLUNG!$C$35,$A$1,1),0))*F52,2),"")</f>
        <v>173</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1" t="s">
        <v>124</v>
      </c>
      <c r="B53" s="97">
        <v>502000</v>
      </c>
      <c r="C53" s="49" t="s">
        <v>297</v>
      </c>
      <c r="D53" s="53">
        <v>46147</v>
      </c>
      <c r="E53" s="51" t="s">
        <v>2</v>
      </c>
      <c r="F53" s="52">
        <v>173</v>
      </c>
      <c r="G53" s="322">
        <f>IF(OR(E53="",F53=""),"",PID_KVLohnLookup($A$1,E53,F53,LOHNTABELLE!$H$4))</f>
        <v>2021</v>
      </c>
      <c r="H53" s="323">
        <f>IF(AND(ISNUMBER(D53),ISNUMBER(F53)),ROUNDDOWN(MIN(IF(OR(ISBLANK(I53),I53=""),EOMONTH(DATE(EINSTELLUNG!$C$35,$A$1,1),0),I53)-MAX(D53,DATE(EINSTELLUNG!$C$35,$A$1,1))+1)/DAY(EOMONTH(DATE(EINSTELLUNG!$C$35,$A$1,1),0))*F53,2),"")</f>
        <v>173</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1" t="s">
        <v>125</v>
      </c>
      <c r="B54" s="96">
        <v>503000</v>
      </c>
      <c r="C54" s="41" t="s">
        <v>299</v>
      </c>
      <c r="D54" s="45">
        <v>42401</v>
      </c>
      <c r="E54" s="43" t="s">
        <v>2</v>
      </c>
      <c r="F54" s="44">
        <v>173</v>
      </c>
      <c r="G54" s="322">
        <f>IF(OR(E54="",F54=""),"",PID_KVLohnLookup($A$1,E54,F54,LOHNTABELLE!$H$4))</f>
        <v>2021</v>
      </c>
      <c r="H54" s="323">
        <f>IF(AND(ISNUMBER(D54),ISNUMBER(F54)),ROUNDDOWN(MIN(IF(OR(ISBLANK(I54),I54=""),EOMONTH(DATE(EINSTELLUNG!$C$35,$A$1,1),0),I54)-MAX(D54,DATE(EINSTELLUNG!$C$35,$A$1,1))+1)/DAY(EOMONTH(DATE(EINSTELLUNG!$C$35,$A$1,1),0))*F54,2),"")</f>
        <v>173</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1" t="s">
        <v>126</v>
      </c>
      <c r="B55" s="97">
        <v>504000</v>
      </c>
      <c r="C55" s="49" t="s">
        <v>300</v>
      </c>
      <c r="D55" s="53">
        <v>46054</v>
      </c>
      <c r="E55" s="51" t="s">
        <v>3</v>
      </c>
      <c r="F55" s="52">
        <v>138.4</v>
      </c>
      <c r="G55" s="322">
        <f>IF(OR(E55="",F55=""),"",PID_KVLohnLookup($A$1,E55,F55,LOHNTABELLE!$H$4))</f>
        <v>1665.6</v>
      </c>
      <c r="H55" s="323">
        <f>IF(AND(ISNUMBER(D55),ISNUMBER(F55)),ROUNDDOWN(MIN(IF(OR(ISBLANK(I55),I55=""),EOMONTH(DATE(EINSTELLUNG!$C$35,$A$1,1),0),I55)-MAX(D55,DATE(EINSTELLUNG!$C$35,$A$1,1))+1)/DAY(EOMONTH(DATE(EINSTELLUNG!$C$35,$A$1,1),0))*F55,2),"")</f>
        <v>138.4</v>
      </c>
      <c r="I55" s="53"/>
      <c r="J55" s="54"/>
      <c r="K55" s="322">
        <f t="shared" si="1"/>
        <v>0</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5"/>
      <c r="N55" s="71"/>
    </row>
    <row r="56" spans="1:22" ht="22" customHeight="1">
      <c r="A56" s="321" t="s">
        <v>127</v>
      </c>
      <c r="B56" s="96">
        <v>505000</v>
      </c>
      <c r="C56" s="41" t="s">
        <v>301</v>
      </c>
      <c r="D56" s="45">
        <v>46054</v>
      </c>
      <c r="E56" s="43" t="s">
        <v>2</v>
      </c>
      <c r="F56" s="44">
        <v>138.4</v>
      </c>
      <c r="G56" s="322">
        <f>IF(OR(E56="",F56=""),"",PID_KVLohnLookup($A$1,E56,F56,LOHNTABELLE!$H$4))</f>
        <v>1616.8</v>
      </c>
      <c r="H56" s="323">
        <f>IF(AND(ISNUMBER(D56),ISNUMBER(F56)),ROUNDDOWN(MIN(IF(OR(ISBLANK(I56),I56=""),EOMONTH(DATE(EINSTELLUNG!$C$35,$A$1,1),0),I56)-MAX(D56,DATE(EINSTELLUNG!$C$35,$A$1,1))+1)/DAY(EOMONTH(DATE(EINSTELLUNG!$C$35,$A$1,1),0))*F56,2),"")</f>
        <v>138.4</v>
      </c>
      <c r="I56" s="45"/>
      <c r="J56" s="46"/>
      <c r="K56" s="322">
        <f t="shared" si="1"/>
        <v>0</v>
      </c>
      <c r="L56" s="32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7"/>
      <c r="N56" s="70"/>
    </row>
    <row r="57" spans="1:22" ht="22" customHeight="1">
      <c r="A57" s="321" t="s">
        <v>128</v>
      </c>
      <c r="B57" s="97">
        <v>525025</v>
      </c>
      <c r="C57" s="49" t="s">
        <v>356</v>
      </c>
      <c r="D57" s="53">
        <v>46040</v>
      </c>
      <c r="E57" s="51" t="s">
        <v>2</v>
      </c>
      <c r="F57" s="52">
        <v>129.75</v>
      </c>
      <c r="G57" s="322">
        <f>IF(OR(E57="",F57=""),"",PID_KVLohnLookup($A$1,E57,F57,LOHNTABELLE!$H$4))</f>
        <v>1515.75</v>
      </c>
      <c r="H57" s="323">
        <f>IF(AND(ISNUMBER(D57),ISNUMBER(F57)),ROUNDDOWN(MIN(IF(OR(ISBLANK(I57),I57=""),EOMONTH(DATE(EINSTELLUNG!$C$35,$A$1,1),0),I57)-MAX(D57,DATE(EINSTELLUNG!$C$35,$A$1,1))+1)/DAY(EOMONTH(DATE(EINSTELLUNG!$C$35,$A$1,1),0))*F57,2),"")</f>
        <v>129.75</v>
      </c>
      <c r="I57" s="53"/>
      <c r="J57" s="54"/>
      <c r="K57" s="322">
        <f t="shared" si="1"/>
        <v>0</v>
      </c>
      <c r="L57" s="32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5"/>
      <c r="N57" s="71"/>
    </row>
    <row r="58" spans="1:22" ht="22" customHeight="1">
      <c r="A58" s="321" t="s">
        <v>129</v>
      </c>
      <c r="B58" s="96">
        <v>700000</v>
      </c>
      <c r="C58" s="56" t="s">
        <v>309</v>
      </c>
      <c r="D58" s="45">
        <v>46054</v>
      </c>
      <c r="E58" s="43" t="s">
        <v>2</v>
      </c>
      <c r="F58" s="44">
        <v>173</v>
      </c>
      <c r="G58" s="322">
        <f>IF(OR(E58="",F58=""),"",PID_KVLohnLookup($A$1,E58,F58,LOHNTABELLE!$H$4))</f>
        <v>2021</v>
      </c>
      <c r="H58" s="323">
        <f>IF(AND(ISNUMBER(D58),ISNUMBER(F58)),ROUNDDOWN(MIN(IF(OR(ISBLANK(I58),I58=""),EOMONTH(DATE(EINSTELLUNG!$C$35,$A$1,1),0),I58)-MAX(D58,DATE(EINSTELLUNG!$C$35,$A$1,1))+1)/DAY(EOMONTH(DATE(EINSTELLUNG!$C$35,$A$1,1),0))*F58,2),"")</f>
        <v>173</v>
      </c>
      <c r="I58" s="45"/>
      <c r="J58" s="46"/>
      <c r="K58" s="322">
        <f t="shared" si="1"/>
        <v>0</v>
      </c>
      <c r="L58" s="32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1" t="s">
        <v>130</v>
      </c>
      <c r="B59" s="97">
        <v>800000</v>
      </c>
      <c r="C59" s="49" t="s">
        <v>310</v>
      </c>
      <c r="D59" s="50">
        <v>46096</v>
      </c>
      <c r="E59" s="51" t="s">
        <v>2</v>
      </c>
      <c r="F59" s="52">
        <v>129.75</v>
      </c>
      <c r="G59" s="322">
        <f>IF(OR(E59="",F59=""),"",PID_KVLohnLookup($A$1,E59,F59,LOHNTABELLE!$H$4))</f>
        <v>1515.75</v>
      </c>
      <c r="H59" s="323">
        <f>IF(AND(ISNUMBER(D59),ISNUMBER(F59)),ROUNDDOWN(MIN(IF(OR(ISBLANK(I59),I59=""),EOMONTH(DATE(EINSTELLUNG!$C$35,$A$1,1),0),I59)-MAX(D59,DATE(EINSTELLUNG!$C$35,$A$1,1))+1)/DAY(EOMONTH(DATE(EINSTELLUNG!$C$35,$A$1,1),0))*F59,2),"")</f>
        <v>129.75</v>
      </c>
      <c r="I59" s="53"/>
      <c r="J59" s="54"/>
      <c r="K59" s="322">
        <f t="shared" si="1"/>
        <v>0</v>
      </c>
      <c r="L59" s="32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5"/>
      <c r="N59" s="71"/>
    </row>
    <row r="60" spans="1:22" ht="22" customHeight="1">
      <c r="A60" s="321" t="s">
        <v>131</v>
      </c>
      <c r="B60" s="96"/>
      <c r="C60" s="41"/>
      <c r="D60" s="45"/>
      <c r="E60" s="43"/>
      <c r="F60" s="44"/>
      <c r="G60" s="322" t="str">
        <f>IF(OR(E60="",F60=""),"",PID_KVLohnLookup($A$1,E60,F60,LOHNTABELLE!$H$4))</f>
        <v/>
      </c>
      <c r="H60" s="323" t="str">
        <f>IF(AND(ISNUMBER(D60),ISNUMBER(F60)),ROUNDDOWN(MIN(IF(OR(ISBLANK(I60),I60=""),EOMONTH(DATE(EINSTELLUNG!$C$35,$A$1,1),0),I60)-MAX(D60,DATE(EINSTELLUNG!$C$35,$A$1,1))+1)/DAY(EOMONTH(DATE(EINSTELLUNG!$C$35,$A$1,1),0))*F60,2),"")</f>
        <v/>
      </c>
      <c r="I60" s="45"/>
      <c r="J60" s="46"/>
      <c r="K60" s="322" t="str">
        <f t="shared" si="1"/>
        <v/>
      </c>
      <c r="L60" s="324"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1" t="s">
        <v>132</v>
      </c>
      <c r="B61" s="97"/>
      <c r="C61" s="49"/>
      <c r="D61" s="53"/>
      <c r="E61" s="51"/>
      <c r="F61" s="52"/>
      <c r="G61" s="322" t="str">
        <f>IF(OR(E61="",F61=""),"",PID_KVLohnLookup($A$1,E61,F61,LOHNTABELLE!$H$4))</f>
        <v/>
      </c>
      <c r="H61" s="323" t="str">
        <f>IF(AND(ISNUMBER(D61),ISNUMBER(F61)),ROUNDDOWN(MIN(IF(OR(ISBLANK(I61),I61=""),EOMONTH(DATE(EINSTELLUNG!$C$35,$A$1,1),0),I61)-MAX(D61,DATE(EINSTELLUNG!$C$35,$A$1,1))+1)/DAY(EOMONTH(DATE(EINSTELLUNG!$C$35,$A$1,1),0))*F61,2),"")</f>
        <v/>
      </c>
      <c r="I61" s="53"/>
      <c r="J61" s="54"/>
      <c r="K61" s="322" t="str">
        <f t="shared" si="1"/>
        <v/>
      </c>
      <c r="L61" s="32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1" t="s">
        <v>133</v>
      </c>
      <c r="B62" s="96"/>
      <c r="C62" s="41"/>
      <c r="D62" s="45"/>
      <c r="E62" s="43"/>
      <c r="F62" s="44"/>
      <c r="G62" s="322" t="str">
        <f>IF(OR(E62="",F62=""),"",PID_KVLohnLookup($A$1,E62,F62,LOHNTABELLE!$H$4))</f>
        <v/>
      </c>
      <c r="H62" s="323" t="str">
        <f>IF(AND(ISNUMBER(D62),ISNUMBER(F62)),ROUNDDOWN(MIN(IF(OR(ISBLANK(I62),I62=""),EOMONTH(DATE(EINSTELLUNG!$C$35,$A$1,1),0),I62)-MAX(D62,DATE(EINSTELLUNG!$C$35,$A$1,1))+1)/DAY(EOMONTH(DATE(EINSTELLUNG!$C$35,$A$1,1),0))*F62,2),"")</f>
        <v/>
      </c>
      <c r="I62" s="45"/>
      <c r="J62" s="46"/>
      <c r="K62" s="322" t="str">
        <f t="shared" si="1"/>
        <v/>
      </c>
      <c r="L62" s="32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1" t="s">
        <v>134</v>
      </c>
      <c r="B63" s="97"/>
      <c r="C63" s="49"/>
      <c r="D63" s="53"/>
      <c r="E63" s="51"/>
      <c r="F63" s="52"/>
      <c r="G63" s="322" t="str">
        <f>IF(OR(E63="",F63=""),"",PID_KVLohnLookup($A$1,E63,F63,LOHNTABELLE!$H$4))</f>
        <v/>
      </c>
      <c r="H63" s="323" t="str">
        <f>IF(AND(ISNUMBER(D63),ISNUMBER(F63)),ROUNDDOWN(MIN(IF(OR(ISBLANK(I63),I63=""),EOMONTH(DATE(EINSTELLUNG!$C$35,$A$1,1),0),I63)-MAX(D63,DATE(EINSTELLUNG!$C$35,$A$1,1))+1)/DAY(EOMONTH(DATE(EINSTELLUNG!$C$35,$A$1,1),0))*F63,2),"")</f>
        <v/>
      </c>
      <c r="I63" s="53"/>
      <c r="J63" s="54"/>
      <c r="K63" s="322" t="str">
        <f t="shared" si="1"/>
        <v/>
      </c>
      <c r="L63" s="32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1" t="s">
        <v>135</v>
      </c>
      <c r="B64" s="96"/>
      <c r="C64" s="41"/>
      <c r="D64" s="45"/>
      <c r="E64" s="43"/>
      <c r="F64" s="44"/>
      <c r="G64" s="322" t="str">
        <f>IF(OR(E64="",F64=""),"",PID_KVLohnLookup($A$1,E64,F64,LOHNTABELLE!$H$4))</f>
        <v/>
      </c>
      <c r="H64" s="323" t="str">
        <f>IF(AND(ISNUMBER(D64),ISNUMBER(F64)),ROUNDDOWN(MIN(IF(OR(ISBLANK(I64),I64=""),EOMONTH(DATE(EINSTELLUNG!$C$35,$A$1,1),0),I64)-MAX(D64,DATE(EINSTELLUNG!$C$35,$A$1,1))+1)/DAY(EOMONTH(DATE(EINSTELLUNG!$C$35,$A$1,1),0))*F64,2),"")</f>
        <v/>
      </c>
      <c r="I64" s="45"/>
      <c r="J64" s="46"/>
      <c r="K64" s="322" t="str">
        <f t="shared" si="1"/>
        <v/>
      </c>
      <c r="L64" s="32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1" t="s">
        <v>136</v>
      </c>
      <c r="B65" s="97"/>
      <c r="C65" s="49"/>
      <c r="D65" s="53"/>
      <c r="E65" s="51"/>
      <c r="F65" s="52"/>
      <c r="G65" s="322" t="str">
        <f>IF(OR(E65="",F65=""),"",PID_KVLohnLookup($A$1,E65,F65,LOHNTABELLE!$H$4))</f>
        <v/>
      </c>
      <c r="H65" s="323" t="str">
        <f>IF(AND(ISNUMBER(D65),ISNUMBER(F65)),ROUNDDOWN(MIN(IF(OR(ISBLANK(I65),I65=""),EOMONTH(DATE(EINSTELLUNG!$C$35,$A$1,1),0),I65)-MAX(D65,DATE(EINSTELLUNG!$C$35,$A$1,1))+1)/DAY(EOMONTH(DATE(EINSTELLUNG!$C$35,$A$1,1),0))*F65,2),"")</f>
        <v/>
      </c>
      <c r="I65" s="53"/>
      <c r="J65" s="54"/>
      <c r="K65" s="322" t="str">
        <f t="shared" si="1"/>
        <v/>
      </c>
      <c r="L65" s="32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1" t="s">
        <v>137</v>
      </c>
      <c r="B66" s="96"/>
      <c r="C66" s="41"/>
      <c r="D66" s="45"/>
      <c r="E66" s="43"/>
      <c r="F66" s="44"/>
      <c r="G66" s="322" t="str">
        <f>IF(OR(E66="",F66=""),"",PID_KVLohnLookup($A$1,E66,F66,LOHNTABELLE!$H$4))</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1" t="s">
        <v>138</v>
      </c>
      <c r="B67" s="97"/>
      <c r="C67" s="49"/>
      <c r="D67" s="53"/>
      <c r="E67" s="51"/>
      <c r="F67" s="52"/>
      <c r="G67" s="322" t="str">
        <f>IF(OR(E67="",F67=""),"",PID_KVLohnLookup($A$1,E67,F67,LOHNTABELLE!$H$4))</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1" t="s">
        <v>139</v>
      </c>
      <c r="B68" s="96"/>
      <c r="C68" s="41"/>
      <c r="D68" s="45"/>
      <c r="E68" s="43"/>
      <c r="F68" s="44"/>
      <c r="G68" s="322" t="str">
        <f>IF(OR(E68="",F68=""),"",PID_KVLohnLookup($A$1,E68,F68,LOHNTABELLE!$H$4))</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1" t="s">
        <v>140</v>
      </c>
      <c r="B69" s="97"/>
      <c r="C69" s="49"/>
      <c r="D69" s="53"/>
      <c r="E69" s="51"/>
      <c r="F69" s="52"/>
      <c r="G69" s="322" t="str">
        <f>IF(OR(E69="",F69=""),"",PID_KVLohnLookup($A$1,E69,F69,LOHNTABELLE!$H$4))</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1" t="s">
        <v>141</v>
      </c>
      <c r="B70" s="96"/>
      <c r="C70" s="41"/>
      <c r="D70" s="45"/>
      <c r="E70" s="43"/>
      <c r="F70" s="44"/>
      <c r="G70" s="322" t="str">
        <f>IF(OR(E70="",F70=""),"",PID_KVLohnLookup($A$1,E70,F70,LOHNTABELLE!$H$4))</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1" t="s">
        <v>142</v>
      </c>
      <c r="B71" s="97"/>
      <c r="C71" s="49"/>
      <c r="D71" s="53"/>
      <c r="E71" s="51"/>
      <c r="F71" s="52"/>
      <c r="G71" s="322" t="str">
        <f>IF(OR(E71="",F71=""),"",PID_KVLohnLookup($A$1,E71,F71,LOHNTABELLE!$H$4))</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1" t="s">
        <v>143</v>
      </c>
      <c r="B72" s="96"/>
      <c r="C72" s="41"/>
      <c r="D72" s="45"/>
      <c r="E72" s="43"/>
      <c r="F72" s="44"/>
      <c r="G72" s="322" t="str">
        <f>IF(OR(E72="",F72=""),"",PID_KVLohnLookup($A$1,E72,F72,LOHNTABELLE!$H$4))</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1" t="s">
        <v>144</v>
      </c>
      <c r="B73" s="97"/>
      <c r="C73" s="49"/>
      <c r="D73" s="53"/>
      <c r="E73" s="51"/>
      <c r="F73" s="52"/>
      <c r="G73" s="322" t="str">
        <f>IF(OR(E73="",F73=""),"",PID_KVLohnLookup($A$1,E73,F73,LOHNTABELLE!$H$4))</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1" t="s">
        <v>145</v>
      </c>
      <c r="B74" s="96"/>
      <c r="C74" s="41"/>
      <c r="D74" s="45"/>
      <c r="E74" s="43"/>
      <c r="F74" s="44"/>
      <c r="G74" s="322" t="str">
        <f>IF(OR(E74="",F74=""),"",PID_KVLohnLookup($A$1,E74,F74,LOHNTABELLE!$H$4))</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1" t="s">
        <v>146</v>
      </c>
      <c r="B75" s="97"/>
      <c r="C75" s="49"/>
      <c r="D75" s="53"/>
      <c r="E75" s="51"/>
      <c r="F75" s="52"/>
      <c r="G75" s="322" t="str">
        <f>IF(OR(E75="",F75=""),"",PID_KVLohnLookup($A$1,E75,F75,LOHNTABELLE!$H$4))</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1" t="s">
        <v>147</v>
      </c>
      <c r="B76" s="96"/>
      <c r="C76" s="41"/>
      <c r="D76" s="45"/>
      <c r="E76" s="43"/>
      <c r="F76" s="44"/>
      <c r="G76" s="322" t="str">
        <f>IF(OR(E76="",F76=""),"",PID_KVLohnLookup($A$1,E76,F76,LOHNTABELLE!$H$4))</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1" t="s">
        <v>148</v>
      </c>
      <c r="B77" s="97"/>
      <c r="C77" s="49"/>
      <c r="D77" s="53"/>
      <c r="E77" s="51"/>
      <c r="F77" s="52"/>
      <c r="G77" s="322" t="str">
        <f>IF(OR(E77="",F77=""),"",PID_KVLohnLookup($A$1,E77,F77,LOHNTABELLE!$H$4))</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1" t="s">
        <v>149</v>
      </c>
      <c r="B78" s="96"/>
      <c r="C78" s="41"/>
      <c r="D78" s="45"/>
      <c r="E78" s="43"/>
      <c r="F78" s="44"/>
      <c r="G78" s="322" t="str">
        <f>IF(OR(E78="",F78=""),"",PID_KVLohnLookup($A$1,E78,F78,LOHNTABELLE!$H$4))</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1" t="s">
        <v>150</v>
      </c>
      <c r="B79" s="97"/>
      <c r="C79" s="49"/>
      <c r="D79" s="53"/>
      <c r="E79" s="51"/>
      <c r="F79" s="52"/>
      <c r="G79" s="322" t="str">
        <f>IF(OR(E79="",F79=""),"",PID_KVLohnLookup($A$1,E79,F79,LOHNTABELLE!$H$4))</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1" t="s">
        <v>151</v>
      </c>
      <c r="B80" s="96"/>
      <c r="C80" s="41"/>
      <c r="D80" s="45"/>
      <c r="E80" s="43"/>
      <c r="F80" s="44"/>
      <c r="G80" s="322" t="str">
        <f>IF(OR(E80="",F80=""),"",PID_KVLohnLookup($A$1,E80,F80,LOHNTABELLE!$H$4))</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1" t="s">
        <v>152</v>
      </c>
      <c r="B81" s="97"/>
      <c r="C81" s="49"/>
      <c r="D81" s="53"/>
      <c r="E81" s="51"/>
      <c r="F81" s="52"/>
      <c r="G81" s="322" t="str">
        <f>IF(OR(E81="",F81=""),"",PID_KVLohnLookup($A$1,E81,F81,LOHNTABELLE!$H$4))</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87" t="s">
        <v>153</v>
      </c>
      <c r="B82" s="98"/>
      <c r="C82" s="58"/>
      <c r="D82" s="59"/>
      <c r="E82" s="60"/>
      <c r="F82" s="61"/>
      <c r="G82" s="388" t="str">
        <f>IF(OR(E82="",F82=""),"",PID_KVLohnLookup($A$1,E82,F82,LOHNTABELLE!$H$4))</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91"/>
      <c r="B83" s="391"/>
    </row>
    <row r="100" spans="26:26" ht="16" customHeight="1">
      <c r="Z100" s="301"/>
    </row>
  </sheetData>
  <sheetProtection algorithmName="SHA-512" hashValue="0bHGZ2O/ZlYQv9M7amUoWISVlvNJFGdzUKkxbqG4+dK4BpduHvSrolCXV1RTJccTjb+kIN3/WKYylJe5PfYv6A==" saltValue="soLDKaCVBT7vuG4B6nhEj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F55</xm:sqref>
        </x14:dataValidation>
        <x14:dataValidation type="list" allowBlank="1" showInputMessage="1" showErrorMessage="1" xr:uid="{BDB044CB-8A06-AC4A-B816-8E156E0CB47C}">
          <x14:formula1>
            <xm:f>KV_DROPDOWN_HELPER!$UR$1:$UR$13</xm:f>
          </x14:formula1>
          <xm:sqref>F15</xm:sqref>
        </x14:dataValidation>
        <x14:dataValidation type="list" allowBlank="1" showInputMessage="1" showErrorMessage="1" xr:uid="{D40A1B68-1553-114A-98F1-176F6BE8BC14}">
          <x14:formula1>
            <xm:f>KV_DROPDOWN_HELPER!$UT$1:$UT$13</xm:f>
          </x14:formula1>
          <xm:sqref>F19 F22 F24</xm:sqref>
        </x14:dataValidation>
        <x14:dataValidation type="list" allowBlank="1" showInputMessage="1" showErrorMessage="1" xr:uid="{54453507-4C72-AE40-809E-BAB1DE4526AC}">
          <x14:formula1>
            <xm:f>KV_DROPDOWN_HELPER!$UU$1:$UU$13</xm:f>
          </x14:formula1>
          <xm:sqref>F60 F61 F62 F63 F64 F65 F66 F67 F68 F69 F70 F71 F72 F73 F74 F75 F76 F77 F78 F79 F80 F81 F82</xm:sqref>
        </x14:dataValidation>
        <x14:dataValidation type="list" allowBlank="1" showInputMessage="1" showErrorMessage="1" xr:uid="{737416DE-2E39-4096-A760-1E07B7EF4BBA}">
          <x14:formula1>
            <xm:f>KV_DROPDOWN_HELPER!$US$1:$US$13</xm:f>
          </x14:formula1>
          <xm:sqref>F18</xm:sqref>
        </x14:dataValidation>
        <x14:dataValidation type="list" allowBlank="1" showInputMessage="1" showErrorMessage="1" xr:uid="{AFE327D3-1DC3-4636-8468-072246B72F67}">
          <x14:formula1>
            <xm:f>KV_DROPDOWN_HELPER!$UO$1:$UO$15</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6328125" style="221" bestFit="1" customWidth="1"/>
    <col min="29" max="16384" width="9.1796875" style="221"/>
  </cols>
  <sheetData>
    <row r="1" spans="1:28" ht="18" customHeight="1">
      <c r="A1" s="302">
        <v>9</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46266</v>
      </c>
    </row>
    <row r="2" spans="1:28" ht="18" customHeight="1" thickBot="1">
      <c r="A2" s="307"/>
      <c r="B2" s="308"/>
      <c r="C2" s="309"/>
      <c r="D2" s="309"/>
      <c r="E2" s="309"/>
      <c r="F2" s="309"/>
      <c r="G2" s="309"/>
      <c r="H2" s="309"/>
      <c r="I2" s="309"/>
      <c r="J2" s="309"/>
      <c r="K2" s="309"/>
      <c r="L2" s="309"/>
      <c r="M2" s="309"/>
      <c r="N2" s="310"/>
      <c r="O2" s="311"/>
      <c r="P2" s="311"/>
      <c r="Q2" s="311"/>
      <c r="S2" s="312" t="s">
        <v>384</v>
      </c>
      <c r="T2" s="312"/>
      <c r="U2" s="312"/>
      <c r="V2" s="312"/>
      <c r="AB2" s="306">
        <f>EOMONTH(DATE(EINSTELLUNG!$C$35,$A$1,1),0)</f>
        <v>46295</v>
      </c>
    </row>
    <row r="3" spans="1:28" ht="22" customHeight="1">
      <c r="A3" s="313" t="s">
        <v>389</v>
      </c>
      <c r="B3" s="95">
        <v>401010</v>
      </c>
      <c r="C3" s="33" t="s">
        <v>224</v>
      </c>
      <c r="D3" s="34">
        <v>39388</v>
      </c>
      <c r="E3" s="35" t="s">
        <v>2</v>
      </c>
      <c r="F3" s="64">
        <v>138.4</v>
      </c>
      <c r="G3" s="314">
        <f>IF(OR(E3="",F3=""),"",PID_KVLohnLookup($A$1,E3,F3,LOHNTABELLE!$H$4))</f>
        <v>1616.8</v>
      </c>
      <c r="H3" s="315">
        <f>IF(AND(ISNUMBER(D3),ISNUMBER(F3)),ROUNDDOWN(MIN(IF(OR(ISBLANK(I3),I3=""),EOMONTH(DATE(EINSTELLUNG!$C$35,$A$1,1),0),I3)-MAX(D3,DATE(EINSTELLUNG!$C$35,$A$1,1))+1)/DAY(EOMONTH(DATE(EINSTELLUNG!$C$35,$A$1,1),0))*F3,2),"")</f>
        <v>138.4</v>
      </c>
      <c r="I3" s="37"/>
      <c r="J3" s="38"/>
      <c r="K3" s="314">
        <f t="shared" ref="K3:K34" si="0">IF(OR(B3="",C3=""),"",IFERROR(IF(OR(MONTH(D3)=1,MONTH(D3)=3,MONTH(D3)=5,MONTH(D3)=7,MONTH(D3)=8,MONTH(D3)=10,MONTH(D3)=12),(G3/31)*J3,IF(OR(MONTH(D3)=4,MONTH(D3)=6,MONTH(D3)=9,MONTH(D3)=11),(G3/30)*J3,(G3/DAY(EOMONTH(D3,0)))*J3)),0))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9"/>
      <c r="N3" s="69"/>
      <c r="O3" s="317" t="s">
        <v>47</v>
      </c>
      <c r="P3" s="317" t="s">
        <v>48</v>
      </c>
      <c r="Q3" s="317" t="s">
        <v>49</v>
      </c>
      <c r="R3" s="318" t="s">
        <v>50</v>
      </c>
      <c r="S3" s="319"/>
      <c r="T3" s="319"/>
      <c r="U3" s="319"/>
      <c r="V3" s="319"/>
      <c r="AB3" s="320"/>
    </row>
    <row r="4" spans="1:28" ht="22" customHeight="1">
      <c r="A4" s="321" t="s">
        <v>51</v>
      </c>
      <c r="B4" s="96">
        <v>401049</v>
      </c>
      <c r="C4" s="41" t="s">
        <v>225</v>
      </c>
      <c r="D4" s="42">
        <v>41130</v>
      </c>
      <c r="E4" s="43" t="s">
        <v>4</v>
      </c>
      <c r="F4" s="44">
        <v>173</v>
      </c>
      <c r="G4" s="322">
        <f>IF(OR(E4="",F4=""),"",PID_KVLohnLookup($A$1,E4,F4,LOHNTABELLE!$H$4))</f>
        <v>2123</v>
      </c>
      <c r="H4" s="323">
        <f>IF(AND(ISNUMBER(D4),ISNUMBER(F4)),ROUNDDOWN(MIN(IF(OR(ISBLANK(I4),I4=""),EOMONTH(DATE(EINSTELLUNG!$C$35,$A$1,1),0),I4)-MAX(D4,DATE(EINSTELLUNG!$C$35,$A$1,1))+1)/DAY(EOMONTH(DATE(EINSTELLUNG!$C$35,$A$1,1),0))*F4,2),"")</f>
        <v>173</v>
      </c>
      <c r="I4" s="45"/>
      <c r="J4" s="46"/>
      <c r="K4" s="322">
        <f t="shared" si="0"/>
        <v>0</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5"/>
      <c r="P4" s="325"/>
      <c r="Q4" s="325"/>
      <c r="R4" s="326"/>
      <c r="S4" s="319"/>
      <c r="T4" s="319"/>
      <c r="U4" s="319"/>
      <c r="V4" s="319"/>
    </row>
    <row r="5" spans="1:28" ht="22" customHeight="1">
      <c r="A5" s="321" t="s">
        <v>52</v>
      </c>
      <c r="B5" s="97">
        <v>401051</v>
      </c>
      <c r="C5" s="49" t="s">
        <v>227</v>
      </c>
      <c r="D5" s="50">
        <v>41176</v>
      </c>
      <c r="E5" s="51" t="s">
        <v>2</v>
      </c>
      <c r="F5" s="52">
        <v>173</v>
      </c>
      <c r="G5" s="322">
        <f>IF(OR(E5="",F5=""),"",PID_KVLohnLookup($A$1,E5,F5,LOHNTABELLE!$H$4))</f>
        <v>2021</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27" cm="1">
        <f t="array" ref="O5">SUMPRODUCT((F3:F82/4.310808)/5*2.08)</f>
        <v>785.70372886011194</v>
      </c>
      <c r="P5" s="328">
        <f>EINSTELLUNG!I14</f>
        <v>600</v>
      </c>
      <c r="Q5" s="328">
        <f>P5-O5</f>
        <v>-185.70372886011194</v>
      </c>
      <c r="R5" s="329">
        <f>IFERROR(Q5*Q42, 0)</f>
        <v>-2219.1014840585185</v>
      </c>
      <c r="S5" s="319"/>
      <c r="T5" s="319"/>
      <c r="U5" s="319"/>
      <c r="V5" s="319"/>
    </row>
    <row r="6" spans="1:28" ht="22" customHeight="1">
      <c r="A6" s="321" t="s">
        <v>53</v>
      </c>
      <c r="B6" s="96">
        <v>401089</v>
      </c>
      <c r="C6" s="41" t="s">
        <v>241</v>
      </c>
      <c r="D6" s="42">
        <v>44868</v>
      </c>
      <c r="E6" s="43" t="s">
        <v>3</v>
      </c>
      <c r="F6" s="44">
        <v>173</v>
      </c>
      <c r="G6" s="322">
        <f>IF(OR(E6="",F6=""),"",PID_KVLohnLookup($A$1,E6,F6,LOHNTABELLE!$H$4))</f>
        <v>2082</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21" t="s">
        <v>54</v>
      </c>
      <c r="B7" s="97">
        <v>401138</v>
      </c>
      <c r="C7" s="49" t="s">
        <v>228</v>
      </c>
      <c r="D7" s="50">
        <v>42006</v>
      </c>
      <c r="E7" s="51" t="s">
        <v>4</v>
      </c>
      <c r="F7" s="52">
        <v>173</v>
      </c>
      <c r="G7" s="322">
        <f>IF(OR(E7="",F7=""),"",PID_KVLohnLookup($A$1,E7,F7,LOHNTABELLE!$H$4))</f>
        <v>2123</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19"/>
      <c r="P7" s="319"/>
      <c r="Q7" s="319"/>
      <c r="R7" s="319"/>
      <c r="S7" s="319"/>
      <c r="T7" s="319"/>
      <c r="U7" s="319"/>
      <c r="V7" s="319"/>
    </row>
    <row r="8" spans="1:28" ht="22" customHeight="1">
      <c r="A8" s="321" t="s">
        <v>55</v>
      </c>
      <c r="B8" s="96">
        <v>401197</v>
      </c>
      <c r="C8" s="41" t="s">
        <v>229</v>
      </c>
      <c r="D8" s="42">
        <v>42644</v>
      </c>
      <c r="E8" s="43" t="s">
        <v>3</v>
      </c>
      <c r="F8" s="44">
        <v>173</v>
      </c>
      <c r="G8" s="322">
        <f>IF(OR(E8="",F8=""),"",PID_KVLohnLookup($A$1,E8,F8,LOHNTABELLE!$H$4))</f>
        <v>2082</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3" t="s">
        <v>56</v>
      </c>
      <c r="P8" s="334"/>
      <c r="Q8" s="335">
        <f>SUM(H3:H82)</f>
        <v>8026.5299999999988</v>
      </c>
      <c r="R8" s="336"/>
      <c r="S8" s="319"/>
      <c r="T8" s="319"/>
      <c r="U8" s="319"/>
      <c r="V8" s="319"/>
    </row>
    <row r="9" spans="1:28" ht="22" customHeight="1">
      <c r="A9" s="321" t="s">
        <v>57</v>
      </c>
      <c r="B9" s="97">
        <v>401214</v>
      </c>
      <c r="C9" s="49" t="s">
        <v>255</v>
      </c>
      <c r="D9" s="50">
        <v>45636</v>
      </c>
      <c r="E9" s="51" t="s">
        <v>3</v>
      </c>
      <c r="F9" s="52">
        <v>173</v>
      </c>
      <c r="G9" s="322">
        <f>IF(OR(E9="",F9=""),"",PID_KVLohnLookup($A$1,E9,F9,LOHNTABELLE!$H$4))</f>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37" t="s">
        <v>58</v>
      </c>
      <c r="P9" s="338"/>
      <c r="Q9" s="339">
        <f>EINSTELLUNG!L30</f>
        <v>9</v>
      </c>
      <c r="R9" s="340"/>
      <c r="S9" s="341">
        <f>IFERROR(Q9/Q8, 0)</f>
        <v>1.1212815500596151E-3</v>
      </c>
      <c r="T9" s="319"/>
      <c r="U9" s="319"/>
      <c r="V9" s="319"/>
    </row>
    <row r="10" spans="1:28" ht="22" customHeight="1">
      <c r="A10" s="321" t="s">
        <v>59</v>
      </c>
      <c r="B10" s="96">
        <v>401276</v>
      </c>
      <c r="C10" s="41" t="s">
        <v>230</v>
      </c>
      <c r="D10" s="42">
        <v>43252</v>
      </c>
      <c r="E10" s="43" t="s">
        <v>3</v>
      </c>
      <c r="F10" s="44">
        <v>173</v>
      </c>
      <c r="G10" s="322">
        <f>IF(OR(E10="",F10=""),"",PID_KVLohnLookup($A$1,E10,F10,LOHNTABELLE!$H$4))</f>
        <v>2082</v>
      </c>
      <c r="H10" s="323">
        <f>IF(AND(ISNUMBER(D10),ISNUMBER(F10)),ROUNDDOWN(MIN(IF(OR(ISBLANK(I10),I10=""),EOMONTH(DATE(EINSTELLUNG!$C$35,$A$1,1),0),I10)-MAX(D10,DATE(EINSTELLUNG!$C$35,$A$1,1))+1)/DAY(EOMONTH(DATE(EINSTELLUNG!$C$35,$A$1,1),0))*F10,2),"")</f>
        <v>173</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37" t="s">
        <v>60</v>
      </c>
      <c r="P10" s="338"/>
      <c r="Q10" s="339">
        <f>EINSTELLUNG!I30</f>
        <v>0</v>
      </c>
      <c r="R10" s="340"/>
      <c r="S10" s="319"/>
      <c r="T10" s="319"/>
      <c r="U10" s="319"/>
      <c r="V10" s="319"/>
    </row>
    <row r="11" spans="1:28" ht="22" customHeight="1">
      <c r="A11" s="321" t="s">
        <v>61</v>
      </c>
      <c r="B11" s="97">
        <v>401276</v>
      </c>
      <c r="C11" s="49" t="s">
        <v>392</v>
      </c>
      <c r="D11" s="50">
        <v>38899</v>
      </c>
      <c r="E11" s="51" t="s">
        <v>2</v>
      </c>
      <c r="F11" s="52">
        <v>55</v>
      </c>
      <c r="G11" s="322">
        <f>IF(OR(E11="",F11=""),"",PID_KVLohnLookup($A$1,E11,F11,LOHNTABELLE!$H$4))</f>
        <v>666</v>
      </c>
      <c r="H11" s="323">
        <f>IF(AND(ISNUMBER(D11),ISNUMBER(F11)),ROUNDDOWN(MIN(IF(OR(ISBLANK(I11),I11=""),EOMONTH(DATE(EINSTELLUNG!$C$35,$A$1,1),0),I11)-MAX(D11,DATE(EINSTELLUNG!$C$35,$A$1,1))+1)/DAY(EOMONTH(DATE(EINSTELLUNG!$C$35,$A$1,1),0))*F11,2),"")</f>
        <v>55</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37" t="s">
        <v>62</v>
      </c>
      <c r="P11" s="338"/>
      <c r="Q11" s="339">
        <f>P5</f>
        <v>600</v>
      </c>
      <c r="R11" s="340"/>
      <c r="S11" s="319"/>
      <c r="T11" s="319"/>
      <c r="U11" s="319"/>
      <c r="V11" s="319"/>
    </row>
    <row r="12" spans="1:28" ht="22" customHeight="1">
      <c r="A12" s="321" t="s">
        <v>63</v>
      </c>
      <c r="B12" s="96">
        <v>401307</v>
      </c>
      <c r="C12" s="41" t="s">
        <v>231</v>
      </c>
      <c r="D12" s="42">
        <v>43571</v>
      </c>
      <c r="E12" s="43" t="s">
        <v>2</v>
      </c>
      <c r="F12" s="44">
        <v>55</v>
      </c>
      <c r="G12" s="322">
        <f>IF(OR(E12="",F12=""),"",PID_KVLohnLookup($A$1,E12,F12,LOHNTABELLE!$H$4))</f>
        <v>666</v>
      </c>
      <c r="H12" s="323">
        <f>IF(AND(ISNUMBER(D12),ISNUMBER(F12)),ROUNDDOWN(MIN(IF(OR(ISBLANK(I12),I12=""),EOMONTH(DATE(EINSTELLUNG!$C$35,$A$1,1),0),I12)-MAX(D12,DATE(EINSTELLUNG!$C$35,$A$1,1))+1)/DAY(EOMONTH(DATE(EINSTELLUNG!$C$35,$A$1,1),0))*F12,2),"")</f>
        <v>55</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37" t="s">
        <v>64</v>
      </c>
      <c r="P12" s="338"/>
      <c r="Q12" s="167">
        <v>167</v>
      </c>
      <c r="R12" s="168"/>
      <c r="S12" s="319"/>
      <c r="T12" s="319"/>
      <c r="U12" s="319"/>
      <c r="V12" s="319"/>
    </row>
    <row r="13" spans="1:28" ht="22" customHeight="1">
      <c r="A13" s="321" t="s">
        <v>65</v>
      </c>
      <c r="B13" s="97">
        <v>401308</v>
      </c>
      <c r="C13" s="49" t="s">
        <v>232</v>
      </c>
      <c r="D13" s="50">
        <v>43579</v>
      </c>
      <c r="E13" s="51" t="s">
        <v>3</v>
      </c>
      <c r="F13" s="100">
        <v>173</v>
      </c>
      <c r="G13" s="322">
        <f>IF(OR(E13="",F13=""),"",PID_KVLohnLookup($A$1,E13,F13,LOHNTABELLE!$H$4))</f>
        <v>2082</v>
      </c>
      <c r="H13" s="323">
        <f>IF(AND(ISNUMBER(D13),ISNUMBER(F13)),ROUNDDOWN(MIN(IF(OR(ISBLANK(I13),I13=""),EOMONTH(DATE(EINSTELLUNG!$C$35,$A$1,1),0),I13)-MAX(D13,DATE(EINSTELLUNG!$C$35,$A$1,1))+1)/DAY(EOMONTH(DATE(EINSTELLUNG!$C$35,$A$1,1),0))*F13,2),"")</f>
        <v>173</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37" t="s">
        <v>66</v>
      </c>
      <c r="P13" s="338"/>
      <c r="Q13" s="339">
        <f>Q8-Q9-Q10-Q11-Q12</f>
        <v>7250.5299999999988</v>
      </c>
      <c r="R13" s="340"/>
      <c r="S13" s="319"/>
      <c r="T13" s="319"/>
      <c r="U13" s="319"/>
      <c r="V13" s="319"/>
    </row>
    <row r="14" spans="1:28" ht="22" customHeight="1">
      <c r="A14" s="321" t="s">
        <v>67</v>
      </c>
      <c r="B14" s="96">
        <v>401394</v>
      </c>
      <c r="C14" s="41" t="s">
        <v>233</v>
      </c>
      <c r="D14" s="42">
        <v>44379</v>
      </c>
      <c r="E14" s="43" t="s">
        <v>2</v>
      </c>
      <c r="F14" s="44">
        <v>173</v>
      </c>
      <c r="G14" s="322">
        <f>IF(OR(E14="",F14=""),"",PID_KVLohnLookup($A$1,E14,F14,LOHNTABELLE!$H$4))</f>
        <v>2021</v>
      </c>
      <c r="H14" s="323">
        <f>IF(AND(ISNUMBER(D14),ISNUMBER(F14)),ROUNDDOWN(MIN(IF(OR(ISBLANK(I14),I14=""),EOMONTH(DATE(EINSTELLUNG!$C$35,$A$1,1),0),I14)-MAX(D14,DATE(EINSTELLUNG!$C$35,$A$1,1))+1)/DAY(EOMONTH(DATE(EINSTELLUNG!$C$35,$A$1,1),0))*F14,2),"")</f>
        <v>173</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37" t="s">
        <v>68</v>
      </c>
      <c r="P14" s="338"/>
      <c r="Q14" s="339">
        <f>EINSTELLUNG!L14</f>
        <v>9300</v>
      </c>
      <c r="R14" s="340"/>
      <c r="S14" s="319"/>
      <c r="T14" s="319"/>
      <c r="U14" s="319"/>
      <c r="V14" s="319"/>
    </row>
    <row r="15" spans="1:28" ht="22" customHeight="1" thickBot="1">
      <c r="A15" s="321" t="s">
        <v>69</v>
      </c>
      <c r="B15" s="97">
        <v>401479</v>
      </c>
      <c r="C15" s="49" t="s">
        <v>238</v>
      </c>
      <c r="D15" s="50">
        <v>44511</v>
      </c>
      <c r="E15" s="51" t="s">
        <v>6</v>
      </c>
      <c r="F15" s="52">
        <v>173</v>
      </c>
      <c r="G15" s="322">
        <f>IF(OR(E15="",F15=""),"",PID_KVLohnLookup($A$1,E15,F15,LOHNTABELLE!$H$4))</f>
        <v>2160</v>
      </c>
      <c r="H15" s="323">
        <f>IF(AND(ISNUMBER(D15),ISNUMBER(F15)),ROUNDDOWN(MIN(IF(OR(ISBLANK(I15),I15=""),EOMONTH(DATE(EINSTELLUNG!$C$35,$A$1,1),0),I15)-MAX(D15,DATE(EINSTELLUNG!$C$35,$A$1,1))+1)/DAY(EOMONTH(DATE(EINSTELLUNG!$C$35,$A$1,1),0))*F15,2),"")</f>
        <v>173</v>
      </c>
      <c r="I15" s="53"/>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342" t="s">
        <v>70</v>
      </c>
      <c r="P15" s="343"/>
      <c r="Q15" s="344">
        <f>Q13-Q14</f>
        <v>-2049.4700000000012</v>
      </c>
      <c r="R15" s="345"/>
      <c r="S15" s="346"/>
      <c r="T15" s="346"/>
      <c r="U15" s="346"/>
      <c r="V15" s="319"/>
    </row>
    <row r="16" spans="1:28" ht="22" customHeight="1" thickBot="1">
      <c r="A16" s="321" t="s">
        <v>71</v>
      </c>
      <c r="B16" s="96">
        <v>401558</v>
      </c>
      <c r="C16" s="41" t="s">
        <v>236</v>
      </c>
      <c r="D16" s="42">
        <v>44460</v>
      </c>
      <c r="E16" s="43" t="s">
        <v>2</v>
      </c>
      <c r="F16" s="44">
        <v>173</v>
      </c>
      <c r="G16" s="322">
        <f>IF(OR(E16="",F16=""),"",PID_KVLohnLookup($A$1,E16,F16,LOHNTABELLE!$H$4))</f>
        <v>2021</v>
      </c>
      <c r="H16" s="323">
        <f>IF(AND(ISNUMBER(D16),ISNUMBER(F16)),ROUNDDOWN(MIN(IF(OR(ISBLANK(I16),I16=""),EOMONTH(DATE(EINSTELLUNG!$C$35,$A$1,1),0),I16)-MAX(D16,DATE(EINSTELLUNG!$C$35,$A$1,1))+1)/DAY(EOMONTH(DATE(EINSTELLUNG!$C$35,$A$1,1),0))*F16,2),"")</f>
        <v>57.66</v>
      </c>
      <c r="I16" s="45">
        <v>46275</v>
      </c>
      <c r="J16" s="46">
        <v>4</v>
      </c>
      <c r="K16" s="322">
        <f t="shared" si="0"/>
        <v>269.46666666666664</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943.13333333333321</v>
      </c>
      <c r="M16" s="47"/>
      <c r="N16" s="70" t="s">
        <v>189</v>
      </c>
      <c r="O16" s="347" t="str">
        <f>IF(Q15&lt;0, "Schlecht! Zu wenig Stunden für Dienstplan.", IF(Q15&gt;0, "Du hast mehr als genug Stunden für Dienstplan.", ""))</f>
        <v>Schlecht! Zu wenig Stunden für Dienstplan.</v>
      </c>
      <c r="P16" s="348"/>
      <c r="Q16" s="348"/>
      <c r="R16" s="349"/>
      <c r="S16" s="350"/>
      <c r="T16" s="350"/>
      <c r="U16" s="350"/>
      <c r="V16" s="350"/>
      <c r="W16" s="351"/>
    </row>
    <row r="17" spans="1:29" ht="22" customHeight="1">
      <c r="A17" s="321" t="s">
        <v>72</v>
      </c>
      <c r="B17" s="97">
        <v>401564</v>
      </c>
      <c r="C17" s="49" t="s">
        <v>240</v>
      </c>
      <c r="D17" s="50">
        <v>44824</v>
      </c>
      <c r="E17" s="51" t="s">
        <v>2</v>
      </c>
      <c r="F17" s="52">
        <v>151.38</v>
      </c>
      <c r="G17" s="322">
        <f>IF(OR(E17="",F17=""),"",PID_KVLohnLookup($A$1,E17,F17,LOHNTABELLE!$H$4))</f>
        <v>1768.38</v>
      </c>
      <c r="H17" s="323">
        <f>IF(AND(ISNUMBER(D17),ISNUMBER(F17)),ROUNDDOWN(MIN(IF(OR(ISBLANK(I17),I17=""),EOMONTH(DATE(EINSTELLUNG!$C$35,$A$1,1),0),I17)-MAX(D17,DATE(EINSTELLUNG!$C$35,$A$1,1))+1)/DAY(EOMONTH(DATE(EINSTELLUNG!$C$35,$A$1,1),0))*F17,2),"")</f>
        <v>151.38</v>
      </c>
      <c r="I17" s="53"/>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5"/>
      <c r="N17" s="71"/>
      <c r="O17" s="352" t="s">
        <v>73</v>
      </c>
      <c r="P17" s="334"/>
      <c r="Q17" s="353">
        <f>SUM(L3:L82)</f>
        <v>95914.523333333345</v>
      </c>
      <c r="R17" s="354"/>
      <c r="S17" s="319"/>
      <c r="T17" s="319"/>
      <c r="U17" s="319"/>
      <c r="V17" s="319"/>
      <c r="W17" s="351"/>
    </row>
    <row r="18" spans="1:29" ht="22" customHeight="1">
      <c r="A18" s="321" t="s">
        <v>74</v>
      </c>
      <c r="B18" s="96">
        <v>401583</v>
      </c>
      <c r="C18" s="41" t="s">
        <v>242</v>
      </c>
      <c r="D18" s="45">
        <v>44900</v>
      </c>
      <c r="E18" s="43" t="s">
        <v>13</v>
      </c>
      <c r="F18" s="44">
        <v>173</v>
      </c>
      <c r="G18" s="322">
        <f>IF(OR(E18="",F18=""),"",PID_KVLohnLookup($A$1,E18,F18,LOHNTABELLE!$H$4))</f>
        <v>2328</v>
      </c>
      <c r="H18" s="323">
        <f>IF(AND(ISNUMBER(D18),ISNUMBER(F18)),ROUNDDOWN(MIN(IF(OR(ISBLANK(I18),I18=""),EOMONTH(DATE(EINSTELLUNG!$C$35,$A$1,1),0),I18)-MAX(D18,DATE(EINSTELLUNG!$C$35,$A$1,1))+1)/DAY(EOMONTH(DATE(EINSTELLUNG!$C$35,$A$1,1),0))*F18,2),"")</f>
        <v>173</v>
      </c>
      <c r="I18" s="45"/>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7"/>
      <c r="N18" s="70"/>
      <c r="O18" s="355" t="s">
        <v>376</v>
      </c>
      <c r="P18" s="356"/>
      <c r="Q18" s="357">
        <v>20</v>
      </c>
      <c r="R18" s="358"/>
      <c r="S18" s="319"/>
      <c r="T18" s="319"/>
      <c r="U18" s="319"/>
      <c r="V18" s="319"/>
    </row>
    <row r="19" spans="1:29" ht="22" customHeight="1">
      <c r="A19" s="321" t="s">
        <v>75</v>
      </c>
      <c r="B19" s="97">
        <v>401589</v>
      </c>
      <c r="C19" s="49" t="s">
        <v>243</v>
      </c>
      <c r="D19" s="50">
        <v>44926</v>
      </c>
      <c r="E19" s="51" t="s">
        <v>10</v>
      </c>
      <c r="F19" s="52">
        <v>173</v>
      </c>
      <c r="G19" s="322">
        <f>IF(OR(E19="",F19=""),"",PID_KVLohnLookup($A$1,E19,F19,LOHNTABELLE!$H$4))</f>
        <v>2300</v>
      </c>
      <c r="H19" s="323">
        <f>IF(AND(ISNUMBER(D19),ISNUMBER(F19)),ROUNDDOWN(MIN(IF(OR(ISBLANK(I19),I19=""),EOMONTH(DATE(EINSTELLUNG!$C$35,$A$1,1),0),I19)-MAX(D19,DATE(EINSTELLUNG!$C$35,$A$1,1))+1)/DAY(EOMONTH(DATE(EINSTELLUNG!$C$35,$A$1,1),0))*F19,2),"")</f>
        <v>173</v>
      </c>
      <c r="I19" s="53"/>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5"/>
      <c r="N19" s="71"/>
      <c r="O19" s="355" t="s">
        <v>294</v>
      </c>
      <c r="P19" s="356"/>
      <c r="Q19" s="357">
        <v>333</v>
      </c>
      <c r="R19" s="358"/>
      <c r="S19" s="319"/>
      <c r="T19" s="319"/>
      <c r="U19" s="319"/>
      <c r="V19" s="319"/>
    </row>
    <row r="20" spans="1:29" ht="22" customHeight="1">
      <c r="A20" s="321" t="s">
        <v>76</v>
      </c>
      <c r="B20" s="96">
        <v>401602</v>
      </c>
      <c r="C20" s="41" t="s">
        <v>244</v>
      </c>
      <c r="D20" s="42">
        <v>45975</v>
      </c>
      <c r="E20" s="43" t="s">
        <v>2</v>
      </c>
      <c r="F20" s="44">
        <v>169</v>
      </c>
      <c r="G20" s="322">
        <f>IF(OR(E20="",F20=""),"",PID_KVLohnLookup($A$1,E20,F20,LOHNTABELLE!$H$4))</f>
        <v>2000</v>
      </c>
      <c r="H20" s="323">
        <f>IF(AND(ISNUMBER(D20),ISNUMBER(F20)),ROUNDDOWN(MIN(IF(OR(ISBLANK(I20),I20=""),EOMONTH(DATE(EINSTELLUNG!$C$35,$A$1,1),0),I20)-MAX(D20,DATE(EINSTELLUNG!$C$35,$A$1,1))+1)/DAY(EOMONTH(DATE(EINSTELLUNG!$C$35,$A$1,1),0))*F20,2),"")</f>
        <v>169</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7"/>
      <c r="N20" s="70"/>
      <c r="O20" s="355" t="s">
        <v>294</v>
      </c>
      <c r="P20" s="356"/>
      <c r="Q20" s="357">
        <v>35</v>
      </c>
      <c r="R20" s="358"/>
      <c r="S20" s="319"/>
      <c r="T20" s="319"/>
      <c r="U20" s="319"/>
      <c r="V20" s="319"/>
    </row>
    <row r="21" spans="1:29" ht="22" customHeight="1">
      <c r="A21" s="321" t="s">
        <v>77</v>
      </c>
      <c r="B21" s="97">
        <v>401605</v>
      </c>
      <c r="C21" s="49" t="s">
        <v>245</v>
      </c>
      <c r="D21" s="50">
        <v>44986</v>
      </c>
      <c r="E21" s="51" t="s">
        <v>2</v>
      </c>
      <c r="F21" s="52">
        <v>173</v>
      </c>
      <c r="G21" s="322">
        <f>IF(OR(E21="",F21=""),"",PID_KVLohnLookup($A$1,E21,F21,LOHNTABELLE!$H$4))</f>
        <v>2021</v>
      </c>
      <c r="H21" s="323">
        <f>IF(AND(ISNUMBER(D21),ISNUMBER(F21)),ROUNDDOWN(MIN(IF(OR(ISBLANK(I21),I21=""),EOMONTH(DATE(EINSTELLUNG!$C$35,$A$1,1),0),I21)-MAX(D21,DATE(EINSTELLUNG!$C$35,$A$1,1))+1)/DAY(EOMONTH(DATE(EINSTELLUNG!$C$35,$A$1,1),0))*F21,2),"")</f>
        <v>173</v>
      </c>
      <c r="I21" s="53"/>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5"/>
      <c r="N21" s="71"/>
      <c r="O21" s="355" t="s">
        <v>294</v>
      </c>
      <c r="P21" s="356"/>
      <c r="Q21" s="357">
        <v>100</v>
      </c>
      <c r="R21" s="358"/>
      <c r="S21" s="319"/>
      <c r="T21" s="319"/>
      <c r="U21" s="319"/>
      <c r="V21" s="319"/>
    </row>
    <row r="22" spans="1:29" ht="22" customHeight="1">
      <c r="A22" s="321" t="s">
        <v>78</v>
      </c>
      <c r="B22" s="96">
        <v>401605</v>
      </c>
      <c r="C22" s="41" t="s">
        <v>393</v>
      </c>
      <c r="D22" s="42">
        <v>36850</v>
      </c>
      <c r="E22" s="43" t="s">
        <v>10</v>
      </c>
      <c r="F22" s="44">
        <v>151.38</v>
      </c>
      <c r="G22" s="322">
        <f>IF(OR(E22="",F22=""),"",PID_KVLohnLookup($A$1,E22,F22,LOHNTABELLE!$H$4))</f>
        <v>2012.5</v>
      </c>
      <c r="H22" s="323">
        <f>IF(AND(ISNUMBER(D22),ISNUMBER(F22)),ROUNDDOWN(MIN(IF(OR(ISBLANK(I22),I22=""),EOMONTH(DATE(EINSTELLUNG!$C$35,$A$1,1),0),I22)-MAX(D22,DATE(EINSTELLUNG!$C$35,$A$1,1))+1)/DAY(EOMONTH(DATE(EINSTELLUNG!$C$35,$A$1,1),0))*F22,2),"")</f>
        <v>151.38</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7"/>
      <c r="N22" s="70"/>
      <c r="O22" s="355" t="s">
        <v>294</v>
      </c>
      <c r="P22" s="356"/>
      <c r="Q22" s="357"/>
      <c r="R22" s="358"/>
      <c r="S22" s="319"/>
      <c r="T22" s="319"/>
      <c r="U22" s="319"/>
      <c r="V22" s="319"/>
    </row>
    <row r="23" spans="1:29" ht="22" customHeight="1">
      <c r="A23" s="321" t="s">
        <v>79</v>
      </c>
      <c r="B23" s="97">
        <v>401626</v>
      </c>
      <c r="C23" s="49" t="s">
        <v>246</v>
      </c>
      <c r="D23" s="50">
        <v>45063</v>
      </c>
      <c r="E23" s="51" t="s">
        <v>2</v>
      </c>
      <c r="F23" s="52">
        <v>173</v>
      </c>
      <c r="G23" s="322">
        <f>IF(OR(E23="",F23=""),"",PID_KVLohnLookup($A$1,E23,F23,LOHNTABELLE!$H$4))</f>
        <v>2021</v>
      </c>
      <c r="H23" s="323">
        <f>IF(AND(ISNUMBER(D23),ISNUMBER(F23)),ROUNDDOWN(MIN(IF(OR(ISBLANK(I23),I23=""),EOMONTH(DATE(EINSTELLUNG!$C$35,$A$1,1),0),I23)-MAX(D23,DATE(EINSTELLUNG!$C$35,$A$1,1))+1)/DAY(EOMONTH(DATE(EINSTELLUNG!$C$35,$A$1,1),0))*F23,2),"")</f>
        <v>173</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5"/>
      <c r="N23" s="71"/>
      <c r="O23" s="355" t="s">
        <v>294</v>
      </c>
      <c r="P23" s="356"/>
      <c r="Q23" s="357">
        <v>5000</v>
      </c>
      <c r="R23" s="358"/>
      <c r="S23" s="319"/>
      <c r="T23" s="319"/>
      <c r="U23" s="319"/>
      <c r="V23" s="319"/>
      <c r="W23" s="351"/>
    </row>
    <row r="24" spans="1:29" ht="22" customHeight="1">
      <c r="A24" s="321" t="s">
        <v>80</v>
      </c>
      <c r="B24" s="96">
        <v>401633</v>
      </c>
      <c r="C24" s="41" t="s">
        <v>247</v>
      </c>
      <c r="D24" s="42">
        <v>45089</v>
      </c>
      <c r="E24" s="43" t="s">
        <v>10</v>
      </c>
      <c r="F24" s="44">
        <v>173</v>
      </c>
      <c r="G24" s="322">
        <f>IF(OR(E24="",F24=""),"",PID_KVLohnLookup($A$1,E24,F24,LOHNTABELLE!$H$4))</f>
        <v>2300</v>
      </c>
      <c r="H24" s="323">
        <f>IF(AND(ISNUMBER(D24),ISNUMBER(F24)),ROUNDDOWN(MIN(IF(OR(ISBLANK(I24),I24=""),EOMONTH(DATE(EINSTELLUNG!$C$35,$A$1,1),0),I24)-MAX(D24,DATE(EINSTELLUNG!$C$35,$A$1,1))+1)/DAY(EOMONTH(DATE(EINSTELLUNG!$C$35,$A$1,1),0))*F24,2),"")</f>
        <v>173</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7"/>
      <c r="N24" s="70"/>
      <c r="O24" s="355"/>
      <c r="P24" s="356"/>
      <c r="Q24" s="357"/>
      <c r="R24" s="358"/>
      <c r="S24" s="319"/>
      <c r="T24" s="319"/>
      <c r="U24" s="319"/>
      <c r="V24" s="319"/>
      <c r="W24" s="351"/>
    </row>
    <row r="25" spans="1:29" ht="22" customHeight="1">
      <c r="A25" s="321" t="s">
        <v>81</v>
      </c>
      <c r="B25" s="97">
        <v>401647</v>
      </c>
      <c r="C25" s="49" t="s">
        <v>248</v>
      </c>
      <c r="D25" s="50">
        <v>45182</v>
      </c>
      <c r="E25" s="51" t="s">
        <v>2</v>
      </c>
      <c r="F25" s="52">
        <v>173</v>
      </c>
      <c r="G25" s="322">
        <f>IF(OR(E25="",F25=""),"",PID_KVLohnLookup($A$1,E25,F25,LOHNTABELLE!$H$4))</f>
        <v>2021</v>
      </c>
      <c r="H25" s="323">
        <f>IF(AND(ISNUMBER(D25),ISNUMBER(F25)),ROUNDDOWN(MIN(IF(OR(ISBLANK(I25),I25=""),EOMONTH(DATE(EINSTELLUNG!$C$35,$A$1,1),0),I25)-MAX(D25,DATE(EINSTELLUNG!$C$35,$A$1,1))+1)/DAY(EOMONTH(DATE(EINSTELLUNG!$C$35,$A$1,1),0))*F25,2),"")</f>
        <v>173</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5"/>
      <c r="P25" s="356"/>
      <c r="Q25" s="357"/>
      <c r="R25" s="358"/>
      <c r="S25" s="319"/>
      <c r="T25" s="319"/>
      <c r="U25" s="319"/>
      <c r="V25" s="319"/>
    </row>
    <row r="26" spans="1:29" ht="22" customHeight="1">
      <c r="A26" s="321" t="s">
        <v>82</v>
      </c>
      <c r="B26" s="96">
        <v>401661</v>
      </c>
      <c r="C26" s="41" t="s">
        <v>249</v>
      </c>
      <c r="D26" s="42">
        <v>45261</v>
      </c>
      <c r="E26" s="43" t="s">
        <v>2</v>
      </c>
      <c r="F26" s="44">
        <v>173</v>
      </c>
      <c r="G26" s="322">
        <f>IF(OR(E26="",F26=""),"",PID_KVLohnLookup($A$1,E26,F26,LOHNTABELLE!$H$4))</f>
        <v>2021</v>
      </c>
      <c r="H26" s="323">
        <f>IF(AND(ISNUMBER(D26),ISNUMBER(F26)),ROUNDDOWN(MIN(IF(OR(ISBLANK(I26),I26=""),EOMONTH(DATE(EINSTELLUNG!$C$35,$A$1,1),0),I26)-MAX(D26,DATE(EINSTELLUNG!$C$35,$A$1,1))+1)/DAY(EOMONTH(DATE(EINSTELLUNG!$C$35,$A$1,1),0))*F26,2),"")</f>
        <v>173</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5"/>
      <c r="P26" s="356"/>
      <c r="Q26" s="357"/>
      <c r="R26" s="358"/>
      <c r="S26" s="319"/>
      <c r="T26" s="319"/>
      <c r="U26" s="319"/>
      <c r="V26" s="319"/>
    </row>
    <row r="27" spans="1:29" ht="22" customHeight="1">
      <c r="A27" s="321" t="s">
        <v>83</v>
      </c>
      <c r="B27" s="97">
        <v>401670</v>
      </c>
      <c r="C27" s="49" t="s">
        <v>250</v>
      </c>
      <c r="D27" s="50">
        <v>45358</v>
      </c>
      <c r="E27" s="51" t="s">
        <v>2</v>
      </c>
      <c r="F27" s="52">
        <v>173</v>
      </c>
      <c r="G27" s="322">
        <f>IF(OR(E27="",F27=""),"",PID_KVLohnLookup($A$1,E27,F27,LOHNTABELLE!$H$4))</f>
        <v>2021</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5"/>
      <c r="P27" s="356"/>
      <c r="Q27" s="357"/>
      <c r="R27" s="358"/>
      <c r="S27" s="359" t="s">
        <v>84</v>
      </c>
      <c r="T27" s="359"/>
      <c r="U27" s="359"/>
      <c r="V27" s="359"/>
    </row>
    <row r="28" spans="1:29" ht="22" customHeight="1">
      <c r="A28" s="321" t="s">
        <v>85</v>
      </c>
      <c r="B28" s="96">
        <v>401678</v>
      </c>
      <c r="C28" s="41" t="s">
        <v>251</v>
      </c>
      <c r="D28" s="42">
        <v>45414</v>
      </c>
      <c r="E28" s="43" t="s">
        <v>2</v>
      </c>
      <c r="F28" s="44">
        <v>173</v>
      </c>
      <c r="G28" s="322">
        <f>IF(OR(E28="",F28=""),"",PID_KVLohnLookup($A$1,E28,F28,LOHNTABELLE!$H$4))</f>
        <v>2021</v>
      </c>
      <c r="H28" s="323">
        <f>IF(AND(ISNUMBER(D28),ISNUMBER(F28)),ROUNDDOWN(MIN(IF(OR(ISBLANK(I28),I28=""),EOMONTH(DATE(EINSTELLUNG!$C$35,$A$1,1),0),I28)-MAX(D28,DATE(EINSTELLUNG!$C$35,$A$1,1))+1)/DAY(EOMONTH(DATE(EINSTELLUNG!$C$35,$A$1,1),0))*F28,2),"")</f>
        <v>173</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55"/>
      <c r="P28" s="356"/>
      <c r="Q28" s="357"/>
      <c r="R28" s="358"/>
      <c r="S28" s="319"/>
      <c r="T28" s="319"/>
      <c r="U28" s="319"/>
      <c r="V28" s="319"/>
    </row>
    <row r="29" spans="1:29" ht="22" customHeight="1" thickBot="1">
      <c r="A29" s="321" t="s">
        <v>86</v>
      </c>
      <c r="B29" s="97">
        <v>401690</v>
      </c>
      <c r="C29" s="49" t="s">
        <v>253</v>
      </c>
      <c r="D29" s="50">
        <v>45536</v>
      </c>
      <c r="E29" s="51" t="s">
        <v>2</v>
      </c>
      <c r="F29" s="52">
        <v>151.38</v>
      </c>
      <c r="G29" s="322">
        <f>IF(OR(E29="",F29=""),"",PID_KVLohnLookup($A$1,E29,F29,LOHNTABELLE!$H$4))</f>
        <v>1768.38</v>
      </c>
      <c r="H29" s="323">
        <f>IF(AND(ISNUMBER(D29),ISNUMBER(F29)),ROUNDDOWN(MIN(IF(OR(ISBLANK(I29),I29=""),EOMONTH(DATE(EINSTELLUNG!$C$35,$A$1,1),0),I29)-MAX(D29,DATE(EINSTELLUNG!$C$35,$A$1,1))+1)/DAY(EOMONTH(DATE(EINSTELLUNG!$C$35,$A$1,1),0))*F29,2),"")</f>
        <v>151.38</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5"/>
      <c r="N29" s="71"/>
      <c r="O29" s="360" t="s">
        <v>87</v>
      </c>
      <c r="P29" s="343"/>
      <c r="Q29" s="361">
        <f>EINSTELLUNG!O14</f>
        <v>1250</v>
      </c>
      <c r="R29" s="362"/>
      <c r="S29" s="319"/>
      <c r="T29" s="319"/>
      <c r="U29" s="319"/>
      <c r="V29" s="319"/>
    </row>
    <row r="30" spans="1:29" ht="22" customHeight="1" thickBot="1">
      <c r="A30" s="321" t="s">
        <v>88</v>
      </c>
      <c r="B30" s="96">
        <v>401715</v>
      </c>
      <c r="C30" s="41" t="s">
        <v>256</v>
      </c>
      <c r="D30" s="42">
        <v>45755</v>
      </c>
      <c r="E30" s="43" t="s">
        <v>2</v>
      </c>
      <c r="F30" s="44">
        <v>173</v>
      </c>
      <c r="G30" s="322">
        <f>IF(OR(E30="",F30=""),"",PID_KVLohnLookup($A$1,E30,F30,LOHNTABELLE!$H$4))</f>
        <v>2021</v>
      </c>
      <c r="H30" s="323">
        <f>IF(AND(ISNUMBER(D30),ISNUMBER(F30)),ROUNDDOWN(MIN(IF(OR(ISBLANK(I30),I30=""),EOMONTH(DATE(EINSTELLUNG!$C$35,$A$1,1),0),I30)-MAX(D30,DATE(EINSTELLUNG!$C$35,$A$1,1))+1)/DAY(EOMONTH(DATE(EINSTELLUNG!$C$35,$A$1,1),0))*F30,2),"")</f>
        <v>173</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19"/>
      <c r="P30" s="319"/>
      <c r="Q30" s="319"/>
      <c r="R30" s="319"/>
      <c r="S30" s="319"/>
      <c r="T30" s="319"/>
      <c r="U30" s="319"/>
      <c r="V30" s="319"/>
      <c r="W30" s="363"/>
      <c r="X30" s="363"/>
      <c r="Y30" s="363"/>
      <c r="Z30" s="363"/>
      <c r="AA30" s="363"/>
      <c r="AB30" s="363"/>
      <c r="AC30" s="363"/>
    </row>
    <row r="31" spans="1:29" ht="22" customHeight="1" thickBot="1">
      <c r="A31" s="321" t="s">
        <v>89</v>
      </c>
      <c r="B31" s="97">
        <v>401716</v>
      </c>
      <c r="C31" s="49" t="s">
        <v>257</v>
      </c>
      <c r="D31" s="50">
        <v>45800</v>
      </c>
      <c r="E31" s="51" t="s">
        <v>2</v>
      </c>
      <c r="F31" s="52">
        <v>173</v>
      </c>
      <c r="G31" s="322">
        <f>IF(OR(E31="",F31=""),"",PID_KVLohnLookup($A$1,E31,F31,LOHNTABELLE!$H$4))</f>
        <v>2021</v>
      </c>
      <c r="H31" s="323">
        <f>IF(AND(ISNUMBER(D31),ISNUMBER(F31)),ROUNDDOWN(MIN(IF(OR(ISBLANK(I31),I31=""),EOMONTH(DATE(EINSTELLUNG!$C$35,$A$1,1),0),I31)-MAX(D31,DATE(EINSTELLUNG!$C$35,$A$1,1))+1)/DAY(EOMONTH(DATE(EINSTELLUNG!$C$35,$A$1,1),0))*F31,2),"")</f>
        <v>173</v>
      </c>
      <c r="I31" s="53"/>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4" t="s">
        <v>421</v>
      </c>
      <c r="P31" s="365"/>
      <c r="Q31" s="366">
        <v>1.7699115044247787E-2</v>
      </c>
      <c r="R31" s="367"/>
      <c r="S31" s="319"/>
      <c r="T31" s="319"/>
      <c r="U31" s="319"/>
      <c r="V31" s="319"/>
    </row>
    <row r="32" spans="1:29" ht="22" customHeight="1" thickBot="1">
      <c r="A32" s="321" t="s">
        <v>91</v>
      </c>
      <c r="B32" s="96">
        <v>401717</v>
      </c>
      <c r="C32" s="41" t="s">
        <v>258</v>
      </c>
      <c r="D32" s="42">
        <v>45814</v>
      </c>
      <c r="E32" s="43" t="s">
        <v>2</v>
      </c>
      <c r="F32" s="44">
        <v>86.5</v>
      </c>
      <c r="G32" s="322">
        <f>IF(OR(E32="",F32=""),"",PID_KVLohnLookup($A$1,E32,F32,LOHNTABELLE!$H$4))</f>
        <v>1010.5</v>
      </c>
      <c r="H32" s="323">
        <f>IF(AND(ISNUMBER(D32),ISNUMBER(F32)),ROUNDDOWN(MIN(IF(OR(ISBLANK(I32),I32=""),EOMONTH(DATE(EINSTELLUNG!$C$35,$A$1,1),0),I32)-MAX(D32,DATE(EINSTELLUNG!$C$35,$A$1,1))+1)/DAY(EOMONTH(DATE(EINSTELLUNG!$C$35,$A$1,1),0))*F32,2),"")</f>
        <v>86.5</v>
      </c>
      <c r="I32" s="45"/>
      <c r="J32" s="46"/>
      <c r="K32" s="322">
        <f t="shared" si="0"/>
        <v>0</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19"/>
      <c r="P32" s="319"/>
      <c r="Q32" s="319"/>
      <c r="R32" s="319"/>
      <c r="S32" s="319"/>
      <c r="T32" s="319"/>
      <c r="U32" s="319"/>
      <c r="V32" s="319"/>
    </row>
    <row r="33" spans="1:22" ht="22" customHeight="1">
      <c r="A33" s="321" t="s">
        <v>92</v>
      </c>
      <c r="B33" s="97">
        <v>401722</v>
      </c>
      <c r="C33" s="49" t="s">
        <v>259</v>
      </c>
      <c r="D33" s="50">
        <v>45848</v>
      </c>
      <c r="E33" s="51" t="s">
        <v>2</v>
      </c>
      <c r="F33" s="52">
        <v>86.5</v>
      </c>
      <c r="G33" s="322">
        <f>IF(OR(E33="",F33=""),"",PID_KVLohnLookup($A$1,E33,F33,LOHNTABELLE!$H$4))</f>
        <v>1010.5</v>
      </c>
      <c r="H33" s="323">
        <f>IF(AND(ISNUMBER(D33),ISNUMBER(F33)),ROUNDDOWN(MIN(IF(OR(ISBLANK(I33),I33=""),EOMONTH(DATE(EINSTELLUNG!$C$35,$A$1,1),0),I33)-MAX(D33,DATE(EINSTELLUNG!$C$35,$A$1,1))+1)/DAY(EOMONTH(DATE(EINSTELLUNG!$C$35,$A$1,1),0))*F33,2),"")</f>
        <v>86.5</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68"/>
      <c r="P33" s="369"/>
      <c r="Q33" s="304" t="str">
        <f>EINSTELLUNG!B3</f>
        <v>Budget</v>
      </c>
      <c r="R33" s="304"/>
      <c r="S33" s="304" t="str">
        <f>EINSTELLUNG!B19</f>
        <v>Projection/Aktuell Zahlen</v>
      </c>
      <c r="T33" s="304"/>
      <c r="U33" s="304" t="s">
        <v>95</v>
      </c>
      <c r="V33" s="305"/>
    </row>
    <row r="34" spans="1:22" ht="22" customHeight="1">
      <c r="A34" s="321" t="s">
        <v>96</v>
      </c>
      <c r="B34" s="96">
        <v>401723</v>
      </c>
      <c r="C34" s="41" t="s">
        <v>260</v>
      </c>
      <c r="D34" s="42">
        <v>45852</v>
      </c>
      <c r="E34" s="43" t="s">
        <v>2</v>
      </c>
      <c r="F34" s="44">
        <v>86.5</v>
      </c>
      <c r="G34" s="322">
        <f>IF(OR(E34="",F34=""),"",PID_KVLohnLookup($A$1,E34,F34,LOHNTABELLE!$H$4))</f>
        <v>1010.5</v>
      </c>
      <c r="H34" s="323">
        <f>IF(AND(ISNUMBER(D34),ISNUMBER(F34)),ROUNDDOWN(MIN(IF(OR(ISBLANK(I34),I34=""),EOMONTH(DATE(EINSTELLUNG!$C$35,$A$1,1),0),I34)-MAX(D34,DATE(EINSTELLUNG!$C$35,$A$1,1))+1)/DAY(EOMONTH(DATE(EINSTELLUNG!$C$35,$A$1,1),0))*F34,2),"")</f>
        <v>86.5</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0"/>
      <c r="P34" s="371"/>
      <c r="Q34" s="372"/>
      <c r="R34" s="372"/>
      <c r="S34" s="372"/>
      <c r="T34" s="372"/>
      <c r="U34" s="372"/>
      <c r="V34" s="373"/>
    </row>
    <row r="35" spans="1:22" ht="22" customHeight="1">
      <c r="A35" s="321" t="s">
        <v>97</v>
      </c>
      <c r="B35" s="97">
        <v>401726</v>
      </c>
      <c r="C35" s="49" t="s">
        <v>261</v>
      </c>
      <c r="D35" s="50">
        <v>45870</v>
      </c>
      <c r="E35" s="51" t="s">
        <v>2</v>
      </c>
      <c r="F35" s="52">
        <v>86.5</v>
      </c>
      <c r="G35" s="322">
        <f>IF(OR(E35="",F35=""),"",PID_KVLohnLookup($A$1,E35,F35,LOHNTABELLE!$H$4))</f>
        <v>1010.5</v>
      </c>
      <c r="H35" s="323">
        <f>IF(AND(ISNUMBER(D35),ISNUMBER(F35)),ROUNDDOWN(MIN(IF(OR(ISBLANK(I35),I35=""),EOMONTH(DATE(EINSTELLUNG!$C$35,$A$1,1),0),I35)-MAX(D35,DATE(EINSTELLUNG!$C$35,$A$1,1))+1)/DAY(EOMONTH(DATE(EINSTELLUNG!$C$35,$A$1,1),0))*F35,2),"")</f>
        <v>86.5</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4" t="s">
        <v>98</v>
      </c>
      <c r="P35" s="338"/>
      <c r="Q35" s="375">
        <f>EINSTELLUNG!C14</f>
        <v>400000</v>
      </c>
      <c r="R35" s="375"/>
      <c r="S35" s="375">
        <f>EINSTELLUNG!C30</f>
        <v>450000</v>
      </c>
      <c r="T35" s="375"/>
      <c r="U35" s="375">
        <f>S35-Q35</f>
        <v>50000</v>
      </c>
      <c r="V35" s="376"/>
    </row>
    <row r="36" spans="1:22" ht="22" customHeight="1">
      <c r="A36" s="321" t="s">
        <v>99</v>
      </c>
      <c r="B36" s="96">
        <v>401730</v>
      </c>
      <c r="C36" s="41" t="s">
        <v>263</v>
      </c>
      <c r="D36" s="42">
        <v>45895</v>
      </c>
      <c r="E36" s="43" t="s">
        <v>2</v>
      </c>
      <c r="F36" s="44">
        <v>86.5</v>
      </c>
      <c r="G36" s="322">
        <f>IF(OR(E36="",F36=""),"",PID_KVLohnLookup($A$1,E36,F36,LOHNTABELLE!$H$4))</f>
        <v>1010.5</v>
      </c>
      <c r="H36" s="323">
        <f>IF(AND(ISNUMBER(D36),ISNUMBER(F36)),ROUNDDOWN(MIN(IF(OR(ISBLANK(I36),I36=""),EOMONTH(DATE(EINSTELLUNG!$C$35,$A$1,1),0),I36)-MAX(D36,DATE(EINSTELLUNG!$C$35,$A$1,1))+1)/DAY(EOMONTH(DATE(EINSTELLUNG!$C$35,$A$1,1),0))*F36,2),"")</f>
        <v>86.5</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4" t="s">
        <v>100</v>
      </c>
      <c r="P36" s="338"/>
      <c r="Q36" s="375">
        <f>EINSTELLUNG!D14</f>
        <v>100000</v>
      </c>
      <c r="R36" s="375"/>
      <c r="S36" s="375">
        <f ca="1">SumMergedCells(Q17:R29)</f>
        <v>102652.5233</v>
      </c>
      <c r="T36" s="375"/>
      <c r="U36" s="375">
        <f t="shared" ref="U36:U41" ca="1" si="2">S36-Q36</f>
        <v>2652.5233000000007</v>
      </c>
      <c r="V36" s="376"/>
    </row>
    <row r="37" spans="1:22" ht="22" customHeight="1">
      <c r="A37" s="321" t="s">
        <v>101</v>
      </c>
      <c r="B37" s="97">
        <v>401731</v>
      </c>
      <c r="C37" s="49" t="s">
        <v>262</v>
      </c>
      <c r="D37" s="50">
        <v>45899</v>
      </c>
      <c r="E37" s="51" t="s">
        <v>2</v>
      </c>
      <c r="F37" s="52">
        <v>86.5</v>
      </c>
      <c r="G37" s="322">
        <f>IF(OR(E37="",F37=""),"",PID_KVLohnLookup($A$1,E37,F37,LOHNTABELLE!$H$4))</f>
        <v>1010.5</v>
      </c>
      <c r="H37" s="323">
        <f>IF(AND(ISNUMBER(D37),ISNUMBER(F37)),ROUNDDOWN(MIN(IF(OR(ISBLANK(I37),I37=""),EOMONTH(DATE(EINSTELLUNG!$C$35,$A$1,1),0),I37)-MAX(D37,DATE(EINSTELLUNG!$C$35,$A$1,1))+1)/DAY(EOMONTH(DATE(EINSTELLUNG!$C$35,$A$1,1),0))*F37,2),"")</f>
        <v>86.5</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4" t="s">
        <v>102</v>
      </c>
      <c r="P37" s="338"/>
      <c r="Q37" s="377">
        <f>IF(ISERROR(Q36/Q35), 0, Q36/Q35)</f>
        <v>0.25</v>
      </c>
      <c r="R37" s="377"/>
      <c r="S37" s="377">
        <f ca="1">IF(ISERROR(S36/S35), 0, S36/S35)</f>
        <v>0.22811671844444445</v>
      </c>
      <c r="T37" s="377"/>
      <c r="U37" s="377">
        <f t="shared" ca="1" si="2"/>
        <v>-2.188328155555555E-2</v>
      </c>
      <c r="V37" s="378"/>
    </row>
    <row r="38" spans="1:22" ht="22" customHeight="1">
      <c r="A38" s="321" t="s">
        <v>103</v>
      </c>
      <c r="B38" s="96">
        <v>401734</v>
      </c>
      <c r="C38" s="41" t="s">
        <v>264</v>
      </c>
      <c r="D38" s="42">
        <v>45904</v>
      </c>
      <c r="E38" s="43" t="s">
        <v>2</v>
      </c>
      <c r="F38" s="44">
        <v>86.5</v>
      </c>
      <c r="G38" s="322">
        <f>IF(OR(E38="",F38=""),"",PID_KVLohnLookup($A$1,E38,F38,LOHNTABELLE!$H$4))</f>
        <v>1010.5</v>
      </c>
      <c r="H38" s="323">
        <f>IF(AND(ISNUMBER(D38),ISNUMBER(F38)),ROUNDDOWN(MIN(IF(OR(ISBLANK(I38),I38=""),EOMONTH(DATE(EINSTELLUNG!$C$35,$A$1,1),0),I38)-MAX(D38,DATE(EINSTELLUNG!$C$35,$A$1,1))+1)/DAY(EOMONTH(DATE(EINSTELLUNG!$C$35,$A$1,1),0))*F38,2),"")</f>
        <v>86.5</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4" t="s">
        <v>104</v>
      </c>
      <c r="P38" s="338"/>
      <c r="Q38" s="339">
        <f>EINSTELLUNG!F14</f>
        <v>30000</v>
      </c>
      <c r="R38" s="339"/>
      <c r="S38" s="339">
        <f>EINSTELLUNG!F30</f>
        <v>31000</v>
      </c>
      <c r="T38" s="339"/>
      <c r="U38" s="339">
        <f t="shared" si="2"/>
        <v>1000</v>
      </c>
      <c r="V38" s="340"/>
    </row>
    <row r="39" spans="1:22" ht="22" customHeight="1">
      <c r="A39" s="321" t="s">
        <v>105</v>
      </c>
      <c r="B39" s="97">
        <v>401737</v>
      </c>
      <c r="C39" s="49" t="s">
        <v>266</v>
      </c>
      <c r="D39" s="53">
        <v>45906</v>
      </c>
      <c r="E39" s="51" t="s">
        <v>2</v>
      </c>
      <c r="F39" s="52">
        <v>86.5</v>
      </c>
      <c r="G39" s="322">
        <f>IF(OR(E39="",F39=""),"",PID_KVLohnLookup($A$1,E39,F39,LOHNTABELLE!$H$4))</f>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4" t="s">
        <v>106</v>
      </c>
      <c r="P39" s="338"/>
      <c r="Q39" s="375">
        <f>IF(Q38=0, 0, Q35/Q38)</f>
        <v>13.333333333333334</v>
      </c>
      <c r="R39" s="375"/>
      <c r="S39" s="375">
        <f>IF(S38=0, 0, S35/S38)</f>
        <v>14.516129032258064</v>
      </c>
      <c r="T39" s="375"/>
      <c r="U39" s="375">
        <f t="shared" si="2"/>
        <v>1.1827956989247301</v>
      </c>
      <c r="V39" s="376"/>
    </row>
    <row r="40" spans="1:22" ht="22" customHeight="1">
      <c r="A40" s="321" t="s">
        <v>107</v>
      </c>
      <c r="B40" s="96">
        <v>401738</v>
      </c>
      <c r="C40" s="41" t="s">
        <v>267</v>
      </c>
      <c r="D40" s="42">
        <v>45909</v>
      </c>
      <c r="E40" s="43" t="s">
        <v>2</v>
      </c>
      <c r="F40" s="44">
        <v>86.5</v>
      </c>
      <c r="G40" s="322">
        <f>IF(OR(E40="",F40=""),"",PID_KVLohnLookup($A$1,E40,F40,LOHNTABELLE!$H$4))</f>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4" t="s">
        <v>108</v>
      </c>
      <c r="P40" s="338"/>
      <c r="Q40" s="375">
        <f>IF(Q13=0, 0, Q35/Q13)</f>
        <v>55.168380794231602</v>
      </c>
      <c r="R40" s="375"/>
      <c r="S40" s="375">
        <f>IF(Q13=0, 0, S35/Q13)</f>
        <v>62.064428393510553</v>
      </c>
      <c r="T40" s="375"/>
      <c r="U40" s="375">
        <f t="shared" si="2"/>
        <v>6.8960475992789512</v>
      </c>
      <c r="V40" s="376"/>
    </row>
    <row r="41" spans="1:22" ht="22" customHeight="1">
      <c r="A41" s="321" t="s">
        <v>109</v>
      </c>
      <c r="B41" s="97">
        <v>401745</v>
      </c>
      <c r="C41" s="49" t="s">
        <v>271</v>
      </c>
      <c r="D41" s="50">
        <v>45934</v>
      </c>
      <c r="E41" s="51" t="s">
        <v>2</v>
      </c>
      <c r="F41" s="52">
        <v>86.5</v>
      </c>
      <c r="G41" s="322">
        <f>IF(OR(E41="",F41=""),"",PID_KVLohnLookup($A$1,E41,F41,LOHNTABELLE!$H$4))</f>
        <v>1010.5</v>
      </c>
      <c r="H41" s="323">
        <f>IF(AND(ISNUMBER(D41),ISNUMBER(F41)),ROUNDDOWN(MIN(IF(OR(ISBLANK(I41),I41=""),EOMONTH(DATE(EINSTELLUNG!$C$35,$A$1,1),0),I41)-MAX(D41,DATE(EINSTELLUNG!$C$35,$A$1,1))+1)/DAY(EOMONTH(DATE(EINSTELLUNG!$C$35,$A$1,1),0))*F41,2),"")</f>
        <v>86.5</v>
      </c>
      <c r="I41" s="53"/>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4" t="s">
        <v>110</v>
      </c>
      <c r="P41" s="338"/>
      <c r="Q41" s="339">
        <f>IF(Q13=0, 0, Q38/Q13)</f>
        <v>4.1376285595673705</v>
      </c>
      <c r="R41" s="339"/>
      <c r="S41" s="339">
        <f>IF(Q13=0, 0, S38/Q13)</f>
        <v>4.2755495115529492</v>
      </c>
      <c r="T41" s="339"/>
      <c r="U41" s="339">
        <f t="shared" si="2"/>
        <v>0.13792095198557863</v>
      </c>
      <c r="V41" s="340"/>
    </row>
    <row r="42" spans="1:22" ht="22" customHeight="1">
      <c r="A42" s="321" t="s">
        <v>111</v>
      </c>
      <c r="B42" s="96">
        <v>401746</v>
      </c>
      <c r="C42" s="41" t="s">
        <v>270</v>
      </c>
      <c r="D42" s="42">
        <v>45941</v>
      </c>
      <c r="E42" s="43" t="s">
        <v>2</v>
      </c>
      <c r="F42" s="44">
        <v>86.5</v>
      </c>
      <c r="G42" s="322">
        <f>IF(OR(E42="",F42=""),"",PID_KVLohnLookup($A$1,E42,F42,LOHNTABELLE!$H$4))</f>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79" t="s">
        <v>112</v>
      </c>
      <c r="P42" s="380"/>
      <c r="Q42" s="381">
        <f>IFERROR(Q17/Q8, 0)</f>
        <v>11.949687266269903</v>
      </c>
      <c r="R42" s="381"/>
      <c r="S42" s="381"/>
      <c r="T42" s="381"/>
      <c r="U42" s="381"/>
      <c r="V42" s="382"/>
    </row>
    <row r="43" spans="1:22" ht="22" customHeight="1">
      <c r="A43" s="321" t="s">
        <v>113</v>
      </c>
      <c r="B43" s="97">
        <v>401747</v>
      </c>
      <c r="C43" s="49" t="s">
        <v>268</v>
      </c>
      <c r="D43" s="53">
        <v>45941</v>
      </c>
      <c r="E43" s="51" t="s">
        <v>2</v>
      </c>
      <c r="F43" s="52">
        <v>86.5</v>
      </c>
      <c r="G43" s="322">
        <f>IF(OR(E43="",F43=""),"",PID_KVLohnLookup($A$1,E43,F43,LOHNTABELLE!$H$4))</f>
        <v>1010.5</v>
      </c>
      <c r="H43" s="323">
        <f>IF(AND(ISNUMBER(D43),ISNUMBER(F43)),ROUNDDOWN(MIN(IF(OR(ISBLANK(I43),I43=""),EOMONTH(DATE(EINSTELLUNG!$C$35,$A$1,1),0),I43)-MAX(D43,DATE(EINSTELLUNG!$C$35,$A$1,1))+1)/DAY(EOMONTH(DATE(EINSTELLUNG!$C$35,$A$1,1),0))*F43,2),"")</f>
        <v>86.5</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3"/>
      <c r="P43" s="383"/>
      <c r="Q43" s="383"/>
      <c r="R43" s="319"/>
      <c r="S43" s="319"/>
      <c r="T43" s="319"/>
      <c r="U43" s="319"/>
      <c r="V43" s="319"/>
    </row>
    <row r="44" spans="1:22" ht="22" customHeight="1">
      <c r="A44" s="321" t="s">
        <v>114</v>
      </c>
      <c r="B44" s="96">
        <v>401748</v>
      </c>
      <c r="C44" s="41" t="s">
        <v>269</v>
      </c>
      <c r="D44" s="42">
        <v>45941</v>
      </c>
      <c r="E44" s="43" t="s">
        <v>2</v>
      </c>
      <c r="F44" s="44">
        <v>138.4</v>
      </c>
      <c r="G44" s="322">
        <f>IF(OR(E44="",F44=""),"",PID_KVLohnLookup($A$1,E44,F44,LOHNTABELLE!$H$4))</f>
        <v>1616.8</v>
      </c>
      <c r="H44" s="323">
        <f>IF(AND(ISNUMBER(D44),ISNUMBER(F44)),ROUNDDOWN(MIN(IF(OR(ISBLANK(I44),I44=""),EOMONTH(DATE(EINSTELLUNG!$C$35,$A$1,1),0),I44)-MAX(D44,DATE(EINSTELLUNG!$C$35,$A$1,1))+1)/DAY(EOMONTH(DATE(EINSTELLUNG!$C$35,$A$1,1),0))*F44,2),"")</f>
        <v>138.4</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7"/>
      <c r="N44" s="70"/>
      <c r="O44" s="384" t="s">
        <v>115</v>
      </c>
      <c r="P44" s="384"/>
      <c r="Q44" s="384"/>
      <c r="R44" s="384"/>
      <c r="S44" s="384"/>
      <c r="T44" s="384"/>
      <c r="U44" s="384"/>
      <c r="V44" s="384"/>
    </row>
    <row r="45" spans="1:22" ht="22" customHeight="1">
      <c r="A45" s="321" t="s">
        <v>116</v>
      </c>
      <c r="B45" s="97">
        <v>401751</v>
      </c>
      <c r="C45" s="49" t="s">
        <v>272</v>
      </c>
      <c r="D45" s="50">
        <v>45961</v>
      </c>
      <c r="E45" s="51" t="s">
        <v>2</v>
      </c>
      <c r="F45" s="52">
        <v>86.5</v>
      </c>
      <c r="G45" s="322">
        <f>IF(OR(E45="",F45=""),"",PID_KVLohnLookup($A$1,E45,F45,LOHNTABELLE!$H$4))</f>
        <v>1010.5</v>
      </c>
      <c r="H45" s="323">
        <f>IF(AND(ISNUMBER(D45),ISNUMBER(F45)),ROUNDDOWN(MIN(IF(OR(ISBLANK(I45),I45=""),EOMONTH(DATE(EINSTELLUNG!$C$35,$A$1,1),0),I45)-MAX(D45,DATE(EINSTELLUNG!$C$35,$A$1,1))+1)/DAY(EOMONTH(DATE(EINSTELLUNG!$C$35,$A$1,1),0))*F45,2),"")</f>
        <v>86.5</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5"/>
      <c r="P45" s="385"/>
      <c r="Q45" s="385"/>
      <c r="R45" s="386"/>
      <c r="S45" s="386"/>
      <c r="T45" s="386"/>
      <c r="U45" s="386"/>
      <c r="V45" s="319"/>
    </row>
    <row r="46" spans="1:22" ht="22" customHeight="1">
      <c r="A46" s="321" t="s">
        <v>117</v>
      </c>
      <c r="B46" s="96">
        <v>401752</v>
      </c>
      <c r="C46" s="41" t="s">
        <v>273</v>
      </c>
      <c r="D46" s="42">
        <v>45986</v>
      </c>
      <c r="E46" s="43" t="s">
        <v>2</v>
      </c>
      <c r="F46" s="44">
        <v>173</v>
      </c>
      <c r="G46" s="322">
        <f>IF(OR(E46="",F46=""),"",PID_KVLohnLookup($A$1,E46,F46,LOHNTABELLE!$H$4))</f>
        <v>2021</v>
      </c>
      <c r="H46" s="323">
        <f>IF(AND(ISNUMBER(D46),ISNUMBER(F46)),ROUNDDOWN(MIN(IF(OR(ISBLANK(I46),I46=""),EOMONTH(DATE(EINSTELLUNG!$C$35,$A$1,1),0),I46)-MAX(D46,DATE(EINSTELLUNG!$C$35,$A$1,1))+1)/DAY(EOMONTH(DATE(EINSTELLUNG!$C$35,$A$1,1),0))*F46,2),"")</f>
        <v>173</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7"/>
      <c r="N46" s="70"/>
      <c r="O46" s="319"/>
      <c r="P46" s="319"/>
      <c r="Q46" s="319"/>
      <c r="R46" s="319"/>
      <c r="S46" s="319"/>
      <c r="T46" s="319"/>
      <c r="U46" s="319"/>
      <c r="V46" s="319"/>
    </row>
    <row r="47" spans="1:22" ht="22" customHeight="1">
      <c r="A47" s="321" t="s">
        <v>118</v>
      </c>
      <c r="B47" s="97">
        <v>401999</v>
      </c>
      <c r="C47" s="49" t="s">
        <v>355</v>
      </c>
      <c r="D47" s="50">
        <v>46041</v>
      </c>
      <c r="E47" s="51" t="s">
        <v>2</v>
      </c>
      <c r="F47" s="52">
        <v>151.38</v>
      </c>
      <c r="G47" s="322">
        <f>IF(OR(E47="",F47=""),"",PID_KVLohnLookup($A$1,E47,F47,LOHNTABELLE!$H$4))</f>
        <v>1768.38</v>
      </c>
      <c r="H47" s="323">
        <f>IF(AND(ISNUMBER(D47),ISNUMBER(F47)),ROUNDDOWN(MIN(IF(OR(ISBLANK(I47),I47=""),EOMONTH(DATE(EINSTELLUNG!$C$35,$A$1,1),0),I47)-MAX(D47,DATE(EINSTELLUNG!$C$35,$A$1,1))+1)/DAY(EOMONTH(DATE(EINSTELLUNG!$C$35,$A$1,1),0))*F47,2),"")</f>
        <v>151.38</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55"/>
      <c r="N47" s="71"/>
      <c r="O47" s="319"/>
      <c r="P47" s="319"/>
      <c r="Q47" s="319"/>
      <c r="R47" s="319"/>
      <c r="S47" s="319"/>
      <c r="T47" s="319"/>
      <c r="U47" s="319"/>
      <c r="V47" s="319"/>
    </row>
    <row r="48" spans="1:22" ht="22" customHeight="1">
      <c r="A48" s="321" t="s">
        <v>119</v>
      </c>
      <c r="B48" s="96">
        <v>401999</v>
      </c>
      <c r="C48" s="41" t="s">
        <v>293</v>
      </c>
      <c r="D48" s="42">
        <v>46082</v>
      </c>
      <c r="E48" s="43" t="s">
        <v>2</v>
      </c>
      <c r="F48" s="44">
        <v>173</v>
      </c>
      <c r="G48" s="322">
        <f>IF(OR(E48="",F48=""),"",PID_KVLohnLookup($A$1,E48,F48,LOHNTABELLE!$H$4))</f>
        <v>2021</v>
      </c>
      <c r="H48" s="323">
        <f>IF(AND(ISNUMBER(D48),ISNUMBER(F48)),ROUNDDOWN(MIN(IF(OR(ISBLANK(I48),I48=""),EOMONTH(DATE(EINSTELLUNG!$C$35,$A$1,1),0),I48)-MAX(D48,DATE(EINSTELLUNG!$C$35,$A$1,1))+1)/DAY(EOMONTH(DATE(EINSTELLUNG!$C$35,$A$1,1),0))*F48,2),"")</f>
        <v>173</v>
      </c>
      <c r="I48" s="45"/>
      <c r="J48" s="46"/>
      <c r="K48" s="322">
        <f t="shared" si="1"/>
        <v>0</v>
      </c>
      <c r="L48" s="32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7"/>
      <c r="N48" s="70"/>
      <c r="O48" s="319"/>
      <c r="P48" s="319"/>
      <c r="Q48" s="319"/>
      <c r="R48" s="319"/>
      <c r="S48" s="319"/>
      <c r="T48" s="319"/>
      <c r="U48" s="319"/>
      <c r="V48" s="319"/>
    </row>
    <row r="49" spans="1:22" ht="22" customHeight="1">
      <c r="A49" s="321" t="s">
        <v>120</v>
      </c>
      <c r="B49" s="97">
        <v>402000</v>
      </c>
      <c r="C49" s="49" t="s">
        <v>295</v>
      </c>
      <c r="D49" s="53">
        <v>46143</v>
      </c>
      <c r="E49" s="51" t="s">
        <v>2</v>
      </c>
      <c r="F49" s="52">
        <v>173</v>
      </c>
      <c r="G49" s="322">
        <f>IF(OR(E49="",F49=""),"",PID_KVLohnLookup($A$1,E49,F49,LOHNTABELLE!$H$4))</f>
        <v>2021</v>
      </c>
      <c r="H49" s="323">
        <f>IF(AND(ISNUMBER(D49),ISNUMBER(F49)),ROUNDDOWN(MIN(IF(OR(ISBLANK(I49),I49=""),EOMONTH(DATE(EINSTELLUNG!$C$35,$A$1,1),0),I49)-MAX(D49,DATE(EINSTELLUNG!$C$35,$A$1,1))+1)/DAY(EOMONTH(DATE(EINSTELLUNG!$C$35,$A$1,1),0))*F49,2),"")</f>
        <v>173</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19"/>
      <c r="P49" s="319"/>
      <c r="Q49" s="319"/>
      <c r="R49" s="319"/>
      <c r="S49" s="319"/>
      <c r="T49" s="319"/>
      <c r="U49" s="319"/>
      <c r="V49" s="319"/>
    </row>
    <row r="50" spans="1:22" ht="22" customHeight="1">
      <c r="A50" s="321" t="s">
        <v>121</v>
      </c>
      <c r="B50" s="96">
        <v>402004</v>
      </c>
      <c r="C50" s="41" t="s">
        <v>296</v>
      </c>
      <c r="D50" s="45">
        <v>46122</v>
      </c>
      <c r="E50" s="43" t="s">
        <v>2</v>
      </c>
      <c r="F50" s="44">
        <v>173</v>
      </c>
      <c r="G50" s="322">
        <f>IF(OR(E50="",F50=""),"",PID_KVLohnLookup($A$1,E50,F50,LOHNTABELLE!$H$4))</f>
        <v>2021</v>
      </c>
      <c r="H50" s="323">
        <f>IF(AND(ISNUMBER(D50),ISNUMBER(F50)),ROUNDDOWN(MIN(IF(OR(ISBLANK(I50),I50=""),EOMONTH(DATE(EINSTELLUNG!$C$35,$A$1,1),0),I50)-MAX(D50,DATE(EINSTELLUNG!$C$35,$A$1,1))+1)/DAY(EOMONTH(DATE(EINSTELLUNG!$C$35,$A$1,1),0))*F50,2),"")</f>
        <v>173</v>
      </c>
      <c r="I50" s="45"/>
      <c r="J50" s="46"/>
      <c r="K50" s="322">
        <f t="shared" si="1"/>
        <v>0</v>
      </c>
      <c r="L50" s="32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319"/>
      <c r="P50" s="319"/>
      <c r="Q50" s="319"/>
      <c r="R50" s="319"/>
      <c r="S50" s="319"/>
      <c r="T50" s="319"/>
      <c r="U50" s="319"/>
      <c r="V50" s="319"/>
    </row>
    <row r="51" spans="1:22" ht="22" customHeight="1">
      <c r="A51" s="321" t="s">
        <v>122</v>
      </c>
      <c r="B51" s="97">
        <v>402405</v>
      </c>
      <c r="C51" s="49" t="s">
        <v>298</v>
      </c>
      <c r="D51" s="53">
        <v>46054</v>
      </c>
      <c r="E51" s="51" t="s">
        <v>2</v>
      </c>
      <c r="F51" s="52">
        <v>173</v>
      </c>
      <c r="G51" s="322">
        <f>IF(OR(E51="",F51=""),"",PID_KVLohnLookup($A$1,E51,F51,LOHNTABELLE!$H$4))</f>
        <v>2021</v>
      </c>
      <c r="H51" s="323">
        <f>IF(AND(ISNUMBER(D51),ISNUMBER(F51)),ROUNDDOWN(MIN(IF(OR(ISBLANK(I51),I51=""),EOMONTH(DATE(EINSTELLUNG!$C$35,$A$1,1),0),I51)-MAX(D51,DATE(EINSTELLUNG!$C$35,$A$1,1))+1)/DAY(EOMONTH(DATE(EINSTELLUNG!$C$35,$A$1,1),0))*F51,2),"")</f>
        <v>173</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1" t="s">
        <v>123</v>
      </c>
      <c r="B52" s="96">
        <v>500600</v>
      </c>
      <c r="C52" s="41" t="s">
        <v>302</v>
      </c>
      <c r="D52" s="42">
        <v>46054</v>
      </c>
      <c r="E52" s="43" t="s">
        <v>2</v>
      </c>
      <c r="F52" s="44">
        <v>173</v>
      </c>
      <c r="G52" s="322">
        <f>IF(OR(E52="",F52=""),"",PID_KVLohnLookup($A$1,E52,F52,LOHNTABELLE!$H$4))</f>
        <v>2021</v>
      </c>
      <c r="H52" s="323">
        <f>IF(AND(ISNUMBER(D52),ISNUMBER(F52)),ROUNDDOWN(MIN(IF(OR(ISBLANK(I52),I52=""),EOMONTH(DATE(EINSTELLUNG!$C$35,$A$1,1),0),I52)-MAX(D52,DATE(EINSTELLUNG!$C$35,$A$1,1))+1)/DAY(EOMONTH(DATE(EINSTELLUNG!$C$35,$A$1,1),0))*F52,2),"")</f>
        <v>173</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1" t="s">
        <v>124</v>
      </c>
      <c r="B53" s="97">
        <v>502000</v>
      </c>
      <c r="C53" s="49" t="s">
        <v>297</v>
      </c>
      <c r="D53" s="53">
        <v>46147</v>
      </c>
      <c r="E53" s="51" t="s">
        <v>2</v>
      </c>
      <c r="F53" s="52">
        <v>173</v>
      </c>
      <c r="G53" s="322">
        <f>IF(OR(E53="",F53=""),"",PID_KVLohnLookup($A$1,E53,F53,LOHNTABELLE!$H$4))</f>
        <v>2021</v>
      </c>
      <c r="H53" s="323">
        <f>IF(AND(ISNUMBER(D53),ISNUMBER(F53)),ROUNDDOWN(MIN(IF(OR(ISBLANK(I53),I53=""),EOMONTH(DATE(EINSTELLUNG!$C$35,$A$1,1),0),I53)-MAX(D53,DATE(EINSTELLUNG!$C$35,$A$1,1))+1)/DAY(EOMONTH(DATE(EINSTELLUNG!$C$35,$A$1,1),0))*F53,2),"")</f>
        <v>173</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1" t="s">
        <v>125</v>
      </c>
      <c r="B54" s="96">
        <v>503000</v>
      </c>
      <c r="C54" s="41" t="s">
        <v>299</v>
      </c>
      <c r="D54" s="45">
        <v>42401</v>
      </c>
      <c r="E54" s="43" t="s">
        <v>2</v>
      </c>
      <c r="F54" s="44">
        <v>173</v>
      </c>
      <c r="G54" s="322">
        <f>IF(OR(E54="",F54=""),"",PID_KVLohnLookup($A$1,E54,F54,LOHNTABELLE!$H$4))</f>
        <v>2021</v>
      </c>
      <c r="H54" s="323">
        <f>IF(AND(ISNUMBER(D54),ISNUMBER(F54)),ROUNDDOWN(MIN(IF(OR(ISBLANK(I54),I54=""),EOMONTH(DATE(EINSTELLUNG!$C$35,$A$1,1),0),I54)-MAX(D54,DATE(EINSTELLUNG!$C$35,$A$1,1))+1)/DAY(EOMONTH(DATE(EINSTELLUNG!$C$35,$A$1,1),0))*F54,2),"")</f>
        <v>173</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1" t="s">
        <v>126</v>
      </c>
      <c r="B55" s="97">
        <v>504000</v>
      </c>
      <c r="C55" s="49" t="s">
        <v>300</v>
      </c>
      <c r="D55" s="53">
        <v>46054</v>
      </c>
      <c r="E55" s="51" t="s">
        <v>3</v>
      </c>
      <c r="F55" s="52">
        <v>138.4</v>
      </c>
      <c r="G55" s="322">
        <f>IF(OR(E55="",F55=""),"",PID_KVLohnLookup($A$1,E55,F55,LOHNTABELLE!$H$4))</f>
        <v>1665.6</v>
      </c>
      <c r="H55" s="323">
        <f>IF(AND(ISNUMBER(D55),ISNUMBER(F55)),ROUNDDOWN(MIN(IF(OR(ISBLANK(I55),I55=""),EOMONTH(DATE(EINSTELLUNG!$C$35,$A$1,1),0),I55)-MAX(D55,DATE(EINSTELLUNG!$C$35,$A$1,1))+1)/DAY(EOMONTH(DATE(EINSTELLUNG!$C$35,$A$1,1),0))*F55,2),"")</f>
        <v>138.4</v>
      </c>
      <c r="I55" s="53"/>
      <c r="J55" s="54"/>
      <c r="K55" s="322">
        <f t="shared" si="1"/>
        <v>0</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5"/>
      <c r="N55" s="71"/>
    </row>
    <row r="56" spans="1:22" ht="22" customHeight="1">
      <c r="A56" s="321" t="s">
        <v>127</v>
      </c>
      <c r="B56" s="96">
        <v>505000</v>
      </c>
      <c r="C56" s="41" t="s">
        <v>301</v>
      </c>
      <c r="D56" s="45">
        <v>46054</v>
      </c>
      <c r="E56" s="43" t="s">
        <v>2</v>
      </c>
      <c r="F56" s="44">
        <v>138.4</v>
      </c>
      <c r="G56" s="322">
        <f>IF(OR(E56="",F56=""),"",PID_KVLohnLookup($A$1,E56,F56,LOHNTABELLE!$H$4))</f>
        <v>1616.8</v>
      </c>
      <c r="H56" s="323">
        <f>IF(AND(ISNUMBER(D56),ISNUMBER(F56)),ROUNDDOWN(MIN(IF(OR(ISBLANK(I56),I56=""),EOMONTH(DATE(EINSTELLUNG!$C$35,$A$1,1),0),I56)-MAX(D56,DATE(EINSTELLUNG!$C$35,$A$1,1))+1)/DAY(EOMONTH(DATE(EINSTELLUNG!$C$35,$A$1,1),0))*F56,2),"")</f>
        <v>138.4</v>
      </c>
      <c r="I56" s="45"/>
      <c r="J56" s="46"/>
      <c r="K56" s="322">
        <f t="shared" si="1"/>
        <v>0</v>
      </c>
      <c r="L56" s="32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7"/>
      <c r="N56" s="70"/>
    </row>
    <row r="57" spans="1:22" ht="22" customHeight="1">
      <c r="A57" s="321" t="s">
        <v>128</v>
      </c>
      <c r="B57" s="97">
        <v>525025</v>
      </c>
      <c r="C57" s="49" t="s">
        <v>356</v>
      </c>
      <c r="D57" s="53">
        <v>46040</v>
      </c>
      <c r="E57" s="51" t="s">
        <v>2</v>
      </c>
      <c r="F57" s="52">
        <v>129.75</v>
      </c>
      <c r="G57" s="322">
        <f>IF(OR(E57="",F57=""),"",PID_KVLohnLookup($A$1,E57,F57,LOHNTABELLE!$H$4))</f>
        <v>1515.75</v>
      </c>
      <c r="H57" s="323">
        <f>IF(AND(ISNUMBER(D57),ISNUMBER(F57)),ROUNDDOWN(MIN(IF(OR(ISBLANK(I57),I57=""),EOMONTH(DATE(EINSTELLUNG!$C$35,$A$1,1),0),I57)-MAX(D57,DATE(EINSTELLUNG!$C$35,$A$1,1))+1)/DAY(EOMONTH(DATE(EINSTELLUNG!$C$35,$A$1,1),0))*F57,2),"")</f>
        <v>129.75</v>
      </c>
      <c r="I57" s="53"/>
      <c r="J57" s="54"/>
      <c r="K57" s="322">
        <f t="shared" si="1"/>
        <v>0</v>
      </c>
      <c r="L57" s="32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5"/>
      <c r="N57" s="71"/>
    </row>
    <row r="58" spans="1:22" ht="22" customHeight="1">
      <c r="A58" s="321" t="s">
        <v>129</v>
      </c>
      <c r="B58" s="96">
        <v>700000</v>
      </c>
      <c r="C58" s="56" t="s">
        <v>309</v>
      </c>
      <c r="D58" s="45">
        <v>46054</v>
      </c>
      <c r="E58" s="43" t="s">
        <v>2</v>
      </c>
      <c r="F58" s="44">
        <v>173</v>
      </c>
      <c r="G58" s="322">
        <f>IF(OR(E58="",F58=""),"",PID_KVLohnLookup($A$1,E58,F58,LOHNTABELLE!$H$4))</f>
        <v>2021</v>
      </c>
      <c r="H58" s="323">
        <f>IF(AND(ISNUMBER(D58),ISNUMBER(F58)),ROUNDDOWN(MIN(IF(OR(ISBLANK(I58),I58=""),EOMONTH(DATE(EINSTELLUNG!$C$35,$A$1,1),0),I58)-MAX(D58,DATE(EINSTELLUNG!$C$35,$A$1,1))+1)/DAY(EOMONTH(DATE(EINSTELLUNG!$C$35,$A$1,1),0))*F58,2),"")</f>
        <v>173</v>
      </c>
      <c r="I58" s="45"/>
      <c r="J58" s="46"/>
      <c r="K58" s="322">
        <f t="shared" si="1"/>
        <v>0</v>
      </c>
      <c r="L58" s="32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1" t="s">
        <v>130</v>
      </c>
      <c r="B59" s="97">
        <v>800000</v>
      </c>
      <c r="C59" s="49" t="s">
        <v>310</v>
      </c>
      <c r="D59" s="50">
        <v>46096</v>
      </c>
      <c r="E59" s="51" t="s">
        <v>2</v>
      </c>
      <c r="F59" s="52">
        <v>86.5</v>
      </c>
      <c r="G59" s="322">
        <f>IF(OR(E59="",F59=""),"",PID_KVLohnLookup($A$1,E59,F59,LOHNTABELLE!$H$4))</f>
        <v>1010.5</v>
      </c>
      <c r="H59" s="323">
        <f>IF(AND(ISNUMBER(D59),ISNUMBER(F59)),ROUNDDOWN(MIN(IF(OR(ISBLANK(I59),I59=""),EOMONTH(DATE(EINSTELLUNG!$C$35,$A$1,1),0),I59)-MAX(D59,DATE(EINSTELLUNG!$C$35,$A$1,1))+1)/DAY(EOMONTH(DATE(EINSTELLUNG!$C$35,$A$1,1),0))*F59,2),"")</f>
        <v>86.5</v>
      </c>
      <c r="I59" s="53"/>
      <c r="J59" s="54"/>
      <c r="K59" s="322">
        <f t="shared" si="1"/>
        <v>0</v>
      </c>
      <c r="L59" s="32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1010.5</v>
      </c>
      <c r="M59" s="55"/>
      <c r="N59" s="71"/>
    </row>
    <row r="60" spans="1:22" ht="22" customHeight="1">
      <c r="A60" s="321" t="s">
        <v>131</v>
      </c>
      <c r="B60" s="96"/>
      <c r="C60" s="41"/>
      <c r="D60" s="45"/>
      <c r="E60" s="43"/>
      <c r="F60" s="44"/>
      <c r="G60" s="322" t="str">
        <f>IF(OR(E60="",F60=""),"",PID_KVLohnLookup($A$1,E60,F60,LOHNTABELLE!$H$4))</f>
        <v/>
      </c>
      <c r="H60" s="323" t="str">
        <f>IF(AND(ISNUMBER(D60),ISNUMBER(F60)),ROUNDDOWN(MIN(IF(OR(ISBLANK(I60),I60=""),EOMONTH(DATE(EINSTELLUNG!$C$35,$A$1,1),0),I60)-MAX(D60,DATE(EINSTELLUNG!$C$35,$A$1,1))+1)/DAY(EOMONTH(DATE(EINSTELLUNG!$C$35,$A$1,1),0))*F60,2),"")</f>
        <v/>
      </c>
      <c r="I60" s="45"/>
      <c r="J60" s="46"/>
      <c r="K60" s="322" t="str">
        <f t="shared" si="1"/>
        <v/>
      </c>
      <c r="L60" s="324"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1" t="s">
        <v>132</v>
      </c>
      <c r="B61" s="97"/>
      <c r="C61" s="49"/>
      <c r="D61" s="53"/>
      <c r="E61" s="51"/>
      <c r="F61" s="52"/>
      <c r="G61" s="322" t="str">
        <f>IF(OR(E61="",F61=""),"",PID_KVLohnLookup($A$1,E61,F61,LOHNTABELLE!$H$4))</f>
        <v/>
      </c>
      <c r="H61" s="323" t="str">
        <f>IF(AND(ISNUMBER(D61),ISNUMBER(F61)),ROUNDDOWN(MIN(IF(OR(ISBLANK(I61),I61=""),EOMONTH(DATE(EINSTELLUNG!$C$35,$A$1,1),0),I61)-MAX(D61,DATE(EINSTELLUNG!$C$35,$A$1,1))+1)/DAY(EOMONTH(DATE(EINSTELLUNG!$C$35,$A$1,1),0))*F61,2),"")</f>
        <v/>
      </c>
      <c r="I61" s="53"/>
      <c r="J61" s="54"/>
      <c r="K61" s="322" t="str">
        <f t="shared" si="1"/>
        <v/>
      </c>
      <c r="L61" s="32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1" t="s">
        <v>133</v>
      </c>
      <c r="B62" s="96"/>
      <c r="C62" s="41"/>
      <c r="D62" s="45"/>
      <c r="E62" s="43"/>
      <c r="F62" s="44"/>
      <c r="G62" s="322" t="str">
        <f>IF(OR(E62="",F62=""),"",PID_KVLohnLookup($A$1,E62,F62,LOHNTABELLE!$H$4))</f>
        <v/>
      </c>
      <c r="H62" s="323" t="str">
        <f>IF(AND(ISNUMBER(D62),ISNUMBER(F62)),ROUNDDOWN(MIN(IF(OR(ISBLANK(I62),I62=""),EOMONTH(DATE(EINSTELLUNG!$C$35,$A$1,1),0),I62)-MAX(D62,DATE(EINSTELLUNG!$C$35,$A$1,1))+1)/DAY(EOMONTH(DATE(EINSTELLUNG!$C$35,$A$1,1),0))*F62,2),"")</f>
        <v/>
      </c>
      <c r="I62" s="45"/>
      <c r="J62" s="46"/>
      <c r="K62" s="322" t="str">
        <f t="shared" si="1"/>
        <v/>
      </c>
      <c r="L62" s="32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1" t="s">
        <v>134</v>
      </c>
      <c r="B63" s="97"/>
      <c r="C63" s="49"/>
      <c r="D63" s="53"/>
      <c r="E63" s="51"/>
      <c r="F63" s="52"/>
      <c r="G63" s="322" t="str">
        <f>IF(OR(E63="",F63=""),"",PID_KVLohnLookup($A$1,E63,F63,LOHNTABELLE!$H$4))</f>
        <v/>
      </c>
      <c r="H63" s="323" t="str">
        <f>IF(AND(ISNUMBER(D63),ISNUMBER(F63)),ROUNDDOWN(MIN(IF(OR(ISBLANK(I63),I63=""),EOMONTH(DATE(EINSTELLUNG!$C$35,$A$1,1),0),I63)-MAX(D63,DATE(EINSTELLUNG!$C$35,$A$1,1))+1)/DAY(EOMONTH(DATE(EINSTELLUNG!$C$35,$A$1,1),0))*F63,2),"")</f>
        <v/>
      </c>
      <c r="I63" s="53"/>
      <c r="J63" s="54"/>
      <c r="K63" s="322" t="str">
        <f t="shared" si="1"/>
        <v/>
      </c>
      <c r="L63" s="32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1" t="s">
        <v>135</v>
      </c>
      <c r="B64" s="96"/>
      <c r="C64" s="41"/>
      <c r="D64" s="45"/>
      <c r="E64" s="43"/>
      <c r="F64" s="44"/>
      <c r="G64" s="322" t="str">
        <f>IF(OR(E64="",F64=""),"",PID_KVLohnLookup($A$1,E64,F64,LOHNTABELLE!$H$4))</f>
        <v/>
      </c>
      <c r="H64" s="323" t="str">
        <f>IF(AND(ISNUMBER(D64),ISNUMBER(F64)),ROUNDDOWN(MIN(IF(OR(ISBLANK(I64),I64=""),EOMONTH(DATE(EINSTELLUNG!$C$35,$A$1,1),0),I64)-MAX(D64,DATE(EINSTELLUNG!$C$35,$A$1,1))+1)/DAY(EOMONTH(DATE(EINSTELLUNG!$C$35,$A$1,1),0))*F64,2),"")</f>
        <v/>
      </c>
      <c r="I64" s="45"/>
      <c r="J64" s="46"/>
      <c r="K64" s="322" t="str">
        <f t="shared" si="1"/>
        <v/>
      </c>
      <c r="L64" s="32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1" t="s">
        <v>136</v>
      </c>
      <c r="B65" s="97"/>
      <c r="C65" s="49"/>
      <c r="D65" s="53"/>
      <c r="E65" s="51"/>
      <c r="F65" s="52"/>
      <c r="G65" s="322" t="str">
        <f>IF(OR(E65="",F65=""),"",PID_KVLohnLookup($A$1,E65,F65,LOHNTABELLE!$H$4))</f>
        <v/>
      </c>
      <c r="H65" s="323" t="str">
        <f>IF(AND(ISNUMBER(D65),ISNUMBER(F65)),ROUNDDOWN(MIN(IF(OR(ISBLANK(I65),I65=""),EOMONTH(DATE(EINSTELLUNG!$C$35,$A$1,1),0),I65)-MAX(D65,DATE(EINSTELLUNG!$C$35,$A$1,1))+1)/DAY(EOMONTH(DATE(EINSTELLUNG!$C$35,$A$1,1),0))*F65,2),"")</f>
        <v/>
      </c>
      <c r="I65" s="53"/>
      <c r="J65" s="54"/>
      <c r="K65" s="322" t="str">
        <f t="shared" si="1"/>
        <v/>
      </c>
      <c r="L65" s="32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1" t="s">
        <v>137</v>
      </c>
      <c r="B66" s="96"/>
      <c r="C66" s="41"/>
      <c r="D66" s="45"/>
      <c r="E66" s="43"/>
      <c r="F66" s="44"/>
      <c r="G66" s="322" t="str">
        <f>IF(OR(E66="",F66=""),"",PID_KVLohnLookup($A$1,E66,F66,LOHNTABELLE!$H$4))</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1" t="s">
        <v>138</v>
      </c>
      <c r="B67" s="97"/>
      <c r="C67" s="49"/>
      <c r="D67" s="53"/>
      <c r="E67" s="51"/>
      <c r="F67" s="52"/>
      <c r="G67" s="322" t="str">
        <f>IF(OR(E67="",F67=""),"",PID_KVLohnLookup($A$1,E67,F67,LOHNTABELLE!$H$4))</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1" t="s">
        <v>139</v>
      </c>
      <c r="B68" s="96"/>
      <c r="C68" s="41"/>
      <c r="D68" s="45"/>
      <c r="E68" s="43"/>
      <c r="F68" s="44"/>
      <c r="G68" s="322" t="str">
        <f>IF(OR(E68="",F68=""),"",PID_KVLohnLookup($A$1,E68,F68,LOHNTABELLE!$H$4))</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1" t="s">
        <v>140</v>
      </c>
      <c r="B69" s="97"/>
      <c r="C69" s="49"/>
      <c r="D69" s="53"/>
      <c r="E69" s="51"/>
      <c r="F69" s="52"/>
      <c r="G69" s="322" t="str">
        <f>IF(OR(E69="",F69=""),"",PID_KVLohnLookup($A$1,E69,F69,LOHNTABELLE!$H$4))</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1" t="s">
        <v>141</v>
      </c>
      <c r="B70" s="96"/>
      <c r="C70" s="41"/>
      <c r="D70" s="45"/>
      <c r="E70" s="43"/>
      <c r="F70" s="44"/>
      <c r="G70" s="322" t="str">
        <f>IF(OR(E70="",F70=""),"",PID_KVLohnLookup($A$1,E70,F70,LOHNTABELLE!$H$4))</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1" t="s">
        <v>142</v>
      </c>
      <c r="B71" s="97"/>
      <c r="C71" s="49"/>
      <c r="D71" s="53"/>
      <c r="E71" s="51"/>
      <c r="F71" s="52"/>
      <c r="G71" s="322" t="str">
        <f>IF(OR(E71="",F71=""),"",PID_KVLohnLookup($A$1,E71,F71,LOHNTABELLE!$H$4))</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1" t="s">
        <v>143</v>
      </c>
      <c r="B72" s="96"/>
      <c r="C72" s="41"/>
      <c r="D72" s="45"/>
      <c r="E72" s="43"/>
      <c r="F72" s="44"/>
      <c r="G72" s="322" t="str">
        <f>IF(OR(E72="",F72=""),"",PID_KVLohnLookup($A$1,E72,F72,LOHNTABELLE!$H$4))</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1" t="s">
        <v>144</v>
      </c>
      <c r="B73" s="97"/>
      <c r="C73" s="49"/>
      <c r="D73" s="53"/>
      <c r="E73" s="51"/>
      <c r="F73" s="52"/>
      <c r="G73" s="322" t="str">
        <f>IF(OR(E73="",F73=""),"",PID_KVLohnLookup($A$1,E73,F73,LOHNTABELLE!$H$4))</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1" t="s">
        <v>145</v>
      </c>
      <c r="B74" s="96"/>
      <c r="C74" s="41"/>
      <c r="D74" s="45"/>
      <c r="E74" s="43"/>
      <c r="F74" s="44"/>
      <c r="G74" s="322" t="str">
        <f>IF(OR(E74="",F74=""),"",PID_KVLohnLookup($A$1,E74,F74,LOHNTABELLE!$H$4))</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1" t="s">
        <v>146</v>
      </c>
      <c r="B75" s="97"/>
      <c r="C75" s="49"/>
      <c r="D75" s="53"/>
      <c r="E75" s="51"/>
      <c r="F75" s="52"/>
      <c r="G75" s="322" t="str">
        <f>IF(OR(E75="",F75=""),"",PID_KVLohnLookup($A$1,E75,F75,LOHNTABELLE!$H$4))</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1" t="s">
        <v>147</v>
      </c>
      <c r="B76" s="96"/>
      <c r="C76" s="41"/>
      <c r="D76" s="45"/>
      <c r="E76" s="43"/>
      <c r="F76" s="44"/>
      <c r="G76" s="322" t="str">
        <f>IF(OR(E76="",F76=""),"",PID_KVLohnLookup($A$1,E76,F76,LOHNTABELLE!$H$4))</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1" t="s">
        <v>148</v>
      </c>
      <c r="B77" s="97"/>
      <c r="C77" s="49"/>
      <c r="D77" s="53"/>
      <c r="E77" s="51"/>
      <c r="F77" s="52"/>
      <c r="G77" s="322" t="str">
        <f>IF(OR(E77="",F77=""),"",PID_KVLohnLookup($A$1,E77,F77,LOHNTABELLE!$H$4))</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1" t="s">
        <v>149</v>
      </c>
      <c r="B78" s="96"/>
      <c r="C78" s="41"/>
      <c r="D78" s="45"/>
      <c r="E78" s="43"/>
      <c r="F78" s="44"/>
      <c r="G78" s="322" t="str">
        <f>IF(OR(E78="",F78=""),"",PID_KVLohnLookup($A$1,E78,F78,LOHNTABELLE!$H$4))</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1" t="s">
        <v>150</v>
      </c>
      <c r="B79" s="97"/>
      <c r="C79" s="49"/>
      <c r="D79" s="53"/>
      <c r="E79" s="51"/>
      <c r="F79" s="52"/>
      <c r="G79" s="322" t="str">
        <f>IF(OR(E79="",F79=""),"",PID_KVLohnLookup($A$1,E79,F79,LOHNTABELLE!$H$4))</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1" t="s">
        <v>151</v>
      </c>
      <c r="B80" s="96"/>
      <c r="C80" s="41"/>
      <c r="D80" s="45"/>
      <c r="E80" s="43"/>
      <c r="F80" s="44"/>
      <c r="G80" s="322" t="str">
        <f>IF(OR(E80="",F80=""),"",PID_KVLohnLookup($A$1,E80,F80,LOHNTABELLE!$H$4))</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1" t="s">
        <v>152</v>
      </c>
      <c r="B81" s="97"/>
      <c r="C81" s="49"/>
      <c r="D81" s="53"/>
      <c r="E81" s="51"/>
      <c r="F81" s="52"/>
      <c r="G81" s="322" t="str">
        <f>IF(OR(E81="",F81=""),"",PID_KVLohnLookup($A$1,E81,F81,LOHNTABELLE!$H$4))</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87" t="s">
        <v>153</v>
      </c>
      <c r="B82" s="98"/>
      <c r="C82" s="58"/>
      <c r="D82" s="59"/>
      <c r="E82" s="60"/>
      <c r="F82" s="61"/>
      <c r="G82" s="388" t="str">
        <f>IF(OR(E82="",F82=""),"",PID_KVLohnLookup($A$1,E82,F82,LOHNTABELLE!$H$4))</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91"/>
      <c r="B83" s="391"/>
    </row>
    <row r="100" spans="26:26" ht="16" customHeight="1">
      <c r="Z100" s="301"/>
    </row>
  </sheetData>
  <sheetProtection algorithmName="SHA-512" hashValue="FXb8Xtm9+kULcNFJa00I1ikpOi8RUvhqJ+zudcIQSFhL3klQ0gvsOiYVAesGpASLAKH+n6WYEnmKDUZsMkC8iw==" saltValue="sA9Tw3yDGuuGgrLtVs+2k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F55</xm:sqref>
        </x14:dataValidation>
        <x14:dataValidation type="list" allowBlank="1" showInputMessage="1" showErrorMessage="1" xr:uid="{06D7D3F2-06CB-3A40-B34B-5555628B189D}">
          <x14:formula1>
            <xm:f>KV_DROPDOWN_HELPER!$XV$1:$XV$13</xm:f>
          </x14:formula1>
          <xm:sqref>F19 F22 F24</xm:sqref>
        </x14:dataValidation>
        <x14:dataValidation type="list" allowBlank="1" showInputMessage="1" showErrorMessage="1" xr:uid="{E69CC798-767E-4549-849E-4EA6C2023E32}">
          <x14:formula1>
            <xm:f>KV_DROPDOWN_HELPER!$XW$1:$XW$13</xm:f>
          </x14:formula1>
          <xm:sqref>F60 F61 F62 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F18</xm:sqref>
        </x14:dataValidation>
        <x14:dataValidation type="list" allowBlank="1" showInputMessage="1" showErrorMessage="1" xr:uid="{E138E253-B4CB-471F-ABDA-C1BEC6F664A8}">
          <x14:formula1>
            <xm:f>KV_DROPDOWN_HELPER!$XT$1:$XT$13</xm:f>
          </x14:formula1>
          <xm:sqref>F15</xm:sqref>
        </x14:dataValidation>
        <x14:dataValidation type="list" allowBlank="1" showInputMessage="1" showErrorMessage="1" xr:uid="{D4399E3F-C669-4421-85BF-EE5E4E659512}">
          <x14:formula1>
            <xm:f>KV_DROPDOWN_HELPER!$XQ$1:$XQ$16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J10" sqref="J10"/>
    </sheetView>
  </sheetViews>
  <sheetFormatPr baseColWidth="10" defaultColWidth="9.1796875" defaultRowHeight="16" customHeight="1"/>
  <cols>
    <col min="1" max="1" width="4.4531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6328125" style="221" bestFit="1" customWidth="1"/>
    <col min="29" max="16384" width="9.1796875" style="221"/>
  </cols>
  <sheetData>
    <row r="1" spans="1:28" ht="18" customHeight="1">
      <c r="A1" s="302">
        <v>10</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46296</v>
      </c>
    </row>
    <row r="2" spans="1:28" ht="18" customHeight="1" thickBot="1">
      <c r="A2" s="307"/>
      <c r="B2" s="308"/>
      <c r="C2" s="309"/>
      <c r="D2" s="309"/>
      <c r="E2" s="309"/>
      <c r="F2" s="309"/>
      <c r="G2" s="309"/>
      <c r="H2" s="309"/>
      <c r="I2" s="309"/>
      <c r="J2" s="309"/>
      <c r="K2" s="309"/>
      <c r="L2" s="309"/>
      <c r="M2" s="309"/>
      <c r="N2" s="310"/>
      <c r="O2" s="311"/>
      <c r="P2" s="311"/>
      <c r="Q2" s="311"/>
      <c r="S2" s="312" t="s">
        <v>384</v>
      </c>
      <c r="T2" s="312"/>
      <c r="U2" s="312"/>
      <c r="V2" s="312"/>
      <c r="AB2" s="306">
        <f>EOMONTH(DATE(EINSTELLUNG!$C$35,$A$1,1),0)</f>
        <v>46326</v>
      </c>
    </row>
    <row r="3" spans="1:28" ht="22" customHeight="1">
      <c r="A3" s="313" t="s">
        <v>389</v>
      </c>
      <c r="B3" s="95">
        <v>401010</v>
      </c>
      <c r="C3" s="33" t="s">
        <v>224</v>
      </c>
      <c r="D3" s="34">
        <v>39388</v>
      </c>
      <c r="E3" s="35" t="s">
        <v>2</v>
      </c>
      <c r="F3" s="64">
        <v>138.4</v>
      </c>
      <c r="G3" s="314">
        <f>IF(OR(E3="",F3=""),"",PID_KVLohnLookup($A$1,E3,F3,LOHNTABELLE!$H$4))</f>
        <v>1616.8</v>
      </c>
      <c r="H3" s="315">
        <f>IF(AND(ISNUMBER(D3),ISNUMBER(F3)),ROUNDDOWN(MIN(IF(OR(ISBLANK(I3),I3=""),EOMONTH(DATE(EINSTELLUNG!$C$35,$A$1,1),0),I3)-MAX(D3,DATE(EINSTELLUNG!$C$35,$A$1,1))+1)/DAY(EOMONTH(DATE(EINSTELLUNG!$C$35,$A$1,1),0))*F3,2),"")</f>
        <v>138.4</v>
      </c>
      <c r="I3" s="37"/>
      <c r="J3" s="38"/>
      <c r="K3" s="314">
        <f t="shared" ref="K3:K34" si="0">IF(OR(B3="",C3=""),"",IFERROR(IF(OR(MONTH(D3)=1,MONTH(D3)=3,MONTH(D3)=5,MONTH(D3)=7,MONTH(D3)=8,MONTH(D3)=10,MONTH(D3)=12),(G3/31)*J3,IF(OR(MONTH(D3)=4,MONTH(D3)=6,MONTH(D3)=9,MONTH(D3)=11),(G3/30)*J3,(G3/DAY(EOMONTH(D3,0)))*J3)),0))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9"/>
      <c r="N3" s="69"/>
      <c r="O3" s="317" t="s">
        <v>47</v>
      </c>
      <c r="P3" s="317" t="s">
        <v>48</v>
      </c>
      <c r="Q3" s="317" t="s">
        <v>49</v>
      </c>
      <c r="R3" s="318" t="s">
        <v>50</v>
      </c>
      <c r="S3" s="319"/>
      <c r="T3" s="319"/>
      <c r="U3" s="319"/>
      <c r="V3" s="319"/>
      <c r="AB3" s="320"/>
    </row>
    <row r="4" spans="1:28" ht="22" customHeight="1">
      <c r="A4" s="321" t="s">
        <v>51</v>
      </c>
      <c r="B4" s="96">
        <v>401049</v>
      </c>
      <c r="C4" s="41" t="s">
        <v>225</v>
      </c>
      <c r="D4" s="42">
        <v>41130</v>
      </c>
      <c r="E4" s="43" t="s">
        <v>4</v>
      </c>
      <c r="F4" s="44">
        <v>173</v>
      </c>
      <c r="G4" s="322">
        <f>IF(OR(E4="",F4=""),"",PID_KVLohnLookup($A$1,E4,F4,LOHNTABELLE!$H$4))</f>
        <v>2123</v>
      </c>
      <c r="H4" s="323">
        <f>IF(AND(ISNUMBER(D4),ISNUMBER(F4)),ROUNDDOWN(MIN(IF(OR(ISBLANK(I4),I4=""),EOMONTH(DATE(EINSTELLUNG!$C$35,$A$1,1),0),I4)-MAX(D4,DATE(EINSTELLUNG!$C$35,$A$1,1))+1)/DAY(EOMONTH(DATE(EINSTELLUNG!$C$35,$A$1,1),0))*F4,2),"")</f>
        <v>173</v>
      </c>
      <c r="I4" s="45"/>
      <c r="J4" s="46"/>
      <c r="K4" s="322">
        <f t="shared" si="0"/>
        <v>0</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5"/>
      <c r="P4" s="325"/>
      <c r="Q4" s="325"/>
      <c r="R4" s="326"/>
      <c r="S4" s="319"/>
      <c r="T4" s="319"/>
      <c r="U4" s="319"/>
      <c r="V4" s="319"/>
    </row>
    <row r="5" spans="1:28" ht="22" customHeight="1">
      <c r="A5" s="321" t="s">
        <v>52</v>
      </c>
      <c r="B5" s="97">
        <v>401051</v>
      </c>
      <c r="C5" s="49" t="s">
        <v>227</v>
      </c>
      <c r="D5" s="50">
        <v>41176</v>
      </c>
      <c r="E5" s="51" t="s">
        <v>2</v>
      </c>
      <c r="F5" s="52">
        <v>173</v>
      </c>
      <c r="G5" s="322">
        <f>IF(OR(E5="",F5=""),"",PID_KVLohnLookup($A$1,E5,F5,LOHNTABELLE!$H$4))</f>
        <v>2021</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27" cm="1">
        <f t="array" ref="O5">SUMPRODUCT((F3:F82/4.310808)/5*2.08)</f>
        <v>769.00894681461148</v>
      </c>
      <c r="P5" s="328">
        <f>EINSTELLUNG!I15</f>
        <v>600</v>
      </c>
      <c r="Q5" s="328">
        <f>P5-O5</f>
        <v>-169.00894681461148</v>
      </c>
      <c r="R5" s="329">
        <f>IFERROR(Q5*Q42, 0)</f>
        <v>-2014.8109191328092</v>
      </c>
      <c r="S5" s="319"/>
      <c r="T5" s="319"/>
      <c r="U5" s="319"/>
      <c r="V5" s="319"/>
    </row>
    <row r="6" spans="1:28" ht="22" customHeight="1">
      <c r="A6" s="321" t="s">
        <v>53</v>
      </c>
      <c r="B6" s="96">
        <v>401089</v>
      </c>
      <c r="C6" s="41" t="s">
        <v>241</v>
      </c>
      <c r="D6" s="42">
        <v>44868</v>
      </c>
      <c r="E6" s="43" t="s">
        <v>3</v>
      </c>
      <c r="F6" s="44">
        <v>173</v>
      </c>
      <c r="G6" s="322">
        <f>IF(OR(E6="",F6=""),"",PID_KVLohnLookup($A$1,E6,F6,LOHNTABELLE!$H$4))</f>
        <v>2082</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21" t="s">
        <v>54</v>
      </c>
      <c r="B7" s="97">
        <v>401138</v>
      </c>
      <c r="C7" s="49" t="s">
        <v>228</v>
      </c>
      <c r="D7" s="50">
        <v>42006</v>
      </c>
      <c r="E7" s="51" t="s">
        <v>4</v>
      </c>
      <c r="F7" s="52">
        <v>173</v>
      </c>
      <c r="G7" s="322">
        <f>IF(OR(E7="",F7=""),"",PID_KVLohnLookup($A$1,E7,F7,LOHNTABELLE!$H$4))</f>
        <v>2123</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19"/>
      <c r="P7" s="319"/>
      <c r="Q7" s="319"/>
      <c r="R7" s="319"/>
      <c r="S7" s="319"/>
      <c r="T7" s="319"/>
      <c r="U7" s="319"/>
      <c r="V7" s="319"/>
    </row>
    <row r="8" spans="1:28" ht="22" customHeight="1">
      <c r="A8" s="321" t="s">
        <v>55</v>
      </c>
      <c r="B8" s="96">
        <v>401197</v>
      </c>
      <c r="C8" s="41" t="s">
        <v>229</v>
      </c>
      <c r="D8" s="42">
        <v>42644</v>
      </c>
      <c r="E8" s="43" t="s">
        <v>3</v>
      </c>
      <c r="F8" s="44">
        <v>173</v>
      </c>
      <c r="G8" s="322">
        <f>IF(OR(E8="",F8=""),"",PID_KVLohnLookup($A$1,E8,F8,LOHNTABELLE!$H$4))</f>
        <v>2082</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3" t="s">
        <v>56</v>
      </c>
      <c r="P8" s="334"/>
      <c r="Q8" s="335">
        <f>SUM(H3:H82)</f>
        <v>7851.6699999999992</v>
      </c>
      <c r="R8" s="336"/>
      <c r="S8" s="319"/>
      <c r="T8" s="319"/>
      <c r="U8" s="319"/>
      <c r="V8" s="319"/>
    </row>
    <row r="9" spans="1:28" ht="22" customHeight="1">
      <c r="A9" s="321" t="s">
        <v>57</v>
      </c>
      <c r="B9" s="97">
        <v>401214</v>
      </c>
      <c r="C9" s="49" t="s">
        <v>255</v>
      </c>
      <c r="D9" s="50">
        <v>45636</v>
      </c>
      <c r="E9" s="51" t="s">
        <v>3</v>
      </c>
      <c r="F9" s="52">
        <v>173</v>
      </c>
      <c r="G9" s="322">
        <f>IF(OR(E9="",F9=""),"",PID_KVLohnLookup($A$1,E9,F9,LOHNTABELLE!$H$4))</f>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37" t="s">
        <v>58</v>
      </c>
      <c r="P9" s="338"/>
      <c r="Q9" s="339">
        <f>EINSTELLUNG!L31</f>
        <v>10</v>
      </c>
      <c r="R9" s="340"/>
      <c r="S9" s="341">
        <f>IFERROR(Q9/Q8, 0)</f>
        <v>1.2736144030505614E-3</v>
      </c>
      <c r="T9" s="319"/>
      <c r="U9" s="319"/>
      <c r="V9" s="319"/>
    </row>
    <row r="10" spans="1:28" ht="22" customHeight="1">
      <c r="A10" s="321" t="s">
        <v>59</v>
      </c>
      <c r="B10" s="96">
        <v>401276</v>
      </c>
      <c r="C10" s="41" t="s">
        <v>230</v>
      </c>
      <c r="D10" s="42">
        <v>43252</v>
      </c>
      <c r="E10" s="43" t="s">
        <v>3</v>
      </c>
      <c r="F10" s="44">
        <v>173</v>
      </c>
      <c r="G10" s="322">
        <f>IF(OR(E10="",F10=""),"",PID_KVLohnLookup($A$1,E10,F10,LOHNTABELLE!$H$4))</f>
        <v>2082</v>
      </c>
      <c r="H10" s="323">
        <f>IF(AND(ISNUMBER(D10),ISNUMBER(F10)),ROUNDDOWN(MIN(IF(OR(ISBLANK(I10),I10=""),EOMONTH(DATE(EINSTELLUNG!$C$35,$A$1,1),0),I10)-MAX(D10,DATE(EINSTELLUNG!$C$35,$A$1,1))+1)/DAY(EOMONTH(DATE(EINSTELLUNG!$C$35,$A$1,1),0))*F10,2),"")</f>
        <v>173</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37" t="s">
        <v>60</v>
      </c>
      <c r="P10" s="338"/>
      <c r="Q10" s="339">
        <f>EINSTELLUNG!I31</f>
        <v>0</v>
      </c>
      <c r="R10" s="340"/>
      <c r="S10" s="319"/>
      <c r="T10" s="319"/>
      <c r="U10" s="319"/>
      <c r="V10" s="319"/>
    </row>
    <row r="11" spans="1:28" ht="22" customHeight="1">
      <c r="A11" s="321" t="s">
        <v>61</v>
      </c>
      <c r="B11" s="97">
        <v>401276</v>
      </c>
      <c r="C11" s="49" t="s">
        <v>392</v>
      </c>
      <c r="D11" s="50">
        <v>38899</v>
      </c>
      <c r="E11" s="51" t="s">
        <v>2</v>
      </c>
      <c r="F11" s="52">
        <v>55</v>
      </c>
      <c r="G11" s="322">
        <f>IF(OR(E11="",F11=""),"",PID_KVLohnLookup($A$1,E11,F11,LOHNTABELLE!$H$4))</f>
        <v>666</v>
      </c>
      <c r="H11" s="323">
        <f>IF(AND(ISNUMBER(D11),ISNUMBER(F11)),ROUNDDOWN(MIN(IF(OR(ISBLANK(I11),I11=""),EOMONTH(DATE(EINSTELLUNG!$C$35,$A$1,1),0),I11)-MAX(D11,DATE(EINSTELLUNG!$C$35,$A$1,1))+1)/DAY(EOMONTH(DATE(EINSTELLUNG!$C$35,$A$1,1),0))*F11,2),"")</f>
        <v>55</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37" t="s">
        <v>62</v>
      </c>
      <c r="P11" s="338"/>
      <c r="Q11" s="339">
        <f>P5</f>
        <v>600</v>
      </c>
      <c r="R11" s="340"/>
      <c r="S11" s="319"/>
      <c r="T11" s="319"/>
      <c r="U11" s="319"/>
      <c r="V11" s="319"/>
    </row>
    <row r="12" spans="1:28" ht="22" customHeight="1">
      <c r="A12" s="321" t="s">
        <v>63</v>
      </c>
      <c r="B12" s="96">
        <v>401307</v>
      </c>
      <c r="C12" s="41" t="s">
        <v>231</v>
      </c>
      <c r="D12" s="42">
        <v>43571</v>
      </c>
      <c r="E12" s="43" t="s">
        <v>2</v>
      </c>
      <c r="F12" s="44">
        <v>55</v>
      </c>
      <c r="G12" s="322">
        <f>IF(OR(E12="",F12=""),"",PID_KVLohnLookup($A$1,E12,F12,LOHNTABELLE!$H$4))</f>
        <v>666</v>
      </c>
      <c r="H12" s="323">
        <f>IF(AND(ISNUMBER(D12),ISNUMBER(F12)),ROUNDDOWN(MIN(IF(OR(ISBLANK(I12),I12=""),EOMONTH(DATE(EINSTELLUNG!$C$35,$A$1,1),0),I12)-MAX(D12,DATE(EINSTELLUNG!$C$35,$A$1,1))+1)/DAY(EOMONTH(DATE(EINSTELLUNG!$C$35,$A$1,1),0))*F12,2),"")</f>
        <v>55</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37" t="s">
        <v>64</v>
      </c>
      <c r="P12" s="338"/>
      <c r="Q12" s="167">
        <v>-121</v>
      </c>
      <c r="R12" s="168"/>
      <c r="S12" s="319"/>
      <c r="T12" s="319"/>
      <c r="U12" s="319"/>
      <c r="V12" s="319"/>
    </row>
    <row r="13" spans="1:28" ht="22" customHeight="1">
      <c r="A13" s="321" t="s">
        <v>65</v>
      </c>
      <c r="B13" s="97">
        <v>401308</v>
      </c>
      <c r="C13" s="49" t="s">
        <v>232</v>
      </c>
      <c r="D13" s="50">
        <v>43579</v>
      </c>
      <c r="E13" s="51" t="s">
        <v>3</v>
      </c>
      <c r="F13" s="52">
        <v>173</v>
      </c>
      <c r="G13" s="322">
        <f>IF(OR(E13="",F13=""),"",PID_KVLohnLookup($A$1,E13,F13,LOHNTABELLE!$H$4))</f>
        <v>2082</v>
      </c>
      <c r="H13" s="323">
        <f>IF(AND(ISNUMBER(D13),ISNUMBER(F13)),ROUNDDOWN(MIN(IF(OR(ISBLANK(I13),I13=""),EOMONTH(DATE(EINSTELLUNG!$C$35,$A$1,1),0),I13)-MAX(D13,DATE(EINSTELLUNG!$C$35,$A$1,1))+1)/DAY(EOMONTH(DATE(EINSTELLUNG!$C$35,$A$1,1),0))*F13,2),"")</f>
        <v>173</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37" t="s">
        <v>66</v>
      </c>
      <c r="P13" s="338"/>
      <c r="Q13" s="339">
        <f>Q8-Q9-Q10-Q11-Q12</f>
        <v>7362.6699999999992</v>
      </c>
      <c r="R13" s="340"/>
      <c r="S13" s="319"/>
      <c r="T13" s="319"/>
      <c r="U13" s="319"/>
      <c r="V13" s="319"/>
    </row>
    <row r="14" spans="1:28" ht="22" customHeight="1">
      <c r="A14" s="321" t="s">
        <v>67</v>
      </c>
      <c r="B14" s="96">
        <v>401394</v>
      </c>
      <c r="C14" s="41" t="s">
        <v>233</v>
      </c>
      <c r="D14" s="42">
        <v>44379</v>
      </c>
      <c r="E14" s="43" t="s">
        <v>2</v>
      </c>
      <c r="F14" s="44">
        <v>173</v>
      </c>
      <c r="G14" s="322">
        <f>IF(OR(E14="",F14=""),"",PID_KVLohnLookup($A$1,E14,F14,LOHNTABELLE!$H$4))</f>
        <v>2021</v>
      </c>
      <c r="H14" s="323">
        <f>IF(AND(ISNUMBER(D14),ISNUMBER(F14)),ROUNDDOWN(MIN(IF(OR(ISBLANK(I14),I14=""),EOMONTH(DATE(EINSTELLUNG!$C$35,$A$1,1),0),I14)-MAX(D14,DATE(EINSTELLUNG!$C$35,$A$1,1))+1)/DAY(EOMONTH(DATE(EINSTELLUNG!$C$35,$A$1,1),0))*F14,2),"")</f>
        <v>173</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37" t="s">
        <v>68</v>
      </c>
      <c r="P14" s="338"/>
      <c r="Q14" s="339">
        <f>EINSTELLUNG!L15</f>
        <v>9300</v>
      </c>
      <c r="R14" s="340"/>
      <c r="S14" s="319"/>
      <c r="T14" s="319"/>
      <c r="U14" s="319"/>
      <c r="V14" s="319"/>
    </row>
    <row r="15" spans="1:28" ht="22" customHeight="1" thickBot="1">
      <c r="A15" s="321" t="s">
        <v>69</v>
      </c>
      <c r="B15" s="97">
        <v>401479</v>
      </c>
      <c r="C15" s="49" t="s">
        <v>238</v>
      </c>
      <c r="D15" s="50">
        <v>44511</v>
      </c>
      <c r="E15" s="51" t="s">
        <v>6</v>
      </c>
      <c r="F15" s="52">
        <v>173</v>
      </c>
      <c r="G15" s="322">
        <f>IF(OR(E15="",F15=""),"",PID_KVLohnLookup($A$1,E15,F15,LOHNTABELLE!$H$4))</f>
        <v>2160</v>
      </c>
      <c r="H15" s="323">
        <f>IF(AND(ISNUMBER(D15),ISNUMBER(F15)),ROUNDDOWN(MIN(IF(OR(ISBLANK(I15),I15=""),EOMONTH(DATE(EINSTELLUNG!$C$35,$A$1,1),0),I15)-MAX(D15,DATE(EINSTELLUNG!$C$35,$A$1,1))+1)/DAY(EOMONTH(DATE(EINSTELLUNG!$C$35,$A$1,1),0))*F15,2),"")</f>
        <v>173</v>
      </c>
      <c r="I15" s="53"/>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342" t="s">
        <v>70</v>
      </c>
      <c r="P15" s="343"/>
      <c r="Q15" s="344">
        <f>Q13-Q14</f>
        <v>-1937.3300000000008</v>
      </c>
      <c r="R15" s="345"/>
      <c r="S15" s="346"/>
      <c r="T15" s="346"/>
      <c r="U15" s="346"/>
      <c r="V15" s="319"/>
    </row>
    <row r="16" spans="1:28" ht="22" customHeight="1" thickBot="1">
      <c r="A16" s="321" t="s">
        <v>71</v>
      </c>
      <c r="B16" s="96">
        <v>401564</v>
      </c>
      <c r="C16" s="41" t="s">
        <v>240</v>
      </c>
      <c r="D16" s="42">
        <v>44824</v>
      </c>
      <c r="E16" s="43" t="s">
        <v>2</v>
      </c>
      <c r="F16" s="44">
        <v>151.38</v>
      </c>
      <c r="G16" s="322">
        <f>IF(OR(E16="",F16=""),"",PID_KVLohnLookup($A$1,E16,F16,LOHNTABELLE!$H$4))</f>
        <v>1768.38</v>
      </c>
      <c r="H16" s="323">
        <f>IF(AND(ISNUMBER(D16),ISNUMBER(F16)),ROUNDDOWN(MIN(IF(OR(ISBLANK(I16),I16=""),EOMONTH(DATE(EINSTELLUNG!$C$35,$A$1,1),0),I16)-MAX(D16,DATE(EINSTELLUNG!$C$35,$A$1,1))+1)/DAY(EOMONTH(DATE(EINSTELLUNG!$C$35,$A$1,1),0))*F16,2),"")</f>
        <v>151.38</v>
      </c>
      <c r="I16" s="45"/>
      <c r="J16" s="46"/>
      <c r="K16" s="322">
        <f t="shared" si="0"/>
        <v>0</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7"/>
      <c r="N16" s="70"/>
      <c r="O16" s="347" t="str">
        <f>IF(Q15&lt;0, "Schlecht! Zu wenig Stunden für Dienstplan.", IF(Q15&gt;0, "Du hast mehr als genug Stunden für Dienstplan.", ""))</f>
        <v>Schlecht! Zu wenig Stunden für Dienstplan.</v>
      </c>
      <c r="P16" s="348"/>
      <c r="Q16" s="348"/>
      <c r="R16" s="349"/>
      <c r="S16" s="350"/>
      <c r="T16" s="350"/>
      <c r="U16" s="350"/>
      <c r="V16" s="350"/>
      <c r="W16" s="351"/>
    </row>
    <row r="17" spans="1:29" ht="22" customHeight="1">
      <c r="A17" s="321" t="s">
        <v>72</v>
      </c>
      <c r="B17" s="97">
        <v>401583</v>
      </c>
      <c r="C17" s="49" t="s">
        <v>242</v>
      </c>
      <c r="D17" s="53">
        <v>44900</v>
      </c>
      <c r="E17" s="51" t="s">
        <v>13</v>
      </c>
      <c r="F17" s="52">
        <v>173</v>
      </c>
      <c r="G17" s="322">
        <f>IF(OR(E17="",F17=""),"",PID_KVLohnLookup($A$1,E17,F17,LOHNTABELLE!$H$4))</f>
        <v>2328</v>
      </c>
      <c r="H17" s="323">
        <f>IF(AND(ISNUMBER(D17),ISNUMBER(F17)),ROUNDDOWN(MIN(IF(OR(ISBLANK(I17),I17=""),EOMONTH(DATE(EINSTELLUNG!$C$35,$A$1,1),0),I17)-MAX(D17,DATE(EINSTELLUNG!$C$35,$A$1,1))+1)/DAY(EOMONTH(DATE(EINSTELLUNG!$C$35,$A$1,1),0))*F17,2),"")</f>
        <v>173</v>
      </c>
      <c r="I17" s="53"/>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5"/>
      <c r="N17" s="71"/>
      <c r="O17" s="352" t="s">
        <v>73</v>
      </c>
      <c r="P17" s="334"/>
      <c r="Q17" s="353">
        <f>SUM(L3:L82)</f>
        <v>93602.325483870984</v>
      </c>
      <c r="R17" s="354"/>
      <c r="S17" s="319"/>
      <c r="T17" s="319"/>
      <c r="U17" s="319"/>
      <c r="V17" s="319"/>
      <c r="W17" s="351"/>
    </row>
    <row r="18" spans="1:29" ht="22" customHeight="1">
      <c r="A18" s="321" t="s">
        <v>74</v>
      </c>
      <c r="B18" s="96">
        <v>401589</v>
      </c>
      <c r="C18" s="41" t="s">
        <v>243</v>
      </c>
      <c r="D18" s="42">
        <v>44926</v>
      </c>
      <c r="E18" s="43" t="s">
        <v>10</v>
      </c>
      <c r="F18" s="44">
        <v>173</v>
      </c>
      <c r="G18" s="322">
        <f>IF(OR(E18="",F18=""),"",PID_KVLohnLookup($A$1,E18,F18,LOHNTABELLE!$H$4))</f>
        <v>2300</v>
      </c>
      <c r="H18" s="323">
        <f>IF(AND(ISNUMBER(D18),ISNUMBER(F18)),ROUNDDOWN(MIN(IF(OR(ISBLANK(I18),I18=""),EOMONTH(DATE(EINSTELLUNG!$C$35,$A$1,1),0),I18)-MAX(D18,DATE(EINSTELLUNG!$C$35,$A$1,1))+1)/DAY(EOMONTH(DATE(EINSTELLUNG!$C$35,$A$1,1),0))*F18,2),"")</f>
        <v>173</v>
      </c>
      <c r="I18" s="45"/>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7"/>
      <c r="N18" s="70"/>
      <c r="O18" s="355" t="s">
        <v>376</v>
      </c>
      <c r="P18" s="356"/>
      <c r="Q18" s="357">
        <v>20</v>
      </c>
      <c r="R18" s="358"/>
      <c r="S18" s="319"/>
      <c r="T18" s="319"/>
      <c r="U18" s="319"/>
      <c r="V18" s="319"/>
    </row>
    <row r="19" spans="1:29" ht="22" customHeight="1">
      <c r="A19" s="321" t="s">
        <v>75</v>
      </c>
      <c r="B19" s="97">
        <v>401602</v>
      </c>
      <c r="C19" s="49" t="s">
        <v>244</v>
      </c>
      <c r="D19" s="50">
        <v>45975</v>
      </c>
      <c r="E19" s="51" t="s">
        <v>2</v>
      </c>
      <c r="F19" s="52">
        <v>169</v>
      </c>
      <c r="G19" s="322">
        <f>IF(OR(E19="",F19=""),"",PID_KVLohnLookup($A$1,E19,F19,LOHNTABELLE!$H$4))</f>
        <v>2000</v>
      </c>
      <c r="H19" s="323">
        <f>IF(AND(ISNUMBER(D19),ISNUMBER(F19)),ROUNDDOWN(MIN(IF(OR(ISBLANK(I19),I19=""),EOMONTH(DATE(EINSTELLUNG!$C$35,$A$1,1),0),I19)-MAX(D19,DATE(EINSTELLUNG!$C$35,$A$1,1))+1)/DAY(EOMONTH(DATE(EINSTELLUNG!$C$35,$A$1,1),0))*F19,2),"")</f>
        <v>169</v>
      </c>
      <c r="I19" s="53"/>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5"/>
      <c r="N19" s="71"/>
      <c r="O19" s="355" t="s">
        <v>294</v>
      </c>
      <c r="P19" s="356"/>
      <c r="Q19" s="357">
        <v>333</v>
      </c>
      <c r="R19" s="358"/>
      <c r="S19" s="319"/>
      <c r="T19" s="319"/>
      <c r="U19" s="319"/>
      <c r="V19" s="319"/>
    </row>
    <row r="20" spans="1:29" ht="22" customHeight="1">
      <c r="A20" s="321" t="s">
        <v>76</v>
      </c>
      <c r="B20" s="96">
        <v>401605</v>
      </c>
      <c r="C20" s="41" t="s">
        <v>245</v>
      </c>
      <c r="D20" s="42">
        <v>44986</v>
      </c>
      <c r="E20" s="43" t="s">
        <v>2</v>
      </c>
      <c r="F20" s="44">
        <v>173</v>
      </c>
      <c r="G20" s="322">
        <f>IF(OR(E20="",F20=""),"",PID_KVLohnLookup($A$1,E20,F20,LOHNTABELLE!$H$4))</f>
        <v>2021</v>
      </c>
      <c r="H20" s="323">
        <f>IF(AND(ISNUMBER(D20),ISNUMBER(F20)),ROUNDDOWN(MIN(IF(OR(ISBLANK(I20),I20=""),EOMONTH(DATE(EINSTELLUNG!$C$35,$A$1,1),0),I20)-MAX(D20,DATE(EINSTELLUNG!$C$35,$A$1,1))+1)/DAY(EOMONTH(DATE(EINSTELLUNG!$C$35,$A$1,1),0))*F20,2),"")</f>
        <v>173</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7"/>
      <c r="N20" s="70"/>
      <c r="O20" s="355" t="s">
        <v>294</v>
      </c>
      <c r="P20" s="356"/>
      <c r="Q20" s="357">
        <v>35</v>
      </c>
      <c r="R20" s="358"/>
      <c r="S20" s="319"/>
      <c r="T20" s="319"/>
      <c r="U20" s="319"/>
      <c r="V20" s="319"/>
    </row>
    <row r="21" spans="1:29" ht="22" customHeight="1">
      <c r="A21" s="321" t="s">
        <v>77</v>
      </c>
      <c r="B21" s="97">
        <v>401605</v>
      </c>
      <c r="C21" s="49" t="s">
        <v>393</v>
      </c>
      <c r="D21" s="50">
        <v>36850</v>
      </c>
      <c r="E21" s="51" t="s">
        <v>10</v>
      </c>
      <c r="F21" s="52">
        <v>151.38</v>
      </c>
      <c r="G21" s="322">
        <f>IF(OR(E21="",F21=""),"",PID_KVLohnLookup($A$1,E21,F21,LOHNTABELLE!$H$4))</f>
        <v>2012.5</v>
      </c>
      <c r="H21" s="323">
        <f>IF(AND(ISNUMBER(D21),ISNUMBER(F21)),ROUNDDOWN(MIN(IF(OR(ISBLANK(I21),I21=""),EOMONTH(DATE(EINSTELLUNG!$C$35,$A$1,1),0),I21)-MAX(D21,DATE(EINSTELLUNG!$C$35,$A$1,1))+1)/DAY(EOMONTH(DATE(EINSTELLUNG!$C$35,$A$1,1),0))*F21,2),"")</f>
        <v>151.38</v>
      </c>
      <c r="I21" s="53"/>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5"/>
      <c r="N21" s="71"/>
      <c r="O21" s="355" t="s">
        <v>294</v>
      </c>
      <c r="P21" s="356"/>
      <c r="Q21" s="357">
        <v>100</v>
      </c>
      <c r="R21" s="358"/>
      <c r="S21" s="319"/>
      <c r="T21" s="319"/>
      <c r="U21" s="319"/>
      <c r="V21" s="319"/>
    </row>
    <row r="22" spans="1:29" ht="22" customHeight="1">
      <c r="A22" s="321" t="s">
        <v>78</v>
      </c>
      <c r="B22" s="96">
        <v>401626</v>
      </c>
      <c r="C22" s="41" t="s">
        <v>246</v>
      </c>
      <c r="D22" s="42">
        <v>45063</v>
      </c>
      <c r="E22" s="43" t="s">
        <v>2</v>
      </c>
      <c r="F22" s="44">
        <v>173</v>
      </c>
      <c r="G22" s="322">
        <f>IF(OR(E22="",F22=""),"",PID_KVLohnLookup($A$1,E22,F22,LOHNTABELLE!$H$4))</f>
        <v>2021</v>
      </c>
      <c r="H22" s="323">
        <f>IF(AND(ISNUMBER(D22),ISNUMBER(F22)),ROUNDDOWN(MIN(IF(OR(ISBLANK(I22),I22=""),EOMONTH(DATE(EINSTELLUNG!$C$35,$A$1,1),0),I22)-MAX(D22,DATE(EINSTELLUNG!$C$35,$A$1,1))+1)/DAY(EOMONTH(DATE(EINSTELLUNG!$C$35,$A$1,1),0))*F22,2),"")</f>
        <v>173</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5" t="s">
        <v>294</v>
      </c>
      <c r="P22" s="356"/>
      <c r="Q22" s="357"/>
      <c r="R22" s="358"/>
      <c r="S22" s="319"/>
      <c r="T22" s="319"/>
      <c r="U22" s="319"/>
      <c r="V22" s="319"/>
    </row>
    <row r="23" spans="1:29" ht="22" customHeight="1">
      <c r="A23" s="321" t="s">
        <v>79</v>
      </c>
      <c r="B23" s="97">
        <v>401633</v>
      </c>
      <c r="C23" s="49" t="s">
        <v>247</v>
      </c>
      <c r="D23" s="50">
        <v>45089</v>
      </c>
      <c r="E23" s="51" t="s">
        <v>10</v>
      </c>
      <c r="F23" s="52">
        <v>173</v>
      </c>
      <c r="G23" s="322">
        <f>IF(OR(E23="",F23=""),"",PID_KVLohnLookup($A$1,E23,F23,LOHNTABELLE!$H$4))</f>
        <v>2300</v>
      </c>
      <c r="H23" s="323">
        <f>IF(AND(ISNUMBER(D23),ISNUMBER(F23)),ROUNDDOWN(MIN(IF(OR(ISBLANK(I23),I23=""),EOMONTH(DATE(EINSTELLUNG!$C$35,$A$1,1),0),I23)-MAX(D23,DATE(EINSTELLUNG!$C$35,$A$1,1))+1)/DAY(EOMONTH(DATE(EINSTELLUNG!$C$35,$A$1,1),0))*F23,2),"")</f>
        <v>173</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1"/>
      <c r="O23" s="355" t="s">
        <v>294</v>
      </c>
      <c r="P23" s="356"/>
      <c r="Q23" s="357">
        <v>5000</v>
      </c>
      <c r="R23" s="358"/>
      <c r="S23" s="319"/>
      <c r="T23" s="319"/>
      <c r="U23" s="319"/>
      <c r="V23" s="319"/>
      <c r="W23" s="351"/>
    </row>
    <row r="24" spans="1:29" ht="22" customHeight="1">
      <c r="A24" s="321" t="s">
        <v>80</v>
      </c>
      <c r="B24" s="96">
        <v>401647</v>
      </c>
      <c r="C24" s="41" t="s">
        <v>248</v>
      </c>
      <c r="D24" s="42">
        <v>45182</v>
      </c>
      <c r="E24" s="43" t="s">
        <v>2</v>
      </c>
      <c r="F24" s="44">
        <v>173</v>
      </c>
      <c r="G24" s="322">
        <f>IF(OR(E24="",F24=""),"",PID_KVLohnLookup($A$1,E24,F24,LOHNTABELLE!$H$4))</f>
        <v>2021</v>
      </c>
      <c r="H24" s="323">
        <f>IF(AND(ISNUMBER(D24),ISNUMBER(F24)),ROUNDDOWN(MIN(IF(OR(ISBLANK(I24),I24=""),EOMONTH(DATE(EINSTELLUNG!$C$35,$A$1,1),0),I24)-MAX(D24,DATE(EINSTELLUNG!$C$35,$A$1,1))+1)/DAY(EOMONTH(DATE(EINSTELLUNG!$C$35,$A$1,1),0))*F24,2),"")</f>
        <v>173</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355"/>
      <c r="P24" s="356"/>
      <c r="Q24" s="357"/>
      <c r="R24" s="358"/>
      <c r="S24" s="319"/>
      <c r="T24" s="319"/>
      <c r="U24" s="319"/>
      <c r="V24" s="319"/>
      <c r="W24" s="351"/>
    </row>
    <row r="25" spans="1:29" ht="22" customHeight="1">
      <c r="A25" s="321" t="s">
        <v>81</v>
      </c>
      <c r="B25" s="97">
        <v>401661</v>
      </c>
      <c r="C25" s="49" t="s">
        <v>249</v>
      </c>
      <c r="D25" s="50">
        <v>45261</v>
      </c>
      <c r="E25" s="51" t="s">
        <v>2</v>
      </c>
      <c r="F25" s="52">
        <v>173</v>
      </c>
      <c r="G25" s="322">
        <f>IF(OR(E25="",F25=""),"",PID_KVLohnLookup($A$1,E25,F25,LOHNTABELLE!$H$4))</f>
        <v>2021</v>
      </c>
      <c r="H25" s="323">
        <f>IF(AND(ISNUMBER(D25),ISNUMBER(F25)),ROUNDDOWN(MIN(IF(OR(ISBLANK(I25),I25=""),EOMONTH(DATE(EINSTELLUNG!$C$35,$A$1,1),0),I25)-MAX(D25,DATE(EINSTELLUNG!$C$35,$A$1,1))+1)/DAY(EOMONTH(DATE(EINSTELLUNG!$C$35,$A$1,1),0))*F25,2),"")</f>
        <v>173</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5"/>
      <c r="P25" s="356"/>
      <c r="Q25" s="357"/>
      <c r="R25" s="358"/>
      <c r="S25" s="319"/>
      <c r="T25" s="319"/>
      <c r="U25" s="319"/>
      <c r="V25" s="319"/>
    </row>
    <row r="26" spans="1:29" ht="22" customHeight="1">
      <c r="A26" s="321" t="s">
        <v>82</v>
      </c>
      <c r="B26" s="96">
        <v>401670</v>
      </c>
      <c r="C26" s="41" t="s">
        <v>250</v>
      </c>
      <c r="D26" s="42">
        <v>45358</v>
      </c>
      <c r="E26" s="43" t="s">
        <v>2</v>
      </c>
      <c r="F26" s="44">
        <v>173</v>
      </c>
      <c r="G26" s="322">
        <f>IF(OR(E26="",F26=""),"",PID_KVLohnLookup($A$1,E26,F26,LOHNTABELLE!$H$4))</f>
        <v>2021</v>
      </c>
      <c r="H26" s="323">
        <f>IF(AND(ISNUMBER(D26),ISNUMBER(F26)),ROUNDDOWN(MIN(IF(OR(ISBLANK(I26),I26=""),EOMONTH(DATE(EINSTELLUNG!$C$35,$A$1,1),0),I26)-MAX(D26,DATE(EINSTELLUNG!$C$35,$A$1,1))+1)/DAY(EOMONTH(DATE(EINSTELLUNG!$C$35,$A$1,1),0))*F26,2),"")</f>
        <v>173</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5"/>
      <c r="P26" s="356"/>
      <c r="Q26" s="357"/>
      <c r="R26" s="358"/>
      <c r="S26" s="319"/>
      <c r="T26" s="319"/>
      <c r="U26" s="319"/>
      <c r="V26" s="319"/>
    </row>
    <row r="27" spans="1:29" ht="22" customHeight="1">
      <c r="A27" s="321" t="s">
        <v>83</v>
      </c>
      <c r="B27" s="97">
        <v>401678</v>
      </c>
      <c r="C27" s="49" t="s">
        <v>251</v>
      </c>
      <c r="D27" s="50">
        <v>45414</v>
      </c>
      <c r="E27" s="51" t="s">
        <v>2</v>
      </c>
      <c r="F27" s="52">
        <v>173</v>
      </c>
      <c r="G27" s="322">
        <f>IF(OR(E27="",F27=""),"",PID_KVLohnLookup($A$1,E27,F27,LOHNTABELLE!$H$4))</f>
        <v>2021</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5"/>
      <c r="P27" s="356"/>
      <c r="Q27" s="357"/>
      <c r="R27" s="358"/>
      <c r="S27" s="359" t="s">
        <v>84</v>
      </c>
      <c r="T27" s="359"/>
      <c r="U27" s="359"/>
      <c r="V27" s="359"/>
    </row>
    <row r="28" spans="1:29" ht="22" customHeight="1">
      <c r="A28" s="321" t="s">
        <v>85</v>
      </c>
      <c r="B28" s="96">
        <v>401690</v>
      </c>
      <c r="C28" s="41" t="s">
        <v>253</v>
      </c>
      <c r="D28" s="42">
        <v>45536</v>
      </c>
      <c r="E28" s="43" t="s">
        <v>2</v>
      </c>
      <c r="F28" s="44">
        <v>151.38</v>
      </c>
      <c r="G28" s="322">
        <f>IF(OR(E28="",F28=""),"",PID_KVLohnLookup($A$1,E28,F28,LOHNTABELLE!$H$4))</f>
        <v>1768.38</v>
      </c>
      <c r="H28" s="323">
        <f>IF(AND(ISNUMBER(D28),ISNUMBER(F28)),ROUNDDOWN(MIN(IF(OR(ISBLANK(I28),I28=""),EOMONTH(DATE(EINSTELLUNG!$C$35,$A$1,1),0),I28)-MAX(D28,DATE(EINSTELLUNG!$C$35,$A$1,1))+1)/DAY(EOMONTH(DATE(EINSTELLUNG!$C$35,$A$1,1),0))*F28,2),"")</f>
        <v>151.38</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7"/>
      <c r="N28" s="70"/>
      <c r="O28" s="355"/>
      <c r="P28" s="356"/>
      <c r="Q28" s="357"/>
      <c r="R28" s="358"/>
      <c r="S28" s="319"/>
      <c r="T28" s="319"/>
      <c r="U28" s="319"/>
      <c r="V28" s="319"/>
    </row>
    <row r="29" spans="1:29" ht="22" customHeight="1" thickBot="1">
      <c r="A29" s="321" t="s">
        <v>86</v>
      </c>
      <c r="B29" s="97">
        <v>401715</v>
      </c>
      <c r="C29" s="49" t="s">
        <v>256</v>
      </c>
      <c r="D29" s="50">
        <v>45755</v>
      </c>
      <c r="E29" s="51" t="s">
        <v>2</v>
      </c>
      <c r="F29" s="52">
        <v>173</v>
      </c>
      <c r="G29" s="322">
        <f>IF(OR(E29="",F29=""),"",PID_KVLohnLookup($A$1,E29,F29,LOHNTABELLE!$H$4))</f>
        <v>2021</v>
      </c>
      <c r="H29" s="323">
        <f>IF(AND(ISNUMBER(D29),ISNUMBER(F29)),ROUNDDOWN(MIN(IF(OR(ISBLANK(I29),I29=""),EOMONTH(DATE(EINSTELLUNG!$C$35,$A$1,1),0),I29)-MAX(D29,DATE(EINSTELLUNG!$C$35,$A$1,1))+1)/DAY(EOMONTH(DATE(EINSTELLUNG!$C$35,$A$1,1),0))*F29,2),"")</f>
        <v>173</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0" t="s">
        <v>87</v>
      </c>
      <c r="P29" s="343"/>
      <c r="Q29" s="361">
        <f>EINSTELLUNG!O15</f>
        <v>1250</v>
      </c>
      <c r="R29" s="362"/>
      <c r="S29" s="319"/>
      <c r="T29" s="319"/>
      <c r="U29" s="319"/>
      <c r="V29" s="319"/>
    </row>
    <row r="30" spans="1:29" ht="22" customHeight="1" thickBot="1">
      <c r="A30" s="321" t="s">
        <v>88</v>
      </c>
      <c r="B30" s="96">
        <v>401716</v>
      </c>
      <c r="C30" s="41" t="s">
        <v>257</v>
      </c>
      <c r="D30" s="42">
        <v>45800</v>
      </c>
      <c r="E30" s="43" t="s">
        <v>2</v>
      </c>
      <c r="F30" s="44">
        <v>173</v>
      </c>
      <c r="G30" s="322">
        <f>IF(OR(E30="",F30=""),"",PID_KVLohnLookup($A$1,E30,F30,LOHNTABELLE!$H$4))</f>
        <v>2021</v>
      </c>
      <c r="H30" s="323">
        <f>IF(AND(ISNUMBER(D30),ISNUMBER(F30)),ROUNDDOWN(MIN(IF(OR(ISBLANK(I30),I30=""),EOMONTH(DATE(EINSTELLUNG!$C$35,$A$1,1),0),I30)-MAX(D30,DATE(EINSTELLUNG!$C$35,$A$1,1))+1)/DAY(EOMONTH(DATE(EINSTELLUNG!$C$35,$A$1,1),0))*F30,2),"")</f>
        <v>173</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19"/>
      <c r="P30" s="319"/>
      <c r="Q30" s="319"/>
      <c r="R30" s="319"/>
      <c r="S30" s="319"/>
      <c r="T30" s="319"/>
      <c r="U30" s="319"/>
      <c r="V30" s="319"/>
      <c r="W30" s="363"/>
      <c r="X30" s="363"/>
      <c r="Y30" s="363"/>
      <c r="Z30" s="363"/>
      <c r="AA30" s="363"/>
      <c r="AB30" s="363"/>
      <c r="AC30" s="363"/>
    </row>
    <row r="31" spans="1:29" ht="22" customHeight="1" thickBot="1">
      <c r="A31" s="321" t="s">
        <v>89</v>
      </c>
      <c r="B31" s="97">
        <v>401717</v>
      </c>
      <c r="C31" s="49" t="s">
        <v>258</v>
      </c>
      <c r="D31" s="50">
        <v>45814</v>
      </c>
      <c r="E31" s="51" t="s">
        <v>2</v>
      </c>
      <c r="F31" s="52">
        <v>86.5</v>
      </c>
      <c r="G31" s="322">
        <f>IF(OR(E31="",F31=""),"",PID_KVLohnLookup($A$1,E31,F31,LOHNTABELLE!$H$4))</f>
        <v>1010.5</v>
      </c>
      <c r="H31" s="323">
        <f>IF(AND(ISNUMBER(D31),ISNUMBER(F31)),ROUNDDOWN(MIN(IF(OR(ISBLANK(I31),I31=""),EOMONTH(DATE(EINSTELLUNG!$C$35,$A$1,1),0),I31)-MAX(D31,DATE(EINSTELLUNG!$C$35,$A$1,1))+1)/DAY(EOMONTH(DATE(EINSTELLUNG!$C$35,$A$1,1),0))*F31,2),"")</f>
        <v>86.5</v>
      </c>
      <c r="I31" s="53"/>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5"/>
      <c r="N31" s="71"/>
      <c r="O31" s="364" t="s">
        <v>421</v>
      </c>
      <c r="P31" s="365"/>
      <c r="Q31" s="366">
        <v>1.8018018018018018E-2</v>
      </c>
      <c r="R31" s="367"/>
      <c r="S31" s="319"/>
      <c r="T31" s="319"/>
      <c r="U31" s="319"/>
      <c r="V31" s="319"/>
    </row>
    <row r="32" spans="1:29" ht="22" customHeight="1" thickBot="1">
      <c r="A32" s="321" t="s">
        <v>91</v>
      </c>
      <c r="B32" s="96">
        <v>401722</v>
      </c>
      <c r="C32" s="41" t="s">
        <v>259</v>
      </c>
      <c r="D32" s="42">
        <v>45848</v>
      </c>
      <c r="E32" s="43" t="s">
        <v>2</v>
      </c>
      <c r="F32" s="44">
        <v>86.5</v>
      </c>
      <c r="G32" s="322">
        <f>IF(OR(E32="",F32=""),"",PID_KVLohnLookup($A$1,E32,F32,LOHNTABELLE!$H$4))</f>
        <v>1010.5</v>
      </c>
      <c r="H32" s="323">
        <f>IF(AND(ISNUMBER(D32),ISNUMBER(F32)),ROUNDDOWN(MIN(IF(OR(ISBLANK(I32),I32=""),EOMONTH(DATE(EINSTELLUNG!$C$35,$A$1,1),0),I32)-MAX(D32,DATE(EINSTELLUNG!$C$35,$A$1,1))+1)/DAY(EOMONTH(DATE(EINSTELLUNG!$C$35,$A$1,1),0))*F32,2),"")</f>
        <v>86.5</v>
      </c>
      <c r="I32" s="45"/>
      <c r="J32" s="46"/>
      <c r="K32" s="322">
        <f t="shared" si="0"/>
        <v>0</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19"/>
      <c r="P32" s="319"/>
      <c r="Q32" s="319"/>
      <c r="R32" s="319"/>
      <c r="S32" s="319"/>
      <c r="T32" s="319"/>
      <c r="U32" s="319"/>
      <c r="V32" s="319"/>
    </row>
    <row r="33" spans="1:22" ht="22" customHeight="1">
      <c r="A33" s="321" t="s">
        <v>92</v>
      </c>
      <c r="B33" s="97">
        <v>401723</v>
      </c>
      <c r="C33" s="49" t="s">
        <v>260</v>
      </c>
      <c r="D33" s="50">
        <v>45852</v>
      </c>
      <c r="E33" s="51" t="s">
        <v>2</v>
      </c>
      <c r="F33" s="52">
        <v>86.5</v>
      </c>
      <c r="G33" s="322">
        <f>IF(OR(E33="",F33=""),"",PID_KVLohnLookup($A$1,E33,F33,LOHNTABELLE!$H$4))</f>
        <v>1010.5</v>
      </c>
      <c r="H33" s="323">
        <f>IF(AND(ISNUMBER(D33),ISNUMBER(F33)),ROUNDDOWN(MIN(IF(OR(ISBLANK(I33),I33=""),EOMONTH(DATE(EINSTELLUNG!$C$35,$A$1,1),0),I33)-MAX(D33,DATE(EINSTELLUNG!$C$35,$A$1,1))+1)/DAY(EOMONTH(DATE(EINSTELLUNG!$C$35,$A$1,1),0))*F33,2),"")</f>
        <v>86.5</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68"/>
      <c r="P33" s="369"/>
      <c r="Q33" s="304" t="str">
        <f>EINSTELLUNG!B3</f>
        <v>Budget</v>
      </c>
      <c r="R33" s="304"/>
      <c r="S33" s="304" t="str">
        <f>EINSTELLUNG!B19</f>
        <v>Projection/Aktuell Zahlen</v>
      </c>
      <c r="T33" s="304"/>
      <c r="U33" s="304" t="s">
        <v>95</v>
      </c>
      <c r="V33" s="305"/>
    </row>
    <row r="34" spans="1:22" ht="22" customHeight="1">
      <c r="A34" s="321" t="s">
        <v>96</v>
      </c>
      <c r="B34" s="96">
        <v>401726</v>
      </c>
      <c r="C34" s="41" t="s">
        <v>261</v>
      </c>
      <c r="D34" s="42">
        <v>45870</v>
      </c>
      <c r="E34" s="43" t="s">
        <v>2</v>
      </c>
      <c r="F34" s="44">
        <v>86.5</v>
      </c>
      <c r="G34" s="322">
        <f>IF(OR(E34="",F34=""),"",PID_KVLohnLookup($A$1,E34,F34,LOHNTABELLE!$H$4))</f>
        <v>1010.5</v>
      </c>
      <c r="H34" s="323">
        <f>IF(AND(ISNUMBER(D34),ISNUMBER(F34)),ROUNDDOWN(MIN(IF(OR(ISBLANK(I34),I34=""),EOMONTH(DATE(EINSTELLUNG!$C$35,$A$1,1),0),I34)-MAX(D34,DATE(EINSTELLUNG!$C$35,$A$1,1))+1)/DAY(EOMONTH(DATE(EINSTELLUNG!$C$35,$A$1,1),0))*F34,2),"")</f>
        <v>86.5</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0"/>
      <c r="P34" s="371"/>
      <c r="Q34" s="372"/>
      <c r="R34" s="372"/>
      <c r="S34" s="372"/>
      <c r="T34" s="372"/>
      <c r="U34" s="372"/>
      <c r="V34" s="373"/>
    </row>
    <row r="35" spans="1:22" ht="22" customHeight="1">
      <c r="A35" s="321" t="s">
        <v>97</v>
      </c>
      <c r="B35" s="97">
        <v>401730</v>
      </c>
      <c r="C35" s="49" t="s">
        <v>263</v>
      </c>
      <c r="D35" s="50">
        <v>45895</v>
      </c>
      <c r="E35" s="51" t="s">
        <v>2</v>
      </c>
      <c r="F35" s="52">
        <v>86.5</v>
      </c>
      <c r="G35" s="322">
        <f>IF(OR(E35="",F35=""),"",PID_KVLohnLookup($A$1,E35,F35,LOHNTABELLE!$H$4))</f>
        <v>1010.5</v>
      </c>
      <c r="H35" s="323">
        <f>IF(AND(ISNUMBER(D35),ISNUMBER(F35)),ROUNDDOWN(MIN(IF(OR(ISBLANK(I35),I35=""),EOMONTH(DATE(EINSTELLUNG!$C$35,$A$1,1),0),I35)-MAX(D35,DATE(EINSTELLUNG!$C$35,$A$1,1))+1)/DAY(EOMONTH(DATE(EINSTELLUNG!$C$35,$A$1,1),0))*F35,2),"")</f>
        <v>86.5</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4" t="s">
        <v>98</v>
      </c>
      <c r="P35" s="338"/>
      <c r="Q35" s="375">
        <f>EINSTELLUNG!C15</f>
        <v>400000</v>
      </c>
      <c r="R35" s="375"/>
      <c r="S35" s="375">
        <f>EINSTELLUNG!C31</f>
        <v>401000</v>
      </c>
      <c r="T35" s="375"/>
      <c r="U35" s="375">
        <f>S35-Q35</f>
        <v>1000</v>
      </c>
      <c r="V35" s="376"/>
    </row>
    <row r="36" spans="1:22" ht="22" customHeight="1">
      <c r="A36" s="321" t="s">
        <v>99</v>
      </c>
      <c r="B36" s="96">
        <v>401731</v>
      </c>
      <c r="C36" s="41" t="s">
        <v>262</v>
      </c>
      <c r="D36" s="42">
        <v>45899</v>
      </c>
      <c r="E36" s="43" t="s">
        <v>2</v>
      </c>
      <c r="F36" s="44">
        <v>86.5</v>
      </c>
      <c r="G36" s="322">
        <f>IF(OR(E36="",F36=""),"",PID_KVLohnLookup($A$1,E36,F36,LOHNTABELLE!$H$4))</f>
        <v>1010.5</v>
      </c>
      <c r="H36" s="323">
        <f>IF(AND(ISNUMBER(D36),ISNUMBER(F36)),ROUNDDOWN(MIN(IF(OR(ISBLANK(I36),I36=""),EOMONTH(DATE(EINSTELLUNG!$C$35,$A$1,1),0),I36)-MAX(D36,DATE(EINSTELLUNG!$C$35,$A$1,1))+1)/DAY(EOMONTH(DATE(EINSTELLUNG!$C$35,$A$1,1),0))*F36,2),"")</f>
        <v>86.5</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4" t="s">
        <v>100</v>
      </c>
      <c r="P36" s="338"/>
      <c r="Q36" s="375">
        <f>EINSTELLUNG!D15</f>
        <v>100000</v>
      </c>
      <c r="R36" s="375"/>
      <c r="S36" s="375">
        <f ca="1">SumMergedCells(Q17:R29)</f>
        <v>100340.32550000001</v>
      </c>
      <c r="T36" s="375"/>
      <c r="U36" s="375">
        <f t="shared" ref="U36:U41" ca="1" si="2">S36-Q36</f>
        <v>340.32550000000629</v>
      </c>
      <c r="V36" s="376"/>
    </row>
    <row r="37" spans="1:22" ht="22" customHeight="1">
      <c r="A37" s="321" t="s">
        <v>101</v>
      </c>
      <c r="B37" s="97">
        <v>401734</v>
      </c>
      <c r="C37" s="49" t="s">
        <v>264</v>
      </c>
      <c r="D37" s="50">
        <v>45904</v>
      </c>
      <c r="E37" s="51" t="s">
        <v>2</v>
      </c>
      <c r="F37" s="52">
        <v>86.5</v>
      </c>
      <c r="G37" s="322">
        <f>IF(OR(E37="",F37=""),"",PID_KVLohnLookup($A$1,E37,F37,LOHNTABELLE!$H$4))</f>
        <v>1010.5</v>
      </c>
      <c r="H37" s="323">
        <f>IF(AND(ISNUMBER(D37),ISNUMBER(F37)),ROUNDDOWN(MIN(IF(OR(ISBLANK(I37),I37=""),EOMONTH(DATE(EINSTELLUNG!$C$35,$A$1,1),0),I37)-MAX(D37,DATE(EINSTELLUNG!$C$35,$A$1,1))+1)/DAY(EOMONTH(DATE(EINSTELLUNG!$C$35,$A$1,1),0))*F37,2),"")</f>
        <v>86.5</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4" t="s">
        <v>102</v>
      </c>
      <c r="P37" s="338"/>
      <c r="Q37" s="377">
        <f>IF(ISERROR(Q36/Q35), 0, Q36/Q35)</f>
        <v>0.25</v>
      </c>
      <c r="R37" s="377"/>
      <c r="S37" s="377">
        <f ca="1">IF(ISERROR(S36/S35), 0, S36/S35)</f>
        <v>0.25022525062344142</v>
      </c>
      <c r="T37" s="377"/>
      <c r="U37" s="377">
        <f t="shared" ca="1" si="2"/>
        <v>2.2525062344141977E-4</v>
      </c>
      <c r="V37" s="378"/>
    </row>
    <row r="38" spans="1:22" ht="22" customHeight="1">
      <c r="A38" s="321" t="s">
        <v>103</v>
      </c>
      <c r="B38" s="96">
        <v>401737</v>
      </c>
      <c r="C38" s="41" t="s">
        <v>266</v>
      </c>
      <c r="D38" s="42">
        <v>45906</v>
      </c>
      <c r="E38" s="43" t="s">
        <v>2</v>
      </c>
      <c r="F38" s="44">
        <v>86.5</v>
      </c>
      <c r="G38" s="322">
        <f>IF(OR(E38="",F38=""),"",PID_KVLohnLookup($A$1,E38,F38,LOHNTABELLE!$H$4))</f>
        <v>1010.5</v>
      </c>
      <c r="H38" s="323">
        <f>IF(AND(ISNUMBER(D38),ISNUMBER(F38)),ROUNDDOWN(MIN(IF(OR(ISBLANK(I38),I38=""),EOMONTH(DATE(EINSTELLUNG!$C$35,$A$1,1),0),I38)-MAX(D38,DATE(EINSTELLUNG!$C$35,$A$1,1))+1)/DAY(EOMONTH(DATE(EINSTELLUNG!$C$35,$A$1,1),0))*F38,2),"")</f>
        <v>86.5</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4" t="s">
        <v>104</v>
      </c>
      <c r="P38" s="338"/>
      <c r="Q38" s="339">
        <f>EINSTELLUNG!F15</f>
        <v>30000</v>
      </c>
      <c r="R38" s="339"/>
      <c r="S38" s="339">
        <f>EINSTELLUNG!F31</f>
        <v>31000</v>
      </c>
      <c r="T38" s="339"/>
      <c r="U38" s="339">
        <f t="shared" si="2"/>
        <v>1000</v>
      </c>
      <c r="V38" s="340"/>
    </row>
    <row r="39" spans="1:22" ht="22" customHeight="1">
      <c r="A39" s="321" t="s">
        <v>105</v>
      </c>
      <c r="B39" s="97">
        <v>401738</v>
      </c>
      <c r="C39" s="49" t="s">
        <v>267</v>
      </c>
      <c r="D39" s="50">
        <v>45909</v>
      </c>
      <c r="E39" s="51" t="s">
        <v>2</v>
      </c>
      <c r="F39" s="52">
        <v>86.5</v>
      </c>
      <c r="G39" s="322">
        <f>IF(OR(E39="",F39=""),"",PID_KVLohnLookup($A$1,E39,F39,LOHNTABELLE!$H$4))</f>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4" t="s">
        <v>106</v>
      </c>
      <c r="P39" s="338"/>
      <c r="Q39" s="375">
        <f>IF(Q38=0, 0, Q35/Q38)</f>
        <v>13.333333333333334</v>
      </c>
      <c r="R39" s="375"/>
      <c r="S39" s="375">
        <f>IF(S38=0, 0, S35/S38)</f>
        <v>12.935483870967742</v>
      </c>
      <c r="T39" s="375"/>
      <c r="U39" s="375">
        <f t="shared" si="2"/>
        <v>-0.39784946236559193</v>
      </c>
      <c r="V39" s="376"/>
    </row>
    <row r="40" spans="1:22" ht="22" customHeight="1">
      <c r="A40" s="321" t="s">
        <v>107</v>
      </c>
      <c r="B40" s="96">
        <v>401745</v>
      </c>
      <c r="C40" s="41" t="s">
        <v>271</v>
      </c>
      <c r="D40" s="42">
        <v>45934</v>
      </c>
      <c r="E40" s="43" t="s">
        <v>2</v>
      </c>
      <c r="F40" s="44">
        <v>86.5</v>
      </c>
      <c r="G40" s="322">
        <f>IF(OR(E40="",F40=""),"",PID_KVLohnLookup($A$1,E40,F40,LOHNTABELLE!$H$4))</f>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4" t="s">
        <v>108</v>
      </c>
      <c r="P40" s="338"/>
      <c r="Q40" s="375">
        <f>IF(Q13=0, 0, Q35/Q13)</f>
        <v>54.328117381330422</v>
      </c>
      <c r="R40" s="375"/>
      <c r="S40" s="375">
        <f>IF(Q13=0, 0, S35/Q13)</f>
        <v>54.463937674783743</v>
      </c>
      <c r="T40" s="375"/>
      <c r="U40" s="375">
        <f t="shared" si="2"/>
        <v>0.13582029345332103</v>
      </c>
      <c r="V40" s="376"/>
    </row>
    <row r="41" spans="1:22" ht="22" customHeight="1">
      <c r="A41" s="321" t="s">
        <v>109</v>
      </c>
      <c r="B41" s="97">
        <v>401746</v>
      </c>
      <c r="C41" s="49" t="s">
        <v>270</v>
      </c>
      <c r="D41" s="53">
        <v>45941</v>
      </c>
      <c r="E41" s="51" t="s">
        <v>2</v>
      </c>
      <c r="F41" s="52">
        <v>86.5</v>
      </c>
      <c r="G41" s="322">
        <f>IF(OR(E41="",F41=""),"",PID_KVLohnLookup($A$1,E41,F41,LOHNTABELLE!$H$4))</f>
        <v>1010.5</v>
      </c>
      <c r="H41" s="323">
        <f>IF(AND(ISNUMBER(D41),ISNUMBER(F41)),ROUNDDOWN(MIN(IF(OR(ISBLANK(I41),I41=""),EOMONTH(DATE(EINSTELLUNG!$C$35,$A$1,1),0),I41)-MAX(D41,DATE(EINSTELLUNG!$C$35,$A$1,1))+1)/DAY(EOMONTH(DATE(EINSTELLUNG!$C$35,$A$1,1),0))*F41,2),"")</f>
        <v>86.5</v>
      </c>
      <c r="I41" s="53"/>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4" t="s">
        <v>110</v>
      </c>
      <c r="P41" s="338"/>
      <c r="Q41" s="339">
        <f>IF(Q13=0, 0, Q38/Q13)</f>
        <v>4.0746088035997818</v>
      </c>
      <c r="R41" s="339"/>
      <c r="S41" s="339">
        <f>IF(Q13=0, 0, S38/Q13)</f>
        <v>4.2104290970531073</v>
      </c>
      <c r="T41" s="339"/>
      <c r="U41" s="339">
        <f t="shared" si="2"/>
        <v>0.13582029345332547</v>
      </c>
      <c r="V41" s="340"/>
    </row>
    <row r="42" spans="1:22" ht="22" customHeight="1">
      <c r="A42" s="321" t="s">
        <v>111</v>
      </c>
      <c r="B42" s="96">
        <v>401747</v>
      </c>
      <c r="C42" s="41" t="s">
        <v>268</v>
      </c>
      <c r="D42" s="42">
        <v>45941</v>
      </c>
      <c r="E42" s="43" t="s">
        <v>2</v>
      </c>
      <c r="F42" s="44">
        <v>86.5</v>
      </c>
      <c r="G42" s="322">
        <f>IF(OR(E42="",F42=""),"",PID_KVLohnLookup($A$1,E42,F42,LOHNTABELLE!$H$4))</f>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79" t="s">
        <v>112</v>
      </c>
      <c r="P42" s="380"/>
      <c r="Q42" s="381">
        <f>IFERROR(Q17/Q8, 0)</f>
        <v>11.921326989528469</v>
      </c>
      <c r="R42" s="381"/>
      <c r="S42" s="381"/>
      <c r="T42" s="381"/>
      <c r="U42" s="381"/>
      <c r="V42" s="382"/>
    </row>
    <row r="43" spans="1:22" ht="22" customHeight="1">
      <c r="A43" s="321" t="s">
        <v>113</v>
      </c>
      <c r="B43" s="97">
        <v>401748</v>
      </c>
      <c r="C43" s="49" t="s">
        <v>269</v>
      </c>
      <c r="D43" s="50">
        <v>45941</v>
      </c>
      <c r="E43" s="51" t="s">
        <v>2</v>
      </c>
      <c r="F43" s="52">
        <v>138.4</v>
      </c>
      <c r="G43" s="322">
        <f>IF(OR(E43="",F43=""),"",PID_KVLohnLookup($A$1,E43,F43,LOHNTABELLE!$H$4))</f>
        <v>1616.8</v>
      </c>
      <c r="H43" s="323">
        <f>IF(AND(ISNUMBER(D43),ISNUMBER(F43)),ROUNDDOWN(MIN(IF(OR(ISBLANK(I43),I43=""),EOMONTH(DATE(EINSTELLUNG!$C$35,$A$1,1),0),I43)-MAX(D43,DATE(EINSTELLUNG!$C$35,$A$1,1))+1)/DAY(EOMONTH(DATE(EINSTELLUNG!$C$35,$A$1,1),0))*F43,2),"")</f>
        <v>138.4</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55"/>
      <c r="N43" s="71"/>
      <c r="O43" s="383"/>
      <c r="P43" s="383"/>
      <c r="Q43" s="383"/>
      <c r="R43" s="319"/>
      <c r="S43" s="319"/>
      <c r="T43" s="319"/>
      <c r="U43" s="319"/>
      <c r="V43" s="319"/>
    </row>
    <row r="44" spans="1:22" ht="22" customHeight="1">
      <c r="A44" s="321" t="s">
        <v>114</v>
      </c>
      <c r="B44" s="96">
        <v>401751</v>
      </c>
      <c r="C44" s="41" t="s">
        <v>272</v>
      </c>
      <c r="D44" s="42">
        <v>45961</v>
      </c>
      <c r="E44" s="43" t="s">
        <v>2</v>
      </c>
      <c r="F44" s="44">
        <v>86.5</v>
      </c>
      <c r="G44" s="322">
        <f>IF(OR(E44="",F44=""),"",PID_KVLohnLookup($A$1,E44,F44,LOHNTABELLE!$H$4))</f>
        <v>1010.5</v>
      </c>
      <c r="H44" s="323">
        <f>IF(AND(ISNUMBER(D44),ISNUMBER(F44)),ROUNDDOWN(MIN(IF(OR(ISBLANK(I44),I44=""),EOMONTH(DATE(EINSTELLUNG!$C$35,$A$1,1),0),I44)-MAX(D44,DATE(EINSTELLUNG!$C$35,$A$1,1))+1)/DAY(EOMONTH(DATE(EINSTELLUNG!$C$35,$A$1,1),0))*F44,2),"")</f>
        <v>86.5</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4" t="s">
        <v>115</v>
      </c>
      <c r="P44" s="384"/>
      <c r="Q44" s="384"/>
      <c r="R44" s="384"/>
      <c r="S44" s="384"/>
      <c r="T44" s="384"/>
      <c r="U44" s="384"/>
      <c r="V44" s="384"/>
    </row>
    <row r="45" spans="1:22" ht="22" customHeight="1">
      <c r="A45" s="321" t="s">
        <v>116</v>
      </c>
      <c r="B45" s="97">
        <v>401752</v>
      </c>
      <c r="C45" s="49" t="s">
        <v>273</v>
      </c>
      <c r="D45" s="50">
        <v>45986</v>
      </c>
      <c r="E45" s="51" t="s">
        <v>2</v>
      </c>
      <c r="F45" s="52">
        <v>173</v>
      </c>
      <c r="G45" s="322">
        <f>IF(OR(E45="",F45=""),"",PID_KVLohnLookup($A$1,E45,F45,LOHNTABELLE!$H$4))</f>
        <v>2021</v>
      </c>
      <c r="H45" s="323">
        <f>IF(AND(ISNUMBER(D45),ISNUMBER(F45)),ROUNDDOWN(MIN(IF(OR(ISBLANK(I45),I45=""),EOMONTH(DATE(EINSTELLUNG!$C$35,$A$1,1),0),I45)-MAX(D45,DATE(EINSTELLUNG!$C$35,$A$1,1))+1)/DAY(EOMONTH(DATE(EINSTELLUNG!$C$35,$A$1,1),0))*F45,2),"")</f>
        <v>173</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55"/>
      <c r="N45" s="71"/>
      <c r="O45" s="385"/>
      <c r="P45" s="385"/>
      <c r="Q45" s="385"/>
      <c r="R45" s="386"/>
      <c r="S45" s="386"/>
      <c r="T45" s="386"/>
      <c r="U45" s="386"/>
      <c r="V45" s="319"/>
    </row>
    <row r="46" spans="1:22" ht="22" customHeight="1">
      <c r="A46" s="321" t="s">
        <v>117</v>
      </c>
      <c r="B46" s="96">
        <v>401999</v>
      </c>
      <c r="C46" s="41" t="s">
        <v>355</v>
      </c>
      <c r="D46" s="42">
        <v>46041</v>
      </c>
      <c r="E46" s="43" t="s">
        <v>2</v>
      </c>
      <c r="F46" s="44">
        <v>151.38</v>
      </c>
      <c r="G46" s="322">
        <f>IF(OR(E46="",F46=""),"",PID_KVLohnLookup($A$1,E46,F46,LOHNTABELLE!$H$4))</f>
        <v>1768.38</v>
      </c>
      <c r="H46" s="323">
        <f>IF(AND(ISNUMBER(D46),ISNUMBER(F46)),ROUNDDOWN(MIN(IF(OR(ISBLANK(I46),I46=""),EOMONTH(DATE(EINSTELLUNG!$C$35,$A$1,1),0),I46)-MAX(D46,DATE(EINSTELLUNG!$C$35,$A$1,1))+1)/DAY(EOMONTH(DATE(EINSTELLUNG!$C$35,$A$1,1),0))*F46,2),"")</f>
        <v>151.38</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7"/>
      <c r="N46" s="70"/>
      <c r="O46" s="319"/>
      <c r="P46" s="319"/>
      <c r="Q46" s="319"/>
      <c r="R46" s="319"/>
      <c r="S46" s="319"/>
      <c r="T46" s="319"/>
      <c r="U46" s="319"/>
      <c r="V46" s="319"/>
    </row>
    <row r="47" spans="1:22" ht="22" customHeight="1">
      <c r="A47" s="321" t="s">
        <v>118</v>
      </c>
      <c r="B47" s="97">
        <v>401999</v>
      </c>
      <c r="C47" s="49" t="s">
        <v>293</v>
      </c>
      <c r="D47" s="50">
        <v>46082</v>
      </c>
      <c r="E47" s="51" t="s">
        <v>2</v>
      </c>
      <c r="F47" s="52">
        <v>173</v>
      </c>
      <c r="G47" s="322">
        <f>IF(OR(E47="",F47=""),"",PID_KVLohnLookup($A$1,E47,F47,LOHNTABELLE!$H$4))</f>
        <v>2021</v>
      </c>
      <c r="H47" s="323">
        <f>IF(AND(ISNUMBER(D47),ISNUMBER(F47)),ROUNDDOWN(MIN(IF(OR(ISBLANK(I47),I47=""),EOMONTH(DATE(EINSTELLUNG!$C$35,$A$1,1),0),I47)-MAX(D47,DATE(EINSTELLUNG!$C$35,$A$1,1))+1)/DAY(EOMONTH(DATE(EINSTELLUNG!$C$35,$A$1,1),0))*F47,2),"")</f>
        <v>173</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319"/>
      <c r="P47" s="319"/>
      <c r="Q47" s="319"/>
      <c r="R47" s="319"/>
      <c r="S47" s="319"/>
      <c r="T47" s="319"/>
      <c r="U47" s="319"/>
      <c r="V47" s="319"/>
    </row>
    <row r="48" spans="1:22" ht="22" customHeight="1">
      <c r="A48" s="321" t="s">
        <v>119</v>
      </c>
      <c r="B48" s="96">
        <v>402000</v>
      </c>
      <c r="C48" s="41" t="s">
        <v>295</v>
      </c>
      <c r="D48" s="45">
        <v>46143</v>
      </c>
      <c r="E48" s="43" t="s">
        <v>2</v>
      </c>
      <c r="F48" s="44">
        <v>173</v>
      </c>
      <c r="G48" s="322">
        <f>IF(OR(E48="",F48=""),"",PID_KVLohnLookup($A$1,E48,F48,LOHNTABELLE!$H$4))</f>
        <v>2021</v>
      </c>
      <c r="H48" s="323">
        <f>IF(AND(ISNUMBER(D48),ISNUMBER(F48)),ROUNDDOWN(MIN(IF(OR(ISBLANK(I48),I48=""),EOMONTH(DATE(EINSTELLUNG!$C$35,$A$1,1),0),I48)-MAX(D48,DATE(EINSTELLUNG!$C$35,$A$1,1))+1)/DAY(EOMONTH(DATE(EINSTELLUNG!$C$35,$A$1,1),0))*F48,2),"")</f>
        <v>55.8</v>
      </c>
      <c r="I48" s="45">
        <v>46305</v>
      </c>
      <c r="J48" s="46"/>
      <c r="K48" s="322">
        <f t="shared" si="1"/>
        <v>0</v>
      </c>
      <c r="L48" s="32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651.93548387096769</v>
      </c>
      <c r="M48" s="47"/>
      <c r="N48" s="70" t="s">
        <v>188</v>
      </c>
      <c r="O48" s="319"/>
      <c r="P48" s="319"/>
      <c r="Q48" s="319"/>
      <c r="R48" s="319"/>
      <c r="S48" s="319"/>
      <c r="T48" s="319"/>
      <c r="U48" s="319"/>
      <c r="V48" s="319"/>
    </row>
    <row r="49" spans="1:22" ht="22" customHeight="1">
      <c r="A49" s="321" t="s">
        <v>120</v>
      </c>
      <c r="B49" s="97">
        <v>402004</v>
      </c>
      <c r="C49" s="49" t="s">
        <v>296</v>
      </c>
      <c r="D49" s="53">
        <v>46122</v>
      </c>
      <c r="E49" s="51" t="s">
        <v>2</v>
      </c>
      <c r="F49" s="52">
        <v>173</v>
      </c>
      <c r="G49" s="322">
        <f>IF(OR(E49="",F49=""),"",PID_KVLohnLookup($A$1,E49,F49,LOHNTABELLE!$H$4))</f>
        <v>2021</v>
      </c>
      <c r="H49" s="323">
        <f>IF(AND(ISNUMBER(D49),ISNUMBER(F49)),ROUNDDOWN(MIN(IF(OR(ISBLANK(I49),I49=""),EOMONTH(DATE(EINSTELLUNG!$C$35,$A$1,1),0),I49)-MAX(D49,DATE(EINSTELLUNG!$C$35,$A$1,1))+1)/DAY(EOMONTH(DATE(EINSTELLUNG!$C$35,$A$1,1),0))*F49,2),"")</f>
        <v>173</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19"/>
      <c r="P49" s="319"/>
      <c r="Q49" s="319"/>
      <c r="R49" s="319"/>
      <c r="S49" s="319"/>
      <c r="T49" s="319"/>
      <c r="U49" s="319"/>
      <c r="V49" s="319"/>
    </row>
    <row r="50" spans="1:22" ht="22" customHeight="1">
      <c r="A50" s="321" t="s">
        <v>121</v>
      </c>
      <c r="B50" s="96">
        <v>402405</v>
      </c>
      <c r="C50" s="41" t="s">
        <v>298</v>
      </c>
      <c r="D50" s="45">
        <v>46054</v>
      </c>
      <c r="E50" s="43" t="s">
        <v>2</v>
      </c>
      <c r="F50" s="44">
        <v>173</v>
      </c>
      <c r="G50" s="322">
        <f>IF(OR(E50="",F50=""),"",PID_KVLohnLookup($A$1,E50,F50,LOHNTABELLE!$H$4))</f>
        <v>2021</v>
      </c>
      <c r="H50" s="323">
        <f>IF(AND(ISNUMBER(D50),ISNUMBER(F50)),ROUNDDOWN(MIN(IF(OR(ISBLANK(I50),I50=""),EOMONTH(DATE(EINSTELLUNG!$C$35,$A$1,1),0),I50)-MAX(D50,DATE(EINSTELLUNG!$C$35,$A$1,1))+1)/DAY(EOMONTH(DATE(EINSTELLUNG!$C$35,$A$1,1),0))*F50,2),"")</f>
        <v>173</v>
      </c>
      <c r="I50" s="45"/>
      <c r="J50" s="46"/>
      <c r="K50" s="322">
        <f t="shared" si="1"/>
        <v>0</v>
      </c>
      <c r="L50" s="32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319"/>
      <c r="P50" s="319"/>
      <c r="Q50" s="319"/>
      <c r="R50" s="319"/>
      <c r="S50" s="319"/>
      <c r="T50" s="319"/>
      <c r="U50" s="319"/>
      <c r="V50" s="319"/>
    </row>
    <row r="51" spans="1:22" ht="22" customHeight="1">
      <c r="A51" s="321" t="s">
        <v>122</v>
      </c>
      <c r="B51" s="97">
        <v>500600</v>
      </c>
      <c r="C51" s="49" t="s">
        <v>302</v>
      </c>
      <c r="D51" s="50">
        <v>46054</v>
      </c>
      <c r="E51" s="51" t="s">
        <v>2</v>
      </c>
      <c r="F51" s="100">
        <v>173</v>
      </c>
      <c r="G51" s="322">
        <f>IF(OR(E51="",F51=""),"",PID_KVLohnLookup($A$1,E51,F51,LOHNTABELLE!$H$4))</f>
        <v>2021</v>
      </c>
      <c r="H51" s="323">
        <f>IF(AND(ISNUMBER(D51),ISNUMBER(F51)),ROUNDDOWN(MIN(IF(OR(ISBLANK(I51),I51=""),EOMONTH(DATE(EINSTELLUNG!$C$35,$A$1,1),0),I51)-MAX(D51,DATE(EINSTELLUNG!$C$35,$A$1,1))+1)/DAY(EOMONTH(DATE(EINSTELLUNG!$C$35,$A$1,1),0))*F51,2),"")</f>
        <v>173</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1" t="s">
        <v>123</v>
      </c>
      <c r="B52" s="96">
        <v>502000</v>
      </c>
      <c r="C52" s="41" t="s">
        <v>297</v>
      </c>
      <c r="D52" s="45">
        <v>46147</v>
      </c>
      <c r="E52" s="43" t="s">
        <v>2</v>
      </c>
      <c r="F52" s="44">
        <v>173</v>
      </c>
      <c r="G52" s="322">
        <f>IF(OR(E52="",F52=""),"",PID_KVLohnLookup($A$1,E52,F52,LOHNTABELLE!$H$4))</f>
        <v>2021</v>
      </c>
      <c r="H52" s="323">
        <f>IF(AND(ISNUMBER(D52),ISNUMBER(F52)),ROUNDDOWN(MIN(IF(OR(ISBLANK(I52),I52=""),EOMONTH(DATE(EINSTELLUNG!$C$35,$A$1,1),0),I52)-MAX(D52,DATE(EINSTELLUNG!$C$35,$A$1,1))+1)/DAY(EOMONTH(DATE(EINSTELLUNG!$C$35,$A$1,1),0))*F52,2),"")</f>
        <v>173</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1" t="s">
        <v>124</v>
      </c>
      <c r="B53" s="97">
        <v>503000</v>
      </c>
      <c r="C53" s="66" t="s">
        <v>299</v>
      </c>
      <c r="D53" s="53">
        <v>42401</v>
      </c>
      <c r="E53" s="51" t="s">
        <v>2</v>
      </c>
      <c r="F53" s="52">
        <v>173</v>
      </c>
      <c r="G53" s="322">
        <f>IF(OR(E53="",F53=""),"",PID_KVLohnLookup($A$1,E53,F53,LOHNTABELLE!$H$4))</f>
        <v>2021</v>
      </c>
      <c r="H53" s="323">
        <f>IF(AND(ISNUMBER(D53),ISNUMBER(F53)),ROUNDDOWN(MIN(IF(OR(ISBLANK(I53),I53=""),EOMONTH(DATE(EINSTELLUNG!$C$35,$A$1,1),0),I53)-MAX(D53,DATE(EINSTELLUNG!$C$35,$A$1,1))+1)/DAY(EOMONTH(DATE(EINSTELLUNG!$C$35,$A$1,1),0))*F53,2),"")</f>
        <v>173</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1" t="s">
        <v>125</v>
      </c>
      <c r="B54" s="96">
        <v>504000</v>
      </c>
      <c r="C54" s="41" t="s">
        <v>300</v>
      </c>
      <c r="D54" s="45">
        <v>46054</v>
      </c>
      <c r="E54" s="43" t="s">
        <v>3</v>
      </c>
      <c r="F54" s="44">
        <v>138.4</v>
      </c>
      <c r="G54" s="322">
        <f>IF(OR(E54="",F54=""),"",PID_KVLohnLookup($A$1,E54,F54,LOHNTABELLE!$H$4))</f>
        <v>1665.6</v>
      </c>
      <c r="H54" s="323">
        <f>IF(AND(ISNUMBER(D54),ISNUMBER(F54)),ROUNDDOWN(MIN(IF(OR(ISBLANK(I54),I54=""),EOMONTH(DATE(EINSTELLUNG!$C$35,$A$1,1),0),I54)-MAX(D54,DATE(EINSTELLUNG!$C$35,$A$1,1))+1)/DAY(EOMONTH(DATE(EINSTELLUNG!$C$35,$A$1,1),0))*F54,2),"")</f>
        <v>138.4</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7"/>
      <c r="N54" s="70"/>
    </row>
    <row r="55" spans="1:22" ht="22" customHeight="1">
      <c r="A55" s="321" t="s">
        <v>126</v>
      </c>
      <c r="B55" s="97">
        <v>505000</v>
      </c>
      <c r="C55" s="49" t="s">
        <v>301</v>
      </c>
      <c r="D55" s="53">
        <v>46054</v>
      </c>
      <c r="E55" s="51" t="s">
        <v>2</v>
      </c>
      <c r="F55" s="52">
        <v>138.4</v>
      </c>
      <c r="G55" s="322">
        <f>IF(OR(E55="",F55=""),"",PID_KVLohnLookup($A$1,E55,F55,LOHNTABELLE!$H$4))</f>
        <v>1616.8</v>
      </c>
      <c r="H55" s="323">
        <f>IF(AND(ISNUMBER(D55),ISNUMBER(F55)),ROUNDDOWN(MIN(IF(OR(ISBLANK(I55),I55=""),EOMONTH(DATE(EINSTELLUNG!$C$35,$A$1,1),0),I55)-MAX(D55,DATE(EINSTELLUNG!$C$35,$A$1,1))+1)/DAY(EOMONTH(DATE(EINSTELLUNG!$C$35,$A$1,1),0))*F55,2),"")</f>
        <v>138.4</v>
      </c>
      <c r="I55" s="53"/>
      <c r="J55" s="54"/>
      <c r="K55" s="322">
        <f t="shared" si="1"/>
        <v>0</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5"/>
      <c r="N55" s="71"/>
    </row>
    <row r="56" spans="1:22" ht="22" customHeight="1">
      <c r="A56" s="321" t="s">
        <v>127</v>
      </c>
      <c r="B56" s="96">
        <v>525025</v>
      </c>
      <c r="C56" s="41" t="s">
        <v>356</v>
      </c>
      <c r="D56" s="45">
        <v>46040</v>
      </c>
      <c r="E56" s="43" t="s">
        <v>2</v>
      </c>
      <c r="F56" s="44">
        <v>129.75</v>
      </c>
      <c r="G56" s="322">
        <f>IF(OR(E56="",F56=""),"",PID_KVLohnLookup($A$1,E56,F56,LOHNTABELLE!$H$4))</f>
        <v>1515.75</v>
      </c>
      <c r="H56" s="323">
        <f>IF(AND(ISNUMBER(D56),ISNUMBER(F56)),ROUNDDOWN(MIN(IF(OR(ISBLANK(I56),I56=""),EOMONTH(DATE(EINSTELLUNG!$C$35,$A$1,1),0),I56)-MAX(D56,DATE(EINSTELLUNG!$C$35,$A$1,1))+1)/DAY(EOMONTH(DATE(EINSTELLUNG!$C$35,$A$1,1),0))*F56,2),"")</f>
        <v>129.75</v>
      </c>
      <c r="I56" s="45"/>
      <c r="J56" s="46"/>
      <c r="K56" s="322">
        <f t="shared" si="1"/>
        <v>0</v>
      </c>
      <c r="L56" s="32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7"/>
      <c r="N56" s="70"/>
    </row>
    <row r="57" spans="1:22" ht="22" customHeight="1">
      <c r="A57" s="321" t="s">
        <v>128</v>
      </c>
      <c r="B57" s="97">
        <v>700000</v>
      </c>
      <c r="C57" s="49" t="s">
        <v>309</v>
      </c>
      <c r="D57" s="53">
        <v>46054</v>
      </c>
      <c r="E57" s="51" t="s">
        <v>2</v>
      </c>
      <c r="F57" s="52">
        <v>173</v>
      </c>
      <c r="G57" s="322">
        <f>IF(OR(E57="",F57=""),"",PID_KVLohnLookup($A$1,E57,F57,LOHNTABELLE!$H$4))</f>
        <v>2021</v>
      </c>
      <c r="H57" s="323">
        <f>IF(AND(ISNUMBER(D57),ISNUMBER(F57)),ROUNDDOWN(MIN(IF(OR(ISBLANK(I57),I57=""),EOMONTH(DATE(EINSTELLUNG!$C$35,$A$1,1),0),I57)-MAX(D57,DATE(EINSTELLUNG!$C$35,$A$1,1))+1)/DAY(EOMONTH(DATE(EINSTELLUNG!$C$35,$A$1,1),0))*F57,2),"")</f>
        <v>173</v>
      </c>
      <c r="I57" s="53"/>
      <c r="J57" s="54"/>
      <c r="K57" s="322">
        <f t="shared" si="1"/>
        <v>0</v>
      </c>
      <c r="L57" s="32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321" t="s">
        <v>129</v>
      </c>
      <c r="B58" s="96">
        <v>800000</v>
      </c>
      <c r="C58" s="41" t="s">
        <v>310</v>
      </c>
      <c r="D58" s="42">
        <v>46096</v>
      </c>
      <c r="E58" s="43" t="s">
        <v>2</v>
      </c>
      <c r="F58" s="44">
        <v>86.5</v>
      </c>
      <c r="G58" s="322">
        <f>IF(OR(E58="",F58=""),"",PID_KVLohnLookup($A$1,E58,F58,LOHNTABELLE!$H$4))</f>
        <v>1010.5</v>
      </c>
      <c r="H58" s="323">
        <f>IF(AND(ISNUMBER(D58),ISNUMBER(F58)),ROUNDDOWN(MIN(IF(OR(ISBLANK(I58),I58=""),EOMONTH(DATE(EINSTELLUNG!$C$35,$A$1,1),0),I58)-MAX(D58,DATE(EINSTELLUNG!$C$35,$A$1,1))+1)/DAY(EOMONTH(DATE(EINSTELLUNG!$C$35,$A$1,1),0))*F58,2),"")</f>
        <v>86.5</v>
      </c>
      <c r="I58" s="45"/>
      <c r="J58" s="46"/>
      <c r="K58" s="322">
        <f t="shared" si="1"/>
        <v>0</v>
      </c>
      <c r="L58" s="32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1010.5</v>
      </c>
      <c r="M58" s="47"/>
      <c r="N58" s="70"/>
    </row>
    <row r="59" spans="1:22" ht="22" customHeight="1">
      <c r="A59" s="321" t="s">
        <v>130</v>
      </c>
      <c r="B59" s="97"/>
      <c r="C59" s="49"/>
      <c r="D59" s="53"/>
      <c r="E59" s="51"/>
      <c r="F59" s="52"/>
      <c r="G59" s="322" t="str">
        <f>IF(OR(E59="",F59=""),"",PID_KVLohnLookup($A$1,E59,F59,LOHNTABELLE!$H$4))</f>
        <v/>
      </c>
      <c r="H59" s="323" t="str">
        <f>IF(AND(ISNUMBER(D59),ISNUMBER(F59)),ROUNDDOWN(MIN(IF(OR(ISBLANK(I59),I59=""),EOMONTH(DATE(EINSTELLUNG!$C$35,$A$1,1),0),I59)-MAX(D59,DATE(EINSTELLUNG!$C$35,$A$1,1))+1)/DAY(EOMONTH(DATE(EINSTELLUNG!$C$35,$A$1,1),0))*F59,2),"")</f>
        <v/>
      </c>
      <c r="I59" s="53"/>
      <c r="J59" s="54"/>
      <c r="K59" s="322" t="str">
        <f t="shared" si="1"/>
        <v/>
      </c>
      <c r="L59" s="324"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321" t="s">
        <v>131</v>
      </c>
      <c r="B60" s="96"/>
      <c r="C60" s="41"/>
      <c r="D60" s="45"/>
      <c r="E60" s="43"/>
      <c r="F60" s="44"/>
      <c r="G60" s="322" t="str">
        <f>IF(OR(E60="",F60=""),"",PID_KVLohnLookup($A$1,E60,F60,LOHNTABELLE!$H$4))</f>
        <v/>
      </c>
      <c r="H60" s="323" t="str">
        <f>IF(AND(ISNUMBER(D60),ISNUMBER(F60)),ROUNDDOWN(MIN(IF(OR(ISBLANK(I60),I60=""),EOMONTH(DATE(EINSTELLUNG!$C$35,$A$1,1),0),I60)-MAX(D60,DATE(EINSTELLUNG!$C$35,$A$1,1))+1)/DAY(EOMONTH(DATE(EINSTELLUNG!$C$35,$A$1,1),0))*F60,2),"")</f>
        <v/>
      </c>
      <c r="I60" s="45"/>
      <c r="J60" s="46"/>
      <c r="K60" s="322" t="str">
        <f t="shared" si="1"/>
        <v/>
      </c>
      <c r="L60" s="324"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1" t="s">
        <v>132</v>
      </c>
      <c r="B61" s="97"/>
      <c r="C61" s="49"/>
      <c r="D61" s="53"/>
      <c r="E61" s="51"/>
      <c r="F61" s="52"/>
      <c r="G61" s="322" t="str">
        <f>IF(OR(E61="",F61=""),"",PID_KVLohnLookup($A$1,E61,F61,LOHNTABELLE!$H$4))</f>
        <v/>
      </c>
      <c r="H61" s="323" t="str">
        <f>IF(AND(ISNUMBER(D61),ISNUMBER(F61)),ROUNDDOWN(MIN(IF(OR(ISBLANK(I61),I61=""),EOMONTH(DATE(EINSTELLUNG!$C$35,$A$1,1),0),I61)-MAX(D61,DATE(EINSTELLUNG!$C$35,$A$1,1))+1)/DAY(EOMONTH(DATE(EINSTELLUNG!$C$35,$A$1,1),0))*F61,2),"")</f>
        <v/>
      </c>
      <c r="I61" s="53"/>
      <c r="J61" s="54"/>
      <c r="K61" s="322" t="str">
        <f t="shared" si="1"/>
        <v/>
      </c>
      <c r="L61" s="32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1" t="s">
        <v>133</v>
      </c>
      <c r="B62" s="96"/>
      <c r="C62" s="41"/>
      <c r="D62" s="45"/>
      <c r="E62" s="43"/>
      <c r="F62" s="44"/>
      <c r="G62" s="322" t="str">
        <f>IF(OR(E62="",F62=""),"",PID_KVLohnLookup($A$1,E62,F62,LOHNTABELLE!$H$4))</f>
        <v/>
      </c>
      <c r="H62" s="323" t="str">
        <f>IF(AND(ISNUMBER(D62),ISNUMBER(F62)),ROUNDDOWN(MIN(IF(OR(ISBLANK(I62),I62=""),EOMONTH(DATE(EINSTELLUNG!$C$35,$A$1,1),0),I62)-MAX(D62,DATE(EINSTELLUNG!$C$35,$A$1,1))+1)/DAY(EOMONTH(DATE(EINSTELLUNG!$C$35,$A$1,1),0))*F62,2),"")</f>
        <v/>
      </c>
      <c r="I62" s="45"/>
      <c r="J62" s="46"/>
      <c r="K62" s="322" t="str">
        <f t="shared" si="1"/>
        <v/>
      </c>
      <c r="L62" s="32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1" t="s">
        <v>134</v>
      </c>
      <c r="B63" s="97"/>
      <c r="C63" s="49"/>
      <c r="D63" s="53"/>
      <c r="E63" s="51"/>
      <c r="F63" s="52"/>
      <c r="G63" s="322" t="str">
        <f>IF(OR(E63="",F63=""),"",PID_KVLohnLookup($A$1,E63,F63,LOHNTABELLE!$H$4))</f>
        <v/>
      </c>
      <c r="H63" s="323" t="str">
        <f>IF(AND(ISNUMBER(D63),ISNUMBER(F63)),ROUNDDOWN(MIN(IF(OR(ISBLANK(I63),I63=""),EOMONTH(DATE(EINSTELLUNG!$C$35,$A$1,1),0),I63)-MAX(D63,DATE(EINSTELLUNG!$C$35,$A$1,1))+1)/DAY(EOMONTH(DATE(EINSTELLUNG!$C$35,$A$1,1),0))*F63,2),"")</f>
        <v/>
      </c>
      <c r="I63" s="53"/>
      <c r="J63" s="54"/>
      <c r="K63" s="322" t="str">
        <f t="shared" si="1"/>
        <v/>
      </c>
      <c r="L63" s="32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1" t="s">
        <v>135</v>
      </c>
      <c r="B64" s="96"/>
      <c r="C64" s="41"/>
      <c r="D64" s="45"/>
      <c r="E64" s="43"/>
      <c r="F64" s="44"/>
      <c r="G64" s="322" t="str">
        <f>IF(OR(E64="",F64=""),"",PID_KVLohnLookup($A$1,E64,F64,LOHNTABELLE!$H$4))</f>
        <v/>
      </c>
      <c r="H64" s="323" t="str">
        <f>IF(AND(ISNUMBER(D64),ISNUMBER(F64)),ROUNDDOWN(MIN(IF(OR(ISBLANK(I64),I64=""),EOMONTH(DATE(EINSTELLUNG!$C$35,$A$1,1),0),I64)-MAX(D64,DATE(EINSTELLUNG!$C$35,$A$1,1))+1)/DAY(EOMONTH(DATE(EINSTELLUNG!$C$35,$A$1,1),0))*F64,2),"")</f>
        <v/>
      </c>
      <c r="I64" s="45"/>
      <c r="J64" s="46"/>
      <c r="K64" s="322" t="str">
        <f t="shared" si="1"/>
        <v/>
      </c>
      <c r="L64" s="32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1" t="s">
        <v>136</v>
      </c>
      <c r="B65" s="97"/>
      <c r="C65" s="49"/>
      <c r="D65" s="53"/>
      <c r="E65" s="51"/>
      <c r="F65" s="52"/>
      <c r="G65" s="322" t="str">
        <f>IF(OR(E65="",F65=""),"",PID_KVLohnLookup($A$1,E65,F65,LOHNTABELLE!$H$4))</f>
        <v/>
      </c>
      <c r="H65" s="323" t="str">
        <f>IF(AND(ISNUMBER(D65),ISNUMBER(F65)),ROUNDDOWN(MIN(IF(OR(ISBLANK(I65),I65=""),EOMONTH(DATE(EINSTELLUNG!$C$35,$A$1,1),0),I65)-MAX(D65,DATE(EINSTELLUNG!$C$35,$A$1,1))+1)/DAY(EOMONTH(DATE(EINSTELLUNG!$C$35,$A$1,1),0))*F65,2),"")</f>
        <v/>
      </c>
      <c r="I65" s="53"/>
      <c r="J65" s="54"/>
      <c r="K65" s="322" t="str">
        <f t="shared" si="1"/>
        <v/>
      </c>
      <c r="L65" s="32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1" t="s">
        <v>137</v>
      </c>
      <c r="B66" s="96"/>
      <c r="C66" s="41"/>
      <c r="D66" s="45"/>
      <c r="E66" s="43"/>
      <c r="F66" s="44"/>
      <c r="G66" s="322" t="str">
        <f>IF(OR(E66="",F66=""),"",PID_KVLohnLookup($A$1,E66,F66,LOHNTABELLE!$H$4))</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1" t="s">
        <v>138</v>
      </c>
      <c r="B67" s="97"/>
      <c r="C67" s="49"/>
      <c r="D67" s="53"/>
      <c r="E67" s="51"/>
      <c r="F67" s="52"/>
      <c r="G67" s="322" t="str">
        <f>IF(OR(E67="",F67=""),"",PID_KVLohnLookup($A$1,E67,F67,LOHNTABELLE!$H$4))</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1" t="s">
        <v>139</v>
      </c>
      <c r="B68" s="96"/>
      <c r="C68" s="41"/>
      <c r="D68" s="45"/>
      <c r="E68" s="43"/>
      <c r="F68" s="44"/>
      <c r="G68" s="322" t="str">
        <f>IF(OR(E68="",F68=""),"",PID_KVLohnLookup($A$1,E68,F68,LOHNTABELLE!$H$4))</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1" t="s">
        <v>140</v>
      </c>
      <c r="B69" s="97"/>
      <c r="C69" s="49"/>
      <c r="D69" s="53"/>
      <c r="E69" s="51"/>
      <c r="F69" s="52"/>
      <c r="G69" s="322" t="str">
        <f>IF(OR(E69="",F69=""),"",PID_KVLohnLookup($A$1,E69,F69,LOHNTABELLE!$H$4))</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1" t="s">
        <v>141</v>
      </c>
      <c r="B70" s="96"/>
      <c r="C70" s="41"/>
      <c r="D70" s="45"/>
      <c r="E70" s="43"/>
      <c r="F70" s="44"/>
      <c r="G70" s="322" t="str">
        <f>IF(OR(E70="",F70=""),"",PID_KVLohnLookup($A$1,E70,F70,LOHNTABELLE!$H$4))</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1" t="s">
        <v>142</v>
      </c>
      <c r="B71" s="97"/>
      <c r="C71" s="49"/>
      <c r="D71" s="53"/>
      <c r="E71" s="51"/>
      <c r="F71" s="52"/>
      <c r="G71" s="322" t="str">
        <f>IF(OR(E71="",F71=""),"",PID_KVLohnLookup($A$1,E71,F71,LOHNTABELLE!$H$4))</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1" t="s">
        <v>143</v>
      </c>
      <c r="B72" s="96"/>
      <c r="C72" s="41"/>
      <c r="D72" s="45"/>
      <c r="E72" s="43"/>
      <c r="F72" s="44"/>
      <c r="G72" s="322" t="str">
        <f>IF(OR(E72="",F72=""),"",PID_KVLohnLookup($A$1,E72,F72,LOHNTABELLE!$H$4))</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1" t="s">
        <v>144</v>
      </c>
      <c r="B73" s="97"/>
      <c r="C73" s="49"/>
      <c r="D73" s="53"/>
      <c r="E73" s="51"/>
      <c r="F73" s="52"/>
      <c r="G73" s="322" t="str">
        <f>IF(OR(E73="",F73=""),"",PID_KVLohnLookup($A$1,E73,F73,LOHNTABELLE!$H$4))</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1" t="s">
        <v>145</v>
      </c>
      <c r="B74" s="96"/>
      <c r="C74" s="41"/>
      <c r="D74" s="45"/>
      <c r="E74" s="43"/>
      <c r="F74" s="44"/>
      <c r="G74" s="322" t="str">
        <f>IF(OR(E74="",F74=""),"",PID_KVLohnLookup($A$1,E74,F74,LOHNTABELLE!$H$4))</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1" t="s">
        <v>146</v>
      </c>
      <c r="B75" s="97"/>
      <c r="C75" s="49"/>
      <c r="D75" s="53"/>
      <c r="E75" s="51"/>
      <c r="F75" s="52"/>
      <c r="G75" s="322" t="str">
        <f>IF(OR(E75="",F75=""),"",PID_KVLohnLookup($A$1,E75,F75,LOHNTABELLE!$H$4))</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1" t="s">
        <v>147</v>
      </c>
      <c r="B76" s="96"/>
      <c r="C76" s="41"/>
      <c r="D76" s="45"/>
      <c r="E76" s="43"/>
      <c r="F76" s="44"/>
      <c r="G76" s="322" t="str">
        <f>IF(OR(E76="",F76=""),"",PID_KVLohnLookup($A$1,E76,F76,LOHNTABELLE!$H$4))</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1" t="s">
        <v>148</v>
      </c>
      <c r="B77" s="97"/>
      <c r="C77" s="49"/>
      <c r="D77" s="53"/>
      <c r="E77" s="51"/>
      <c r="F77" s="52"/>
      <c r="G77" s="322" t="str">
        <f>IF(OR(E77="",F77=""),"",PID_KVLohnLookup($A$1,E77,F77,LOHNTABELLE!$H$4))</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1" t="s">
        <v>149</v>
      </c>
      <c r="B78" s="96"/>
      <c r="C78" s="41"/>
      <c r="D78" s="45"/>
      <c r="E78" s="43"/>
      <c r="F78" s="44"/>
      <c r="G78" s="322" t="str">
        <f>IF(OR(E78="",F78=""),"",PID_KVLohnLookup($A$1,E78,F78,LOHNTABELLE!$H$4))</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1" t="s">
        <v>150</v>
      </c>
      <c r="B79" s="97"/>
      <c r="C79" s="49"/>
      <c r="D79" s="53"/>
      <c r="E79" s="51"/>
      <c r="F79" s="52"/>
      <c r="G79" s="322" t="str">
        <f>IF(OR(E79="",F79=""),"",PID_KVLohnLookup($A$1,E79,F79,LOHNTABELLE!$H$4))</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1" t="s">
        <v>151</v>
      </c>
      <c r="B80" s="96"/>
      <c r="C80" s="41"/>
      <c r="D80" s="45"/>
      <c r="E80" s="43"/>
      <c r="F80" s="44"/>
      <c r="G80" s="322" t="str">
        <f>IF(OR(E80="",F80=""),"",PID_KVLohnLookup($A$1,E80,F80,LOHNTABELLE!$H$4))</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1" t="s">
        <v>152</v>
      </c>
      <c r="B81" s="97"/>
      <c r="C81" s="49"/>
      <c r="D81" s="53"/>
      <c r="E81" s="51"/>
      <c r="F81" s="52"/>
      <c r="G81" s="322" t="str">
        <f>IF(OR(E81="",F81=""),"",PID_KVLohnLookup($A$1,E81,F81,LOHNTABELLE!$H$4))</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87" t="s">
        <v>153</v>
      </c>
      <c r="B82" s="98"/>
      <c r="C82" s="58"/>
      <c r="D82" s="59"/>
      <c r="E82" s="60"/>
      <c r="F82" s="61"/>
      <c r="G82" s="388" t="str">
        <f>IF(OR(E82="",F82=""),"",PID_KVLohnLookup($A$1,E82,F82,LOHNTABELLE!$H$4))</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91"/>
      <c r="B83" s="391"/>
    </row>
    <row r="100" spans="26:26" ht="16" customHeight="1">
      <c r="Z100" s="301"/>
    </row>
  </sheetData>
  <sheetProtection algorithmName="SHA-512" hashValue="Xz+csk2Hqutm5AjiMRS5zZKzhC6ayJ3lr9EDkeaLxGExykVzRvSv2WBwOAqiq4fsm9P4HUhuR/yhnmJiRJ+SmA==" saltValue="t7HzT/vswwVCVb1YzX6q5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F54</xm:sqref>
        </x14:dataValidation>
        <x14:dataValidation type="list" allowBlank="1" showInputMessage="1" showErrorMessage="1" xr:uid="{7E961C3B-2F1A-054D-804E-CEF26FC2E6E1}">
          <x14:formula1>
            <xm:f>KV_DROPDOWN_HELPER!$AAV$1:$AAV$13</xm:f>
          </x14:formula1>
          <xm:sqref>F15</xm:sqref>
        </x14:dataValidation>
        <x14:dataValidation type="list" allowBlank="1" showInputMessage="1" showErrorMessage="1" xr:uid="{1315ED99-AEB8-6E4E-9342-B14FFA75BBDB}">
          <x14:formula1>
            <xm:f>KV_DROPDOWN_HELPER!$AAX$1:$AAX$13</xm:f>
          </x14:formula1>
          <xm:sqref>F18 F21 F23</xm:sqref>
        </x14:dataValidation>
        <x14:dataValidation type="list" allowBlank="1" showInputMessage="1" showErrorMessage="1" xr:uid="{BB7533D5-0131-974A-9CCA-CFC9572377D5}">
          <x14:formula1>
            <xm:f>KV_DROPDOWN_HELPER!$AAY$1:$AAY$13</xm:f>
          </x14:formula1>
          <xm:sqref>F59 F60 F61 F62 F63 F64 F65 F66 F67 F68 F69 F70 F71 F72 F73 F74 F75 F76 F77 F78 F79 F80 F81 F82</xm:sqref>
        </x14:dataValidation>
        <x14:dataValidation type="list" allowBlank="1" showInputMessage="1" showErrorMessage="1" xr:uid="{17797DA0-16B5-4299-BFBF-4B963442EFB1}">
          <x14:formula1>
            <xm:f>KV_DROPDOWN_HELPER!$AAW$1:$AAW$13</xm:f>
          </x14:formula1>
          <xm:sqref>F17</xm:sqref>
        </x14:dataValidation>
        <x14:dataValidation type="list" allowBlank="1" showInputMessage="1" showErrorMessage="1" xr:uid="{B53062C5-7AD0-49DE-B51F-2D29609BB137}">
          <x14:formula1>
            <xm:f>KV_DROPDOWN_HELPER!$AAS$1:$AAS$16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6328125" style="221" bestFit="1" customWidth="1"/>
    <col min="29" max="16384" width="9.1796875" style="221"/>
  </cols>
  <sheetData>
    <row r="1" spans="1:28" ht="18" customHeight="1">
      <c r="A1" s="302">
        <v>11</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46327</v>
      </c>
    </row>
    <row r="2" spans="1:28" ht="18" customHeight="1" thickBot="1">
      <c r="A2" s="307"/>
      <c r="B2" s="308"/>
      <c r="C2" s="309"/>
      <c r="D2" s="309"/>
      <c r="E2" s="309"/>
      <c r="F2" s="309"/>
      <c r="G2" s="309"/>
      <c r="H2" s="309"/>
      <c r="I2" s="309"/>
      <c r="J2" s="309"/>
      <c r="K2" s="309"/>
      <c r="L2" s="309"/>
      <c r="M2" s="309"/>
      <c r="N2" s="310"/>
      <c r="O2" s="311"/>
      <c r="P2" s="311"/>
      <c r="Q2" s="311"/>
      <c r="S2" s="312" t="s">
        <v>384</v>
      </c>
      <c r="T2" s="312"/>
      <c r="U2" s="312"/>
      <c r="V2" s="312"/>
      <c r="AB2" s="306">
        <f>EOMONTH(DATE(EINSTELLUNG!$C$35,$A$1,1),0)</f>
        <v>46356</v>
      </c>
    </row>
    <row r="3" spans="1:28" ht="22" customHeight="1">
      <c r="A3" s="313" t="s">
        <v>389</v>
      </c>
      <c r="B3" s="95">
        <v>401010</v>
      </c>
      <c r="C3" s="33" t="s">
        <v>224</v>
      </c>
      <c r="D3" s="34">
        <v>39388</v>
      </c>
      <c r="E3" s="35" t="s">
        <v>2</v>
      </c>
      <c r="F3" s="64">
        <v>138.4</v>
      </c>
      <c r="G3" s="314">
        <f>IF(OR(E3="",F3=""),"",PID_KVLohnLookup($A$1,E3,F3,LOHNTABELLE!$H$4))</f>
        <v>1616.8</v>
      </c>
      <c r="H3" s="315">
        <f>IF(AND(ISNUMBER(D3),ISNUMBER(F3)),ROUNDDOWN(MIN(IF(OR(ISBLANK(I3),I3=""),EOMONTH(DATE(EINSTELLUNG!$C$35,$A$1,1),0),I3)-MAX(D3,DATE(EINSTELLUNG!$C$35,$A$1,1))+1)/DAY(EOMONTH(DATE(EINSTELLUNG!$C$35,$A$1,1),0))*F3,2),"")</f>
        <v>138.4</v>
      </c>
      <c r="I3" s="37"/>
      <c r="J3" s="38"/>
      <c r="K3" s="314">
        <f t="shared" ref="K3:K34" si="0">IF(OR(B3="",C3=""),"",IFERROR(IF(OR(MONTH(D3)=1,MONTH(D3)=3,MONTH(D3)=5,MONTH(D3)=7,MONTH(D3)=8,MONTH(D3)=10,MONTH(D3)=12),(G3/31)*J3,IF(OR(MONTH(D3)=4,MONTH(D3)=6,MONTH(D3)=9,MONTH(D3)=11),(G3/30)*J3,(G3/DAY(EOMONTH(D3,0)))*J3)),0))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9"/>
      <c r="N3" s="69"/>
      <c r="O3" s="317" t="s">
        <v>47</v>
      </c>
      <c r="P3" s="317" t="s">
        <v>48</v>
      </c>
      <c r="Q3" s="317" t="s">
        <v>49</v>
      </c>
      <c r="R3" s="318" t="s">
        <v>50</v>
      </c>
      <c r="S3" s="319"/>
      <c r="T3" s="319"/>
      <c r="U3" s="319"/>
      <c r="V3" s="319"/>
      <c r="AB3" s="320"/>
    </row>
    <row r="4" spans="1:28" ht="22" customHeight="1">
      <c r="A4" s="321" t="s">
        <v>51</v>
      </c>
      <c r="B4" s="96">
        <v>401049</v>
      </c>
      <c r="C4" s="41" t="s">
        <v>225</v>
      </c>
      <c r="D4" s="42">
        <v>41130</v>
      </c>
      <c r="E4" s="43" t="s">
        <v>4</v>
      </c>
      <c r="F4" s="44">
        <v>173</v>
      </c>
      <c r="G4" s="322">
        <f>IF(OR(E4="",F4=""),"",PID_KVLohnLookup($A$1,E4,F4,LOHNTABELLE!$H$4))</f>
        <v>2123</v>
      </c>
      <c r="H4" s="323">
        <f>IF(AND(ISNUMBER(D4),ISNUMBER(F4)),ROUNDDOWN(MIN(IF(OR(ISBLANK(I4),I4=""),EOMONTH(DATE(EINSTELLUNG!$C$35,$A$1,1),0),I4)-MAX(D4,DATE(EINSTELLUNG!$C$35,$A$1,1))+1)/DAY(EOMONTH(DATE(EINSTELLUNG!$C$35,$A$1,1),0))*F4,2),"")</f>
        <v>173</v>
      </c>
      <c r="I4" s="45"/>
      <c r="J4" s="46"/>
      <c r="K4" s="322">
        <f t="shared" si="0"/>
        <v>0</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5"/>
      <c r="P4" s="325"/>
      <c r="Q4" s="325"/>
      <c r="R4" s="326"/>
      <c r="S4" s="319"/>
      <c r="T4" s="319"/>
      <c r="U4" s="319"/>
      <c r="V4" s="319"/>
    </row>
    <row r="5" spans="1:28" ht="22" customHeight="1">
      <c r="A5" s="321" t="s">
        <v>52</v>
      </c>
      <c r="B5" s="97">
        <v>401051</v>
      </c>
      <c r="C5" s="49" t="s">
        <v>227</v>
      </c>
      <c r="D5" s="50">
        <v>41176</v>
      </c>
      <c r="E5" s="51" t="s">
        <v>2</v>
      </c>
      <c r="F5" s="52">
        <v>173</v>
      </c>
      <c r="G5" s="322">
        <f>IF(OR(E5="",F5=""),"",PID_KVLohnLookup($A$1,E5,F5,LOHNTABELLE!$H$4))</f>
        <v>2021</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27" cm="1">
        <f t="array" ref="O5">SUMPRODUCT((F3:F82/4.310808)/5*2.08)</f>
        <v>776.68082642511604</v>
      </c>
      <c r="P5" s="328">
        <f>EINSTELLUNG!I16</f>
        <v>600</v>
      </c>
      <c r="Q5" s="328">
        <f>P5-O5</f>
        <v>-176.68082642511604</v>
      </c>
      <c r="R5" s="329">
        <f>IFERROR(Q5*Q42, 0)</f>
        <v>-2129.5686018454148</v>
      </c>
      <c r="S5" s="319"/>
      <c r="T5" s="319"/>
      <c r="U5" s="319"/>
      <c r="V5" s="319"/>
    </row>
    <row r="6" spans="1:28" ht="22" customHeight="1">
      <c r="A6" s="321" t="s">
        <v>53</v>
      </c>
      <c r="B6" s="96">
        <v>401089</v>
      </c>
      <c r="C6" s="41" t="s">
        <v>241</v>
      </c>
      <c r="D6" s="42">
        <v>44868</v>
      </c>
      <c r="E6" s="43" t="s">
        <v>3</v>
      </c>
      <c r="F6" s="44">
        <v>173</v>
      </c>
      <c r="G6" s="322">
        <f>IF(OR(E6="",F6=""),"",PID_KVLohnLookup($A$1,E6,F6,LOHNTABELLE!$H$4))</f>
        <v>2082</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21" t="s">
        <v>54</v>
      </c>
      <c r="B7" s="97">
        <v>401138</v>
      </c>
      <c r="C7" s="49" t="s">
        <v>228</v>
      </c>
      <c r="D7" s="50">
        <v>42006</v>
      </c>
      <c r="E7" s="51" t="s">
        <v>4</v>
      </c>
      <c r="F7" s="52">
        <v>173</v>
      </c>
      <c r="G7" s="322">
        <f>IF(OR(E7="",F7=""),"",PID_KVLohnLookup($A$1,E7,F7,LOHNTABELLE!$H$4))</f>
        <v>2123</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19"/>
      <c r="P7" s="319"/>
      <c r="Q7" s="319"/>
      <c r="R7" s="319"/>
      <c r="S7" s="319"/>
      <c r="T7" s="319"/>
      <c r="U7" s="319"/>
      <c r="V7" s="319"/>
    </row>
    <row r="8" spans="1:28" ht="22" customHeight="1">
      <c r="A8" s="321" t="s">
        <v>55</v>
      </c>
      <c r="B8" s="96">
        <v>401197</v>
      </c>
      <c r="C8" s="41" t="s">
        <v>229</v>
      </c>
      <c r="D8" s="42">
        <v>42644</v>
      </c>
      <c r="E8" s="43" t="s">
        <v>3</v>
      </c>
      <c r="F8" s="44">
        <v>173</v>
      </c>
      <c r="G8" s="322">
        <f>IF(OR(E8="",F8=""),"",PID_KVLohnLookup($A$1,E8,F8,LOHNTABELLE!$H$4))</f>
        <v>2082</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3" t="s">
        <v>56</v>
      </c>
      <c r="P8" s="334"/>
      <c r="Q8" s="335">
        <f>SUM(H3:H82)</f>
        <v>7460.1699999999983</v>
      </c>
      <c r="R8" s="336"/>
      <c r="S8" s="319"/>
      <c r="T8" s="319"/>
      <c r="U8" s="319"/>
      <c r="V8" s="319"/>
    </row>
    <row r="9" spans="1:28" ht="22" customHeight="1">
      <c r="A9" s="321" t="s">
        <v>57</v>
      </c>
      <c r="B9" s="97">
        <v>401214</v>
      </c>
      <c r="C9" s="49" t="s">
        <v>255</v>
      </c>
      <c r="D9" s="50">
        <v>45636</v>
      </c>
      <c r="E9" s="51" t="s">
        <v>3</v>
      </c>
      <c r="F9" s="52">
        <v>173</v>
      </c>
      <c r="G9" s="322">
        <f>IF(OR(E9="",F9=""),"",PID_KVLohnLookup($A$1,E9,F9,LOHNTABELLE!$H$4))</f>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37" t="s">
        <v>58</v>
      </c>
      <c r="P9" s="338"/>
      <c r="Q9" s="339">
        <f>EINSTELLUNG!L32</f>
        <v>11</v>
      </c>
      <c r="R9" s="340"/>
      <c r="S9" s="341">
        <f>IFERROR(Q9/Q8, 0)</f>
        <v>1.4744972299558861E-3</v>
      </c>
      <c r="T9" s="319"/>
      <c r="U9" s="319"/>
      <c r="V9" s="319"/>
    </row>
    <row r="10" spans="1:28" ht="22" customHeight="1">
      <c r="A10" s="321" t="s">
        <v>59</v>
      </c>
      <c r="B10" s="96">
        <v>401276</v>
      </c>
      <c r="C10" s="41" t="s">
        <v>230</v>
      </c>
      <c r="D10" s="42">
        <v>43252</v>
      </c>
      <c r="E10" s="43" t="s">
        <v>3</v>
      </c>
      <c r="F10" s="44">
        <v>173</v>
      </c>
      <c r="G10" s="322">
        <f>IF(OR(E10="",F10=""),"",PID_KVLohnLookup($A$1,E10,F10,LOHNTABELLE!$H$4))</f>
        <v>2082</v>
      </c>
      <c r="H10" s="323">
        <f>IF(AND(ISNUMBER(D10),ISNUMBER(F10)),ROUNDDOWN(MIN(IF(OR(ISBLANK(I10),I10=""),EOMONTH(DATE(EINSTELLUNG!$C$35,$A$1,1),0),I10)-MAX(D10,DATE(EINSTELLUNG!$C$35,$A$1,1))+1)/DAY(EOMONTH(DATE(EINSTELLUNG!$C$35,$A$1,1),0))*F10,2),"")</f>
        <v>173</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37" t="s">
        <v>60</v>
      </c>
      <c r="P10" s="338"/>
      <c r="Q10" s="339">
        <f>EINSTELLUNG!I32</f>
        <v>150</v>
      </c>
      <c r="R10" s="340"/>
      <c r="S10" s="319"/>
      <c r="T10" s="319"/>
      <c r="U10" s="319"/>
      <c r="V10" s="319"/>
    </row>
    <row r="11" spans="1:28" ht="22" customHeight="1">
      <c r="A11" s="321" t="s">
        <v>61</v>
      </c>
      <c r="B11" s="97">
        <v>401276</v>
      </c>
      <c r="C11" s="49" t="s">
        <v>392</v>
      </c>
      <c r="D11" s="50">
        <v>38899</v>
      </c>
      <c r="E11" s="51" t="s">
        <v>2</v>
      </c>
      <c r="F11" s="52">
        <v>55</v>
      </c>
      <c r="G11" s="322">
        <f>IF(OR(E11="",F11=""),"",PID_KVLohnLookup($A$1,E11,F11,LOHNTABELLE!$H$4))</f>
        <v>666</v>
      </c>
      <c r="H11" s="323">
        <f>IF(AND(ISNUMBER(D11),ISNUMBER(F11)),ROUNDDOWN(MIN(IF(OR(ISBLANK(I11),I11=""),EOMONTH(DATE(EINSTELLUNG!$C$35,$A$1,1),0),I11)-MAX(D11,DATE(EINSTELLUNG!$C$35,$A$1,1))+1)/DAY(EOMONTH(DATE(EINSTELLUNG!$C$35,$A$1,1),0))*F11,2),"")</f>
        <v>55</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37" t="s">
        <v>62</v>
      </c>
      <c r="P11" s="338"/>
      <c r="Q11" s="339">
        <f>P5</f>
        <v>600</v>
      </c>
      <c r="R11" s="340"/>
      <c r="S11" s="319"/>
      <c r="T11" s="319"/>
      <c r="U11" s="319"/>
      <c r="V11" s="319"/>
    </row>
    <row r="12" spans="1:28" ht="22" customHeight="1">
      <c r="A12" s="321" t="s">
        <v>63</v>
      </c>
      <c r="B12" s="96">
        <v>401307</v>
      </c>
      <c r="C12" s="41" t="s">
        <v>231</v>
      </c>
      <c r="D12" s="42">
        <v>43571</v>
      </c>
      <c r="E12" s="43" t="s">
        <v>2</v>
      </c>
      <c r="F12" s="44">
        <v>55</v>
      </c>
      <c r="G12" s="322">
        <f>IF(OR(E12="",F12=""),"",PID_KVLohnLookup($A$1,E12,F12,LOHNTABELLE!$H$4))</f>
        <v>666</v>
      </c>
      <c r="H12" s="323">
        <f>IF(AND(ISNUMBER(D12),ISNUMBER(F12)),ROUNDDOWN(MIN(IF(OR(ISBLANK(I12),I12=""),EOMONTH(DATE(EINSTELLUNG!$C$35,$A$1,1),0),I12)-MAX(D12,DATE(EINSTELLUNG!$C$35,$A$1,1))+1)/DAY(EOMONTH(DATE(EINSTELLUNG!$C$35,$A$1,1),0))*F12,2),"")</f>
        <v>55</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37" t="s">
        <v>66</v>
      </c>
      <c r="P12" s="338"/>
      <c r="Q12" s="339">
        <f>Q8-Q9-Q10-Q11</f>
        <v>6699.1699999999983</v>
      </c>
      <c r="R12" s="340"/>
      <c r="S12" s="319"/>
      <c r="T12" s="319"/>
      <c r="U12" s="319"/>
      <c r="V12" s="319"/>
    </row>
    <row r="13" spans="1:28" ht="22" customHeight="1">
      <c r="A13" s="321" t="s">
        <v>65</v>
      </c>
      <c r="B13" s="97">
        <v>401308</v>
      </c>
      <c r="C13" s="49" t="s">
        <v>232</v>
      </c>
      <c r="D13" s="50">
        <v>43579</v>
      </c>
      <c r="E13" s="51" t="s">
        <v>3</v>
      </c>
      <c r="F13" s="52">
        <v>173</v>
      </c>
      <c r="G13" s="322">
        <f>IF(OR(E13="",F13=""),"",PID_KVLohnLookup($A$1,E13,F13,LOHNTABELLE!$H$4))</f>
        <v>2082</v>
      </c>
      <c r="H13" s="323">
        <f>IF(AND(ISNUMBER(D13),ISNUMBER(F13)),ROUNDDOWN(MIN(IF(OR(ISBLANK(I13),I13=""),EOMONTH(DATE(EINSTELLUNG!$C$35,$A$1,1),0),I13)-MAX(D13,DATE(EINSTELLUNG!$C$35,$A$1,1))+1)/DAY(EOMONTH(DATE(EINSTELLUNG!$C$35,$A$1,1),0))*F13,2),"")</f>
        <v>173</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37" t="s">
        <v>68</v>
      </c>
      <c r="P13" s="338"/>
      <c r="Q13" s="339">
        <f>EINSTELLUNG!L16</f>
        <v>9300</v>
      </c>
      <c r="R13" s="340"/>
      <c r="S13" s="319"/>
      <c r="T13" s="319"/>
      <c r="U13" s="319"/>
      <c r="V13" s="319"/>
    </row>
    <row r="14" spans="1:28" ht="22" customHeight="1" thickBot="1">
      <c r="A14" s="321" t="s">
        <v>67</v>
      </c>
      <c r="B14" s="96">
        <v>401394</v>
      </c>
      <c r="C14" s="41" t="s">
        <v>233</v>
      </c>
      <c r="D14" s="42">
        <v>44379</v>
      </c>
      <c r="E14" s="43" t="s">
        <v>2</v>
      </c>
      <c r="F14" s="44">
        <v>173</v>
      </c>
      <c r="G14" s="322">
        <f>IF(OR(E14="",F14=""),"",PID_KVLohnLookup($A$1,E14,F14,LOHNTABELLE!$H$4))</f>
        <v>2021</v>
      </c>
      <c r="H14" s="323">
        <f>IF(AND(ISNUMBER(D14),ISNUMBER(F14)),ROUNDDOWN(MIN(IF(OR(ISBLANK(I14),I14=""),EOMONTH(DATE(EINSTELLUNG!$C$35,$A$1,1),0),I14)-MAX(D14,DATE(EINSTELLUNG!$C$35,$A$1,1))+1)/DAY(EOMONTH(DATE(EINSTELLUNG!$C$35,$A$1,1),0))*F14,2),"")</f>
        <v>173</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42" t="s">
        <v>70</v>
      </c>
      <c r="P14" s="343"/>
      <c r="Q14" s="344">
        <f>Q12-Q13</f>
        <v>-2600.8300000000017</v>
      </c>
      <c r="R14" s="345"/>
      <c r="S14" s="319"/>
      <c r="T14" s="319"/>
      <c r="U14" s="319"/>
      <c r="V14" s="319"/>
    </row>
    <row r="15" spans="1:28" ht="22" customHeight="1">
      <c r="A15" s="321" t="s">
        <v>69</v>
      </c>
      <c r="B15" s="97">
        <v>401479</v>
      </c>
      <c r="C15" s="49" t="s">
        <v>238</v>
      </c>
      <c r="D15" s="50">
        <v>44511</v>
      </c>
      <c r="E15" s="51" t="s">
        <v>6</v>
      </c>
      <c r="F15" s="52">
        <v>173</v>
      </c>
      <c r="G15" s="322">
        <f>IF(OR(E15="",F15=""),"",PID_KVLohnLookup($A$1,E15,F15,LOHNTABELLE!$H$4))</f>
        <v>2160</v>
      </c>
      <c r="H15" s="323">
        <f>IF(AND(ISNUMBER(D15),ISNUMBER(F15)),ROUNDDOWN(MIN(IF(OR(ISBLANK(I15),I15=""),EOMONTH(DATE(EINSTELLUNG!$C$35,$A$1,1),0),I15)-MAX(D15,DATE(EINSTELLUNG!$C$35,$A$1,1))+1)/DAY(EOMONTH(DATE(EINSTELLUNG!$C$35,$A$1,1),0))*F15,2),"")</f>
        <v>173</v>
      </c>
      <c r="I15" s="53"/>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415" t="str">
        <f>IF(Q14&lt;0, "Schlecht! Zu wenig Stunden für Dienstplan.", IF(Q14&gt;0, "Du hast mehr als genug Stunden für Dienstplan.", ""))</f>
        <v>Schlecht! Zu wenig Stunden für Dienstplan.</v>
      </c>
      <c r="P15" s="416"/>
      <c r="Q15" s="416"/>
      <c r="R15" s="416"/>
      <c r="S15" s="346"/>
      <c r="T15" s="346"/>
      <c r="U15" s="346"/>
      <c r="V15" s="319"/>
    </row>
    <row r="16" spans="1:28" ht="22" customHeight="1" thickBot="1">
      <c r="A16" s="321" t="s">
        <v>71</v>
      </c>
      <c r="B16" s="96">
        <v>401564</v>
      </c>
      <c r="C16" s="41" t="s">
        <v>240</v>
      </c>
      <c r="D16" s="42">
        <v>44824</v>
      </c>
      <c r="E16" s="43" t="s">
        <v>2</v>
      </c>
      <c r="F16" s="44">
        <v>151.38</v>
      </c>
      <c r="G16" s="322">
        <f>IF(OR(E16="",F16=""),"",PID_KVLohnLookup($A$1,E16,F16,LOHNTABELLE!$H$4))</f>
        <v>1768.38</v>
      </c>
      <c r="H16" s="323">
        <f>IF(AND(ISNUMBER(D16),ISNUMBER(F16)),ROUNDDOWN(MIN(IF(OR(ISBLANK(I16),I16=""),EOMONTH(DATE(EINSTELLUNG!$C$35,$A$1,1),0),I16)-MAX(D16,DATE(EINSTELLUNG!$C$35,$A$1,1))+1)/DAY(EOMONTH(DATE(EINSTELLUNG!$C$35,$A$1,1),0))*F16,2),"")</f>
        <v>151.38</v>
      </c>
      <c r="I16" s="45"/>
      <c r="J16" s="46"/>
      <c r="K16" s="322">
        <f t="shared" si="0"/>
        <v>0</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7"/>
      <c r="N16" s="70"/>
      <c r="O16" s="417"/>
      <c r="P16" s="418"/>
      <c r="Q16" s="418"/>
      <c r="R16" s="419"/>
      <c r="S16" s="350"/>
      <c r="T16" s="350"/>
      <c r="U16" s="350"/>
      <c r="V16" s="350"/>
      <c r="W16" s="351"/>
    </row>
    <row r="17" spans="1:29" ht="22" customHeight="1">
      <c r="A17" s="321" t="s">
        <v>72</v>
      </c>
      <c r="B17" s="97">
        <v>401583</v>
      </c>
      <c r="C17" s="49" t="s">
        <v>242</v>
      </c>
      <c r="D17" s="53">
        <v>44900</v>
      </c>
      <c r="E17" s="51" t="s">
        <v>13</v>
      </c>
      <c r="F17" s="52">
        <v>173</v>
      </c>
      <c r="G17" s="322">
        <f>IF(OR(E17="",F17=""),"",PID_KVLohnLookup($A$1,E17,F17,LOHNTABELLE!$H$4))</f>
        <v>2328</v>
      </c>
      <c r="H17" s="323">
        <f>IF(AND(ISNUMBER(D17),ISNUMBER(F17)),ROUNDDOWN(MIN(IF(OR(ISBLANK(I17),I17=""),EOMONTH(DATE(EINSTELLUNG!$C$35,$A$1,1),0),I17)-MAX(D17,DATE(EINSTELLUNG!$C$35,$A$1,1))+1)/DAY(EOMONTH(DATE(EINSTELLUNG!$C$35,$A$1,1),0))*F17,2),"")</f>
        <v>173</v>
      </c>
      <c r="I17" s="53"/>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5"/>
      <c r="N17" s="71"/>
      <c r="O17" s="352" t="s">
        <v>73</v>
      </c>
      <c r="P17" s="334"/>
      <c r="Q17" s="353">
        <f>SUM(L3:L82)</f>
        <v>89918.890000000014</v>
      </c>
      <c r="R17" s="354"/>
      <c r="S17" s="319"/>
      <c r="T17" s="319"/>
      <c r="U17" s="319"/>
      <c r="V17" s="319"/>
      <c r="W17" s="351"/>
    </row>
    <row r="18" spans="1:29" ht="22" customHeight="1">
      <c r="A18" s="321" t="s">
        <v>74</v>
      </c>
      <c r="B18" s="96">
        <v>401589</v>
      </c>
      <c r="C18" s="41" t="s">
        <v>243</v>
      </c>
      <c r="D18" s="42">
        <v>44926</v>
      </c>
      <c r="E18" s="43" t="s">
        <v>10</v>
      </c>
      <c r="F18" s="44">
        <v>173</v>
      </c>
      <c r="G18" s="322">
        <f>IF(OR(E18="",F18=""),"",PID_KVLohnLookup($A$1,E18,F18,LOHNTABELLE!$H$4))</f>
        <v>2300</v>
      </c>
      <c r="H18" s="323">
        <f>IF(AND(ISNUMBER(D18),ISNUMBER(F18)),ROUNDDOWN(MIN(IF(OR(ISBLANK(I18),I18=""),EOMONTH(DATE(EINSTELLUNG!$C$35,$A$1,1),0),I18)-MAX(D18,DATE(EINSTELLUNG!$C$35,$A$1,1))+1)/DAY(EOMONTH(DATE(EINSTELLUNG!$C$35,$A$1,1),0))*F18,2),"")</f>
        <v>173</v>
      </c>
      <c r="I18" s="45"/>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7"/>
      <c r="N18" s="70"/>
      <c r="O18" s="355" t="s">
        <v>376</v>
      </c>
      <c r="P18" s="356"/>
      <c r="Q18" s="357">
        <v>20</v>
      </c>
      <c r="R18" s="358"/>
      <c r="S18" s="319"/>
      <c r="T18" s="319"/>
      <c r="U18" s="319"/>
      <c r="V18" s="319"/>
    </row>
    <row r="19" spans="1:29" ht="22" customHeight="1">
      <c r="A19" s="321" t="s">
        <v>75</v>
      </c>
      <c r="B19" s="97">
        <v>401602</v>
      </c>
      <c r="C19" s="49" t="s">
        <v>244</v>
      </c>
      <c r="D19" s="50">
        <v>45975</v>
      </c>
      <c r="E19" s="51" t="s">
        <v>2</v>
      </c>
      <c r="F19" s="52">
        <v>169</v>
      </c>
      <c r="G19" s="322">
        <f>IF(OR(E19="",F19=""),"",PID_KVLohnLookup($A$1,E19,F19,LOHNTABELLE!$H$4))</f>
        <v>2000</v>
      </c>
      <c r="H19" s="323">
        <f>IF(AND(ISNUMBER(D19),ISNUMBER(F19)),ROUNDDOWN(MIN(IF(OR(ISBLANK(I19),I19=""),EOMONTH(DATE(EINSTELLUNG!$C$35,$A$1,1),0),I19)-MAX(D19,DATE(EINSTELLUNG!$C$35,$A$1,1))+1)/DAY(EOMONTH(DATE(EINSTELLUNG!$C$35,$A$1,1),0))*F19,2),"")</f>
        <v>169</v>
      </c>
      <c r="I19" s="53"/>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5"/>
      <c r="N19" s="71"/>
      <c r="O19" s="355" t="s">
        <v>294</v>
      </c>
      <c r="P19" s="356"/>
      <c r="Q19" s="357">
        <v>333</v>
      </c>
      <c r="R19" s="358"/>
      <c r="S19" s="319"/>
      <c r="T19" s="319"/>
      <c r="U19" s="319"/>
      <c r="V19" s="319"/>
    </row>
    <row r="20" spans="1:29" ht="22" customHeight="1">
      <c r="A20" s="321" t="s">
        <v>76</v>
      </c>
      <c r="B20" s="96">
        <v>401605</v>
      </c>
      <c r="C20" s="41" t="s">
        <v>245</v>
      </c>
      <c r="D20" s="42">
        <v>44986</v>
      </c>
      <c r="E20" s="43" t="s">
        <v>2</v>
      </c>
      <c r="F20" s="44">
        <v>173</v>
      </c>
      <c r="G20" s="322">
        <f>IF(OR(E20="",F20=""),"",PID_KVLohnLookup($A$1,E20,F20,LOHNTABELLE!$H$4))</f>
        <v>2021</v>
      </c>
      <c r="H20" s="323">
        <f>IF(AND(ISNUMBER(D20),ISNUMBER(F20)),ROUNDDOWN(MIN(IF(OR(ISBLANK(I20),I20=""),EOMONTH(DATE(EINSTELLUNG!$C$35,$A$1,1),0),I20)-MAX(D20,DATE(EINSTELLUNG!$C$35,$A$1,1))+1)/DAY(EOMONTH(DATE(EINSTELLUNG!$C$35,$A$1,1),0))*F20,2),"")</f>
        <v>173</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7"/>
      <c r="N20" s="70"/>
      <c r="O20" s="355" t="s">
        <v>294</v>
      </c>
      <c r="P20" s="356"/>
      <c r="Q20" s="357">
        <v>35</v>
      </c>
      <c r="R20" s="358"/>
      <c r="S20" s="319"/>
      <c r="T20" s="319"/>
      <c r="U20" s="319"/>
      <c r="V20" s="319"/>
    </row>
    <row r="21" spans="1:29" ht="22" customHeight="1">
      <c r="A21" s="321" t="s">
        <v>77</v>
      </c>
      <c r="B21" s="97">
        <v>401605</v>
      </c>
      <c r="C21" s="49" t="s">
        <v>393</v>
      </c>
      <c r="D21" s="50">
        <v>36850</v>
      </c>
      <c r="E21" s="51" t="s">
        <v>10</v>
      </c>
      <c r="F21" s="52">
        <v>151.38</v>
      </c>
      <c r="G21" s="322">
        <f>IF(OR(E21="",F21=""),"",PID_KVLohnLookup($A$1,E21,F21,LOHNTABELLE!$H$4))</f>
        <v>2012.5</v>
      </c>
      <c r="H21" s="323">
        <f>IF(AND(ISNUMBER(D21),ISNUMBER(F21)),ROUNDDOWN(MIN(IF(OR(ISBLANK(I21),I21=""),EOMONTH(DATE(EINSTELLUNG!$C$35,$A$1,1),0),I21)-MAX(D21,DATE(EINSTELLUNG!$C$35,$A$1,1))+1)/DAY(EOMONTH(DATE(EINSTELLUNG!$C$35,$A$1,1),0))*F21,2),"")</f>
        <v>151.38</v>
      </c>
      <c r="I21" s="53"/>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5"/>
      <c r="N21" s="71"/>
      <c r="O21" s="355" t="s">
        <v>294</v>
      </c>
      <c r="P21" s="356"/>
      <c r="Q21" s="357">
        <v>100</v>
      </c>
      <c r="R21" s="358"/>
      <c r="S21" s="319"/>
      <c r="T21" s="319"/>
      <c r="U21" s="319"/>
      <c r="V21" s="319"/>
    </row>
    <row r="22" spans="1:29" ht="22" customHeight="1">
      <c r="A22" s="321" t="s">
        <v>78</v>
      </c>
      <c r="B22" s="96">
        <v>401626</v>
      </c>
      <c r="C22" s="41" t="s">
        <v>246</v>
      </c>
      <c r="D22" s="42">
        <v>45063</v>
      </c>
      <c r="E22" s="43" t="s">
        <v>2</v>
      </c>
      <c r="F22" s="44">
        <v>173</v>
      </c>
      <c r="G22" s="322">
        <f>IF(OR(E22="",F22=""),"",PID_KVLohnLookup($A$1,E22,F22,LOHNTABELLE!$H$4))</f>
        <v>2021</v>
      </c>
      <c r="H22" s="323">
        <f>IF(AND(ISNUMBER(D22),ISNUMBER(F22)),ROUNDDOWN(MIN(IF(OR(ISBLANK(I22),I22=""),EOMONTH(DATE(EINSTELLUNG!$C$35,$A$1,1),0),I22)-MAX(D22,DATE(EINSTELLUNG!$C$35,$A$1,1))+1)/DAY(EOMONTH(DATE(EINSTELLUNG!$C$35,$A$1,1),0))*F22,2),"")</f>
        <v>173</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5" t="s">
        <v>294</v>
      </c>
      <c r="P22" s="356"/>
      <c r="Q22" s="357"/>
      <c r="R22" s="358"/>
      <c r="S22" s="319"/>
      <c r="T22" s="319"/>
      <c r="U22" s="319"/>
      <c r="V22" s="319"/>
    </row>
    <row r="23" spans="1:29" ht="22" customHeight="1">
      <c r="A23" s="321" t="s">
        <v>79</v>
      </c>
      <c r="B23" s="97">
        <v>401633</v>
      </c>
      <c r="C23" s="49" t="s">
        <v>247</v>
      </c>
      <c r="D23" s="50">
        <v>45089</v>
      </c>
      <c r="E23" s="51" t="s">
        <v>10</v>
      </c>
      <c r="F23" s="52">
        <v>173</v>
      </c>
      <c r="G23" s="322">
        <f>IF(OR(E23="",F23=""),"",PID_KVLohnLookup($A$1,E23,F23,LOHNTABELLE!$H$4))</f>
        <v>2300</v>
      </c>
      <c r="H23" s="323">
        <f>IF(AND(ISNUMBER(D23),ISNUMBER(F23)),ROUNDDOWN(MIN(IF(OR(ISBLANK(I23),I23=""),EOMONTH(DATE(EINSTELLUNG!$C$35,$A$1,1),0),I23)-MAX(D23,DATE(EINSTELLUNG!$C$35,$A$1,1))+1)/DAY(EOMONTH(DATE(EINSTELLUNG!$C$35,$A$1,1),0))*F23,2),"")</f>
        <v>173</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1"/>
      <c r="O23" s="355" t="s">
        <v>294</v>
      </c>
      <c r="P23" s="356"/>
      <c r="Q23" s="357">
        <v>5000</v>
      </c>
      <c r="R23" s="358"/>
      <c r="S23" s="319"/>
      <c r="T23" s="319"/>
      <c r="U23" s="319"/>
      <c r="V23" s="319"/>
      <c r="W23" s="351"/>
    </row>
    <row r="24" spans="1:29" ht="22" customHeight="1">
      <c r="A24" s="321" t="s">
        <v>80</v>
      </c>
      <c r="B24" s="96">
        <v>401647</v>
      </c>
      <c r="C24" s="41" t="s">
        <v>248</v>
      </c>
      <c r="D24" s="42">
        <v>45182</v>
      </c>
      <c r="E24" s="43" t="s">
        <v>2</v>
      </c>
      <c r="F24" s="44">
        <v>173</v>
      </c>
      <c r="G24" s="322">
        <f>IF(OR(E24="",F24=""),"",PID_KVLohnLookup($A$1,E24,F24,LOHNTABELLE!$H$4))</f>
        <v>2021</v>
      </c>
      <c r="H24" s="323">
        <f>IF(AND(ISNUMBER(D24),ISNUMBER(F24)),ROUNDDOWN(MIN(IF(OR(ISBLANK(I24),I24=""),EOMONTH(DATE(EINSTELLUNG!$C$35,$A$1,1),0),I24)-MAX(D24,DATE(EINSTELLUNG!$C$35,$A$1,1))+1)/DAY(EOMONTH(DATE(EINSTELLUNG!$C$35,$A$1,1),0))*F24,2),"")</f>
        <v>173</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355"/>
      <c r="P24" s="356"/>
      <c r="Q24" s="357"/>
      <c r="R24" s="358"/>
      <c r="S24" s="319"/>
      <c r="T24" s="319"/>
      <c r="U24" s="319"/>
      <c r="V24" s="319"/>
      <c r="W24" s="351"/>
    </row>
    <row r="25" spans="1:29" ht="22" customHeight="1">
      <c r="A25" s="321" t="s">
        <v>81</v>
      </c>
      <c r="B25" s="97">
        <v>401661</v>
      </c>
      <c r="C25" s="49" t="s">
        <v>249</v>
      </c>
      <c r="D25" s="50">
        <v>45261</v>
      </c>
      <c r="E25" s="51" t="s">
        <v>2</v>
      </c>
      <c r="F25" s="52">
        <v>173</v>
      </c>
      <c r="G25" s="322">
        <f>IF(OR(E25="",F25=""),"",PID_KVLohnLookup($A$1,E25,F25,LOHNTABELLE!$H$4))</f>
        <v>2021</v>
      </c>
      <c r="H25" s="323">
        <f>IF(AND(ISNUMBER(D25),ISNUMBER(F25)),ROUNDDOWN(MIN(IF(OR(ISBLANK(I25),I25=""),EOMONTH(DATE(EINSTELLUNG!$C$35,$A$1,1),0),I25)-MAX(D25,DATE(EINSTELLUNG!$C$35,$A$1,1))+1)/DAY(EOMONTH(DATE(EINSTELLUNG!$C$35,$A$1,1),0))*F25,2),"")</f>
        <v>173</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5"/>
      <c r="P25" s="356"/>
      <c r="Q25" s="357"/>
      <c r="R25" s="358"/>
      <c r="S25" s="319"/>
      <c r="T25" s="319"/>
      <c r="U25" s="319"/>
      <c r="V25" s="319"/>
    </row>
    <row r="26" spans="1:29" ht="22" customHeight="1">
      <c r="A26" s="321" t="s">
        <v>82</v>
      </c>
      <c r="B26" s="96">
        <v>401670</v>
      </c>
      <c r="C26" s="41" t="s">
        <v>250</v>
      </c>
      <c r="D26" s="42">
        <v>45358</v>
      </c>
      <c r="E26" s="43" t="s">
        <v>2</v>
      </c>
      <c r="F26" s="44">
        <v>173</v>
      </c>
      <c r="G26" s="322">
        <f>IF(OR(E26="",F26=""),"",PID_KVLohnLookup($A$1,E26,F26,LOHNTABELLE!$H$4))</f>
        <v>2021</v>
      </c>
      <c r="H26" s="323">
        <f>IF(AND(ISNUMBER(D26),ISNUMBER(F26)),ROUNDDOWN(MIN(IF(OR(ISBLANK(I26),I26=""),EOMONTH(DATE(EINSTELLUNG!$C$35,$A$1,1),0),I26)-MAX(D26,DATE(EINSTELLUNG!$C$35,$A$1,1))+1)/DAY(EOMONTH(DATE(EINSTELLUNG!$C$35,$A$1,1),0))*F26,2),"")</f>
        <v>173</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5"/>
      <c r="P26" s="356"/>
      <c r="Q26" s="357"/>
      <c r="R26" s="358"/>
      <c r="S26" s="319"/>
      <c r="T26" s="319"/>
      <c r="U26" s="319"/>
      <c r="V26" s="319"/>
    </row>
    <row r="27" spans="1:29" ht="22" customHeight="1">
      <c r="A27" s="321" t="s">
        <v>83</v>
      </c>
      <c r="B27" s="97">
        <v>401678</v>
      </c>
      <c r="C27" s="49" t="s">
        <v>251</v>
      </c>
      <c r="D27" s="50">
        <v>45414</v>
      </c>
      <c r="E27" s="51" t="s">
        <v>2</v>
      </c>
      <c r="F27" s="52">
        <v>173</v>
      </c>
      <c r="G27" s="322">
        <f>IF(OR(E27="",F27=""),"",PID_KVLohnLookup($A$1,E27,F27,LOHNTABELLE!$H$4))</f>
        <v>2021</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5"/>
      <c r="P27" s="356"/>
      <c r="Q27" s="357"/>
      <c r="R27" s="358"/>
      <c r="S27" s="359" t="s">
        <v>84</v>
      </c>
      <c r="T27" s="359"/>
      <c r="U27" s="359"/>
      <c r="V27" s="359"/>
    </row>
    <row r="28" spans="1:29" ht="22" customHeight="1">
      <c r="A28" s="321" t="s">
        <v>85</v>
      </c>
      <c r="B28" s="96">
        <v>401690</v>
      </c>
      <c r="C28" s="41" t="s">
        <v>253</v>
      </c>
      <c r="D28" s="42">
        <v>45536</v>
      </c>
      <c r="E28" s="43" t="s">
        <v>2</v>
      </c>
      <c r="F28" s="44">
        <v>151.38</v>
      </c>
      <c r="G28" s="322">
        <f>IF(OR(E28="",F28=""),"",PID_KVLohnLookup($A$1,E28,F28,LOHNTABELLE!$H$4))</f>
        <v>1768.38</v>
      </c>
      <c r="H28" s="323">
        <f>IF(AND(ISNUMBER(D28),ISNUMBER(F28)),ROUNDDOWN(MIN(IF(OR(ISBLANK(I28),I28=""),EOMONTH(DATE(EINSTELLUNG!$C$35,$A$1,1),0),I28)-MAX(D28,DATE(EINSTELLUNG!$C$35,$A$1,1))+1)/DAY(EOMONTH(DATE(EINSTELLUNG!$C$35,$A$1,1),0))*F28,2),"")</f>
        <v>151.38</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7"/>
      <c r="N28" s="70"/>
      <c r="O28" s="355"/>
      <c r="P28" s="356"/>
      <c r="Q28" s="357"/>
      <c r="R28" s="358"/>
      <c r="S28" s="319"/>
      <c r="T28" s="319"/>
      <c r="U28" s="319"/>
      <c r="V28" s="319"/>
    </row>
    <row r="29" spans="1:29" ht="22" customHeight="1" thickBot="1">
      <c r="A29" s="321" t="s">
        <v>86</v>
      </c>
      <c r="B29" s="97">
        <v>401715</v>
      </c>
      <c r="C29" s="49" t="s">
        <v>256</v>
      </c>
      <c r="D29" s="50">
        <v>45755</v>
      </c>
      <c r="E29" s="51" t="s">
        <v>2</v>
      </c>
      <c r="F29" s="52">
        <v>173</v>
      </c>
      <c r="G29" s="322">
        <f>IF(OR(E29="",F29=""),"",PID_KVLohnLookup($A$1,E29,F29,LOHNTABELLE!$H$4))</f>
        <v>2021</v>
      </c>
      <c r="H29" s="323">
        <f>IF(AND(ISNUMBER(D29),ISNUMBER(F29)),ROUNDDOWN(MIN(IF(OR(ISBLANK(I29),I29=""),EOMONTH(DATE(EINSTELLUNG!$C$35,$A$1,1),0),I29)-MAX(D29,DATE(EINSTELLUNG!$C$35,$A$1,1))+1)/DAY(EOMONTH(DATE(EINSTELLUNG!$C$35,$A$1,1),0))*F29,2),"")</f>
        <v>173</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0" t="s">
        <v>87</v>
      </c>
      <c r="P29" s="343"/>
      <c r="Q29" s="361">
        <f>EINSTELLUNG!O16</f>
        <v>1250</v>
      </c>
      <c r="R29" s="362"/>
      <c r="S29" s="319"/>
      <c r="T29" s="319"/>
      <c r="U29" s="319"/>
      <c r="V29" s="319"/>
    </row>
    <row r="30" spans="1:29" ht="22" customHeight="1" thickBot="1">
      <c r="A30" s="321" t="s">
        <v>88</v>
      </c>
      <c r="B30" s="96">
        <v>401716</v>
      </c>
      <c r="C30" s="41" t="s">
        <v>257</v>
      </c>
      <c r="D30" s="42">
        <v>45800</v>
      </c>
      <c r="E30" s="43" t="s">
        <v>2</v>
      </c>
      <c r="F30" s="44">
        <v>173</v>
      </c>
      <c r="G30" s="322">
        <f>IF(OR(E30="",F30=""),"",PID_KVLohnLookup($A$1,E30,F30,LOHNTABELLE!$H$4))</f>
        <v>2021</v>
      </c>
      <c r="H30" s="323">
        <f>IF(AND(ISNUMBER(D30),ISNUMBER(F30)),ROUNDDOWN(MIN(IF(OR(ISBLANK(I30),I30=""),EOMONTH(DATE(EINSTELLUNG!$C$35,$A$1,1),0),I30)-MAX(D30,DATE(EINSTELLUNG!$C$35,$A$1,1))+1)/DAY(EOMONTH(DATE(EINSTELLUNG!$C$35,$A$1,1),0))*F30,2),"")</f>
        <v>173</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19"/>
      <c r="P30" s="319"/>
      <c r="Q30" s="319"/>
      <c r="R30" s="319"/>
      <c r="S30" s="319"/>
      <c r="T30" s="319"/>
      <c r="U30" s="319"/>
      <c r="V30" s="319"/>
      <c r="W30" s="363"/>
      <c r="X30" s="363"/>
      <c r="Y30" s="363"/>
      <c r="Z30" s="363"/>
      <c r="AA30" s="363"/>
      <c r="AB30" s="363"/>
      <c r="AC30" s="363"/>
    </row>
    <row r="31" spans="1:29" ht="22" customHeight="1" thickBot="1">
      <c r="A31" s="321" t="s">
        <v>89</v>
      </c>
      <c r="B31" s="97">
        <v>401717</v>
      </c>
      <c r="C31" s="49" t="s">
        <v>258</v>
      </c>
      <c r="D31" s="50">
        <v>45814</v>
      </c>
      <c r="E31" s="51" t="s">
        <v>2</v>
      </c>
      <c r="F31" s="52">
        <v>86.5</v>
      </c>
      <c r="G31" s="322">
        <f>IF(OR(E31="",F31=""),"",PID_KVLohnLookup($A$1,E31,F31,LOHNTABELLE!$H$4))</f>
        <v>1010.5</v>
      </c>
      <c r="H31" s="323">
        <f>IF(AND(ISNUMBER(D31),ISNUMBER(F31)),ROUNDDOWN(MIN(IF(OR(ISBLANK(I31),I31=""),EOMONTH(DATE(EINSTELLUNG!$C$35,$A$1,1),0),I31)-MAX(D31,DATE(EINSTELLUNG!$C$35,$A$1,1))+1)/DAY(EOMONTH(DATE(EINSTELLUNG!$C$35,$A$1,1),0))*F31,2),"")</f>
        <v>86.5</v>
      </c>
      <c r="I31" s="53"/>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5"/>
      <c r="N31" s="71"/>
      <c r="O31" s="364" t="s">
        <v>421</v>
      </c>
      <c r="P31" s="365"/>
      <c r="Q31" s="366">
        <v>0</v>
      </c>
      <c r="R31" s="367"/>
      <c r="S31" s="319"/>
      <c r="T31" s="319"/>
      <c r="U31" s="319"/>
      <c r="V31" s="319"/>
    </row>
    <row r="32" spans="1:29" ht="22" customHeight="1" thickBot="1">
      <c r="A32" s="321" t="s">
        <v>91</v>
      </c>
      <c r="B32" s="96">
        <v>401722</v>
      </c>
      <c r="C32" s="41" t="s">
        <v>259</v>
      </c>
      <c r="D32" s="42">
        <v>45848</v>
      </c>
      <c r="E32" s="43" t="s">
        <v>2</v>
      </c>
      <c r="F32" s="44">
        <v>86.5</v>
      </c>
      <c r="G32" s="322">
        <f>IF(OR(E32="",F32=""),"",PID_KVLohnLookup($A$1,E32,F32,LOHNTABELLE!$H$4))</f>
        <v>1010.5</v>
      </c>
      <c r="H32" s="323">
        <f>IF(AND(ISNUMBER(D32),ISNUMBER(F32)),ROUNDDOWN(MIN(IF(OR(ISBLANK(I32),I32=""),EOMONTH(DATE(EINSTELLUNG!$C$35,$A$1,1),0),I32)-MAX(D32,DATE(EINSTELLUNG!$C$35,$A$1,1))+1)/DAY(EOMONTH(DATE(EINSTELLUNG!$C$35,$A$1,1),0))*F32,2),"")</f>
        <v>86.5</v>
      </c>
      <c r="I32" s="45"/>
      <c r="J32" s="46"/>
      <c r="K32" s="322">
        <f t="shared" si="0"/>
        <v>0</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19"/>
      <c r="P32" s="319"/>
      <c r="Q32" s="319"/>
      <c r="R32" s="319"/>
      <c r="S32" s="319"/>
      <c r="T32" s="319"/>
      <c r="U32" s="319"/>
      <c r="V32" s="319"/>
    </row>
    <row r="33" spans="1:22" ht="22" customHeight="1">
      <c r="A33" s="321" t="s">
        <v>92</v>
      </c>
      <c r="B33" s="97">
        <v>401723</v>
      </c>
      <c r="C33" s="49" t="s">
        <v>260</v>
      </c>
      <c r="D33" s="50">
        <v>45852</v>
      </c>
      <c r="E33" s="51" t="s">
        <v>2</v>
      </c>
      <c r="F33" s="52">
        <v>86.5</v>
      </c>
      <c r="G33" s="322">
        <f>IF(OR(E33="",F33=""),"",PID_KVLohnLookup($A$1,E33,F33,LOHNTABELLE!$H$4))</f>
        <v>1010.5</v>
      </c>
      <c r="H33" s="323">
        <f>IF(AND(ISNUMBER(D33),ISNUMBER(F33)),ROUNDDOWN(MIN(IF(OR(ISBLANK(I33),I33=""),EOMONTH(DATE(EINSTELLUNG!$C$35,$A$1,1),0),I33)-MAX(D33,DATE(EINSTELLUNG!$C$35,$A$1,1))+1)/DAY(EOMONTH(DATE(EINSTELLUNG!$C$35,$A$1,1),0))*F33,2),"")</f>
        <v>86.5</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68"/>
      <c r="P33" s="369"/>
      <c r="Q33" s="304" t="str">
        <f>EINSTELLUNG!B3</f>
        <v>Budget</v>
      </c>
      <c r="R33" s="304"/>
      <c r="S33" s="304" t="str">
        <f>EINSTELLUNG!B19</f>
        <v>Projection/Aktuell Zahlen</v>
      </c>
      <c r="T33" s="304"/>
      <c r="U33" s="304" t="s">
        <v>95</v>
      </c>
      <c r="V33" s="305"/>
    </row>
    <row r="34" spans="1:22" ht="22" customHeight="1">
      <c r="A34" s="321" t="s">
        <v>96</v>
      </c>
      <c r="B34" s="96">
        <v>401726</v>
      </c>
      <c r="C34" s="41" t="s">
        <v>261</v>
      </c>
      <c r="D34" s="42">
        <v>45870</v>
      </c>
      <c r="E34" s="43" t="s">
        <v>2</v>
      </c>
      <c r="F34" s="44">
        <v>86.5</v>
      </c>
      <c r="G34" s="322">
        <f>IF(OR(E34="",F34=""),"",PID_KVLohnLookup($A$1,E34,F34,LOHNTABELLE!$H$4))</f>
        <v>1010.5</v>
      </c>
      <c r="H34" s="323">
        <f>IF(AND(ISNUMBER(D34),ISNUMBER(F34)),ROUNDDOWN(MIN(IF(OR(ISBLANK(I34),I34=""),EOMONTH(DATE(EINSTELLUNG!$C$35,$A$1,1),0),I34)-MAX(D34,DATE(EINSTELLUNG!$C$35,$A$1,1))+1)/DAY(EOMONTH(DATE(EINSTELLUNG!$C$35,$A$1,1),0))*F34,2),"")</f>
        <v>86.5</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0"/>
      <c r="P34" s="371"/>
      <c r="Q34" s="372"/>
      <c r="R34" s="372"/>
      <c r="S34" s="372"/>
      <c r="T34" s="372"/>
      <c r="U34" s="372"/>
      <c r="V34" s="373"/>
    </row>
    <row r="35" spans="1:22" ht="22" customHeight="1">
      <c r="A35" s="321" t="s">
        <v>97</v>
      </c>
      <c r="B35" s="97">
        <v>401730</v>
      </c>
      <c r="C35" s="49" t="s">
        <v>263</v>
      </c>
      <c r="D35" s="50">
        <v>45895</v>
      </c>
      <c r="E35" s="51" t="s">
        <v>2</v>
      </c>
      <c r="F35" s="52">
        <v>86.5</v>
      </c>
      <c r="G35" s="322">
        <f>IF(OR(E35="",F35=""),"",PID_KVLohnLookup($A$1,E35,F35,LOHNTABELLE!$H$4))</f>
        <v>1010.5</v>
      </c>
      <c r="H35" s="323">
        <f>IF(AND(ISNUMBER(D35),ISNUMBER(F35)),ROUNDDOWN(MIN(IF(OR(ISBLANK(I35),I35=""),EOMONTH(DATE(EINSTELLUNG!$C$35,$A$1,1),0),I35)-MAX(D35,DATE(EINSTELLUNG!$C$35,$A$1,1))+1)/DAY(EOMONTH(DATE(EINSTELLUNG!$C$35,$A$1,1),0))*F35,2),"")</f>
        <v>86.5</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4" t="s">
        <v>98</v>
      </c>
      <c r="P35" s="338"/>
      <c r="Q35" s="375">
        <f>EINSTELLUNG!C16</f>
        <v>400000</v>
      </c>
      <c r="R35" s="375"/>
      <c r="S35" s="375">
        <f>EINSTELLUNG!C32</f>
        <v>398000</v>
      </c>
      <c r="T35" s="375"/>
      <c r="U35" s="375">
        <f>S35-Q35</f>
        <v>-2000</v>
      </c>
      <c r="V35" s="376"/>
    </row>
    <row r="36" spans="1:22" ht="22" customHeight="1">
      <c r="A36" s="321" t="s">
        <v>99</v>
      </c>
      <c r="B36" s="96">
        <v>401731</v>
      </c>
      <c r="C36" s="41" t="s">
        <v>262</v>
      </c>
      <c r="D36" s="42">
        <v>45899</v>
      </c>
      <c r="E36" s="43" t="s">
        <v>2</v>
      </c>
      <c r="F36" s="44">
        <v>86.5</v>
      </c>
      <c r="G36" s="322">
        <f>IF(OR(E36="",F36=""),"",PID_KVLohnLookup($A$1,E36,F36,LOHNTABELLE!$H$4))</f>
        <v>1010.5</v>
      </c>
      <c r="H36" s="323">
        <f>IF(AND(ISNUMBER(D36),ISNUMBER(F36)),ROUNDDOWN(MIN(IF(OR(ISBLANK(I36),I36=""),EOMONTH(DATE(EINSTELLUNG!$C$35,$A$1,1),0),I36)-MAX(D36,DATE(EINSTELLUNG!$C$35,$A$1,1))+1)/DAY(EOMONTH(DATE(EINSTELLUNG!$C$35,$A$1,1),0))*F36,2),"")</f>
        <v>86.5</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4" t="s">
        <v>100</v>
      </c>
      <c r="P36" s="338"/>
      <c r="Q36" s="375">
        <f>EINSTELLUNG!D16</f>
        <v>100000</v>
      </c>
      <c r="R36" s="375"/>
      <c r="S36" s="375">
        <f ca="1">SumMergedCells(Q17:R29)</f>
        <v>96656.89</v>
      </c>
      <c r="T36" s="375"/>
      <c r="U36" s="375">
        <f t="shared" ref="U36:U41" ca="1" si="2">S36-Q36</f>
        <v>-3343.1100000000006</v>
      </c>
      <c r="V36" s="376"/>
    </row>
    <row r="37" spans="1:22" ht="22" customHeight="1">
      <c r="A37" s="321" t="s">
        <v>101</v>
      </c>
      <c r="B37" s="97">
        <v>401734</v>
      </c>
      <c r="C37" s="49" t="s">
        <v>264</v>
      </c>
      <c r="D37" s="50">
        <v>45904</v>
      </c>
      <c r="E37" s="51" t="s">
        <v>2</v>
      </c>
      <c r="F37" s="52">
        <v>86.5</v>
      </c>
      <c r="G37" s="322">
        <f>IF(OR(E37="",F37=""),"",PID_KVLohnLookup($A$1,E37,F37,LOHNTABELLE!$H$4))</f>
        <v>1010.5</v>
      </c>
      <c r="H37" s="323">
        <f>IF(AND(ISNUMBER(D37),ISNUMBER(F37)),ROUNDDOWN(MIN(IF(OR(ISBLANK(I37),I37=""),EOMONTH(DATE(EINSTELLUNG!$C$35,$A$1,1),0),I37)-MAX(D37,DATE(EINSTELLUNG!$C$35,$A$1,1))+1)/DAY(EOMONTH(DATE(EINSTELLUNG!$C$35,$A$1,1),0))*F37,2),"")</f>
        <v>86.5</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4" t="s">
        <v>102</v>
      </c>
      <c r="P37" s="338"/>
      <c r="Q37" s="377">
        <f>IF(ISERROR(Q36/Q35), 0, Q36/Q35)</f>
        <v>0.25</v>
      </c>
      <c r="R37" s="377"/>
      <c r="S37" s="377">
        <f ca="1">IF(ISERROR(S36/S35), 0, S36/S35)</f>
        <v>0.24285650753768845</v>
      </c>
      <c r="T37" s="377"/>
      <c r="U37" s="377">
        <f t="shared" ca="1" si="2"/>
        <v>-7.1434924623115514E-3</v>
      </c>
      <c r="V37" s="378"/>
    </row>
    <row r="38" spans="1:22" ht="22" customHeight="1">
      <c r="A38" s="321" t="s">
        <v>103</v>
      </c>
      <c r="B38" s="96">
        <v>401737</v>
      </c>
      <c r="C38" s="41" t="s">
        <v>266</v>
      </c>
      <c r="D38" s="42">
        <v>45906</v>
      </c>
      <c r="E38" s="43" t="s">
        <v>2</v>
      </c>
      <c r="F38" s="44">
        <v>86.5</v>
      </c>
      <c r="G38" s="322">
        <f>IF(OR(E38="",F38=""),"",PID_KVLohnLookup($A$1,E38,F38,LOHNTABELLE!$H$4))</f>
        <v>1010.5</v>
      </c>
      <c r="H38" s="323">
        <f>IF(AND(ISNUMBER(D38),ISNUMBER(F38)),ROUNDDOWN(MIN(IF(OR(ISBLANK(I38),I38=""),EOMONTH(DATE(EINSTELLUNG!$C$35,$A$1,1),0),I38)-MAX(D38,DATE(EINSTELLUNG!$C$35,$A$1,1))+1)/DAY(EOMONTH(DATE(EINSTELLUNG!$C$35,$A$1,1),0))*F38,2),"")</f>
        <v>86.5</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4" t="s">
        <v>104</v>
      </c>
      <c r="P38" s="338"/>
      <c r="Q38" s="339">
        <f>EINSTELLUNG!F16</f>
        <v>30000</v>
      </c>
      <c r="R38" s="339"/>
      <c r="S38" s="339">
        <f>EINSTELLUNG!F32</f>
        <v>31000</v>
      </c>
      <c r="T38" s="339"/>
      <c r="U38" s="339">
        <f t="shared" si="2"/>
        <v>1000</v>
      </c>
      <c r="V38" s="340"/>
    </row>
    <row r="39" spans="1:22" ht="22" customHeight="1">
      <c r="A39" s="321" t="s">
        <v>105</v>
      </c>
      <c r="B39" s="97">
        <v>401738</v>
      </c>
      <c r="C39" s="49" t="s">
        <v>267</v>
      </c>
      <c r="D39" s="50">
        <v>45909</v>
      </c>
      <c r="E39" s="51" t="s">
        <v>2</v>
      </c>
      <c r="F39" s="52">
        <v>86.5</v>
      </c>
      <c r="G39" s="322">
        <f>IF(OR(E39="",F39=""),"",PID_KVLohnLookup($A$1,E39,F39,LOHNTABELLE!$H$4))</f>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4" t="s">
        <v>106</v>
      </c>
      <c r="P39" s="338"/>
      <c r="Q39" s="375">
        <f>IF(Q38=0, 0, Q35/Q38)</f>
        <v>13.333333333333334</v>
      </c>
      <c r="R39" s="375"/>
      <c r="S39" s="375">
        <f>IF(S38=0, 0, S35/S38)</f>
        <v>12.838709677419354</v>
      </c>
      <c r="T39" s="375"/>
      <c r="U39" s="375">
        <f t="shared" si="2"/>
        <v>-0.49462365591397983</v>
      </c>
      <c r="V39" s="376"/>
    </row>
    <row r="40" spans="1:22" ht="22" customHeight="1">
      <c r="A40" s="321" t="s">
        <v>107</v>
      </c>
      <c r="B40" s="96">
        <v>401745</v>
      </c>
      <c r="C40" s="41" t="s">
        <v>271</v>
      </c>
      <c r="D40" s="42">
        <v>45934</v>
      </c>
      <c r="E40" s="43" t="s">
        <v>2</v>
      </c>
      <c r="F40" s="44">
        <v>86.5</v>
      </c>
      <c r="G40" s="322">
        <f>IF(OR(E40="",F40=""),"",PID_KVLohnLookup($A$1,E40,F40,LOHNTABELLE!$H$4))</f>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4" t="s">
        <v>108</v>
      </c>
      <c r="P40" s="338"/>
      <c r="Q40" s="375">
        <f>IF(Q12=0, 0, Q35/Q12)</f>
        <v>59.708889310168288</v>
      </c>
      <c r="R40" s="375"/>
      <c r="S40" s="375">
        <f>IF(Q12=0, 0, S35/Q12)</f>
        <v>59.410344863617446</v>
      </c>
      <c r="T40" s="375"/>
      <c r="U40" s="375">
        <f t="shared" si="2"/>
        <v>-0.29854444655084222</v>
      </c>
      <c r="V40" s="376"/>
    </row>
    <row r="41" spans="1:22" ht="22" customHeight="1">
      <c r="A41" s="321" t="s">
        <v>109</v>
      </c>
      <c r="B41" s="97">
        <v>401746</v>
      </c>
      <c r="C41" s="66" t="s">
        <v>270</v>
      </c>
      <c r="D41" s="53">
        <v>45941</v>
      </c>
      <c r="E41" s="51" t="s">
        <v>2</v>
      </c>
      <c r="F41" s="52">
        <v>86.5</v>
      </c>
      <c r="G41" s="322">
        <f>IF(OR(E41="",F41=""),"",PID_KVLohnLookup($A$1,E41,F41,LOHNTABELLE!$H$4))</f>
        <v>1010.5</v>
      </c>
      <c r="H41" s="323">
        <f>IF(AND(ISNUMBER(D41),ISNUMBER(F41)),ROUNDDOWN(MIN(IF(OR(ISBLANK(I41),I41=""),EOMONTH(DATE(EINSTELLUNG!$C$35,$A$1,1),0),I41)-MAX(D41,DATE(EINSTELLUNG!$C$35,$A$1,1))+1)/DAY(EOMONTH(DATE(EINSTELLUNG!$C$35,$A$1,1),0))*F41,2),"")</f>
        <v>86.5</v>
      </c>
      <c r="I41" s="53"/>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4" t="s">
        <v>110</v>
      </c>
      <c r="P41" s="338"/>
      <c r="Q41" s="339">
        <f>IF(Q12=0, 0, Q38/Q12)</f>
        <v>4.4781666982626218</v>
      </c>
      <c r="R41" s="339"/>
      <c r="S41" s="339">
        <f>IF(Q12=0, 0, S38/Q12)</f>
        <v>4.6274389215380429</v>
      </c>
      <c r="T41" s="339"/>
      <c r="U41" s="339">
        <f t="shared" si="2"/>
        <v>0.14927222327542111</v>
      </c>
      <c r="V41" s="340"/>
    </row>
    <row r="42" spans="1:22" ht="22" customHeight="1">
      <c r="A42" s="321" t="s">
        <v>111</v>
      </c>
      <c r="B42" s="96">
        <v>401747</v>
      </c>
      <c r="C42" s="41" t="s">
        <v>268</v>
      </c>
      <c r="D42" s="42">
        <v>45941</v>
      </c>
      <c r="E42" s="43" t="s">
        <v>2</v>
      </c>
      <c r="F42" s="44">
        <v>86.5</v>
      </c>
      <c r="G42" s="322">
        <f>IF(OR(E42="",F42=""),"",PID_KVLohnLookup($A$1,E42,F42,LOHNTABELLE!$H$4))</f>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79" t="s">
        <v>112</v>
      </c>
      <c r="P42" s="380"/>
      <c r="Q42" s="381">
        <f>IFERROR(Q17/Q8, 0)</f>
        <v>12.053195838700731</v>
      </c>
      <c r="R42" s="381"/>
      <c r="S42" s="381"/>
      <c r="T42" s="381"/>
      <c r="U42" s="381"/>
      <c r="V42" s="382"/>
    </row>
    <row r="43" spans="1:22" ht="22" customHeight="1">
      <c r="A43" s="321" t="s">
        <v>113</v>
      </c>
      <c r="B43" s="97">
        <v>401748</v>
      </c>
      <c r="C43" s="49" t="s">
        <v>269</v>
      </c>
      <c r="D43" s="50">
        <v>45941</v>
      </c>
      <c r="E43" s="51" t="s">
        <v>2</v>
      </c>
      <c r="F43" s="52">
        <v>138.4</v>
      </c>
      <c r="G43" s="322">
        <f>IF(OR(E43="",F43=""),"",PID_KVLohnLookup($A$1,E43,F43,LOHNTABELLE!$H$4))</f>
        <v>1616.8</v>
      </c>
      <c r="H43" s="323">
        <f>IF(AND(ISNUMBER(D43),ISNUMBER(F43)),ROUNDDOWN(MIN(IF(OR(ISBLANK(I43),I43=""),EOMONTH(DATE(EINSTELLUNG!$C$35,$A$1,1),0),I43)-MAX(D43,DATE(EINSTELLUNG!$C$35,$A$1,1))+1)/DAY(EOMONTH(DATE(EINSTELLUNG!$C$35,$A$1,1),0))*F43,2),"")</f>
        <v>138.4</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55"/>
      <c r="N43" s="71"/>
      <c r="O43" s="383"/>
      <c r="P43" s="383"/>
      <c r="Q43" s="383"/>
      <c r="R43" s="319"/>
      <c r="S43" s="319"/>
      <c r="T43" s="319"/>
      <c r="U43" s="319"/>
      <c r="V43" s="319"/>
    </row>
    <row r="44" spans="1:22" ht="22" customHeight="1">
      <c r="A44" s="321" t="s">
        <v>114</v>
      </c>
      <c r="B44" s="96">
        <v>401751</v>
      </c>
      <c r="C44" s="41" t="s">
        <v>272</v>
      </c>
      <c r="D44" s="42">
        <v>45961</v>
      </c>
      <c r="E44" s="43" t="s">
        <v>2</v>
      </c>
      <c r="F44" s="44">
        <v>86.5</v>
      </c>
      <c r="G44" s="322">
        <f>IF(OR(E44="",F44=""),"",PID_KVLohnLookup($A$1,E44,F44,LOHNTABELLE!$H$4))</f>
        <v>1010.5</v>
      </c>
      <c r="H44" s="323">
        <f>IF(AND(ISNUMBER(D44),ISNUMBER(F44)),ROUNDDOWN(MIN(IF(OR(ISBLANK(I44),I44=""),EOMONTH(DATE(EINSTELLUNG!$C$35,$A$1,1),0),I44)-MAX(D44,DATE(EINSTELLUNG!$C$35,$A$1,1))+1)/DAY(EOMONTH(DATE(EINSTELLUNG!$C$35,$A$1,1),0))*F44,2),"")</f>
        <v>86.5</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4" t="s">
        <v>115</v>
      </c>
      <c r="P44" s="384"/>
      <c r="Q44" s="384"/>
      <c r="R44" s="384"/>
      <c r="S44" s="384"/>
      <c r="T44" s="384"/>
      <c r="U44" s="384"/>
      <c r="V44" s="384"/>
    </row>
    <row r="45" spans="1:22" ht="22" customHeight="1">
      <c r="A45" s="321" t="s">
        <v>116</v>
      </c>
      <c r="B45" s="97">
        <v>401752</v>
      </c>
      <c r="C45" s="49" t="s">
        <v>273</v>
      </c>
      <c r="D45" s="50">
        <v>45986</v>
      </c>
      <c r="E45" s="51" t="s">
        <v>2</v>
      </c>
      <c r="F45" s="52">
        <v>173</v>
      </c>
      <c r="G45" s="322">
        <f>IF(OR(E45="",F45=""),"",PID_KVLohnLookup($A$1,E45,F45,LOHNTABELLE!$H$4))</f>
        <v>2021</v>
      </c>
      <c r="H45" s="323">
        <f>IF(AND(ISNUMBER(D45),ISNUMBER(F45)),ROUNDDOWN(MIN(IF(OR(ISBLANK(I45),I45=""),EOMONTH(DATE(EINSTELLUNG!$C$35,$A$1,1),0),I45)-MAX(D45,DATE(EINSTELLUNG!$C$35,$A$1,1))+1)/DAY(EOMONTH(DATE(EINSTELLUNG!$C$35,$A$1,1),0))*F45,2),"")</f>
        <v>173</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55"/>
      <c r="N45" s="71"/>
      <c r="O45" s="385"/>
      <c r="P45" s="385"/>
      <c r="Q45" s="385"/>
      <c r="R45" s="386"/>
      <c r="S45" s="386"/>
      <c r="T45" s="386"/>
      <c r="U45" s="386"/>
      <c r="V45" s="319"/>
    </row>
    <row r="46" spans="1:22" ht="22" customHeight="1">
      <c r="A46" s="321" t="s">
        <v>117</v>
      </c>
      <c r="B46" s="96">
        <v>401999</v>
      </c>
      <c r="C46" s="41" t="s">
        <v>355</v>
      </c>
      <c r="D46" s="42">
        <v>46041</v>
      </c>
      <c r="E46" s="43" t="s">
        <v>2</v>
      </c>
      <c r="F46" s="44">
        <v>151.38</v>
      </c>
      <c r="G46" s="322">
        <f>IF(OR(E46="",F46=""),"",PID_KVLohnLookup($A$1,E46,F46,LOHNTABELLE!$H$4))</f>
        <v>1768.38</v>
      </c>
      <c r="H46" s="323">
        <f>IF(AND(ISNUMBER(D46),ISNUMBER(F46)),ROUNDDOWN(MIN(IF(OR(ISBLANK(I46),I46=""),EOMONTH(DATE(EINSTELLUNG!$C$35,$A$1,1),0),I46)-MAX(D46,DATE(EINSTELLUNG!$C$35,$A$1,1))+1)/DAY(EOMONTH(DATE(EINSTELLUNG!$C$35,$A$1,1),0))*F46,2),"")</f>
        <v>151.38</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7"/>
      <c r="N46" s="70"/>
      <c r="O46" s="319"/>
      <c r="P46" s="319"/>
      <c r="Q46" s="319"/>
      <c r="R46" s="319"/>
      <c r="S46" s="319"/>
      <c r="T46" s="319"/>
      <c r="U46" s="319"/>
      <c r="V46" s="319"/>
    </row>
    <row r="47" spans="1:22" ht="22" customHeight="1">
      <c r="A47" s="321" t="s">
        <v>118</v>
      </c>
      <c r="B47" s="97">
        <v>401999</v>
      </c>
      <c r="C47" s="49" t="s">
        <v>293</v>
      </c>
      <c r="D47" s="50">
        <v>46082</v>
      </c>
      <c r="E47" s="51" t="s">
        <v>2</v>
      </c>
      <c r="F47" s="52">
        <v>173</v>
      </c>
      <c r="G47" s="322">
        <f>IF(OR(E47="",F47=""),"",PID_KVLohnLookup($A$1,E47,F47,LOHNTABELLE!$H$4))</f>
        <v>2021</v>
      </c>
      <c r="H47" s="323">
        <f>IF(AND(ISNUMBER(D47),ISNUMBER(F47)),ROUNDDOWN(MIN(IF(OR(ISBLANK(I47),I47=""),EOMONTH(DATE(EINSTELLUNG!$C$35,$A$1,1),0),I47)-MAX(D47,DATE(EINSTELLUNG!$C$35,$A$1,1))+1)/DAY(EOMONTH(DATE(EINSTELLUNG!$C$35,$A$1,1),0))*F47,2),"")</f>
        <v>173</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319"/>
      <c r="P47" s="319"/>
      <c r="Q47" s="319"/>
      <c r="R47" s="319"/>
      <c r="S47" s="319"/>
      <c r="T47" s="319"/>
      <c r="U47" s="319"/>
      <c r="V47" s="319"/>
    </row>
    <row r="48" spans="1:22" ht="22" customHeight="1">
      <c r="A48" s="321" t="s">
        <v>119</v>
      </c>
      <c r="B48" s="96">
        <v>402000</v>
      </c>
      <c r="C48" s="41" t="s">
        <v>295</v>
      </c>
      <c r="D48" s="45">
        <v>46143</v>
      </c>
      <c r="E48" s="43" t="s">
        <v>2</v>
      </c>
      <c r="F48" s="44">
        <v>173</v>
      </c>
      <c r="G48" s="322">
        <f>IF(OR(E48="",F48=""),"",PID_KVLohnLookup($A$1,E48,F48,LOHNTABELLE!$H$4))</f>
        <v>2021</v>
      </c>
      <c r="H48" s="323">
        <f>IF(AND(ISNUMBER(D48),ISNUMBER(F48)),ROUNDDOWN(MIN(IF(OR(ISBLANK(I48),I48=""),EOMONTH(DATE(EINSTELLUNG!$C$35,$A$1,1),0),I48)-MAX(D48,DATE(EINSTELLUNG!$C$35,$A$1,1))+1)/DAY(EOMONTH(DATE(EINSTELLUNG!$C$35,$A$1,1),0))*F48,2),"")</f>
        <v>-121.1</v>
      </c>
      <c r="I48" s="45">
        <v>46305</v>
      </c>
      <c r="J48" s="46"/>
      <c r="K48" s="322">
        <f t="shared" si="1"/>
        <v>0</v>
      </c>
      <c r="L48" s="324"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47"/>
      <c r="N48" s="70" t="s">
        <v>188</v>
      </c>
      <c r="O48" s="319"/>
      <c r="P48" s="319"/>
      <c r="Q48" s="319"/>
      <c r="R48" s="319"/>
      <c r="S48" s="319"/>
      <c r="T48" s="319"/>
      <c r="U48" s="319"/>
      <c r="V48" s="319"/>
    </row>
    <row r="49" spans="1:22" ht="22" customHeight="1">
      <c r="A49" s="321" t="s">
        <v>120</v>
      </c>
      <c r="B49" s="97">
        <v>402004</v>
      </c>
      <c r="C49" s="49" t="s">
        <v>296</v>
      </c>
      <c r="D49" s="53">
        <v>46122</v>
      </c>
      <c r="E49" s="51" t="s">
        <v>2</v>
      </c>
      <c r="F49" s="52">
        <v>173</v>
      </c>
      <c r="G49" s="322">
        <f>IF(OR(E49="",F49=""),"",PID_KVLohnLookup($A$1,E49,F49,LOHNTABELLE!$H$4))</f>
        <v>2021</v>
      </c>
      <c r="H49" s="323">
        <f>IF(AND(ISNUMBER(D49),ISNUMBER(F49)),ROUNDDOWN(MIN(IF(OR(ISBLANK(I49),I49=""),EOMONTH(DATE(EINSTELLUNG!$C$35,$A$1,1),0),I49)-MAX(D49,DATE(EINSTELLUNG!$C$35,$A$1,1))+1)/DAY(EOMONTH(DATE(EINSTELLUNG!$C$35,$A$1,1),0))*F49,2),"")</f>
        <v>173</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19"/>
      <c r="P49" s="319"/>
      <c r="Q49" s="319"/>
      <c r="R49" s="319"/>
      <c r="S49" s="319"/>
      <c r="T49" s="319"/>
      <c r="U49" s="319"/>
      <c r="V49" s="319"/>
    </row>
    <row r="50" spans="1:22" ht="22" customHeight="1">
      <c r="A50" s="321" t="s">
        <v>121</v>
      </c>
      <c r="B50" s="96">
        <v>402405</v>
      </c>
      <c r="C50" s="41" t="s">
        <v>298</v>
      </c>
      <c r="D50" s="45">
        <v>46054</v>
      </c>
      <c r="E50" s="43" t="s">
        <v>2</v>
      </c>
      <c r="F50" s="44">
        <v>173</v>
      </c>
      <c r="G50" s="322">
        <f>IF(OR(E50="",F50=""),"",PID_KVLohnLookup($A$1,E50,F50,LOHNTABELLE!$H$4))</f>
        <v>2021</v>
      </c>
      <c r="H50" s="323">
        <f>IF(AND(ISNUMBER(D50),ISNUMBER(F50)),ROUNDDOWN(MIN(IF(OR(ISBLANK(I50),I50=""),EOMONTH(DATE(EINSTELLUNG!$C$35,$A$1,1),0),I50)-MAX(D50,DATE(EINSTELLUNG!$C$35,$A$1,1))+1)/DAY(EOMONTH(DATE(EINSTELLUNG!$C$35,$A$1,1),0))*F50,2),"")</f>
        <v>-121.1</v>
      </c>
      <c r="I50" s="45">
        <v>46305</v>
      </c>
      <c r="J50" s="46">
        <v>2</v>
      </c>
      <c r="K50" s="322">
        <f t="shared" si="1"/>
        <v>144.35714285714286</v>
      </c>
      <c r="L50" s="324"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47"/>
      <c r="N50" s="70" t="s">
        <v>195</v>
      </c>
      <c r="O50" s="319"/>
      <c r="P50" s="319"/>
      <c r="Q50" s="319"/>
      <c r="R50" s="319"/>
      <c r="S50" s="319"/>
      <c r="T50" s="319"/>
      <c r="U50" s="319"/>
      <c r="V50" s="319"/>
    </row>
    <row r="51" spans="1:22" ht="22" customHeight="1">
      <c r="A51" s="321" t="s">
        <v>122</v>
      </c>
      <c r="B51" s="97">
        <v>500600</v>
      </c>
      <c r="C51" s="49" t="s">
        <v>302</v>
      </c>
      <c r="D51" s="53">
        <v>46054</v>
      </c>
      <c r="E51" s="51" t="s">
        <v>2</v>
      </c>
      <c r="F51" s="52">
        <v>173</v>
      </c>
      <c r="G51" s="322">
        <f>IF(OR(E51="",F51=""),"",PID_KVLohnLookup($A$1,E51,F51,LOHNTABELLE!$H$4))</f>
        <v>2021</v>
      </c>
      <c r="H51" s="323">
        <f>IF(AND(ISNUMBER(D51),ISNUMBER(F51)),ROUNDDOWN(MIN(IF(OR(ISBLANK(I51),I51=""),EOMONTH(DATE(EINSTELLUNG!$C$35,$A$1,1),0),I51)-MAX(D51,DATE(EINSTELLUNG!$C$35,$A$1,1))+1)/DAY(EOMONTH(DATE(EINSTELLUNG!$C$35,$A$1,1),0))*F51,2),"")</f>
        <v>173</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1" t="s">
        <v>123</v>
      </c>
      <c r="B52" s="96">
        <v>502000</v>
      </c>
      <c r="C52" s="41" t="s">
        <v>297</v>
      </c>
      <c r="D52" s="45">
        <v>46147</v>
      </c>
      <c r="E52" s="43" t="s">
        <v>2</v>
      </c>
      <c r="F52" s="44">
        <v>173</v>
      </c>
      <c r="G52" s="322">
        <f>IF(OR(E52="",F52=""),"",PID_KVLohnLookup($A$1,E52,F52,LOHNTABELLE!$H$4))</f>
        <v>2021</v>
      </c>
      <c r="H52" s="323">
        <f>IF(AND(ISNUMBER(D52),ISNUMBER(F52)),ROUNDDOWN(MIN(IF(OR(ISBLANK(I52),I52=""),EOMONTH(DATE(EINSTELLUNG!$C$35,$A$1,1),0),I52)-MAX(D52,DATE(EINSTELLUNG!$C$35,$A$1,1))+1)/DAY(EOMONTH(DATE(EINSTELLUNG!$C$35,$A$1,1),0))*F52,2),"")</f>
        <v>173</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1" t="s">
        <v>124</v>
      </c>
      <c r="B53" s="97">
        <v>503000</v>
      </c>
      <c r="C53" s="49" t="s">
        <v>299</v>
      </c>
      <c r="D53" s="53">
        <v>42401</v>
      </c>
      <c r="E53" s="51" t="s">
        <v>2</v>
      </c>
      <c r="F53" s="52">
        <v>173</v>
      </c>
      <c r="G53" s="322">
        <f>IF(OR(E53="",F53=""),"",PID_KVLohnLookup($A$1,E53,F53,LOHNTABELLE!$H$4))</f>
        <v>2021</v>
      </c>
      <c r="H53" s="323">
        <f>IF(AND(ISNUMBER(D53),ISNUMBER(F53)),ROUNDDOWN(MIN(IF(OR(ISBLANK(I53),I53=""),EOMONTH(DATE(EINSTELLUNG!$C$35,$A$1,1),0),I53)-MAX(D53,DATE(EINSTELLUNG!$C$35,$A$1,1))+1)/DAY(EOMONTH(DATE(EINSTELLUNG!$C$35,$A$1,1),0))*F53,2),"")</f>
        <v>173</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1" t="s">
        <v>125</v>
      </c>
      <c r="B54" s="96">
        <v>504000</v>
      </c>
      <c r="C54" s="41" t="s">
        <v>300</v>
      </c>
      <c r="D54" s="42">
        <v>46054</v>
      </c>
      <c r="E54" s="43" t="s">
        <v>3</v>
      </c>
      <c r="F54" s="44">
        <v>138.4</v>
      </c>
      <c r="G54" s="322">
        <f>IF(OR(E54="",F54=""),"",PID_KVLohnLookup($A$1,E54,F54,LOHNTABELLE!$H$4))</f>
        <v>1665.6</v>
      </c>
      <c r="H54" s="323">
        <f>IF(AND(ISNUMBER(D54),ISNUMBER(F54)),ROUNDDOWN(MIN(IF(OR(ISBLANK(I54),I54=""),EOMONTH(DATE(EINSTELLUNG!$C$35,$A$1,1),0),I54)-MAX(D54,DATE(EINSTELLUNG!$C$35,$A$1,1))+1)/DAY(EOMONTH(DATE(EINSTELLUNG!$C$35,$A$1,1),0))*F54,2),"")</f>
        <v>138.4</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7"/>
      <c r="N54" s="70"/>
    </row>
    <row r="55" spans="1:22" ht="22" customHeight="1">
      <c r="A55" s="321" t="s">
        <v>126</v>
      </c>
      <c r="B55" s="97">
        <v>505000</v>
      </c>
      <c r="C55" s="49" t="s">
        <v>301</v>
      </c>
      <c r="D55" s="50">
        <v>46054</v>
      </c>
      <c r="E55" s="51" t="s">
        <v>2</v>
      </c>
      <c r="F55" s="100">
        <v>138.4</v>
      </c>
      <c r="G55" s="322">
        <f>IF(OR(E55="",F55=""),"",PID_KVLohnLookup($A$1,E55,F55,LOHNTABELLE!$H$4))</f>
        <v>1616.8</v>
      </c>
      <c r="H55" s="323">
        <f>IF(AND(ISNUMBER(D55),ISNUMBER(F55)),ROUNDDOWN(MIN(IF(OR(ISBLANK(I55),I55=""),EOMONTH(DATE(EINSTELLUNG!$C$35,$A$1,1),0),I55)-MAX(D55,DATE(EINSTELLUNG!$C$35,$A$1,1))+1)/DAY(EOMONTH(DATE(EINSTELLUNG!$C$35,$A$1,1),0))*F55,2),"")</f>
        <v>138.4</v>
      </c>
      <c r="I55" s="53"/>
      <c r="J55" s="54"/>
      <c r="K55" s="322">
        <f t="shared" si="1"/>
        <v>0</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5"/>
      <c r="N55" s="71"/>
    </row>
    <row r="56" spans="1:22" ht="22" customHeight="1">
      <c r="A56" s="321" t="s">
        <v>127</v>
      </c>
      <c r="B56" s="96">
        <v>525025</v>
      </c>
      <c r="C56" s="41" t="s">
        <v>356</v>
      </c>
      <c r="D56" s="45">
        <v>46040</v>
      </c>
      <c r="E56" s="43" t="s">
        <v>2</v>
      </c>
      <c r="F56" s="44">
        <v>129.75</v>
      </c>
      <c r="G56" s="322">
        <f>IF(OR(E56="",F56=""),"",PID_KVLohnLookup($A$1,E56,F56,LOHNTABELLE!$H$4))</f>
        <v>1515.75</v>
      </c>
      <c r="H56" s="323">
        <f>IF(AND(ISNUMBER(D56),ISNUMBER(F56)),ROUNDDOWN(MIN(IF(OR(ISBLANK(I56),I56=""),EOMONTH(DATE(EINSTELLUNG!$C$35,$A$1,1),0),I56)-MAX(D56,DATE(EINSTELLUNG!$C$35,$A$1,1))+1)/DAY(EOMONTH(DATE(EINSTELLUNG!$C$35,$A$1,1),0))*F56,2),"")</f>
        <v>129.75</v>
      </c>
      <c r="I56" s="45"/>
      <c r="J56" s="46"/>
      <c r="K56" s="322">
        <f t="shared" si="1"/>
        <v>0</v>
      </c>
      <c r="L56" s="32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7"/>
      <c r="N56" s="70"/>
    </row>
    <row r="57" spans="1:22" ht="22" customHeight="1">
      <c r="A57" s="321" t="s">
        <v>128</v>
      </c>
      <c r="B57" s="97">
        <v>700000</v>
      </c>
      <c r="C57" s="49" t="s">
        <v>309</v>
      </c>
      <c r="D57" s="53">
        <v>46054</v>
      </c>
      <c r="E57" s="51" t="s">
        <v>2</v>
      </c>
      <c r="F57" s="52">
        <v>173</v>
      </c>
      <c r="G57" s="322">
        <f>IF(OR(E57="",F57=""),"",PID_KVLohnLookup($A$1,E57,F57,LOHNTABELLE!$H$4))</f>
        <v>2021</v>
      </c>
      <c r="H57" s="323">
        <f>IF(AND(ISNUMBER(D57),ISNUMBER(F57)),ROUNDDOWN(MIN(IF(OR(ISBLANK(I57),I57=""),EOMONTH(DATE(EINSTELLUNG!$C$35,$A$1,1),0),I57)-MAX(D57,DATE(EINSTELLUNG!$C$35,$A$1,1))+1)/DAY(EOMONTH(DATE(EINSTELLUNG!$C$35,$A$1,1),0))*F57,2),"")</f>
        <v>173</v>
      </c>
      <c r="I57" s="53"/>
      <c r="J57" s="54"/>
      <c r="K57" s="322">
        <f t="shared" si="1"/>
        <v>0</v>
      </c>
      <c r="L57" s="32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321" t="s">
        <v>129</v>
      </c>
      <c r="B58" s="96">
        <v>800000</v>
      </c>
      <c r="C58" s="41" t="s">
        <v>310</v>
      </c>
      <c r="D58" s="45">
        <v>46096</v>
      </c>
      <c r="E58" s="43" t="s">
        <v>2</v>
      </c>
      <c r="F58" s="44">
        <v>166</v>
      </c>
      <c r="G58" s="322" t="str">
        <f>IF(OR(E58="",F58=""),"",PID_KVLohnLookup($A$1,E58,F58,LOHNTABELLE!$H$4))</f>
        <v>Nicht gefunden</v>
      </c>
      <c r="H58" s="323">
        <f>IF(AND(ISNUMBER(D58),ISNUMBER(F58)),ROUNDDOWN(MIN(IF(OR(ISBLANK(I58),I58=""),EOMONTH(DATE(EINSTELLUNG!$C$35,$A$1,1),0),I58)-MAX(D58,DATE(EINSTELLUNG!$C$35,$A$1,1))+1)/DAY(EOMONTH(DATE(EINSTELLUNG!$C$35,$A$1,1),0))*F58,2),"")</f>
        <v>166</v>
      </c>
      <c r="I58" s="45"/>
      <c r="J58" s="46"/>
      <c r="K58" s="322">
        <f t="shared" si="1"/>
        <v>0</v>
      </c>
      <c r="L58" s="324"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7"/>
      <c r="N58" s="70"/>
    </row>
    <row r="59" spans="1:22" ht="22" customHeight="1">
      <c r="A59" s="321" t="s">
        <v>130</v>
      </c>
      <c r="B59" s="97"/>
      <c r="C59" s="49"/>
      <c r="D59" s="53"/>
      <c r="E59" s="51"/>
      <c r="F59" s="52"/>
      <c r="G59" s="322" t="str">
        <f>IF(OR(E59="",F59=""),"",PID_KVLohnLookup($A$1,E59,F59,LOHNTABELLE!$H$4))</f>
        <v/>
      </c>
      <c r="H59" s="323" t="str">
        <f>IF(AND(ISNUMBER(D59),ISNUMBER(F59)),ROUNDDOWN(MIN(IF(OR(ISBLANK(I59),I59=""),EOMONTH(DATE(EINSTELLUNG!$C$35,$A$1,1),0),I59)-MAX(D59,DATE(EINSTELLUNG!$C$35,$A$1,1))+1)/DAY(EOMONTH(DATE(EINSTELLUNG!$C$35,$A$1,1),0))*F59,2),"")</f>
        <v/>
      </c>
      <c r="I59" s="53"/>
      <c r="J59" s="54"/>
      <c r="K59" s="322" t="str">
        <f t="shared" si="1"/>
        <v/>
      </c>
      <c r="L59" s="324"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321" t="s">
        <v>131</v>
      </c>
      <c r="B60" s="96"/>
      <c r="C60" s="41"/>
      <c r="D60" s="45"/>
      <c r="E60" s="43"/>
      <c r="F60" s="44"/>
      <c r="G60" s="322" t="str">
        <f>IF(OR(E60="",F60=""),"",PID_KVLohnLookup($A$1,E60,F60,LOHNTABELLE!$H$4))</f>
        <v/>
      </c>
      <c r="H60" s="323" t="str">
        <f>IF(AND(ISNUMBER(D60),ISNUMBER(F60)),ROUNDDOWN(MIN(IF(OR(ISBLANK(I60),I60=""),EOMONTH(DATE(EINSTELLUNG!$C$35,$A$1,1),0),I60)-MAX(D60,DATE(EINSTELLUNG!$C$35,$A$1,1))+1)/DAY(EOMONTH(DATE(EINSTELLUNG!$C$35,$A$1,1),0))*F60,2),"")</f>
        <v/>
      </c>
      <c r="I60" s="45"/>
      <c r="J60" s="46"/>
      <c r="K60" s="322" t="str">
        <f t="shared" si="1"/>
        <v/>
      </c>
      <c r="L60" s="324"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1" t="s">
        <v>132</v>
      </c>
      <c r="B61" s="97"/>
      <c r="C61" s="49"/>
      <c r="D61" s="53"/>
      <c r="E61" s="51"/>
      <c r="F61" s="52"/>
      <c r="G61" s="322" t="str">
        <f>IF(OR(E61="",F61=""),"",PID_KVLohnLookup($A$1,E61,F61,LOHNTABELLE!$H$4))</f>
        <v/>
      </c>
      <c r="H61" s="323" t="str">
        <f>IF(AND(ISNUMBER(D61),ISNUMBER(F61)),ROUNDDOWN(MIN(IF(OR(ISBLANK(I61),I61=""),EOMONTH(DATE(EINSTELLUNG!$C$35,$A$1,1),0),I61)-MAX(D61,DATE(EINSTELLUNG!$C$35,$A$1,1))+1)/DAY(EOMONTH(DATE(EINSTELLUNG!$C$35,$A$1,1),0))*F61,2),"")</f>
        <v/>
      </c>
      <c r="I61" s="53"/>
      <c r="J61" s="54"/>
      <c r="K61" s="322" t="str">
        <f t="shared" si="1"/>
        <v/>
      </c>
      <c r="L61" s="32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1" t="s">
        <v>133</v>
      </c>
      <c r="B62" s="96"/>
      <c r="C62" s="41"/>
      <c r="D62" s="45"/>
      <c r="E62" s="43"/>
      <c r="F62" s="44"/>
      <c r="G62" s="322" t="str">
        <f>IF(OR(E62="",F62=""),"",PID_KVLohnLookup($A$1,E62,F62,LOHNTABELLE!$H$4))</f>
        <v/>
      </c>
      <c r="H62" s="323" t="str">
        <f>IF(AND(ISNUMBER(D62),ISNUMBER(F62)),ROUNDDOWN(MIN(IF(OR(ISBLANK(I62),I62=""),EOMONTH(DATE(EINSTELLUNG!$C$35,$A$1,1),0),I62)-MAX(D62,DATE(EINSTELLUNG!$C$35,$A$1,1))+1)/DAY(EOMONTH(DATE(EINSTELLUNG!$C$35,$A$1,1),0))*F62,2),"")</f>
        <v/>
      </c>
      <c r="I62" s="45"/>
      <c r="J62" s="46"/>
      <c r="K62" s="322" t="str">
        <f t="shared" si="1"/>
        <v/>
      </c>
      <c r="L62" s="32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1" t="s">
        <v>134</v>
      </c>
      <c r="B63" s="97"/>
      <c r="C63" s="49"/>
      <c r="D63" s="53"/>
      <c r="E63" s="51"/>
      <c r="F63" s="52"/>
      <c r="G63" s="322" t="str">
        <f>IF(OR(E63="",F63=""),"",PID_KVLohnLookup($A$1,E63,F63,LOHNTABELLE!$H$4))</f>
        <v/>
      </c>
      <c r="H63" s="323" t="str">
        <f>IF(AND(ISNUMBER(D63),ISNUMBER(F63)),ROUNDDOWN(MIN(IF(OR(ISBLANK(I63),I63=""),EOMONTH(DATE(EINSTELLUNG!$C$35,$A$1,1),0),I63)-MAX(D63,DATE(EINSTELLUNG!$C$35,$A$1,1))+1)/DAY(EOMONTH(DATE(EINSTELLUNG!$C$35,$A$1,1),0))*F63,2),"")</f>
        <v/>
      </c>
      <c r="I63" s="53"/>
      <c r="J63" s="54"/>
      <c r="K63" s="322" t="str">
        <f t="shared" si="1"/>
        <v/>
      </c>
      <c r="L63" s="32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1" t="s">
        <v>135</v>
      </c>
      <c r="B64" s="96"/>
      <c r="C64" s="41"/>
      <c r="D64" s="45"/>
      <c r="E64" s="43"/>
      <c r="F64" s="44"/>
      <c r="G64" s="322" t="str">
        <f>IF(OR(E64="",F64=""),"",PID_KVLohnLookup($A$1,E64,F64,LOHNTABELLE!$H$4))</f>
        <v/>
      </c>
      <c r="H64" s="323" t="str">
        <f>IF(AND(ISNUMBER(D64),ISNUMBER(F64)),ROUNDDOWN(MIN(IF(OR(ISBLANK(I64),I64=""),EOMONTH(DATE(EINSTELLUNG!$C$35,$A$1,1),0),I64)-MAX(D64,DATE(EINSTELLUNG!$C$35,$A$1,1))+1)/DAY(EOMONTH(DATE(EINSTELLUNG!$C$35,$A$1,1),0))*F64,2),"")</f>
        <v/>
      </c>
      <c r="I64" s="45"/>
      <c r="J64" s="46"/>
      <c r="K64" s="322" t="str">
        <f t="shared" si="1"/>
        <v/>
      </c>
      <c r="L64" s="32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1" t="s">
        <v>136</v>
      </c>
      <c r="B65" s="97"/>
      <c r="C65" s="49"/>
      <c r="D65" s="53"/>
      <c r="E65" s="51"/>
      <c r="F65" s="52"/>
      <c r="G65" s="322" t="str">
        <f>IF(OR(E65="",F65=""),"",PID_KVLohnLookup($A$1,E65,F65,LOHNTABELLE!$H$4))</f>
        <v/>
      </c>
      <c r="H65" s="323" t="str">
        <f>IF(AND(ISNUMBER(D65),ISNUMBER(F65)),ROUNDDOWN(MIN(IF(OR(ISBLANK(I65),I65=""),EOMONTH(DATE(EINSTELLUNG!$C$35,$A$1,1),0),I65)-MAX(D65,DATE(EINSTELLUNG!$C$35,$A$1,1))+1)/DAY(EOMONTH(DATE(EINSTELLUNG!$C$35,$A$1,1),0))*F65,2),"")</f>
        <v/>
      </c>
      <c r="I65" s="53"/>
      <c r="J65" s="54"/>
      <c r="K65" s="322" t="str">
        <f t="shared" si="1"/>
        <v/>
      </c>
      <c r="L65" s="32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1" t="s">
        <v>137</v>
      </c>
      <c r="B66" s="96"/>
      <c r="C66" s="41"/>
      <c r="D66" s="45"/>
      <c r="E66" s="43"/>
      <c r="F66" s="44"/>
      <c r="G66" s="322" t="str">
        <f>IF(OR(E66="",F66=""),"",PID_KVLohnLookup($A$1,E66,F66,LOHNTABELLE!$H$4))</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1" t="s">
        <v>138</v>
      </c>
      <c r="B67" s="97"/>
      <c r="C67" s="49"/>
      <c r="D67" s="53"/>
      <c r="E67" s="51"/>
      <c r="F67" s="52"/>
      <c r="G67" s="322" t="str">
        <f>IF(OR(E67="",F67=""),"",PID_KVLohnLookup($A$1,E67,F67,LOHNTABELLE!$H$4))</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1" t="s">
        <v>139</v>
      </c>
      <c r="B68" s="96"/>
      <c r="C68" s="41"/>
      <c r="D68" s="45"/>
      <c r="E68" s="43"/>
      <c r="F68" s="44"/>
      <c r="G68" s="322" t="str">
        <f>IF(OR(E68="",F68=""),"",PID_KVLohnLookup($A$1,E68,F68,LOHNTABELLE!$H$4))</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1" t="s">
        <v>140</v>
      </c>
      <c r="B69" s="97"/>
      <c r="C69" s="49"/>
      <c r="D69" s="53"/>
      <c r="E69" s="51"/>
      <c r="F69" s="52"/>
      <c r="G69" s="322" t="str">
        <f>IF(OR(E69="",F69=""),"",PID_KVLohnLookup($A$1,E69,F69,LOHNTABELLE!$H$4))</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1" t="s">
        <v>141</v>
      </c>
      <c r="B70" s="96"/>
      <c r="C70" s="41"/>
      <c r="D70" s="45"/>
      <c r="E70" s="43"/>
      <c r="F70" s="44"/>
      <c r="G70" s="322" t="str">
        <f>IF(OR(E70="",F70=""),"",PID_KVLohnLookup($A$1,E70,F70,LOHNTABELLE!$H$4))</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1" t="s">
        <v>142</v>
      </c>
      <c r="B71" s="97"/>
      <c r="C71" s="49"/>
      <c r="D71" s="53"/>
      <c r="E71" s="51"/>
      <c r="F71" s="52"/>
      <c r="G71" s="322" t="str">
        <f>IF(OR(E71="",F71=""),"",PID_KVLohnLookup($A$1,E71,F71,LOHNTABELLE!$H$4))</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1" t="s">
        <v>143</v>
      </c>
      <c r="B72" s="96"/>
      <c r="C72" s="41"/>
      <c r="D72" s="45"/>
      <c r="E72" s="43"/>
      <c r="F72" s="44"/>
      <c r="G72" s="322" t="str">
        <f>IF(OR(E72="",F72=""),"",PID_KVLohnLookup($A$1,E72,F72,LOHNTABELLE!$H$4))</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1" t="s">
        <v>144</v>
      </c>
      <c r="B73" s="97"/>
      <c r="C73" s="49"/>
      <c r="D73" s="53"/>
      <c r="E73" s="51"/>
      <c r="F73" s="52"/>
      <c r="G73" s="322" t="str">
        <f>IF(OR(E73="",F73=""),"",PID_KVLohnLookup($A$1,E73,F73,LOHNTABELLE!$H$4))</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1" t="s">
        <v>145</v>
      </c>
      <c r="B74" s="96"/>
      <c r="C74" s="41"/>
      <c r="D74" s="45"/>
      <c r="E74" s="43"/>
      <c r="F74" s="44"/>
      <c r="G74" s="322" t="str">
        <f>IF(OR(E74="",F74=""),"",PID_KVLohnLookup($A$1,E74,F74,LOHNTABELLE!$H$4))</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1" t="s">
        <v>146</v>
      </c>
      <c r="B75" s="97"/>
      <c r="C75" s="49"/>
      <c r="D75" s="53"/>
      <c r="E75" s="51"/>
      <c r="F75" s="52"/>
      <c r="G75" s="322" t="str">
        <f>IF(OR(E75="",F75=""),"",PID_KVLohnLookup($A$1,E75,F75,LOHNTABELLE!$H$4))</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1" t="s">
        <v>147</v>
      </c>
      <c r="B76" s="96"/>
      <c r="C76" s="41"/>
      <c r="D76" s="45"/>
      <c r="E76" s="43"/>
      <c r="F76" s="44"/>
      <c r="G76" s="322" t="str">
        <f>IF(OR(E76="",F76=""),"",PID_KVLohnLookup($A$1,E76,F76,LOHNTABELLE!$H$4))</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1" t="s">
        <v>148</v>
      </c>
      <c r="B77" s="97"/>
      <c r="C77" s="49"/>
      <c r="D77" s="53"/>
      <c r="E77" s="51"/>
      <c r="F77" s="52"/>
      <c r="G77" s="322" t="str">
        <f>IF(OR(E77="",F77=""),"",PID_KVLohnLookup($A$1,E77,F77,LOHNTABELLE!$H$4))</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1" t="s">
        <v>149</v>
      </c>
      <c r="B78" s="96"/>
      <c r="C78" s="41"/>
      <c r="D78" s="45"/>
      <c r="E78" s="43"/>
      <c r="F78" s="44"/>
      <c r="G78" s="322" t="str">
        <f>IF(OR(E78="",F78=""),"",PID_KVLohnLookup($A$1,E78,F78,LOHNTABELLE!$H$4))</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1" t="s">
        <v>150</v>
      </c>
      <c r="B79" s="97"/>
      <c r="C79" s="49"/>
      <c r="D79" s="53"/>
      <c r="E79" s="51"/>
      <c r="F79" s="52"/>
      <c r="G79" s="322" t="str">
        <f>IF(OR(E79="",F79=""),"",PID_KVLohnLookup($A$1,E79,F79,LOHNTABELLE!$H$4))</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1" t="s">
        <v>151</v>
      </c>
      <c r="B80" s="96"/>
      <c r="C80" s="41"/>
      <c r="D80" s="45"/>
      <c r="E80" s="43"/>
      <c r="F80" s="44"/>
      <c r="G80" s="322" t="str">
        <f>IF(OR(E80="",F80=""),"",PID_KVLohnLookup($A$1,E80,F80,LOHNTABELLE!$H$4))</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1" t="s">
        <v>152</v>
      </c>
      <c r="B81" s="97"/>
      <c r="C81" s="49"/>
      <c r="D81" s="53"/>
      <c r="E81" s="51"/>
      <c r="F81" s="52"/>
      <c r="G81" s="322" t="str">
        <f>IF(OR(E81="",F81=""),"",PID_KVLohnLookup($A$1,E81,F81,LOHNTABELLE!$H$4))</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87" t="s">
        <v>153</v>
      </c>
      <c r="B82" s="98"/>
      <c r="C82" s="58"/>
      <c r="D82" s="59"/>
      <c r="E82" s="60"/>
      <c r="F82" s="61"/>
      <c r="G82" s="388" t="str">
        <f>IF(OR(E82="",F82=""),"",PID_KVLohnLookup($A$1,E82,F82,LOHNTABELLE!$H$4))</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91"/>
      <c r="B83" s="391"/>
    </row>
    <row r="100" spans="26:26" ht="16" customHeight="1">
      <c r="Z100" s="301"/>
    </row>
  </sheetData>
  <sheetProtection algorithmName="SHA-512" hashValue="IQ/jFAmiI0uiZqczTHNu+rIP7GJ30yOusfJoJVv82L8D0azQ34je5AsPELnm9UBc/7LwTNuE8/VBAQHw2ttULQ==" saltValue="SykoONEXfuPAuMuzQrE8b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F54</xm:sqref>
        </x14:dataValidation>
        <x14:dataValidation type="list" allowBlank="1" showInputMessage="1" showErrorMessage="1" xr:uid="{94D41361-8190-8947-9BCD-EE46293E65F0}">
          <x14:formula1>
            <xm:f>KV_DROPDOWN_HELPER!$ADZ$1:$ADZ$13</xm:f>
          </x14:formula1>
          <xm:sqref>F18 F21 F23</xm:sqref>
        </x14:dataValidation>
        <x14:dataValidation type="list" allowBlank="1" showInputMessage="1" showErrorMessage="1" xr:uid="{C6D38AB4-134A-214E-937E-97FC434F9F05}">
          <x14:formula1>
            <xm:f>KV_DROPDOWN_HELPER!$AEA$1:$AEA$13</xm:f>
          </x14:formula1>
          <xm:sqref>F59 F60 F61 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7A7E5196-949B-4B99-A74A-B0E1076B3390}">
          <x14:formula1>
            <xm:f>KV_DROPDOWN_HELPER!$ADX$1:$ADX$13</xm:f>
          </x14:formula1>
          <xm:sqref>F15</xm:sqref>
        </x14:dataValidation>
        <x14:dataValidation type="list" allowBlank="1" showInputMessage="1" showErrorMessage="1" xr:uid="{8EC1F8A1-C318-43B3-8C79-343C86F6C371}">
          <x14:formula1>
            <xm:f>KV_DROPDOWN_HELPER!$ADU$1:$ADU$15</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2" customWidth="1"/>
    <col min="2" max="2" width="9.1796875" style="392" customWidth="1"/>
    <col min="3" max="3" width="35.6328125" style="221" customWidth="1"/>
    <col min="4" max="4" width="13.6328125" style="221" customWidth="1"/>
    <col min="5" max="5" width="9.6328125" style="221" customWidth="1"/>
    <col min="6" max="6" width="10.6328125" style="221" customWidth="1"/>
    <col min="7" max="7" width="13.6328125" style="221" customWidth="1"/>
    <col min="8" max="8" width="11.6328125" style="221" customWidth="1"/>
    <col min="9" max="10" width="13.6328125" style="221" customWidth="1"/>
    <col min="11" max="11" width="14.6328125" style="221" customWidth="1"/>
    <col min="12" max="12" width="14.6328125" style="351" customWidth="1"/>
    <col min="13" max="13" width="17.81640625" style="221" customWidth="1"/>
    <col min="14" max="14" width="34.6328125" style="221" customWidth="1"/>
    <col min="15" max="15" width="12.6328125" style="221" customWidth="1"/>
    <col min="16" max="16" width="16.6328125" style="221" customWidth="1"/>
    <col min="17" max="17" width="14.6328125" style="221" customWidth="1"/>
    <col min="18" max="18" width="13.6328125" style="221" customWidth="1"/>
    <col min="19" max="19" width="9.6328125" style="221" customWidth="1"/>
    <col min="20" max="20" width="10.6328125" style="221" customWidth="1"/>
    <col min="21" max="21" width="7.6328125" style="221" customWidth="1"/>
    <col min="22" max="27" width="9.1796875" style="221"/>
    <col min="28" max="28" width="10.6328125" style="221" bestFit="1" customWidth="1"/>
    <col min="29" max="16384" width="9.1796875" style="221"/>
  </cols>
  <sheetData>
    <row r="1" spans="1:28" ht="18" customHeight="1">
      <c r="A1" s="302">
        <v>12</v>
      </c>
      <c r="B1" s="303" t="s">
        <v>180</v>
      </c>
      <c r="C1" s="304" t="s">
        <v>39</v>
      </c>
      <c r="D1" s="304" t="s">
        <v>181</v>
      </c>
      <c r="E1" s="304" t="s">
        <v>0</v>
      </c>
      <c r="F1" s="304" t="s">
        <v>40</v>
      </c>
      <c r="G1" s="304" t="s">
        <v>41</v>
      </c>
      <c r="H1" s="304" t="s">
        <v>42</v>
      </c>
      <c r="I1" s="304" t="s">
        <v>182</v>
      </c>
      <c r="J1" s="304" t="s">
        <v>43</v>
      </c>
      <c r="K1" s="304" t="s">
        <v>44</v>
      </c>
      <c r="L1" s="304" t="s">
        <v>45</v>
      </c>
      <c r="M1" s="304" t="s">
        <v>46</v>
      </c>
      <c r="N1" s="305" t="s">
        <v>183</v>
      </c>
      <c r="AB1" s="306">
        <f>DATE(EINSTELLUNG!$C$35,$A$1,1)</f>
        <v>46357</v>
      </c>
    </row>
    <row r="2" spans="1:28" ht="18" customHeight="1" thickBot="1">
      <c r="A2" s="307"/>
      <c r="B2" s="308"/>
      <c r="C2" s="309"/>
      <c r="D2" s="309"/>
      <c r="E2" s="309"/>
      <c r="F2" s="309"/>
      <c r="G2" s="309"/>
      <c r="H2" s="309"/>
      <c r="I2" s="309"/>
      <c r="J2" s="309"/>
      <c r="K2" s="309"/>
      <c r="L2" s="309"/>
      <c r="M2" s="309"/>
      <c r="N2" s="310"/>
      <c r="O2" s="311"/>
      <c r="P2" s="311"/>
      <c r="Q2" s="311"/>
      <c r="S2" s="312" t="s">
        <v>384</v>
      </c>
      <c r="T2" s="312"/>
      <c r="U2" s="312"/>
      <c r="V2" s="312"/>
      <c r="AB2" s="306">
        <f>EOMONTH(DATE(EINSTELLUNG!$C$35,$A$1,1),0)</f>
        <v>46387</v>
      </c>
    </row>
    <row r="3" spans="1:28" ht="22" customHeight="1">
      <c r="A3" s="313" t="s">
        <v>389</v>
      </c>
      <c r="B3" s="95">
        <v>401010</v>
      </c>
      <c r="C3" s="33" t="s">
        <v>224</v>
      </c>
      <c r="D3" s="34">
        <v>39388</v>
      </c>
      <c r="E3" s="35" t="s">
        <v>2</v>
      </c>
      <c r="F3" s="64">
        <v>138.4</v>
      </c>
      <c r="G3" s="314">
        <f>IF(OR(E3="",F3=""),"",PID_KVLohnLookup($A$1,E3,F3,LOHNTABELLE!$H$4))</f>
        <v>1616.8</v>
      </c>
      <c r="H3" s="315">
        <f>IF(AND(ISNUMBER(D3),ISNUMBER(F3)),ROUNDDOWN(MIN(IF(OR(ISBLANK(I3),I3=""),EOMONTH(DATE(EINSTELLUNG!$C$35,$A$1,1),0),I3)-MAX(D3,DATE(EINSTELLUNG!$C$35,$A$1,1))+1)/DAY(EOMONTH(DATE(EINSTELLUNG!$C$35,$A$1,1),0))*F3,2),"")</f>
        <v>138.4</v>
      </c>
      <c r="I3" s="37"/>
      <c r="J3" s="38"/>
      <c r="K3" s="314">
        <f t="shared" ref="K3:K34" si="0">IF(OR(B3="",C3=""),"",IFERROR(IF(OR(MONTH(D3)=1,MONTH(D3)=3,MONTH(D3)=5,MONTH(D3)=7,MONTH(D3)=8,MONTH(D3)=10,MONTH(D3)=12),(G3/31)*J3,IF(OR(MONTH(D3)=4,MONTH(D3)=6,MONTH(D3)=9,MONTH(D3)=11),(G3/30)*J3,(G3/DAY(EOMONTH(D3,0)))*J3)),0))</f>
        <v>0</v>
      </c>
      <c r="L3" s="316">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9"/>
      <c r="N3" s="69"/>
      <c r="O3" s="317" t="s">
        <v>47</v>
      </c>
      <c r="P3" s="317" t="s">
        <v>48</v>
      </c>
      <c r="Q3" s="317" t="s">
        <v>49</v>
      </c>
      <c r="R3" s="318" t="s">
        <v>50</v>
      </c>
      <c r="S3" s="319"/>
      <c r="T3" s="319"/>
      <c r="U3" s="319"/>
      <c r="V3" s="319"/>
      <c r="AB3" s="320"/>
    </row>
    <row r="4" spans="1:28" ht="22" customHeight="1">
      <c r="A4" s="321" t="s">
        <v>51</v>
      </c>
      <c r="B4" s="96">
        <v>401049</v>
      </c>
      <c r="C4" s="41" t="s">
        <v>225</v>
      </c>
      <c r="D4" s="42">
        <v>41130</v>
      </c>
      <c r="E4" s="43" t="s">
        <v>4</v>
      </c>
      <c r="F4" s="44">
        <v>173</v>
      </c>
      <c r="G4" s="322">
        <f>IF(OR(E4="",F4=""),"",PID_KVLohnLookup($A$1,E4,F4,LOHNTABELLE!$H$4))</f>
        <v>2123</v>
      </c>
      <c r="H4" s="323">
        <f>IF(AND(ISNUMBER(D4),ISNUMBER(F4)),ROUNDDOWN(MIN(IF(OR(ISBLANK(I4),I4=""),EOMONTH(DATE(EINSTELLUNG!$C$35,$A$1,1),0),I4)-MAX(D4,DATE(EINSTELLUNG!$C$35,$A$1,1))+1)/DAY(EOMONTH(DATE(EINSTELLUNG!$C$35,$A$1,1),0))*F4,2),"")</f>
        <v>173</v>
      </c>
      <c r="I4" s="45"/>
      <c r="J4" s="46"/>
      <c r="K4" s="322">
        <f t="shared" si="0"/>
        <v>0</v>
      </c>
      <c r="L4" s="32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5"/>
      <c r="P4" s="325"/>
      <c r="Q4" s="325"/>
      <c r="R4" s="326"/>
      <c r="S4" s="319"/>
      <c r="T4" s="319"/>
      <c r="U4" s="319"/>
      <c r="V4" s="319"/>
    </row>
    <row r="5" spans="1:28" ht="22" customHeight="1">
      <c r="A5" s="321" t="s">
        <v>52</v>
      </c>
      <c r="B5" s="97">
        <v>401051</v>
      </c>
      <c r="C5" s="49" t="s">
        <v>227</v>
      </c>
      <c r="D5" s="50">
        <v>41176</v>
      </c>
      <c r="E5" s="51" t="s">
        <v>2</v>
      </c>
      <c r="F5" s="52">
        <v>173</v>
      </c>
      <c r="G5" s="322">
        <f>IF(OR(E5="",F5=""),"",PID_KVLohnLookup($A$1,E5,F5,LOHNTABELLE!$H$4))</f>
        <v>2021</v>
      </c>
      <c r="H5" s="323">
        <f>IF(AND(ISNUMBER(D5),ISNUMBER(F5)),ROUNDDOWN(MIN(IF(OR(ISBLANK(I5),I5=""),EOMONTH(DATE(EINSTELLUNG!$C$35,$A$1,1),0),I5)-MAX(D5,DATE(EINSTELLUNG!$C$35,$A$1,1))+1)/DAY(EOMONTH(DATE(EINSTELLUNG!$C$35,$A$1,1),0))*F5,2),"")</f>
        <v>173</v>
      </c>
      <c r="I5" s="53"/>
      <c r="J5" s="54"/>
      <c r="K5" s="322">
        <f t="shared" si="0"/>
        <v>0</v>
      </c>
      <c r="L5" s="32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27" cm="1">
        <f t="array" ref="O5">SUMPRODUCT((F3:F82/4.310808)/5*2.08)</f>
        <v>776.68082642511604</v>
      </c>
      <c r="P5" s="328">
        <f>EINSTELLUNG!I17</f>
        <v>600</v>
      </c>
      <c r="Q5" s="328">
        <f>P5-O5</f>
        <v>-176.68082642511604</v>
      </c>
      <c r="R5" s="329">
        <f>IFERROR(Q5*Q42, 0)</f>
        <v>-2227.1988947981054</v>
      </c>
      <c r="S5" s="319"/>
      <c r="T5" s="319"/>
      <c r="U5" s="319"/>
      <c r="V5" s="319"/>
    </row>
    <row r="6" spans="1:28" ht="22" customHeight="1">
      <c r="A6" s="321" t="s">
        <v>53</v>
      </c>
      <c r="B6" s="96">
        <v>401089</v>
      </c>
      <c r="C6" s="41" t="s">
        <v>241</v>
      </c>
      <c r="D6" s="42">
        <v>44868</v>
      </c>
      <c r="E6" s="43" t="s">
        <v>3</v>
      </c>
      <c r="F6" s="44">
        <v>173</v>
      </c>
      <c r="G6" s="322">
        <f>IF(OR(E6="",F6=""),"",PID_KVLohnLookup($A$1,E6,F6,LOHNTABELLE!$H$4))</f>
        <v>2082</v>
      </c>
      <c r="H6" s="323">
        <f>IF(AND(ISNUMBER(D6),ISNUMBER(F6)),ROUNDDOWN(MIN(IF(OR(ISBLANK(I6),I6=""),EOMONTH(DATE(EINSTELLUNG!$C$35,$A$1,1),0),I6)-MAX(D6,DATE(EINSTELLUNG!$C$35,$A$1,1))+1)/DAY(EOMONTH(DATE(EINSTELLUNG!$C$35,$A$1,1),0))*F6,2),"")</f>
        <v>173</v>
      </c>
      <c r="I6" s="45"/>
      <c r="J6" s="46"/>
      <c r="K6" s="322">
        <f t="shared" si="0"/>
        <v>0</v>
      </c>
      <c r="L6" s="32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0" t="str">
        <f>IF(Q5&lt;0, "Schlecht! Zu wenig Urlaub abgebaut.", IF(Q5&gt;0, "Gut! Mehr Urlaub abgebaut als aufgebaut.", ""))</f>
        <v>Schlecht! Zu wenig Urlaub abgebaut.</v>
      </c>
      <c r="P6" s="331"/>
      <c r="Q6" s="331"/>
      <c r="R6" s="332"/>
      <c r="S6" s="319"/>
      <c r="T6" s="319"/>
      <c r="U6" s="319"/>
      <c r="V6" s="319"/>
    </row>
    <row r="7" spans="1:28" ht="22" customHeight="1" thickBot="1">
      <c r="A7" s="321" t="s">
        <v>54</v>
      </c>
      <c r="B7" s="97">
        <v>401138</v>
      </c>
      <c r="C7" s="49" t="s">
        <v>228</v>
      </c>
      <c r="D7" s="50">
        <v>42006</v>
      </c>
      <c r="E7" s="51" t="s">
        <v>4</v>
      </c>
      <c r="F7" s="52">
        <v>173</v>
      </c>
      <c r="G7" s="322">
        <f>IF(OR(E7="",F7=""),"",PID_KVLohnLookup($A$1,E7,F7,LOHNTABELLE!$H$4))</f>
        <v>2123</v>
      </c>
      <c r="H7" s="323">
        <f>IF(AND(ISNUMBER(D7),ISNUMBER(F7)),ROUNDDOWN(MIN(IF(OR(ISBLANK(I7),I7=""),EOMONTH(DATE(EINSTELLUNG!$C$35,$A$1,1),0),I7)-MAX(D7,DATE(EINSTELLUNG!$C$35,$A$1,1))+1)/DAY(EOMONTH(DATE(EINSTELLUNG!$C$35,$A$1,1),0))*F7,2),"")</f>
        <v>173</v>
      </c>
      <c r="I7" s="53"/>
      <c r="J7" s="54"/>
      <c r="K7" s="322">
        <f t="shared" si="0"/>
        <v>0</v>
      </c>
      <c r="L7" s="32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19"/>
      <c r="P7" s="319"/>
      <c r="Q7" s="319"/>
      <c r="R7" s="319"/>
      <c r="S7" s="319"/>
      <c r="T7" s="319"/>
      <c r="U7" s="319"/>
      <c r="V7" s="319"/>
    </row>
    <row r="8" spans="1:28" ht="22" customHeight="1">
      <c r="A8" s="321" t="s">
        <v>55</v>
      </c>
      <c r="B8" s="96">
        <v>401197</v>
      </c>
      <c r="C8" s="41" t="s">
        <v>229</v>
      </c>
      <c r="D8" s="42">
        <v>42644</v>
      </c>
      <c r="E8" s="43" t="s">
        <v>3</v>
      </c>
      <c r="F8" s="44">
        <v>173</v>
      </c>
      <c r="G8" s="322">
        <f>IF(OR(E8="",F8=""),"",PID_KVLohnLookup($A$1,E8,F8,LOHNTABELLE!$H$4))</f>
        <v>2082</v>
      </c>
      <c r="H8" s="323">
        <f>IF(AND(ISNUMBER(D8),ISNUMBER(F8)),ROUNDDOWN(MIN(IF(OR(ISBLANK(I8),I8=""),EOMONTH(DATE(EINSTELLUNG!$C$35,$A$1,1),0),I8)-MAX(D8,DATE(EINSTELLUNG!$C$35,$A$1,1))+1)/DAY(EOMONTH(DATE(EINSTELLUNG!$C$35,$A$1,1),0))*F8,2),"")</f>
        <v>173</v>
      </c>
      <c r="I8" s="45"/>
      <c r="J8" s="46"/>
      <c r="K8" s="322">
        <f t="shared" si="0"/>
        <v>0</v>
      </c>
      <c r="L8" s="32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3" t="s">
        <v>56</v>
      </c>
      <c r="P8" s="334"/>
      <c r="Q8" s="335">
        <f>SUM(H3:H82)</f>
        <v>7133.15</v>
      </c>
      <c r="R8" s="336"/>
      <c r="S8" s="319"/>
      <c r="T8" s="319"/>
      <c r="U8" s="319"/>
      <c r="V8" s="319"/>
    </row>
    <row r="9" spans="1:28" ht="22" customHeight="1">
      <c r="A9" s="321" t="s">
        <v>57</v>
      </c>
      <c r="B9" s="97">
        <v>401214</v>
      </c>
      <c r="C9" s="49" t="s">
        <v>255</v>
      </c>
      <c r="D9" s="50">
        <v>45636</v>
      </c>
      <c r="E9" s="51" t="s">
        <v>3</v>
      </c>
      <c r="F9" s="52">
        <v>173</v>
      </c>
      <c r="G9" s="322">
        <f>IF(OR(E9="",F9=""),"",PID_KVLohnLookup($A$1,E9,F9,LOHNTABELLE!$H$4))</f>
        <v>2082</v>
      </c>
      <c r="H9" s="323">
        <f>IF(AND(ISNUMBER(D9),ISNUMBER(F9)),ROUNDDOWN(MIN(IF(OR(ISBLANK(I9),I9=""),EOMONTH(DATE(EINSTELLUNG!$C$35,$A$1,1),0),I9)-MAX(D9,DATE(EINSTELLUNG!$C$35,$A$1,1))+1)/DAY(EOMONTH(DATE(EINSTELLUNG!$C$35,$A$1,1),0))*F9,2),"")</f>
        <v>173</v>
      </c>
      <c r="I9" s="53"/>
      <c r="J9" s="54"/>
      <c r="K9" s="322">
        <f t="shared" si="0"/>
        <v>0</v>
      </c>
      <c r="L9" s="32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37" t="s">
        <v>58</v>
      </c>
      <c r="P9" s="338"/>
      <c r="Q9" s="339">
        <f>EINSTELLUNG!L33</f>
        <v>12</v>
      </c>
      <c r="R9" s="340"/>
      <c r="S9" s="341">
        <f>IFERROR(Q9/Q8, 0)</f>
        <v>1.6822862269824693E-3</v>
      </c>
      <c r="T9" s="319"/>
      <c r="U9" s="319"/>
      <c r="V9" s="319"/>
    </row>
    <row r="10" spans="1:28" ht="22" customHeight="1">
      <c r="A10" s="321" t="s">
        <v>59</v>
      </c>
      <c r="B10" s="96">
        <v>401276</v>
      </c>
      <c r="C10" s="41" t="s">
        <v>230</v>
      </c>
      <c r="D10" s="42">
        <v>43252</v>
      </c>
      <c r="E10" s="43" t="s">
        <v>3</v>
      </c>
      <c r="F10" s="44">
        <v>173</v>
      </c>
      <c r="G10" s="322">
        <f>IF(OR(E10="",F10=""),"",PID_KVLohnLookup($A$1,E10,F10,LOHNTABELLE!$H$4))</f>
        <v>2082</v>
      </c>
      <c r="H10" s="323">
        <f>IF(AND(ISNUMBER(D10),ISNUMBER(F10)),ROUNDDOWN(MIN(IF(OR(ISBLANK(I10),I10=""),EOMONTH(DATE(EINSTELLUNG!$C$35,$A$1,1),0),I10)-MAX(D10,DATE(EINSTELLUNG!$C$35,$A$1,1))+1)/DAY(EOMONTH(DATE(EINSTELLUNG!$C$35,$A$1,1),0))*F10,2),"")</f>
        <v>173</v>
      </c>
      <c r="I10" s="45"/>
      <c r="J10" s="46"/>
      <c r="K10" s="322">
        <f t="shared" si="0"/>
        <v>0</v>
      </c>
      <c r="L10" s="32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37" t="s">
        <v>60</v>
      </c>
      <c r="P10" s="338"/>
      <c r="Q10" s="339">
        <f>EINSTELLUNG!I33</f>
        <v>400</v>
      </c>
      <c r="R10" s="340"/>
      <c r="S10" s="319"/>
      <c r="T10" s="319"/>
      <c r="U10" s="319"/>
      <c r="V10" s="319"/>
    </row>
    <row r="11" spans="1:28" ht="22" customHeight="1">
      <c r="A11" s="321" t="s">
        <v>61</v>
      </c>
      <c r="B11" s="97">
        <v>401276</v>
      </c>
      <c r="C11" s="49" t="s">
        <v>392</v>
      </c>
      <c r="D11" s="50">
        <v>38899</v>
      </c>
      <c r="E11" s="51" t="s">
        <v>2</v>
      </c>
      <c r="F11" s="52">
        <v>55</v>
      </c>
      <c r="G11" s="322">
        <f>IF(OR(E11="",F11=""),"",PID_KVLohnLookup($A$1,E11,F11,LOHNTABELLE!$H$4))</f>
        <v>666</v>
      </c>
      <c r="H11" s="323">
        <f>IF(AND(ISNUMBER(D11),ISNUMBER(F11)),ROUNDDOWN(MIN(IF(OR(ISBLANK(I11),I11=""),EOMONTH(DATE(EINSTELLUNG!$C$35,$A$1,1),0),I11)-MAX(D11,DATE(EINSTELLUNG!$C$35,$A$1,1))+1)/DAY(EOMONTH(DATE(EINSTELLUNG!$C$35,$A$1,1),0))*F11,2),"")</f>
        <v>55</v>
      </c>
      <c r="I11" s="53"/>
      <c r="J11" s="54"/>
      <c r="K11" s="322">
        <f t="shared" si="0"/>
        <v>0</v>
      </c>
      <c r="L11" s="32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37" t="s">
        <v>62</v>
      </c>
      <c r="P11" s="338"/>
      <c r="Q11" s="339">
        <f>P5</f>
        <v>600</v>
      </c>
      <c r="R11" s="340"/>
      <c r="S11" s="319"/>
      <c r="T11" s="319"/>
      <c r="U11" s="319"/>
      <c r="V11" s="319"/>
    </row>
    <row r="12" spans="1:28" ht="22" customHeight="1">
      <c r="A12" s="321" t="s">
        <v>63</v>
      </c>
      <c r="B12" s="96">
        <v>401307</v>
      </c>
      <c r="C12" s="41" t="s">
        <v>231</v>
      </c>
      <c r="D12" s="42">
        <v>43571</v>
      </c>
      <c r="E12" s="43" t="s">
        <v>2</v>
      </c>
      <c r="F12" s="44">
        <v>55</v>
      </c>
      <c r="G12" s="322">
        <f>IF(OR(E12="",F12=""),"",PID_KVLohnLookup($A$1,E12,F12,LOHNTABELLE!$H$4))</f>
        <v>666</v>
      </c>
      <c r="H12" s="323">
        <f>IF(AND(ISNUMBER(D12),ISNUMBER(F12)),ROUNDDOWN(MIN(IF(OR(ISBLANK(I12),I12=""),EOMONTH(DATE(EINSTELLUNG!$C$35,$A$1,1),0),I12)-MAX(D12,DATE(EINSTELLUNG!$C$35,$A$1,1))+1)/DAY(EOMONTH(DATE(EINSTELLUNG!$C$35,$A$1,1),0))*F12,2),"")</f>
        <v>55</v>
      </c>
      <c r="I12" s="45"/>
      <c r="J12" s="46"/>
      <c r="K12" s="322">
        <f t="shared" si="0"/>
        <v>0</v>
      </c>
      <c r="L12" s="32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37" t="s">
        <v>64</v>
      </c>
      <c r="P12" s="338"/>
      <c r="Q12" s="167">
        <v>-303</v>
      </c>
      <c r="R12" s="168"/>
      <c r="S12" s="319"/>
      <c r="T12" s="319"/>
      <c r="U12" s="319"/>
      <c r="V12" s="319"/>
    </row>
    <row r="13" spans="1:28" ht="22" customHeight="1">
      <c r="A13" s="321" t="s">
        <v>65</v>
      </c>
      <c r="B13" s="97">
        <v>401308</v>
      </c>
      <c r="C13" s="49" t="s">
        <v>232</v>
      </c>
      <c r="D13" s="50">
        <v>43579</v>
      </c>
      <c r="E13" s="51" t="s">
        <v>3</v>
      </c>
      <c r="F13" s="52">
        <v>173</v>
      </c>
      <c r="G13" s="322">
        <f>IF(OR(E13="",F13=""),"",PID_KVLohnLookup($A$1,E13,F13,LOHNTABELLE!$H$4))</f>
        <v>2082</v>
      </c>
      <c r="H13" s="323">
        <f>IF(AND(ISNUMBER(D13),ISNUMBER(F13)),ROUNDDOWN(MIN(IF(OR(ISBLANK(I13),I13=""),EOMONTH(DATE(EINSTELLUNG!$C$35,$A$1,1),0),I13)-MAX(D13,DATE(EINSTELLUNG!$C$35,$A$1,1))+1)/DAY(EOMONTH(DATE(EINSTELLUNG!$C$35,$A$1,1),0))*F13,2),"")</f>
        <v>173</v>
      </c>
      <c r="I13" s="53"/>
      <c r="J13" s="54"/>
      <c r="K13" s="322">
        <f t="shared" si="0"/>
        <v>0</v>
      </c>
      <c r="L13" s="32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37" t="s">
        <v>66</v>
      </c>
      <c r="P13" s="338"/>
      <c r="Q13" s="339">
        <f>Q8-Q9-Q10-Q11-Q12</f>
        <v>6424.15</v>
      </c>
      <c r="R13" s="340"/>
      <c r="S13" s="319"/>
      <c r="T13" s="319"/>
      <c r="U13" s="319"/>
      <c r="V13" s="319"/>
    </row>
    <row r="14" spans="1:28" ht="22" customHeight="1">
      <c r="A14" s="321" t="s">
        <v>67</v>
      </c>
      <c r="B14" s="96">
        <v>401394</v>
      </c>
      <c r="C14" s="41" t="s">
        <v>233</v>
      </c>
      <c r="D14" s="42">
        <v>44379</v>
      </c>
      <c r="E14" s="43" t="s">
        <v>2</v>
      </c>
      <c r="F14" s="44">
        <v>173</v>
      </c>
      <c r="G14" s="322">
        <f>IF(OR(E14="",F14=""),"",PID_KVLohnLookup($A$1,E14,F14,LOHNTABELLE!$H$4))</f>
        <v>2021</v>
      </c>
      <c r="H14" s="323">
        <f>IF(AND(ISNUMBER(D14),ISNUMBER(F14)),ROUNDDOWN(MIN(IF(OR(ISBLANK(I14),I14=""),EOMONTH(DATE(EINSTELLUNG!$C$35,$A$1,1),0),I14)-MAX(D14,DATE(EINSTELLUNG!$C$35,$A$1,1))+1)/DAY(EOMONTH(DATE(EINSTELLUNG!$C$35,$A$1,1),0))*F14,2),"")</f>
        <v>173</v>
      </c>
      <c r="I14" s="45"/>
      <c r="J14" s="46"/>
      <c r="K14" s="322">
        <f t="shared" si="0"/>
        <v>0</v>
      </c>
      <c r="L14" s="32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37" t="s">
        <v>68</v>
      </c>
      <c r="P14" s="338"/>
      <c r="Q14" s="339">
        <f>EINSTELLUNG!L17</f>
        <v>9300</v>
      </c>
      <c r="R14" s="340"/>
      <c r="S14" s="319"/>
      <c r="T14" s="319"/>
      <c r="U14" s="319"/>
      <c r="V14" s="319"/>
    </row>
    <row r="15" spans="1:28" ht="22" customHeight="1" thickBot="1">
      <c r="A15" s="321" t="s">
        <v>69</v>
      </c>
      <c r="B15" s="97">
        <v>401479</v>
      </c>
      <c r="C15" s="49" t="s">
        <v>238</v>
      </c>
      <c r="D15" s="50">
        <v>44511</v>
      </c>
      <c r="E15" s="51" t="s">
        <v>6</v>
      </c>
      <c r="F15" s="52">
        <v>173</v>
      </c>
      <c r="G15" s="322">
        <f>IF(OR(E15="",F15=""),"",PID_KVLohnLookup($A$1,E15,F15,LOHNTABELLE!$H$4))</f>
        <v>2160</v>
      </c>
      <c r="H15" s="323">
        <f>IF(AND(ISNUMBER(D15),ISNUMBER(F15)),ROUNDDOWN(MIN(IF(OR(ISBLANK(I15),I15=""),EOMONTH(DATE(EINSTELLUNG!$C$35,$A$1,1),0),I15)-MAX(D15,DATE(EINSTELLUNG!$C$35,$A$1,1))+1)/DAY(EOMONTH(DATE(EINSTELLUNG!$C$35,$A$1,1),0))*F15,2),"")</f>
        <v>173</v>
      </c>
      <c r="I15" s="53"/>
      <c r="J15" s="54"/>
      <c r="K15" s="322">
        <f t="shared" si="0"/>
        <v>0</v>
      </c>
      <c r="L15" s="32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342" t="s">
        <v>70</v>
      </c>
      <c r="P15" s="343"/>
      <c r="Q15" s="344">
        <f>Q13-Q14</f>
        <v>-2875.8500000000004</v>
      </c>
      <c r="R15" s="345"/>
      <c r="S15" s="346"/>
      <c r="T15" s="346"/>
      <c r="U15" s="346"/>
      <c r="V15" s="319"/>
    </row>
    <row r="16" spans="1:28" ht="22" customHeight="1" thickBot="1">
      <c r="A16" s="321" t="s">
        <v>71</v>
      </c>
      <c r="B16" s="96">
        <v>401564</v>
      </c>
      <c r="C16" s="41" t="s">
        <v>240</v>
      </c>
      <c r="D16" s="42">
        <v>44824</v>
      </c>
      <c r="E16" s="43" t="s">
        <v>2</v>
      </c>
      <c r="F16" s="44">
        <v>151.38</v>
      </c>
      <c r="G16" s="322">
        <f>IF(OR(E16="",F16=""),"",PID_KVLohnLookup($A$1,E16,F16,LOHNTABELLE!$H$4))</f>
        <v>1768.38</v>
      </c>
      <c r="H16" s="323">
        <f>IF(AND(ISNUMBER(D16),ISNUMBER(F16)),ROUNDDOWN(MIN(IF(OR(ISBLANK(I16),I16=""),EOMONTH(DATE(EINSTELLUNG!$C$35,$A$1,1),0),I16)-MAX(D16,DATE(EINSTELLUNG!$C$35,$A$1,1))+1)/DAY(EOMONTH(DATE(EINSTELLUNG!$C$35,$A$1,1),0))*F16,2),"")</f>
        <v>151.38</v>
      </c>
      <c r="I16" s="45"/>
      <c r="J16" s="46"/>
      <c r="K16" s="322">
        <f t="shared" si="0"/>
        <v>0</v>
      </c>
      <c r="L16" s="32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7"/>
      <c r="N16" s="70"/>
      <c r="O16" s="347" t="str">
        <f>IF(Q15&lt;0, "Schlecht! Zu wenig Stunden für Dienstplan.", IF(Q15&gt;0, "Du hast mehr als genug Stunden für Dienstplan.", ""))</f>
        <v>Schlecht! Zu wenig Stunden für Dienstplan.</v>
      </c>
      <c r="P16" s="348"/>
      <c r="Q16" s="348"/>
      <c r="R16" s="349"/>
      <c r="S16" s="350"/>
      <c r="T16" s="350"/>
      <c r="U16" s="350"/>
      <c r="V16" s="350"/>
      <c r="W16" s="351"/>
    </row>
    <row r="17" spans="1:29" ht="22" customHeight="1">
      <c r="A17" s="321" t="s">
        <v>72</v>
      </c>
      <c r="B17" s="97">
        <v>401583</v>
      </c>
      <c r="C17" s="49" t="s">
        <v>242</v>
      </c>
      <c r="D17" s="53">
        <v>44900</v>
      </c>
      <c r="E17" s="51" t="s">
        <v>13</v>
      </c>
      <c r="F17" s="52">
        <v>173</v>
      </c>
      <c r="G17" s="322">
        <f>IF(OR(E17="",F17=""),"",PID_KVLohnLookup($A$1,E17,F17,LOHNTABELLE!$H$4))</f>
        <v>2328</v>
      </c>
      <c r="H17" s="323">
        <f>IF(AND(ISNUMBER(D17),ISNUMBER(F17)),ROUNDDOWN(MIN(IF(OR(ISBLANK(I17),I17=""),EOMONTH(DATE(EINSTELLUNG!$C$35,$A$1,1),0),I17)-MAX(D17,DATE(EINSTELLUNG!$C$35,$A$1,1))+1)/DAY(EOMONTH(DATE(EINSTELLUNG!$C$35,$A$1,1),0))*F17,2),"")</f>
        <v>173</v>
      </c>
      <c r="I17" s="53"/>
      <c r="J17" s="54"/>
      <c r="K17" s="322">
        <f t="shared" si="0"/>
        <v>0</v>
      </c>
      <c r="L17" s="32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5"/>
      <c r="N17" s="71"/>
      <c r="O17" s="352" t="s">
        <v>73</v>
      </c>
      <c r="P17" s="334"/>
      <c r="Q17" s="353">
        <f>SUM(L3:L82)</f>
        <v>89918.890000000014</v>
      </c>
      <c r="R17" s="354"/>
      <c r="S17" s="319"/>
      <c r="T17" s="319"/>
      <c r="U17" s="319"/>
      <c r="V17" s="319"/>
      <c r="W17" s="351"/>
    </row>
    <row r="18" spans="1:29" ht="22" customHeight="1">
      <c r="A18" s="321" t="s">
        <v>74</v>
      </c>
      <c r="B18" s="96">
        <v>401589</v>
      </c>
      <c r="C18" s="41" t="s">
        <v>243</v>
      </c>
      <c r="D18" s="42">
        <v>44926</v>
      </c>
      <c r="E18" s="43" t="s">
        <v>10</v>
      </c>
      <c r="F18" s="44">
        <v>173</v>
      </c>
      <c r="G18" s="322">
        <f>IF(OR(E18="",F18=""),"",PID_KVLohnLookup($A$1,E18,F18,LOHNTABELLE!$H$4))</f>
        <v>2300</v>
      </c>
      <c r="H18" s="323">
        <f>IF(AND(ISNUMBER(D18),ISNUMBER(F18)),ROUNDDOWN(MIN(IF(OR(ISBLANK(I18),I18=""),EOMONTH(DATE(EINSTELLUNG!$C$35,$A$1,1),0),I18)-MAX(D18,DATE(EINSTELLUNG!$C$35,$A$1,1))+1)/DAY(EOMONTH(DATE(EINSTELLUNG!$C$35,$A$1,1),0))*F18,2),"")</f>
        <v>173</v>
      </c>
      <c r="I18" s="45"/>
      <c r="J18" s="46"/>
      <c r="K18" s="322">
        <f t="shared" si="0"/>
        <v>0</v>
      </c>
      <c r="L18" s="32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7"/>
      <c r="N18" s="70"/>
      <c r="O18" s="355" t="s">
        <v>376</v>
      </c>
      <c r="P18" s="356"/>
      <c r="Q18" s="357">
        <v>20</v>
      </c>
      <c r="R18" s="358"/>
      <c r="S18" s="319"/>
      <c r="T18" s="319"/>
      <c r="U18" s="319"/>
      <c r="V18" s="319"/>
    </row>
    <row r="19" spans="1:29" ht="22" customHeight="1">
      <c r="A19" s="321" t="s">
        <v>75</v>
      </c>
      <c r="B19" s="97">
        <v>401602</v>
      </c>
      <c r="C19" s="49" t="s">
        <v>244</v>
      </c>
      <c r="D19" s="50">
        <v>45975</v>
      </c>
      <c r="E19" s="51" t="s">
        <v>2</v>
      </c>
      <c r="F19" s="52">
        <v>169</v>
      </c>
      <c r="G19" s="322">
        <f>IF(OR(E19="",F19=""),"",PID_KVLohnLookup($A$1,E19,F19,LOHNTABELLE!$H$4))</f>
        <v>2000</v>
      </c>
      <c r="H19" s="323">
        <f>IF(AND(ISNUMBER(D19),ISNUMBER(F19)),ROUNDDOWN(MIN(IF(OR(ISBLANK(I19),I19=""),EOMONTH(DATE(EINSTELLUNG!$C$35,$A$1,1),0),I19)-MAX(D19,DATE(EINSTELLUNG!$C$35,$A$1,1))+1)/DAY(EOMONTH(DATE(EINSTELLUNG!$C$35,$A$1,1),0))*F19,2),"")</f>
        <v>169</v>
      </c>
      <c r="I19" s="53"/>
      <c r="J19" s="54"/>
      <c r="K19" s="322">
        <f t="shared" si="0"/>
        <v>0</v>
      </c>
      <c r="L19" s="32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5"/>
      <c r="N19" s="71"/>
      <c r="O19" s="355" t="s">
        <v>294</v>
      </c>
      <c r="P19" s="356"/>
      <c r="Q19" s="357">
        <v>333</v>
      </c>
      <c r="R19" s="358"/>
      <c r="S19" s="319"/>
      <c r="T19" s="319"/>
      <c r="U19" s="319"/>
      <c r="V19" s="319"/>
    </row>
    <row r="20" spans="1:29" ht="22" customHeight="1">
      <c r="A20" s="321" t="s">
        <v>76</v>
      </c>
      <c r="B20" s="96">
        <v>401605</v>
      </c>
      <c r="C20" s="41" t="s">
        <v>245</v>
      </c>
      <c r="D20" s="42">
        <v>44986</v>
      </c>
      <c r="E20" s="43" t="s">
        <v>2</v>
      </c>
      <c r="F20" s="44">
        <v>173</v>
      </c>
      <c r="G20" s="322">
        <f>IF(OR(E20="",F20=""),"",PID_KVLohnLookup($A$1,E20,F20,LOHNTABELLE!$H$4))</f>
        <v>2021</v>
      </c>
      <c r="H20" s="323">
        <f>IF(AND(ISNUMBER(D20),ISNUMBER(F20)),ROUNDDOWN(MIN(IF(OR(ISBLANK(I20),I20=""),EOMONTH(DATE(EINSTELLUNG!$C$35,$A$1,1),0),I20)-MAX(D20,DATE(EINSTELLUNG!$C$35,$A$1,1))+1)/DAY(EOMONTH(DATE(EINSTELLUNG!$C$35,$A$1,1),0))*F20,2),"")</f>
        <v>173</v>
      </c>
      <c r="I20" s="45"/>
      <c r="J20" s="46"/>
      <c r="K20" s="322">
        <f t="shared" si="0"/>
        <v>0</v>
      </c>
      <c r="L20" s="32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7"/>
      <c r="N20" s="70"/>
      <c r="O20" s="355" t="s">
        <v>294</v>
      </c>
      <c r="P20" s="356"/>
      <c r="Q20" s="357">
        <v>35</v>
      </c>
      <c r="R20" s="358"/>
      <c r="S20" s="319"/>
      <c r="T20" s="319"/>
      <c r="U20" s="319"/>
      <c r="V20" s="319"/>
    </row>
    <row r="21" spans="1:29" ht="22" customHeight="1">
      <c r="A21" s="321" t="s">
        <v>77</v>
      </c>
      <c r="B21" s="97">
        <v>401605</v>
      </c>
      <c r="C21" s="49" t="s">
        <v>393</v>
      </c>
      <c r="D21" s="50">
        <v>36850</v>
      </c>
      <c r="E21" s="51" t="s">
        <v>10</v>
      </c>
      <c r="F21" s="52">
        <v>151.38</v>
      </c>
      <c r="G21" s="322">
        <f>IF(OR(E21="",F21=""),"",PID_KVLohnLookup($A$1,E21,F21,LOHNTABELLE!$H$4))</f>
        <v>2012.5</v>
      </c>
      <c r="H21" s="323">
        <f>IF(AND(ISNUMBER(D21),ISNUMBER(F21)),ROUNDDOWN(MIN(IF(OR(ISBLANK(I21),I21=""),EOMONTH(DATE(EINSTELLUNG!$C$35,$A$1,1),0),I21)-MAX(D21,DATE(EINSTELLUNG!$C$35,$A$1,1))+1)/DAY(EOMONTH(DATE(EINSTELLUNG!$C$35,$A$1,1),0))*F21,2),"")</f>
        <v>151.38</v>
      </c>
      <c r="I21" s="53"/>
      <c r="J21" s="54"/>
      <c r="K21" s="322">
        <f t="shared" si="0"/>
        <v>0</v>
      </c>
      <c r="L21" s="32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5"/>
      <c r="N21" s="71"/>
      <c r="O21" s="355" t="s">
        <v>294</v>
      </c>
      <c r="P21" s="356"/>
      <c r="Q21" s="357">
        <v>100</v>
      </c>
      <c r="R21" s="358"/>
      <c r="S21" s="319"/>
      <c r="T21" s="319"/>
      <c r="U21" s="319"/>
      <c r="V21" s="319"/>
    </row>
    <row r="22" spans="1:29" ht="22" customHeight="1">
      <c r="A22" s="321" t="s">
        <v>78</v>
      </c>
      <c r="B22" s="96">
        <v>401626</v>
      </c>
      <c r="C22" s="41" t="s">
        <v>246</v>
      </c>
      <c r="D22" s="42">
        <v>45063</v>
      </c>
      <c r="E22" s="43" t="s">
        <v>2</v>
      </c>
      <c r="F22" s="44">
        <v>173</v>
      </c>
      <c r="G22" s="322">
        <f>IF(OR(E22="",F22=""),"",PID_KVLohnLookup($A$1,E22,F22,LOHNTABELLE!$H$4))</f>
        <v>2021</v>
      </c>
      <c r="H22" s="323">
        <f>IF(AND(ISNUMBER(D22),ISNUMBER(F22)),ROUNDDOWN(MIN(IF(OR(ISBLANK(I22),I22=""),EOMONTH(DATE(EINSTELLUNG!$C$35,$A$1,1),0),I22)-MAX(D22,DATE(EINSTELLUNG!$C$35,$A$1,1))+1)/DAY(EOMONTH(DATE(EINSTELLUNG!$C$35,$A$1,1),0))*F22,2),"")</f>
        <v>173</v>
      </c>
      <c r="I22" s="45"/>
      <c r="J22" s="46"/>
      <c r="K22" s="322">
        <f t="shared" si="0"/>
        <v>0</v>
      </c>
      <c r="L22" s="32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5" t="s">
        <v>294</v>
      </c>
      <c r="P22" s="356"/>
      <c r="Q22" s="357"/>
      <c r="R22" s="358"/>
      <c r="S22" s="319"/>
      <c r="T22" s="319"/>
      <c r="U22" s="319"/>
      <c r="V22" s="319"/>
    </row>
    <row r="23" spans="1:29" ht="22" customHeight="1">
      <c r="A23" s="321" t="s">
        <v>79</v>
      </c>
      <c r="B23" s="97">
        <v>401633</v>
      </c>
      <c r="C23" s="49" t="s">
        <v>247</v>
      </c>
      <c r="D23" s="50">
        <v>45089</v>
      </c>
      <c r="E23" s="51" t="s">
        <v>10</v>
      </c>
      <c r="F23" s="52">
        <v>173</v>
      </c>
      <c r="G23" s="322">
        <f>IF(OR(E23="",F23=""),"",PID_KVLohnLookup($A$1,E23,F23,LOHNTABELLE!$H$4))</f>
        <v>2300</v>
      </c>
      <c r="H23" s="323">
        <f>IF(AND(ISNUMBER(D23),ISNUMBER(F23)),ROUNDDOWN(MIN(IF(OR(ISBLANK(I23),I23=""),EOMONTH(DATE(EINSTELLUNG!$C$35,$A$1,1),0),I23)-MAX(D23,DATE(EINSTELLUNG!$C$35,$A$1,1))+1)/DAY(EOMONTH(DATE(EINSTELLUNG!$C$35,$A$1,1),0))*F23,2),"")</f>
        <v>173</v>
      </c>
      <c r="I23" s="53"/>
      <c r="J23" s="54"/>
      <c r="K23" s="322">
        <f t="shared" si="0"/>
        <v>0</v>
      </c>
      <c r="L23" s="32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1"/>
      <c r="O23" s="355" t="s">
        <v>294</v>
      </c>
      <c r="P23" s="356"/>
      <c r="Q23" s="357">
        <v>5000</v>
      </c>
      <c r="R23" s="358"/>
      <c r="S23" s="319"/>
      <c r="T23" s="319"/>
      <c r="U23" s="319"/>
      <c r="V23" s="319"/>
      <c r="W23" s="351"/>
    </row>
    <row r="24" spans="1:29" ht="22" customHeight="1">
      <c r="A24" s="321" t="s">
        <v>80</v>
      </c>
      <c r="B24" s="96">
        <v>401647</v>
      </c>
      <c r="C24" s="41" t="s">
        <v>248</v>
      </c>
      <c r="D24" s="42">
        <v>45182</v>
      </c>
      <c r="E24" s="43" t="s">
        <v>2</v>
      </c>
      <c r="F24" s="44">
        <v>173</v>
      </c>
      <c r="G24" s="322">
        <f>IF(OR(E24="",F24=""),"",PID_KVLohnLookup($A$1,E24,F24,LOHNTABELLE!$H$4))</f>
        <v>2021</v>
      </c>
      <c r="H24" s="323">
        <f>IF(AND(ISNUMBER(D24),ISNUMBER(F24)),ROUNDDOWN(MIN(IF(OR(ISBLANK(I24),I24=""),EOMONTH(DATE(EINSTELLUNG!$C$35,$A$1,1),0),I24)-MAX(D24,DATE(EINSTELLUNG!$C$35,$A$1,1))+1)/DAY(EOMONTH(DATE(EINSTELLUNG!$C$35,$A$1,1),0))*F24,2),"")</f>
        <v>173</v>
      </c>
      <c r="I24" s="45"/>
      <c r="J24" s="46"/>
      <c r="K24" s="322">
        <f t="shared" si="0"/>
        <v>0</v>
      </c>
      <c r="L24" s="32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355"/>
      <c r="P24" s="356"/>
      <c r="Q24" s="357"/>
      <c r="R24" s="358"/>
      <c r="S24" s="319"/>
      <c r="T24" s="319"/>
      <c r="U24" s="319"/>
      <c r="V24" s="319"/>
      <c r="W24" s="351"/>
    </row>
    <row r="25" spans="1:29" ht="22" customHeight="1">
      <c r="A25" s="321" t="s">
        <v>81</v>
      </c>
      <c r="B25" s="97">
        <v>401661</v>
      </c>
      <c r="C25" s="49" t="s">
        <v>249</v>
      </c>
      <c r="D25" s="50">
        <v>45261</v>
      </c>
      <c r="E25" s="51" t="s">
        <v>2</v>
      </c>
      <c r="F25" s="52">
        <v>173</v>
      </c>
      <c r="G25" s="322">
        <f>IF(OR(E25="",F25=""),"",PID_KVLohnLookup($A$1,E25,F25,LOHNTABELLE!$H$4))</f>
        <v>2021</v>
      </c>
      <c r="H25" s="323">
        <f>IF(AND(ISNUMBER(D25),ISNUMBER(F25)),ROUNDDOWN(MIN(IF(OR(ISBLANK(I25),I25=""),EOMONTH(DATE(EINSTELLUNG!$C$35,$A$1,1),0),I25)-MAX(D25,DATE(EINSTELLUNG!$C$35,$A$1,1))+1)/DAY(EOMONTH(DATE(EINSTELLUNG!$C$35,$A$1,1),0))*F25,2),"")</f>
        <v>173</v>
      </c>
      <c r="I25" s="53"/>
      <c r="J25" s="54"/>
      <c r="K25" s="322">
        <f t="shared" si="0"/>
        <v>0</v>
      </c>
      <c r="L25" s="32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5"/>
      <c r="P25" s="356"/>
      <c r="Q25" s="357"/>
      <c r="R25" s="358"/>
      <c r="S25" s="319"/>
      <c r="T25" s="319"/>
      <c r="U25" s="319"/>
      <c r="V25" s="319"/>
    </row>
    <row r="26" spans="1:29" ht="22" customHeight="1">
      <c r="A26" s="321" t="s">
        <v>82</v>
      </c>
      <c r="B26" s="96">
        <v>401670</v>
      </c>
      <c r="C26" s="41" t="s">
        <v>250</v>
      </c>
      <c r="D26" s="42">
        <v>45358</v>
      </c>
      <c r="E26" s="43" t="s">
        <v>2</v>
      </c>
      <c r="F26" s="44">
        <v>173</v>
      </c>
      <c r="G26" s="322">
        <f>IF(OR(E26="",F26=""),"",PID_KVLohnLookup($A$1,E26,F26,LOHNTABELLE!$H$4))</f>
        <v>2021</v>
      </c>
      <c r="H26" s="323">
        <f>IF(AND(ISNUMBER(D26),ISNUMBER(F26)),ROUNDDOWN(MIN(IF(OR(ISBLANK(I26),I26=""),EOMONTH(DATE(EINSTELLUNG!$C$35,$A$1,1),0),I26)-MAX(D26,DATE(EINSTELLUNG!$C$35,$A$1,1))+1)/DAY(EOMONTH(DATE(EINSTELLUNG!$C$35,$A$1,1),0))*F26,2),"")</f>
        <v>173</v>
      </c>
      <c r="I26" s="45"/>
      <c r="J26" s="46"/>
      <c r="K26" s="322">
        <f t="shared" si="0"/>
        <v>0</v>
      </c>
      <c r="L26" s="32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5"/>
      <c r="P26" s="356"/>
      <c r="Q26" s="357"/>
      <c r="R26" s="358"/>
      <c r="S26" s="319"/>
      <c r="T26" s="319"/>
      <c r="U26" s="319"/>
      <c r="V26" s="319"/>
    </row>
    <row r="27" spans="1:29" ht="22" customHeight="1">
      <c r="A27" s="321" t="s">
        <v>83</v>
      </c>
      <c r="B27" s="97">
        <v>401678</v>
      </c>
      <c r="C27" s="49" t="s">
        <v>251</v>
      </c>
      <c r="D27" s="50">
        <v>45414</v>
      </c>
      <c r="E27" s="51" t="s">
        <v>2</v>
      </c>
      <c r="F27" s="52">
        <v>173</v>
      </c>
      <c r="G27" s="322">
        <f>IF(OR(E27="",F27=""),"",PID_KVLohnLookup($A$1,E27,F27,LOHNTABELLE!$H$4))</f>
        <v>2021</v>
      </c>
      <c r="H27" s="323">
        <f>IF(AND(ISNUMBER(D27),ISNUMBER(F27)),ROUNDDOWN(MIN(IF(OR(ISBLANK(I27),I27=""),EOMONTH(DATE(EINSTELLUNG!$C$35,$A$1,1),0),I27)-MAX(D27,DATE(EINSTELLUNG!$C$35,$A$1,1))+1)/DAY(EOMONTH(DATE(EINSTELLUNG!$C$35,$A$1,1),0))*F27,2),"")</f>
        <v>173</v>
      </c>
      <c r="I27" s="53"/>
      <c r="J27" s="54"/>
      <c r="K27" s="322">
        <f t="shared" si="0"/>
        <v>0</v>
      </c>
      <c r="L27" s="32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5"/>
      <c r="P27" s="356"/>
      <c r="Q27" s="357"/>
      <c r="R27" s="358"/>
      <c r="S27" s="359"/>
      <c r="T27" s="359"/>
      <c r="U27" s="359"/>
      <c r="V27" s="359"/>
    </row>
    <row r="28" spans="1:29" ht="22" customHeight="1">
      <c r="A28" s="321" t="s">
        <v>85</v>
      </c>
      <c r="B28" s="96">
        <v>401690</v>
      </c>
      <c r="C28" s="41" t="s">
        <v>253</v>
      </c>
      <c r="D28" s="42">
        <v>45536</v>
      </c>
      <c r="E28" s="43" t="s">
        <v>2</v>
      </c>
      <c r="F28" s="44">
        <v>151.38</v>
      </c>
      <c r="G28" s="322">
        <f>IF(OR(E28="",F28=""),"",PID_KVLohnLookup($A$1,E28,F28,LOHNTABELLE!$H$4))</f>
        <v>1768.38</v>
      </c>
      <c r="H28" s="323">
        <f>IF(AND(ISNUMBER(D28),ISNUMBER(F28)),ROUNDDOWN(MIN(IF(OR(ISBLANK(I28),I28=""),EOMONTH(DATE(EINSTELLUNG!$C$35,$A$1,1),0),I28)-MAX(D28,DATE(EINSTELLUNG!$C$35,$A$1,1))+1)/DAY(EOMONTH(DATE(EINSTELLUNG!$C$35,$A$1,1),0))*F28,2),"")</f>
        <v>151.38</v>
      </c>
      <c r="I28" s="45"/>
      <c r="J28" s="46"/>
      <c r="K28" s="322">
        <f t="shared" si="0"/>
        <v>0</v>
      </c>
      <c r="L28" s="32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7"/>
      <c r="N28" s="70"/>
      <c r="O28" s="355"/>
      <c r="P28" s="356"/>
      <c r="Q28" s="357"/>
      <c r="R28" s="358"/>
      <c r="S28" s="319"/>
      <c r="T28" s="319"/>
      <c r="U28" s="319"/>
      <c r="V28" s="319"/>
    </row>
    <row r="29" spans="1:29" ht="22" customHeight="1" thickBot="1">
      <c r="A29" s="321" t="s">
        <v>86</v>
      </c>
      <c r="B29" s="97">
        <v>401715</v>
      </c>
      <c r="C29" s="49" t="s">
        <v>256</v>
      </c>
      <c r="D29" s="50">
        <v>45755</v>
      </c>
      <c r="E29" s="51" t="s">
        <v>2</v>
      </c>
      <c r="F29" s="52">
        <v>173</v>
      </c>
      <c r="G29" s="322">
        <f>IF(OR(E29="",F29=""),"",PID_KVLohnLookup($A$1,E29,F29,LOHNTABELLE!$H$4))</f>
        <v>2021</v>
      </c>
      <c r="H29" s="323">
        <f>IF(AND(ISNUMBER(D29),ISNUMBER(F29)),ROUNDDOWN(MIN(IF(OR(ISBLANK(I29),I29=""),EOMONTH(DATE(EINSTELLUNG!$C$35,$A$1,1),0),I29)-MAX(D29,DATE(EINSTELLUNG!$C$35,$A$1,1))+1)/DAY(EOMONTH(DATE(EINSTELLUNG!$C$35,$A$1,1),0))*F29,2),"")</f>
        <v>173</v>
      </c>
      <c r="I29" s="53"/>
      <c r="J29" s="54"/>
      <c r="K29" s="322">
        <f t="shared" si="0"/>
        <v>0</v>
      </c>
      <c r="L29" s="32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0" t="s">
        <v>87</v>
      </c>
      <c r="P29" s="343"/>
      <c r="Q29" s="361">
        <f>EINSTELLUNG!O17</f>
        <v>1250</v>
      </c>
      <c r="R29" s="362"/>
      <c r="S29" s="319"/>
      <c r="T29" s="319"/>
      <c r="U29" s="319"/>
      <c r="V29" s="319"/>
    </row>
    <row r="30" spans="1:29" ht="22" customHeight="1" thickBot="1">
      <c r="A30" s="321" t="s">
        <v>88</v>
      </c>
      <c r="B30" s="96">
        <v>401716</v>
      </c>
      <c r="C30" s="41" t="s">
        <v>257</v>
      </c>
      <c r="D30" s="42">
        <v>45800</v>
      </c>
      <c r="E30" s="43" t="s">
        <v>2</v>
      </c>
      <c r="F30" s="44">
        <v>173</v>
      </c>
      <c r="G30" s="322">
        <f>IF(OR(E30="",F30=""),"",PID_KVLohnLookup($A$1,E30,F30,LOHNTABELLE!$H$4))</f>
        <v>2021</v>
      </c>
      <c r="H30" s="323">
        <f>IF(AND(ISNUMBER(D30),ISNUMBER(F30)),ROUNDDOWN(MIN(IF(OR(ISBLANK(I30),I30=""),EOMONTH(DATE(EINSTELLUNG!$C$35,$A$1,1),0),I30)-MAX(D30,DATE(EINSTELLUNG!$C$35,$A$1,1))+1)/DAY(EOMONTH(DATE(EINSTELLUNG!$C$35,$A$1,1),0))*F30,2),"")</f>
        <v>173</v>
      </c>
      <c r="I30" s="45"/>
      <c r="J30" s="46"/>
      <c r="K30" s="322">
        <f t="shared" si="0"/>
        <v>0</v>
      </c>
      <c r="L30" s="32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19"/>
      <c r="P30" s="319"/>
      <c r="Q30" s="319"/>
      <c r="R30" s="319"/>
      <c r="S30" s="319"/>
      <c r="T30" s="319"/>
      <c r="U30" s="319"/>
      <c r="V30" s="319"/>
      <c r="W30" s="363"/>
      <c r="X30" s="363"/>
      <c r="Y30" s="363"/>
      <c r="Z30" s="363"/>
      <c r="AA30" s="363"/>
      <c r="AB30" s="363"/>
      <c r="AC30" s="363"/>
    </row>
    <row r="31" spans="1:29" ht="22" customHeight="1" thickBot="1">
      <c r="A31" s="321" t="s">
        <v>89</v>
      </c>
      <c r="B31" s="97">
        <v>401717</v>
      </c>
      <c r="C31" s="49" t="s">
        <v>258</v>
      </c>
      <c r="D31" s="50">
        <v>45814</v>
      </c>
      <c r="E31" s="51" t="s">
        <v>2</v>
      </c>
      <c r="F31" s="52">
        <v>86.5</v>
      </c>
      <c r="G31" s="322">
        <f>IF(OR(E31="",F31=""),"",PID_KVLohnLookup($A$1,E31,F31,LOHNTABELLE!$H$4))</f>
        <v>1010.5</v>
      </c>
      <c r="H31" s="323">
        <f>IF(AND(ISNUMBER(D31),ISNUMBER(F31)),ROUNDDOWN(MIN(IF(OR(ISBLANK(I31),I31=""),EOMONTH(DATE(EINSTELLUNG!$C$35,$A$1,1),0),I31)-MAX(D31,DATE(EINSTELLUNG!$C$35,$A$1,1))+1)/DAY(EOMONTH(DATE(EINSTELLUNG!$C$35,$A$1,1),0))*F31,2),"")</f>
        <v>86.5</v>
      </c>
      <c r="I31" s="53"/>
      <c r="J31" s="54"/>
      <c r="K31" s="322">
        <f t="shared" si="0"/>
        <v>0</v>
      </c>
      <c r="L31" s="32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5"/>
      <c r="N31" s="71"/>
      <c r="O31" s="364" t="s">
        <v>421</v>
      </c>
      <c r="P31" s="365"/>
      <c r="Q31" s="366">
        <v>0</v>
      </c>
      <c r="R31" s="367"/>
      <c r="S31" s="319"/>
      <c r="T31" s="319"/>
      <c r="U31" s="319"/>
      <c r="V31" s="319"/>
    </row>
    <row r="32" spans="1:29" ht="22" customHeight="1" thickBot="1">
      <c r="A32" s="321" t="s">
        <v>91</v>
      </c>
      <c r="B32" s="96">
        <v>401722</v>
      </c>
      <c r="C32" s="41" t="s">
        <v>259</v>
      </c>
      <c r="D32" s="42">
        <v>45848</v>
      </c>
      <c r="E32" s="43" t="s">
        <v>2</v>
      </c>
      <c r="F32" s="44">
        <v>86.5</v>
      </c>
      <c r="G32" s="322">
        <f>IF(OR(E32="",F32=""),"",PID_KVLohnLookup($A$1,E32,F32,LOHNTABELLE!$H$4))</f>
        <v>1010.5</v>
      </c>
      <c r="H32" s="323">
        <f>IF(AND(ISNUMBER(D32),ISNUMBER(F32)),ROUNDDOWN(MIN(IF(OR(ISBLANK(I32),I32=""),EOMONTH(DATE(EINSTELLUNG!$C$35,$A$1,1),0),I32)-MAX(D32,DATE(EINSTELLUNG!$C$35,$A$1,1))+1)/DAY(EOMONTH(DATE(EINSTELLUNG!$C$35,$A$1,1),0))*F32,2),"")</f>
        <v>86.5</v>
      </c>
      <c r="I32" s="45"/>
      <c r="J32" s="46"/>
      <c r="K32" s="322">
        <f t="shared" si="0"/>
        <v>0</v>
      </c>
      <c r="L32" s="32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19"/>
      <c r="P32" s="319"/>
      <c r="Q32" s="319"/>
      <c r="R32" s="319"/>
      <c r="S32" s="319"/>
      <c r="T32" s="319"/>
      <c r="U32" s="319"/>
      <c r="V32" s="319"/>
    </row>
    <row r="33" spans="1:22" ht="22" customHeight="1">
      <c r="A33" s="321" t="s">
        <v>92</v>
      </c>
      <c r="B33" s="97">
        <v>401723</v>
      </c>
      <c r="C33" s="49" t="s">
        <v>260</v>
      </c>
      <c r="D33" s="50">
        <v>45852</v>
      </c>
      <c r="E33" s="51" t="s">
        <v>2</v>
      </c>
      <c r="F33" s="52">
        <v>86.5</v>
      </c>
      <c r="G33" s="322">
        <f>IF(OR(E33="",F33=""),"",PID_KVLohnLookup($A$1,E33,F33,LOHNTABELLE!$H$4))</f>
        <v>1010.5</v>
      </c>
      <c r="H33" s="323">
        <f>IF(AND(ISNUMBER(D33),ISNUMBER(F33)),ROUNDDOWN(MIN(IF(OR(ISBLANK(I33),I33=""),EOMONTH(DATE(EINSTELLUNG!$C$35,$A$1,1),0),I33)-MAX(D33,DATE(EINSTELLUNG!$C$35,$A$1,1))+1)/DAY(EOMONTH(DATE(EINSTELLUNG!$C$35,$A$1,1),0))*F33,2),"")</f>
        <v>86.5</v>
      </c>
      <c r="I33" s="53"/>
      <c r="J33" s="54"/>
      <c r="K33" s="322">
        <f t="shared" si="0"/>
        <v>0</v>
      </c>
      <c r="L33" s="32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68"/>
      <c r="P33" s="369"/>
      <c r="Q33" s="304" t="str">
        <f>EINSTELLUNG!B3</f>
        <v>Budget</v>
      </c>
      <c r="R33" s="304"/>
      <c r="S33" s="304" t="str">
        <f>EINSTELLUNG!B19</f>
        <v>Projection/Aktuell Zahlen</v>
      </c>
      <c r="T33" s="304"/>
      <c r="U33" s="304" t="s">
        <v>95</v>
      </c>
      <c r="V33" s="305"/>
    </row>
    <row r="34" spans="1:22" ht="22" customHeight="1">
      <c r="A34" s="321" t="s">
        <v>96</v>
      </c>
      <c r="B34" s="96">
        <v>401726</v>
      </c>
      <c r="C34" s="41" t="s">
        <v>261</v>
      </c>
      <c r="D34" s="42">
        <v>45870</v>
      </c>
      <c r="E34" s="43" t="s">
        <v>2</v>
      </c>
      <c r="F34" s="44">
        <v>86.5</v>
      </c>
      <c r="G34" s="322">
        <f>IF(OR(E34="",F34=""),"",PID_KVLohnLookup($A$1,E34,F34,LOHNTABELLE!$H$4))</f>
        <v>1010.5</v>
      </c>
      <c r="H34" s="323">
        <f>IF(AND(ISNUMBER(D34),ISNUMBER(F34)),ROUNDDOWN(MIN(IF(OR(ISBLANK(I34),I34=""),EOMONTH(DATE(EINSTELLUNG!$C$35,$A$1,1),0),I34)-MAX(D34,DATE(EINSTELLUNG!$C$35,$A$1,1))+1)/DAY(EOMONTH(DATE(EINSTELLUNG!$C$35,$A$1,1),0))*F34,2),"")</f>
        <v>86.5</v>
      </c>
      <c r="I34" s="45"/>
      <c r="J34" s="46"/>
      <c r="K34" s="322">
        <f t="shared" si="0"/>
        <v>0</v>
      </c>
      <c r="L34" s="32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0"/>
      <c r="P34" s="371"/>
      <c r="Q34" s="372"/>
      <c r="R34" s="372"/>
      <c r="S34" s="372"/>
      <c r="T34" s="372"/>
      <c r="U34" s="372"/>
      <c r="V34" s="373"/>
    </row>
    <row r="35" spans="1:22" ht="22" customHeight="1">
      <c r="A35" s="321" t="s">
        <v>97</v>
      </c>
      <c r="B35" s="97">
        <v>401730</v>
      </c>
      <c r="C35" s="49" t="s">
        <v>263</v>
      </c>
      <c r="D35" s="50">
        <v>45895</v>
      </c>
      <c r="E35" s="51" t="s">
        <v>2</v>
      </c>
      <c r="F35" s="52">
        <v>86.5</v>
      </c>
      <c r="G35" s="322">
        <f>IF(OR(E35="",F35=""),"",PID_KVLohnLookup($A$1,E35,F35,LOHNTABELLE!$H$4))</f>
        <v>1010.5</v>
      </c>
      <c r="H35" s="323">
        <f>IF(AND(ISNUMBER(D35),ISNUMBER(F35)),ROUNDDOWN(MIN(IF(OR(ISBLANK(I35),I35=""),EOMONTH(DATE(EINSTELLUNG!$C$35,$A$1,1),0),I35)-MAX(D35,DATE(EINSTELLUNG!$C$35,$A$1,1))+1)/DAY(EOMONTH(DATE(EINSTELLUNG!$C$35,$A$1,1),0))*F35,2),"")</f>
        <v>86.5</v>
      </c>
      <c r="I35" s="53"/>
      <c r="J35" s="54"/>
      <c r="K35" s="322">
        <f t="shared" ref="K35:K66" si="1">IF(OR(B35="",C35=""),"",IFERROR(IF(OR(MONTH(D35)=1,MONTH(D35)=3,MONTH(D35)=5,MONTH(D35)=7,MONTH(D35)=8,MONTH(D35)=10,MONTH(D35)=12),(G35/31)*J35,IF(OR(MONTH(D35)=4,MONTH(D35)=6,MONTH(D35)=9,MONTH(D35)=11),(G35/30)*J35,(G35/DAY(EOMONTH(D35,0)))*J35)),0))</f>
        <v>0</v>
      </c>
      <c r="L35" s="32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4" t="s">
        <v>98</v>
      </c>
      <c r="P35" s="338"/>
      <c r="Q35" s="375">
        <f>EINSTELLUNG!C17</f>
        <v>400000</v>
      </c>
      <c r="R35" s="375"/>
      <c r="S35" s="375">
        <f>EINSTELLUNG!C33</f>
        <v>390000</v>
      </c>
      <c r="T35" s="375"/>
      <c r="U35" s="375">
        <f>S35-Q35</f>
        <v>-10000</v>
      </c>
      <c r="V35" s="376"/>
    </row>
    <row r="36" spans="1:22" ht="22" customHeight="1">
      <c r="A36" s="321" t="s">
        <v>99</v>
      </c>
      <c r="B36" s="96">
        <v>401731</v>
      </c>
      <c r="C36" s="41" t="s">
        <v>262</v>
      </c>
      <c r="D36" s="42">
        <v>45899</v>
      </c>
      <c r="E36" s="43" t="s">
        <v>2</v>
      </c>
      <c r="F36" s="44">
        <v>86.5</v>
      </c>
      <c r="G36" s="322">
        <f>IF(OR(E36="",F36=""),"",PID_KVLohnLookup($A$1,E36,F36,LOHNTABELLE!$H$4))</f>
        <v>1010.5</v>
      </c>
      <c r="H36" s="323">
        <f>IF(AND(ISNUMBER(D36),ISNUMBER(F36)),ROUNDDOWN(MIN(IF(OR(ISBLANK(I36),I36=""),EOMONTH(DATE(EINSTELLUNG!$C$35,$A$1,1),0),I36)-MAX(D36,DATE(EINSTELLUNG!$C$35,$A$1,1))+1)/DAY(EOMONTH(DATE(EINSTELLUNG!$C$35,$A$1,1),0))*F36,2),"")</f>
        <v>86.5</v>
      </c>
      <c r="I36" s="45"/>
      <c r="J36" s="46"/>
      <c r="K36" s="322">
        <f t="shared" si="1"/>
        <v>0</v>
      </c>
      <c r="L36" s="32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4" t="s">
        <v>100</v>
      </c>
      <c r="P36" s="338"/>
      <c r="Q36" s="375">
        <f>EINSTELLUNG!D17</f>
        <v>100000</v>
      </c>
      <c r="R36" s="375"/>
      <c r="S36" s="375">
        <f ca="1">SumMergedCells(Q17:R29)</f>
        <v>96656.89</v>
      </c>
      <c r="T36" s="375"/>
      <c r="U36" s="375">
        <f t="shared" ref="U36:U41" ca="1" si="2">S36-Q36</f>
        <v>-3343.1100000000006</v>
      </c>
      <c r="V36" s="376"/>
    </row>
    <row r="37" spans="1:22" ht="22" customHeight="1">
      <c r="A37" s="321" t="s">
        <v>101</v>
      </c>
      <c r="B37" s="97">
        <v>401734</v>
      </c>
      <c r="C37" s="49" t="s">
        <v>264</v>
      </c>
      <c r="D37" s="50">
        <v>45904</v>
      </c>
      <c r="E37" s="51" t="s">
        <v>2</v>
      </c>
      <c r="F37" s="52">
        <v>86.5</v>
      </c>
      <c r="G37" s="322">
        <f>IF(OR(E37="",F37=""),"",PID_KVLohnLookup($A$1,E37,F37,LOHNTABELLE!$H$4))</f>
        <v>1010.5</v>
      </c>
      <c r="H37" s="323">
        <f>IF(AND(ISNUMBER(D37),ISNUMBER(F37)),ROUNDDOWN(MIN(IF(OR(ISBLANK(I37),I37=""),EOMONTH(DATE(EINSTELLUNG!$C$35,$A$1,1),0),I37)-MAX(D37,DATE(EINSTELLUNG!$C$35,$A$1,1))+1)/DAY(EOMONTH(DATE(EINSTELLUNG!$C$35,$A$1,1),0))*F37,2),"")</f>
        <v>86.5</v>
      </c>
      <c r="I37" s="53"/>
      <c r="J37" s="54"/>
      <c r="K37" s="322">
        <f t="shared" si="1"/>
        <v>0</v>
      </c>
      <c r="L37" s="32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4" t="s">
        <v>102</v>
      </c>
      <c r="P37" s="338"/>
      <c r="Q37" s="377">
        <f>IF(ISERROR(Q36/Q35), 0, Q36/Q35)</f>
        <v>0.25</v>
      </c>
      <c r="R37" s="377"/>
      <c r="S37" s="377">
        <f ca="1">IF(ISERROR(S36/S35), 0, S36/S35)</f>
        <v>0.24783817948717948</v>
      </c>
      <c r="T37" s="377"/>
      <c r="U37" s="377">
        <f t="shared" ca="1" si="2"/>
        <v>-2.161820512820517E-3</v>
      </c>
      <c r="V37" s="378"/>
    </row>
    <row r="38" spans="1:22" ht="22" customHeight="1">
      <c r="A38" s="321" t="s">
        <v>103</v>
      </c>
      <c r="B38" s="96">
        <v>401737</v>
      </c>
      <c r="C38" s="41" t="s">
        <v>266</v>
      </c>
      <c r="D38" s="42">
        <v>45906</v>
      </c>
      <c r="E38" s="43" t="s">
        <v>2</v>
      </c>
      <c r="F38" s="44">
        <v>86.5</v>
      </c>
      <c r="G38" s="322">
        <f>IF(OR(E38="",F38=""),"",PID_KVLohnLookup($A$1,E38,F38,LOHNTABELLE!$H$4))</f>
        <v>1010.5</v>
      </c>
      <c r="H38" s="323">
        <f>IF(AND(ISNUMBER(D38),ISNUMBER(F38)),ROUNDDOWN(MIN(IF(OR(ISBLANK(I38),I38=""),EOMONTH(DATE(EINSTELLUNG!$C$35,$A$1,1),0),I38)-MAX(D38,DATE(EINSTELLUNG!$C$35,$A$1,1))+1)/DAY(EOMONTH(DATE(EINSTELLUNG!$C$35,$A$1,1),0))*F38,2),"")</f>
        <v>86.5</v>
      </c>
      <c r="I38" s="45"/>
      <c r="J38" s="46"/>
      <c r="K38" s="322">
        <f t="shared" si="1"/>
        <v>0</v>
      </c>
      <c r="L38" s="32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4" t="s">
        <v>104</v>
      </c>
      <c r="P38" s="338"/>
      <c r="Q38" s="339">
        <f>EINSTELLUNG!F17</f>
        <v>30000</v>
      </c>
      <c r="R38" s="339"/>
      <c r="S38" s="339">
        <f>EINSTELLUNG!F33</f>
        <v>31000</v>
      </c>
      <c r="T38" s="339"/>
      <c r="U38" s="339">
        <f t="shared" si="2"/>
        <v>1000</v>
      </c>
      <c r="V38" s="340"/>
    </row>
    <row r="39" spans="1:22" ht="22" customHeight="1">
      <c r="A39" s="321" t="s">
        <v>105</v>
      </c>
      <c r="B39" s="97">
        <v>401738</v>
      </c>
      <c r="C39" s="49" t="s">
        <v>267</v>
      </c>
      <c r="D39" s="50">
        <v>45909</v>
      </c>
      <c r="E39" s="51" t="s">
        <v>2</v>
      </c>
      <c r="F39" s="52">
        <v>86.5</v>
      </c>
      <c r="G39" s="322">
        <f>IF(OR(E39="",F39=""),"",PID_KVLohnLookup($A$1,E39,F39,LOHNTABELLE!$H$4))</f>
        <v>1010.5</v>
      </c>
      <c r="H39" s="323">
        <f>IF(AND(ISNUMBER(D39),ISNUMBER(F39)),ROUNDDOWN(MIN(IF(OR(ISBLANK(I39),I39=""),EOMONTH(DATE(EINSTELLUNG!$C$35,$A$1,1),0),I39)-MAX(D39,DATE(EINSTELLUNG!$C$35,$A$1,1))+1)/DAY(EOMONTH(DATE(EINSTELLUNG!$C$35,$A$1,1),0))*F39,2),"")</f>
        <v>86.5</v>
      </c>
      <c r="I39" s="53"/>
      <c r="J39" s="54"/>
      <c r="K39" s="322">
        <f t="shared" si="1"/>
        <v>0</v>
      </c>
      <c r="L39" s="32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4" t="s">
        <v>106</v>
      </c>
      <c r="P39" s="338"/>
      <c r="Q39" s="375">
        <f>IF(Q38=0, 0, Q35/Q38)</f>
        <v>13.333333333333334</v>
      </c>
      <c r="R39" s="375"/>
      <c r="S39" s="375">
        <f>IF(S38=0, 0, S35/S38)</f>
        <v>12.580645161290322</v>
      </c>
      <c r="T39" s="375"/>
      <c r="U39" s="375">
        <f t="shared" si="2"/>
        <v>-0.75268817204301186</v>
      </c>
      <c r="V39" s="376"/>
    </row>
    <row r="40" spans="1:22" ht="22" customHeight="1">
      <c r="A40" s="321" t="s">
        <v>107</v>
      </c>
      <c r="B40" s="96">
        <v>401745</v>
      </c>
      <c r="C40" s="41" t="s">
        <v>271</v>
      </c>
      <c r="D40" s="42">
        <v>45934</v>
      </c>
      <c r="E40" s="43" t="s">
        <v>2</v>
      </c>
      <c r="F40" s="44">
        <v>86.5</v>
      </c>
      <c r="G40" s="322">
        <f>IF(OR(E40="",F40=""),"",PID_KVLohnLookup($A$1,E40,F40,LOHNTABELLE!$H$4))</f>
        <v>1010.5</v>
      </c>
      <c r="H40" s="323">
        <f>IF(AND(ISNUMBER(D40),ISNUMBER(F40)),ROUNDDOWN(MIN(IF(OR(ISBLANK(I40),I40=""),EOMONTH(DATE(EINSTELLUNG!$C$35,$A$1,1),0),I40)-MAX(D40,DATE(EINSTELLUNG!$C$35,$A$1,1))+1)/DAY(EOMONTH(DATE(EINSTELLUNG!$C$35,$A$1,1),0))*F40,2),"")</f>
        <v>86.5</v>
      </c>
      <c r="I40" s="45"/>
      <c r="J40" s="46"/>
      <c r="K40" s="322">
        <f t="shared" si="1"/>
        <v>0</v>
      </c>
      <c r="L40" s="32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4" t="s">
        <v>108</v>
      </c>
      <c r="P40" s="338"/>
      <c r="Q40" s="375">
        <f>IF(Q13=0, 0, Q35/Q13)</f>
        <v>62.265046737700708</v>
      </c>
      <c r="R40" s="375"/>
      <c r="S40" s="375">
        <f>IF(Q13=0, 0, S35/Q13)</f>
        <v>60.708420569258195</v>
      </c>
      <c r="T40" s="375"/>
      <c r="U40" s="375">
        <f t="shared" si="2"/>
        <v>-1.5566261684425129</v>
      </c>
      <c r="V40" s="376"/>
    </row>
    <row r="41" spans="1:22" ht="22" customHeight="1">
      <c r="A41" s="321" t="s">
        <v>109</v>
      </c>
      <c r="B41" s="97">
        <v>401746</v>
      </c>
      <c r="C41" s="66" t="s">
        <v>270</v>
      </c>
      <c r="D41" s="53">
        <v>45941</v>
      </c>
      <c r="E41" s="51" t="s">
        <v>2</v>
      </c>
      <c r="F41" s="52">
        <v>86.5</v>
      </c>
      <c r="G41" s="322">
        <f>IF(OR(E41="",F41=""),"",PID_KVLohnLookup($A$1,E41,F41,LOHNTABELLE!$H$4))</f>
        <v>1010.5</v>
      </c>
      <c r="H41" s="323">
        <f>IF(AND(ISNUMBER(D41),ISNUMBER(F41)),ROUNDDOWN(MIN(IF(OR(ISBLANK(I41),I41=""),EOMONTH(DATE(EINSTELLUNG!$C$35,$A$1,1),0),I41)-MAX(D41,DATE(EINSTELLUNG!$C$35,$A$1,1))+1)/DAY(EOMONTH(DATE(EINSTELLUNG!$C$35,$A$1,1),0))*F41,2),"")</f>
        <v>86.5</v>
      </c>
      <c r="I41" s="53"/>
      <c r="J41" s="54"/>
      <c r="K41" s="322">
        <f t="shared" si="1"/>
        <v>0</v>
      </c>
      <c r="L41" s="32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4" t="s">
        <v>110</v>
      </c>
      <c r="P41" s="338"/>
      <c r="Q41" s="339">
        <f>IF(Q13=0, 0, Q38/Q13)</f>
        <v>4.6698785053275529</v>
      </c>
      <c r="R41" s="339"/>
      <c r="S41" s="339">
        <f>IF(Q13=0, 0, S38/Q13)</f>
        <v>4.8255411221718054</v>
      </c>
      <c r="T41" s="339"/>
      <c r="U41" s="339">
        <f t="shared" si="2"/>
        <v>0.15566261684425253</v>
      </c>
      <c r="V41" s="340"/>
    </row>
    <row r="42" spans="1:22" ht="22" customHeight="1">
      <c r="A42" s="321" t="s">
        <v>111</v>
      </c>
      <c r="B42" s="96">
        <v>401747</v>
      </c>
      <c r="C42" s="41" t="s">
        <v>268</v>
      </c>
      <c r="D42" s="42">
        <v>45941</v>
      </c>
      <c r="E42" s="43" t="s">
        <v>2</v>
      </c>
      <c r="F42" s="44">
        <v>86.5</v>
      </c>
      <c r="G42" s="322">
        <f>IF(OR(E42="",F42=""),"",PID_KVLohnLookup($A$1,E42,F42,LOHNTABELLE!$H$4))</f>
        <v>1010.5</v>
      </c>
      <c r="H42" s="323">
        <f>IF(AND(ISNUMBER(D42),ISNUMBER(F42)),ROUNDDOWN(MIN(IF(OR(ISBLANK(I42),I42=""),EOMONTH(DATE(EINSTELLUNG!$C$35,$A$1,1),0),I42)-MAX(D42,DATE(EINSTELLUNG!$C$35,$A$1,1))+1)/DAY(EOMONTH(DATE(EINSTELLUNG!$C$35,$A$1,1),0))*F42,2),"")</f>
        <v>86.5</v>
      </c>
      <c r="I42" s="45"/>
      <c r="J42" s="46"/>
      <c r="K42" s="322">
        <f t="shared" si="1"/>
        <v>0</v>
      </c>
      <c r="L42" s="32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79" t="s">
        <v>112</v>
      </c>
      <c r="P42" s="380"/>
      <c r="Q42" s="381">
        <f>IFERROR(Q17/Q8, 0)</f>
        <v>12.60577584937931</v>
      </c>
      <c r="R42" s="381"/>
      <c r="S42" s="381"/>
      <c r="T42" s="381"/>
      <c r="U42" s="381"/>
      <c r="V42" s="382"/>
    </row>
    <row r="43" spans="1:22" ht="22" customHeight="1">
      <c r="A43" s="321" t="s">
        <v>113</v>
      </c>
      <c r="B43" s="97">
        <v>401748</v>
      </c>
      <c r="C43" s="49" t="s">
        <v>269</v>
      </c>
      <c r="D43" s="50">
        <v>45941</v>
      </c>
      <c r="E43" s="51" t="s">
        <v>2</v>
      </c>
      <c r="F43" s="52">
        <v>138.4</v>
      </c>
      <c r="G43" s="322">
        <f>IF(OR(E43="",F43=""),"",PID_KVLohnLookup($A$1,E43,F43,LOHNTABELLE!$H$4))</f>
        <v>1616.8</v>
      </c>
      <c r="H43" s="323">
        <f>IF(AND(ISNUMBER(D43),ISNUMBER(F43)),ROUNDDOWN(MIN(IF(OR(ISBLANK(I43),I43=""),EOMONTH(DATE(EINSTELLUNG!$C$35,$A$1,1),0),I43)-MAX(D43,DATE(EINSTELLUNG!$C$35,$A$1,1))+1)/DAY(EOMONTH(DATE(EINSTELLUNG!$C$35,$A$1,1),0))*F43,2),"")</f>
        <v>138.4</v>
      </c>
      <c r="I43" s="53"/>
      <c r="J43" s="54"/>
      <c r="K43" s="322">
        <f t="shared" si="1"/>
        <v>0</v>
      </c>
      <c r="L43" s="32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55"/>
      <c r="N43" s="71"/>
      <c r="O43" s="383"/>
      <c r="P43" s="383"/>
      <c r="Q43" s="383"/>
      <c r="R43" s="319"/>
      <c r="S43" s="319"/>
      <c r="T43" s="319"/>
      <c r="U43" s="319"/>
      <c r="V43" s="319"/>
    </row>
    <row r="44" spans="1:22" ht="22" customHeight="1">
      <c r="A44" s="321" t="s">
        <v>114</v>
      </c>
      <c r="B44" s="96">
        <v>401751</v>
      </c>
      <c r="C44" s="41" t="s">
        <v>272</v>
      </c>
      <c r="D44" s="42">
        <v>45961</v>
      </c>
      <c r="E44" s="43" t="s">
        <v>2</v>
      </c>
      <c r="F44" s="44">
        <v>86.5</v>
      </c>
      <c r="G44" s="322">
        <f>IF(OR(E44="",F44=""),"",PID_KVLohnLookup($A$1,E44,F44,LOHNTABELLE!$H$4))</f>
        <v>1010.5</v>
      </c>
      <c r="H44" s="323">
        <f>IF(AND(ISNUMBER(D44),ISNUMBER(F44)),ROUNDDOWN(MIN(IF(OR(ISBLANK(I44),I44=""),EOMONTH(DATE(EINSTELLUNG!$C$35,$A$1,1),0),I44)-MAX(D44,DATE(EINSTELLUNG!$C$35,$A$1,1))+1)/DAY(EOMONTH(DATE(EINSTELLUNG!$C$35,$A$1,1),0))*F44,2),"")</f>
        <v>86.5</v>
      </c>
      <c r="I44" s="45"/>
      <c r="J44" s="46"/>
      <c r="K44" s="322">
        <f t="shared" si="1"/>
        <v>0</v>
      </c>
      <c r="L44" s="32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4" t="s">
        <v>115</v>
      </c>
      <c r="P44" s="384"/>
      <c r="Q44" s="384"/>
      <c r="R44" s="384"/>
      <c r="S44" s="384"/>
      <c r="T44" s="384"/>
      <c r="U44" s="384"/>
      <c r="V44" s="384"/>
    </row>
    <row r="45" spans="1:22" ht="22" customHeight="1">
      <c r="A45" s="321" t="s">
        <v>116</v>
      </c>
      <c r="B45" s="97">
        <v>401752</v>
      </c>
      <c r="C45" s="49" t="s">
        <v>273</v>
      </c>
      <c r="D45" s="50">
        <v>45986</v>
      </c>
      <c r="E45" s="51" t="s">
        <v>2</v>
      </c>
      <c r="F45" s="52">
        <v>173</v>
      </c>
      <c r="G45" s="322">
        <f>IF(OR(E45="",F45=""),"",PID_KVLohnLookup($A$1,E45,F45,LOHNTABELLE!$H$4))</f>
        <v>2021</v>
      </c>
      <c r="H45" s="323">
        <f>IF(AND(ISNUMBER(D45),ISNUMBER(F45)),ROUNDDOWN(MIN(IF(OR(ISBLANK(I45),I45=""),EOMONTH(DATE(EINSTELLUNG!$C$35,$A$1,1),0),I45)-MAX(D45,DATE(EINSTELLUNG!$C$35,$A$1,1))+1)/DAY(EOMONTH(DATE(EINSTELLUNG!$C$35,$A$1,1),0))*F45,2),"")</f>
        <v>173</v>
      </c>
      <c r="I45" s="53"/>
      <c r="J45" s="54"/>
      <c r="K45" s="322">
        <f t="shared" si="1"/>
        <v>0</v>
      </c>
      <c r="L45" s="32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55"/>
      <c r="N45" s="71"/>
      <c r="O45" s="385"/>
      <c r="P45" s="385"/>
      <c r="Q45" s="385"/>
      <c r="R45" s="386"/>
      <c r="S45" s="386"/>
      <c r="T45" s="386"/>
      <c r="U45" s="386"/>
      <c r="V45" s="319"/>
    </row>
    <row r="46" spans="1:22" ht="22" customHeight="1">
      <c r="A46" s="321" t="s">
        <v>117</v>
      </c>
      <c r="B46" s="96">
        <v>401999</v>
      </c>
      <c r="C46" s="41" t="s">
        <v>355</v>
      </c>
      <c r="D46" s="42">
        <v>46041</v>
      </c>
      <c r="E46" s="43" t="s">
        <v>2</v>
      </c>
      <c r="F46" s="44">
        <v>151.38</v>
      </c>
      <c r="G46" s="322">
        <f>IF(OR(E46="",F46=""),"",PID_KVLohnLookup($A$1,E46,F46,LOHNTABELLE!$H$4))</f>
        <v>1768.38</v>
      </c>
      <c r="H46" s="323">
        <f>IF(AND(ISNUMBER(D46),ISNUMBER(F46)),ROUNDDOWN(MIN(IF(OR(ISBLANK(I46),I46=""),EOMONTH(DATE(EINSTELLUNG!$C$35,$A$1,1),0),I46)-MAX(D46,DATE(EINSTELLUNG!$C$35,$A$1,1))+1)/DAY(EOMONTH(DATE(EINSTELLUNG!$C$35,$A$1,1),0))*F46,2),"")</f>
        <v>151.38</v>
      </c>
      <c r="I46" s="45"/>
      <c r="J46" s="46"/>
      <c r="K46" s="322">
        <f t="shared" si="1"/>
        <v>0</v>
      </c>
      <c r="L46" s="32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7"/>
      <c r="N46" s="70"/>
      <c r="O46" s="319"/>
      <c r="P46" s="319"/>
      <c r="Q46" s="319"/>
      <c r="R46" s="319"/>
      <c r="S46" s="319"/>
      <c r="T46" s="319"/>
      <c r="U46" s="319"/>
      <c r="V46" s="319"/>
    </row>
    <row r="47" spans="1:22" ht="22" customHeight="1">
      <c r="A47" s="321" t="s">
        <v>118</v>
      </c>
      <c r="B47" s="97">
        <v>401999</v>
      </c>
      <c r="C47" s="49" t="s">
        <v>293</v>
      </c>
      <c r="D47" s="53">
        <v>46082</v>
      </c>
      <c r="E47" s="51" t="s">
        <v>2</v>
      </c>
      <c r="F47" s="52">
        <v>173</v>
      </c>
      <c r="G47" s="322">
        <f>IF(OR(E47="",F47=""),"",PID_KVLohnLookup($A$1,E47,F47,LOHNTABELLE!$H$4))</f>
        <v>2021</v>
      </c>
      <c r="H47" s="323">
        <f>IF(AND(ISNUMBER(D47),ISNUMBER(F47)),ROUNDDOWN(MIN(IF(OR(ISBLANK(I47),I47=""),EOMONTH(DATE(EINSTELLUNG!$C$35,$A$1,1),0),I47)-MAX(D47,DATE(EINSTELLUNG!$C$35,$A$1,1))+1)/DAY(EOMONTH(DATE(EINSTELLUNG!$C$35,$A$1,1),0))*F47,2),"")</f>
        <v>173</v>
      </c>
      <c r="I47" s="53"/>
      <c r="J47" s="54"/>
      <c r="K47" s="322">
        <f t="shared" si="1"/>
        <v>0</v>
      </c>
      <c r="L47" s="32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319"/>
      <c r="P47" s="319"/>
      <c r="Q47" s="319"/>
      <c r="R47" s="319"/>
      <c r="S47" s="319"/>
      <c r="T47" s="319"/>
      <c r="U47" s="319"/>
      <c r="V47" s="319"/>
    </row>
    <row r="48" spans="1:22" ht="22" customHeight="1">
      <c r="A48" s="321" t="s">
        <v>119</v>
      </c>
      <c r="B48" s="96">
        <v>402000</v>
      </c>
      <c r="C48" s="41" t="s">
        <v>295</v>
      </c>
      <c r="D48" s="45">
        <v>46143</v>
      </c>
      <c r="E48" s="43" t="s">
        <v>2</v>
      </c>
      <c r="F48" s="44">
        <v>173</v>
      </c>
      <c r="G48" s="322">
        <f>IF(OR(E48="",F48=""),"",PID_KVLohnLookup($A$1,E48,F48,LOHNTABELLE!$H$4))</f>
        <v>2021</v>
      </c>
      <c r="H48" s="323">
        <f>IF(AND(ISNUMBER(D48),ISNUMBER(F48)),ROUNDDOWN(MIN(IF(OR(ISBLANK(I48),I48=""),EOMONTH(DATE(EINSTELLUNG!$C$35,$A$1,1),0),I48)-MAX(D48,DATE(EINSTELLUNG!$C$35,$A$1,1))+1)/DAY(EOMONTH(DATE(EINSTELLUNG!$C$35,$A$1,1),0))*F48,2),"")</f>
        <v>-284.61</v>
      </c>
      <c r="I48" s="45">
        <v>46305</v>
      </c>
      <c r="J48" s="46"/>
      <c r="K48" s="322">
        <f t="shared" si="1"/>
        <v>0</v>
      </c>
      <c r="L48" s="324"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47"/>
      <c r="N48" s="70" t="s">
        <v>188</v>
      </c>
      <c r="O48" s="319"/>
      <c r="P48" s="319"/>
      <c r="Q48" s="319"/>
      <c r="R48" s="319"/>
      <c r="S48" s="319"/>
      <c r="T48" s="319"/>
      <c r="U48" s="319"/>
      <c r="V48" s="319"/>
    </row>
    <row r="49" spans="1:22" ht="22" customHeight="1">
      <c r="A49" s="321" t="s">
        <v>120</v>
      </c>
      <c r="B49" s="97">
        <v>402004</v>
      </c>
      <c r="C49" s="49" t="s">
        <v>296</v>
      </c>
      <c r="D49" s="53">
        <v>46122</v>
      </c>
      <c r="E49" s="51" t="s">
        <v>2</v>
      </c>
      <c r="F49" s="52">
        <v>173</v>
      </c>
      <c r="G49" s="322">
        <f>IF(OR(E49="",F49=""),"",PID_KVLohnLookup($A$1,E49,F49,LOHNTABELLE!$H$4))</f>
        <v>2021</v>
      </c>
      <c r="H49" s="323">
        <f>IF(AND(ISNUMBER(D49),ISNUMBER(F49)),ROUNDDOWN(MIN(IF(OR(ISBLANK(I49),I49=""),EOMONTH(DATE(EINSTELLUNG!$C$35,$A$1,1),0),I49)-MAX(D49,DATE(EINSTELLUNG!$C$35,$A$1,1))+1)/DAY(EOMONTH(DATE(EINSTELLUNG!$C$35,$A$1,1),0))*F49,2),"")</f>
        <v>173</v>
      </c>
      <c r="I49" s="53"/>
      <c r="J49" s="54"/>
      <c r="K49" s="322">
        <f t="shared" si="1"/>
        <v>0</v>
      </c>
      <c r="L49" s="32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19"/>
      <c r="P49" s="319"/>
      <c r="Q49" s="319"/>
      <c r="R49" s="319"/>
      <c r="S49" s="319"/>
      <c r="T49" s="319"/>
      <c r="U49" s="319"/>
      <c r="V49" s="319"/>
    </row>
    <row r="50" spans="1:22" ht="22" customHeight="1">
      <c r="A50" s="321" t="s">
        <v>121</v>
      </c>
      <c r="B50" s="96">
        <v>402405</v>
      </c>
      <c r="C50" s="41" t="s">
        <v>298</v>
      </c>
      <c r="D50" s="42">
        <v>46054</v>
      </c>
      <c r="E50" s="43" t="s">
        <v>2</v>
      </c>
      <c r="F50" s="65">
        <v>173</v>
      </c>
      <c r="G50" s="322">
        <f>IF(OR(E50="",F50=""),"",PID_KVLohnLookup($A$1,E50,F50,LOHNTABELLE!$H$4))</f>
        <v>2021</v>
      </c>
      <c r="H50" s="323">
        <f>IF(AND(ISNUMBER(D50),ISNUMBER(F50)),ROUNDDOWN(MIN(IF(OR(ISBLANK(I50),I50=""),EOMONTH(DATE(EINSTELLUNG!$C$35,$A$1,1),0),I50)-MAX(D50,DATE(EINSTELLUNG!$C$35,$A$1,1))+1)/DAY(EOMONTH(DATE(EINSTELLUNG!$C$35,$A$1,1),0))*F50,2),"")</f>
        <v>-284.61</v>
      </c>
      <c r="I50" s="45">
        <v>46305</v>
      </c>
      <c r="J50" s="46">
        <v>2</v>
      </c>
      <c r="K50" s="322">
        <f t="shared" si="1"/>
        <v>144.35714285714286</v>
      </c>
      <c r="L50" s="324"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47"/>
      <c r="N50" s="70" t="s">
        <v>195</v>
      </c>
      <c r="O50" s="319"/>
      <c r="P50" s="319"/>
      <c r="Q50" s="319"/>
      <c r="R50" s="319"/>
      <c r="S50" s="319"/>
      <c r="T50" s="319"/>
      <c r="U50" s="319"/>
      <c r="V50" s="319"/>
    </row>
    <row r="51" spans="1:22" ht="22" customHeight="1">
      <c r="A51" s="321" t="s">
        <v>122</v>
      </c>
      <c r="B51" s="97">
        <v>500600</v>
      </c>
      <c r="C51" s="49" t="s">
        <v>302</v>
      </c>
      <c r="D51" s="53">
        <v>46054</v>
      </c>
      <c r="E51" s="51" t="s">
        <v>2</v>
      </c>
      <c r="F51" s="52">
        <v>173</v>
      </c>
      <c r="G51" s="322">
        <f>IF(OR(E51="",F51=""),"",PID_KVLohnLookup($A$1,E51,F51,LOHNTABELLE!$H$4))</f>
        <v>2021</v>
      </c>
      <c r="H51" s="323">
        <f>IF(AND(ISNUMBER(D51),ISNUMBER(F51)),ROUNDDOWN(MIN(IF(OR(ISBLANK(I51),I51=""),EOMONTH(DATE(EINSTELLUNG!$C$35,$A$1,1),0),I51)-MAX(D51,DATE(EINSTELLUNG!$C$35,$A$1,1))+1)/DAY(EOMONTH(DATE(EINSTELLUNG!$C$35,$A$1,1),0))*F51,2),"")</f>
        <v>173</v>
      </c>
      <c r="I51" s="53"/>
      <c r="J51" s="54"/>
      <c r="K51" s="322">
        <f t="shared" si="1"/>
        <v>0</v>
      </c>
      <c r="L51" s="32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1" t="s">
        <v>123</v>
      </c>
      <c r="B52" s="96">
        <v>502000</v>
      </c>
      <c r="C52" s="41" t="s">
        <v>297</v>
      </c>
      <c r="D52" s="45">
        <v>46147</v>
      </c>
      <c r="E52" s="43" t="s">
        <v>2</v>
      </c>
      <c r="F52" s="44">
        <v>173</v>
      </c>
      <c r="G52" s="322">
        <f>IF(OR(E52="",F52=""),"",PID_KVLohnLookup($A$1,E52,F52,LOHNTABELLE!$H$4))</f>
        <v>2021</v>
      </c>
      <c r="H52" s="323">
        <f>IF(AND(ISNUMBER(D52),ISNUMBER(F52)),ROUNDDOWN(MIN(IF(OR(ISBLANK(I52),I52=""),EOMONTH(DATE(EINSTELLUNG!$C$35,$A$1,1),0),I52)-MAX(D52,DATE(EINSTELLUNG!$C$35,$A$1,1))+1)/DAY(EOMONTH(DATE(EINSTELLUNG!$C$35,$A$1,1),0))*F52,2),"")</f>
        <v>173</v>
      </c>
      <c r="I52" s="45"/>
      <c r="J52" s="46"/>
      <c r="K52" s="322">
        <f t="shared" si="1"/>
        <v>0</v>
      </c>
      <c r="L52" s="32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1" t="s">
        <v>124</v>
      </c>
      <c r="B53" s="97">
        <v>503000</v>
      </c>
      <c r="C53" s="49" t="s">
        <v>299</v>
      </c>
      <c r="D53" s="53">
        <v>42401</v>
      </c>
      <c r="E53" s="51" t="s">
        <v>2</v>
      </c>
      <c r="F53" s="52">
        <v>173</v>
      </c>
      <c r="G53" s="322">
        <f>IF(OR(E53="",F53=""),"",PID_KVLohnLookup($A$1,E53,F53,LOHNTABELLE!$H$4))</f>
        <v>2021</v>
      </c>
      <c r="H53" s="323">
        <f>IF(AND(ISNUMBER(D53),ISNUMBER(F53)),ROUNDDOWN(MIN(IF(OR(ISBLANK(I53),I53=""),EOMONTH(DATE(EINSTELLUNG!$C$35,$A$1,1),0),I53)-MAX(D53,DATE(EINSTELLUNG!$C$35,$A$1,1))+1)/DAY(EOMONTH(DATE(EINSTELLUNG!$C$35,$A$1,1),0))*F53,2),"")</f>
        <v>173</v>
      </c>
      <c r="I53" s="53"/>
      <c r="J53" s="54"/>
      <c r="K53" s="322">
        <f t="shared" si="1"/>
        <v>0</v>
      </c>
      <c r="L53" s="32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1" t="s">
        <v>125</v>
      </c>
      <c r="B54" s="96">
        <v>504000</v>
      </c>
      <c r="C54" s="41" t="s">
        <v>300</v>
      </c>
      <c r="D54" s="45">
        <v>46054</v>
      </c>
      <c r="E54" s="43" t="s">
        <v>3</v>
      </c>
      <c r="F54" s="44">
        <v>138.4</v>
      </c>
      <c r="G54" s="322">
        <f>IF(OR(E54="",F54=""),"",PID_KVLohnLookup($A$1,E54,F54,LOHNTABELLE!$H$4))</f>
        <v>1665.6</v>
      </c>
      <c r="H54" s="323">
        <f>IF(AND(ISNUMBER(D54),ISNUMBER(F54)),ROUNDDOWN(MIN(IF(OR(ISBLANK(I54),I54=""),EOMONTH(DATE(EINSTELLUNG!$C$35,$A$1,1),0),I54)-MAX(D54,DATE(EINSTELLUNG!$C$35,$A$1,1))+1)/DAY(EOMONTH(DATE(EINSTELLUNG!$C$35,$A$1,1),0))*F54,2),"")</f>
        <v>138.4</v>
      </c>
      <c r="I54" s="45"/>
      <c r="J54" s="46"/>
      <c r="K54" s="322">
        <f t="shared" si="1"/>
        <v>0</v>
      </c>
      <c r="L54" s="32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7"/>
      <c r="N54" s="70"/>
    </row>
    <row r="55" spans="1:22" ht="22" customHeight="1">
      <c r="A55" s="321" t="s">
        <v>126</v>
      </c>
      <c r="B55" s="97">
        <v>505000</v>
      </c>
      <c r="C55" s="49" t="s">
        <v>301</v>
      </c>
      <c r="D55" s="53">
        <v>46054</v>
      </c>
      <c r="E55" s="51" t="s">
        <v>2</v>
      </c>
      <c r="F55" s="52">
        <v>138.4</v>
      </c>
      <c r="G55" s="322">
        <f>IF(OR(E55="",F55=""),"",PID_KVLohnLookup($A$1,E55,F55,LOHNTABELLE!$H$4))</f>
        <v>1616.8</v>
      </c>
      <c r="H55" s="323">
        <f>IF(AND(ISNUMBER(D55),ISNUMBER(F55)),ROUNDDOWN(MIN(IF(OR(ISBLANK(I55),I55=""),EOMONTH(DATE(EINSTELLUNG!$C$35,$A$1,1),0),I55)-MAX(D55,DATE(EINSTELLUNG!$C$35,$A$1,1))+1)/DAY(EOMONTH(DATE(EINSTELLUNG!$C$35,$A$1,1),0))*F55,2),"")</f>
        <v>138.4</v>
      </c>
      <c r="I55" s="53"/>
      <c r="J55" s="54"/>
      <c r="K55" s="322">
        <f t="shared" si="1"/>
        <v>0</v>
      </c>
      <c r="L55" s="32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5"/>
      <c r="N55" s="71"/>
    </row>
    <row r="56" spans="1:22" ht="22" customHeight="1">
      <c r="A56" s="321" t="s">
        <v>127</v>
      </c>
      <c r="B56" s="96">
        <v>525025</v>
      </c>
      <c r="C56" s="41" t="s">
        <v>356</v>
      </c>
      <c r="D56" s="45">
        <v>46040</v>
      </c>
      <c r="E56" s="43" t="s">
        <v>2</v>
      </c>
      <c r="F56" s="44">
        <v>129.75</v>
      </c>
      <c r="G56" s="322">
        <f>IF(OR(E56="",F56=""),"",PID_KVLohnLookup($A$1,E56,F56,LOHNTABELLE!$H$4))</f>
        <v>1515.75</v>
      </c>
      <c r="H56" s="323">
        <f>IF(AND(ISNUMBER(D56),ISNUMBER(F56)),ROUNDDOWN(MIN(IF(OR(ISBLANK(I56),I56=""),EOMONTH(DATE(EINSTELLUNG!$C$35,$A$1,1),0),I56)-MAX(D56,DATE(EINSTELLUNG!$C$35,$A$1,1))+1)/DAY(EOMONTH(DATE(EINSTELLUNG!$C$35,$A$1,1),0))*F56,2),"")</f>
        <v>129.75</v>
      </c>
      <c r="I56" s="45"/>
      <c r="J56" s="46"/>
      <c r="K56" s="322">
        <f t="shared" si="1"/>
        <v>0</v>
      </c>
      <c r="L56" s="32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7"/>
      <c r="N56" s="70"/>
    </row>
    <row r="57" spans="1:22" ht="22" customHeight="1">
      <c r="A57" s="321" t="s">
        <v>128</v>
      </c>
      <c r="B57" s="97">
        <v>700000</v>
      </c>
      <c r="C57" s="49" t="s">
        <v>309</v>
      </c>
      <c r="D57" s="50">
        <v>46054</v>
      </c>
      <c r="E57" s="51" t="s">
        <v>2</v>
      </c>
      <c r="F57" s="52">
        <v>173</v>
      </c>
      <c r="G57" s="322">
        <f>IF(OR(E57="",F57=""),"",PID_KVLohnLookup($A$1,E57,F57,LOHNTABELLE!$H$4))</f>
        <v>2021</v>
      </c>
      <c r="H57" s="323">
        <f>IF(AND(ISNUMBER(D57),ISNUMBER(F57)),ROUNDDOWN(MIN(IF(OR(ISBLANK(I57),I57=""),EOMONTH(DATE(EINSTELLUNG!$C$35,$A$1,1),0),I57)-MAX(D57,DATE(EINSTELLUNG!$C$35,$A$1,1))+1)/DAY(EOMONTH(DATE(EINSTELLUNG!$C$35,$A$1,1),0))*F57,2),"")</f>
        <v>173</v>
      </c>
      <c r="I57" s="53"/>
      <c r="J57" s="54"/>
      <c r="K57" s="322">
        <f t="shared" si="1"/>
        <v>0</v>
      </c>
      <c r="L57" s="32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321" t="s">
        <v>129</v>
      </c>
      <c r="B58" s="96">
        <v>800000</v>
      </c>
      <c r="C58" s="41" t="s">
        <v>310</v>
      </c>
      <c r="D58" s="42">
        <v>46096</v>
      </c>
      <c r="E58" s="43" t="s">
        <v>2</v>
      </c>
      <c r="F58" s="44">
        <v>166</v>
      </c>
      <c r="G58" s="322" t="str">
        <f>IF(OR(E58="",F58=""),"",PID_KVLohnLookup($A$1,E58,F58,LOHNTABELLE!$H$4))</f>
        <v>Nicht gefunden</v>
      </c>
      <c r="H58" s="323">
        <f>IF(AND(ISNUMBER(D58),ISNUMBER(F58)),ROUNDDOWN(MIN(IF(OR(ISBLANK(I58),I58=""),EOMONTH(DATE(EINSTELLUNG!$C$35,$A$1,1),0),I58)-MAX(D58,DATE(EINSTELLUNG!$C$35,$A$1,1))+1)/DAY(EOMONTH(DATE(EINSTELLUNG!$C$35,$A$1,1),0))*F58,2),"")</f>
        <v>166</v>
      </c>
      <c r="I58" s="45"/>
      <c r="J58" s="46"/>
      <c r="K58" s="322">
        <f t="shared" si="1"/>
        <v>0</v>
      </c>
      <c r="L58" s="324"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7"/>
      <c r="N58" s="70"/>
    </row>
    <row r="59" spans="1:22" ht="22" customHeight="1">
      <c r="A59" s="321" t="s">
        <v>130</v>
      </c>
      <c r="B59" s="97"/>
      <c r="C59" s="49"/>
      <c r="D59" s="53"/>
      <c r="E59" s="51"/>
      <c r="F59" s="52"/>
      <c r="G59" s="322" t="str">
        <f>IF(OR(E59="",F59=""),"",PID_KVLohnLookup($A$1,E59,F59,LOHNTABELLE!$H$4))</f>
        <v/>
      </c>
      <c r="H59" s="323" t="str">
        <f>IF(AND(ISNUMBER(D59),ISNUMBER(F59)),ROUNDDOWN(MIN(IF(OR(ISBLANK(I59),I59=""),EOMONTH(DATE(EINSTELLUNG!$C$35,$A$1,1),0),I59)-MAX(D59,DATE(EINSTELLUNG!$C$35,$A$1,1))+1)/DAY(EOMONTH(DATE(EINSTELLUNG!$C$35,$A$1,1),0))*F59,2),"")</f>
        <v/>
      </c>
      <c r="I59" s="53"/>
      <c r="J59" s="54"/>
      <c r="K59" s="322" t="str">
        <f t="shared" si="1"/>
        <v/>
      </c>
      <c r="L59" s="324"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321" t="s">
        <v>131</v>
      </c>
      <c r="B60" s="96"/>
      <c r="C60" s="41"/>
      <c r="D60" s="45"/>
      <c r="E60" s="43"/>
      <c r="F60" s="44"/>
      <c r="G60" s="322" t="str">
        <f>IF(OR(E60="",F60=""),"",PID_KVLohnLookup($A$1,E60,F60,LOHNTABELLE!$H$4))</f>
        <v/>
      </c>
      <c r="H60" s="323" t="str">
        <f>IF(AND(ISNUMBER(D60),ISNUMBER(F60)),ROUNDDOWN(MIN(IF(OR(ISBLANK(I60),I60=""),EOMONTH(DATE(EINSTELLUNG!$C$35,$A$1,1),0),I60)-MAX(D60,DATE(EINSTELLUNG!$C$35,$A$1,1))+1)/DAY(EOMONTH(DATE(EINSTELLUNG!$C$35,$A$1,1),0))*F60,2),"")</f>
        <v/>
      </c>
      <c r="I60" s="45"/>
      <c r="J60" s="46"/>
      <c r="K60" s="322" t="str">
        <f t="shared" si="1"/>
        <v/>
      </c>
      <c r="L60" s="324"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1" t="s">
        <v>132</v>
      </c>
      <c r="B61" s="97"/>
      <c r="C61" s="49"/>
      <c r="D61" s="53"/>
      <c r="E61" s="51"/>
      <c r="F61" s="52"/>
      <c r="G61" s="322" t="str">
        <f>IF(OR(E61="",F61=""),"",PID_KVLohnLookup($A$1,E61,F61,LOHNTABELLE!$H$4))</f>
        <v/>
      </c>
      <c r="H61" s="323" t="str">
        <f>IF(AND(ISNUMBER(D61),ISNUMBER(F61)),ROUNDDOWN(MIN(IF(OR(ISBLANK(I61),I61=""),EOMONTH(DATE(EINSTELLUNG!$C$35,$A$1,1),0),I61)-MAX(D61,DATE(EINSTELLUNG!$C$35,$A$1,1))+1)/DAY(EOMONTH(DATE(EINSTELLUNG!$C$35,$A$1,1),0))*F61,2),"")</f>
        <v/>
      </c>
      <c r="I61" s="53"/>
      <c r="J61" s="54"/>
      <c r="K61" s="322" t="str">
        <f t="shared" si="1"/>
        <v/>
      </c>
      <c r="L61" s="32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1" t="s">
        <v>133</v>
      </c>
      <c r="B62" s="96"/>
      <c r="C62" s="41"/>
      <c r="D62" s="45"/>
      <c r="E62" s="43"/>
      <c r="F62" s="44"/>
      <c r="G62" s="322" t="str">
        <f>IF(OR(E62="",F62=""),"",PID_KVLohnLookup($A$1,E62,F62,LOHNTABELLE!$H$4))</f>
        <v/>
      </c>
      <c r="H62" s="323" t="str">
        <f>IF(AND(ISNUMBER(D62),ISNUMBER(F62)),ROUNDDOWN(MIN(IF(OR(ISBLANK(I62),I62=""),EOMONTH(DATE(EINSTELLUNG!$C$35,$A$1,1),0),I62)-MAX(D62,DATE(EINSTELLUNG!$C$35,$A$1,1))+1)/DAY(EOMONTH(DATE(EINSTELLUNG!$C$35,$A$1,1),0))*F62,2),"")</f>
        <v/>
      </c>
      <c r="I62" s="45"/>
      <c r="J62" s="46"/>
      <c r="K62" s="322" t="str">
        <f t="shared" si="1"/>
        <v/>
      </c>
      <c r="L62" s="32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1" t="s">
        <v>134</v>
      </c>
      <c r="B63" s="97"/>
      <c r="C63" s="49"/>
      <c r="D63" s="53"/>
      <c r="E63" s="51"/>
      <c r="F63" s="52"/>
      <c r="G63" s="322" t="str">
        <f>IF(OR(E63="",F63=""),"",PID_KVLohnLookup($A$1,E63,F63,LOHNTABELLE!$H$4))</f>
        <v/>
      </c>
      <c r="H63" s="323" t="str">
        <f>IF(AND(ISNUMBER(D63),ISNUMBER(F63)),ROUNDDOWN(MIN(IF(OR(ISBLANK(I63),I63=""),EOMONTH(DATE(EINSTELLUNG!$C$35,$A$1,1),0),I63)-MAX(D63,DATE(EINSTELLUNG!$C$35,$A$1,1))+1)/DAY(EOMONTH(DATE(EINSTELLUNG!$C$35,$A$1,1),0))*F63,2),"")</f>
        <v/>
      </c>
      <c r="I63" s="53"/>
      <c r="J63" s="54"/>
      <c r="K63" s="322" t="str">
        <f t="shared" si="1"/>
        <v/>
      </c>
      <c r="L63" s="32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1" t="s">
        <v>135</v>
      </c>
      <c r="B64" s="96"/>
      <c r="C64" s="41"/>
      <c r="D64" s="45"/>
      <c r="E64" s="43"/>
      <c r="F64" s="44"/>
      <c r="G64" s="322" t="str">
        <f>IF(OR(E64="",F64=""),"",PID_KVLohnLookup($A$1,E64,F64,LOHNTABELLE!$H$4))</f>
        <v/>
      </c>
      <c r="H64" s="323" t="str">
        <f>IF(AND(ISNUMBER(D64),ISNUMBER(F64)),ROUNDDOWN(MIN(IF(OR(ISBLANK(I64),I64=""),EOMONTH(DATE(EINSTELLUNG!$C$35,$A$1,1),0),I64)-MAX(D64,DATE(EINSTELLUNG!$C$35,$A$1,1))+1)/DAY(EOMONTH(DATE(EINSTELLUNG!$C$35,$A$1,1),0))*F64,2),"")</f>
        <v/>
      </c>
      <c r="I64" s="45"/>
      <c r="J64" s="46"/>
      <c r="K64" s="322" t="str">
        <f t="shared" si="1"/>
        <v/>
      </c>
      <c r="L64" s="32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1" t="s">
        <v>136</v>
      </c>
      <c r="B65" s="97"/>
      <c r="C65" s="49"/>
      <c r="D65" s="53"/>
      <c r="E65" s="51"/>
      <c r="F65" s="52"/>
      <c r="G65" s="322" t="str">
        <f>IF(OR(E65="",F65=""),"",PID_KVLohnLookup($A$1,E65,F65,LOHNTABELLE!$H$4))</f>
        <v/>
      </c>
      <c r="H65" s="323" t="str">
        <f>IF(AND(ISNUMBER(D65),ISNUMBER(F65)),ROUNDDOWN(MIN(IF(OR(ISBLANK(I65),I65=""),EOMONTH(DATE(EINSTELLUNG!$C$35,$A$1,1),0),I65)-MAX(D65,DATE(EINSTELLUNG!$C$35,$A$1,1))+1)/DAY(EOMONTH(DATE(EINSTELLUNG!$C$35,$A$1,1),0))*F65,2),"")</f>
        <v/>
      </c>
      <c r="I65" s="53"/>
      <c r="J65" s="54"/>
      <c r="K65" s="322" t="str">
        <f t="shared" si="1"/>
        <v/>
      </c>
      <c r="L65" s="32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1" t="s">
        <v>137</v>
      </c>
      <c r="B66" s="96"/>
      <c r="C66" s="41"/>
      <c r="D66" s="45"/>
      <c r="E66" s="43"/>
      <c r="F66" s="44"/>
      <c r="G66" s="322" t="str">
        <f>IF(OR(E66="",F66=""),"",PID_KVLohnLookup($A$1,E66,F66,LOHNTABELLE!$H$4))</f>
        <v/>
      </c>
      <c r="H66" s="323" t="str">
        <f>IF(AND(ISNUMBER(D66),ISNUMBER(F66)),ROUNDDOWN(MIN(IF(OR(ISBLANK(I66),I66=""),EOMONTH(DATE(EINSTELLUNG!$C$35,$A$1,1),0),I66)-MAX(D66,DATE(EINSTELLUNG!$C$35,$A$1,1))+1)/DAY(EOMONTH(DATE(EINSTELLUNG!$C$35,$A$1,1),0))*F66,2),"")</f>
        <v/>
      </c>
      <c r="I66" s="45"/>
      <c r="J66" s="46"/>
      <c r="K66" s="322" t="str">
        <f t="shared" si="1"/>
        <v/>
      </c>
      <c r="L66" s="32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1" t="s">
        <v>138</v>
      </c>
      <c r="B67" s="97"/>
      <c r="C67" s="49"/>
      <c r="D67" s="53"/>
      <c r="E67" s="51"/>
      <c r="F67" s="52"/>
      <c r="G67" s="322" t="str">
        <f>IF(OR(E67="",F67=""),"",PID_KVLohnLookup($A$1,E67,F67,LOHNTABELLE!$H$4))</f>
        <v/>
      </c>
      <c r="H67" s="323" t="str">
        <f>IF(AND(ISNUMBER(D67),ISNUMBER(F67)),ROUNDDOWN(MIN(IF(OR(ISBLANK(I67),I67=""),EOMONTH(DATE(EINSTELLUNG!$C$35,$A$1,1),0),I67)-MAX(D67,DATE(EINSTELLUNG!$C$35,$A$1,1))+1)/DAY(EOMONTH(DATE(EINSTELLUNG!$C$35,$A$1,1),0))*F67,2),"")</f>
        <v/>
      </c>
      <c r="I67" s="53"/>
      <c r="J67" s="54"/>
      <c r="K67" s="322" t="str">
        <f t="shared" ref="K67:K82" si="3">IF(OR(B67="",C67=""),"",IFERROR(IF(OR(MONTH(D67)=1,MONTH(D67)=3,MONTH(D67)=5,MONTH(D67)=7,MONTH(D67)=8,MONTH(D67)=10,MONTH(D67)=12),(G67/31)*J67,IF(OR(MONTH(D67)=4,MONTH(D67)=6,MONTH(D67)=9,MONTH(D67)=11),(G67/30)*J67,(G67/DAY(EOMONTH(D67,0)))*J67)),0))</f>
        <v/>
      </c>
      <c r="L67" s="32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1" t="s">
        <v>139</v>
      </c>
      <c r="B68" s="96"/>
      <c r="C68" s="41"/>
      <c r="D68" s="45"/>
      <c r="E68" s="43"/>
      <c r="F68" s="44"/>
      <c r="G68" s="322" t="str">
        <f>IF(OR(E68="",F68=""),"",PID_KVLohnLookup($A$1,E68,F68,LOHNTABELLE!$H$4))</f>
        <v/>
      </c>
      <c r="H68" s="323" t="str">
        <f>IF(AND(ISNUMBER(D68),ISNUMBER(F68)),ROUNDDOWN(MIN(IF(OR(ISBLANK(I68),I68=""),EOMONTH(DATE(EINSTELLUNG!$C$35,$A$1,1),0),I68)-MAX(D68,DATE(EINSTELLUNG!$C$35,$A$1,1))+1)/DAY(EOMONTH(DATE(EINSTELLUNG!$C$35,$A$1,1),0))*F68,2),"")</f>
        <v/>
      </c>
      <c r="I68" s="45"/>
      <c r="J68" s="46"/>
      <c r="K68" s="322" t="str">
        <f t="shared" si="3"/>
        <v/>
      </c>
      <c r="L68" s="32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1" t="s">
        <v>140</v>
      </c>
      <c r="B69" s="97"/>
      <c r="C69" s="49"/>
      <c r="D69" s="53"/>
      <c r="E69" s="51"/>
      <c r="F69" s="52"/>
      <c r="G69" s="322" t="str">
        <f>IF(OR(E69="",F69=""),"",PID_KVLohnLookup($A$1,E69,F69,LOHNTABELLE!$H$4))</f>
        <v/>
      </c>
      <c r="H69" s="323" t="str">
        <f>IF(AND(ISNUMBER(D69),ISNUMBER(F69)),ROUNDDOWN(MIN(IF(OR(ISBLANK(I69),I69=""),EOMONTH(DATE(EINSTELLUNG!$C$35,$A$1,1),0),I69)-MAX(D69,DATE(EINSTELLUNG!$C$35,$A$1,1))+1)/DAY(EOMONTH(DATE(EINSTELLUNG!$C$35,$A$1,1),0))*F69,2),"")</f>
        <v/>
      </c>
      <c r="I69" s="53"/>
      <c r="J69" s="54"/>
      <c r="K69" s="322" t="str">
        <f t="shared" si="3"/>
        <v/>
      </c>
      <c r="L69" s="32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1" t="s">
        <v>141</v>
      </c>
      <c r="B70" s="96"/>
      <c r="C70" s="41"/>
      <c r="D70" s="45"/>
      <c r="E70" s="43"/>
      <c r="F70" s="44"/>
      <c r="G70" s="322" t="str">
        <f>IF(OR(E70="",F70=""),"",PID_KVLohnLookup($A$1,E70,F70,LOHNTABELLE!$H$4))</f>
        <v/>
      </c>
      <c r="H70" s="323" t="str">
        <f>IF(AND(ISNUMBER(D70),ISNUMBER(F70)),ROUNDDOWN(MIN(IF(OR(ISBLANK(I70),I70=""),EOMONTH(DATE(EINSTELLUNG!$C$35,$A$1,1),0),I70)-MAX(D70,DATE(EINSTELLUNG!$C$35,$A$1,1))+1)/DAY(EOMONTH(DATE(EINSTELLUNG!$C$35,$A$1,1),0))*F70,2),"")</f>
        <v/>
      </c>
      <c r="I70" s="45"/>
      <c r="J70" s="46"/>
      <c r="K70" s="322" t="str">
        <f t="shared" si="3"/>
        <v/>
      </c>
      <c r="L70" s="32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1" t="s">
        <v>142</v>
      </c>
      <c r="B71" s="97"/>
      <c r="C71" s="49"/>
      <c r="D71" s="53"/>
      <c r="E71" s="51"/>
      <c r="F71" s="52"/>
      <c r="G71" s="322" t="str">
        <f>IF(OR(E71="",F71=""),"",PID_KVLohnLookup($A$1,E71,F71,LOHNTABELLE!$H$4))</f>
        <v/>
      </c>
      <c r="H71" s="323" t="str">
        <f>IF(AND(ISNUMBER(D71),ISNUMBER(F71)),ROUNDDOWN(MIN(IF(OR(ISBLANK(I71),I71=""),EOMONTH(DATE(EINSTELLUNG!$C$35,$A$1,1),0),I71)-MAX(D71,DATE(EINSTELLUNG!$C$35,$A$1,1))+1)/DAY(EOMONTH(DATE(EINSTELLUNG!$C$35,$A$1,1),0))*F71,2),"")</f>
        <v/>
      </c>
      <c r="I71" s="53"/>
      <c r="J71" s="54"/>
      <c r="K71" s="322" t="str">
        <f t="shared" si="3"/>
        <v/>
      </c>
      <c r="L71" s="32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1" t="s">
        <v>143</v>
      </c>
      <c r="B72" s="96"/>
      <c r="C72" s="41"/>
      <c r="D72" s="45"/>
      <c r="E72" s="43"/>
      <c r="F72" s="44"/>
      <c r="G72" s="322" t="str">
        <f>IF(OR(E72="",F72=""),"",PID_KVLohnLookup($A$1,E72,F72,LOHNTABELLE!$H$4))</f>
        <v/>
      </c>
      <c r="H72" s="323" t="str">
        <f>IF(AND(ISNUMBER(D72),ISNUMBER(F72)),ROUNDDOWN(MIN(IF(OR(ISBLANK(I72),I72=""),EOMONTH(DATE(EINSTELLUNG!$C$35,$A$1,1),0),I72)-MAX(D72,DATE(EINSTELLUNG!$C$35,$A$1,1))+1)/DAY(EOMONTH(DATE(EINSTELLUNG!$C$35,$A$1,1),0))*F72,2),"")</f>
        <v/>
      </c>
      <c r="I72" s="45"/>
      <c r="J72" s="46"/>
      <c r="K72" s="322" t="str">
        <f t="shared" si="3"/>
        <v/>
      </c>
      <c r="L72" s="32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1" t="s">
        <v>144</v>
      </c>
      <c r="B73" s="97"/>
      <c r="C73" s="49"/>
      <c r="D73" s="53"/>
      <c r="E73" s="51"/>
      <c r="F73" s="52"/>
      <c r="G73" s="322" t="str">
        <f>IF(OR(E73="",F73=""),"",PID_KVLohnLookup($A$1,E73,F73,LOHNTABELLE!$H$4))</f>
        <v/>
      </c>
      <c r="H73" s="323" t="str">
        <f>IF(AND(ISNUMBER(D73),ISNUMBER(F73)),ROUNDDOWN(MIN(IF(OR(ISBLANK(I73),I73=""),EOMONTH(DATE(EINSTELLUNG!$C$35,$A$1,1),0),I73)-MAX(D73,DATE(EINSTELLUNG!$C$35,$A$1,1))+1)/DAY(EOMONTH(DATE(EINSTELLUNG!$C$35,$A$1,1),0))*F73,2),"")</f>
        <v/>
      </c>
      <c r="I73" s="53"/>
      <c r="J73" s="54"/>
      <c r="K73" s="322" t="str">
        <f t="shared" si="3"/>
        <v/>
      </c>
      <c r="L73" s="32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1" t="s">
        <v>145</v>
      </c>
      <c r="B74" s="96"/>
      <c r="C74" s="41"/>
      <c r="D74" s="45"/>
      <c r="E74" s="43"/>
      <c r="F74" s="44"/>
      <c r="G74" s="322" t="str">
        <f>IF(OR(E74="",F74=""),"",PID_KVLohnLookup($A$1,E74,F74,LOHNTABELLE!$H$4))</f>
        <v/>
      </c>
      <c r="H74" s="323" t="str">
        <f>IF(AND(ISNUMBER(D74),ISNUMBER(F74)),ROUNDDOWN(MIN(IF(OR(ISBLANK(I74),I74=""),EOMONTH(DATE(EINSTELLUNG!$C$35,$A$1,1),0),I74)-MAX(D74,DATE(EINSTELLUNG!$C$35,$A$1,1))+1)/DAY(EOMONTH(DATE(EINSTELLUNG!$C$35,$A$1,1),0))*F74,2),"")</f>
        <v/>
      </c>
      <c r="I74" s="45"/>
      <c r="J74" s="46"/>
      <c r="K74" s="322" t="str">
        <f t="shared" si="3"/>
        <v/>
      </c>
      <c r="L74" s="32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1" t="s">
        <v>146</v>
      </c>
      <c r="B75" s="97"/>
      <c r="C75" s="49"/>
      <c r="D75" s="53"/>
      <c r="E75" s="51"/>
      <c r="F75" s="52"/>
      <c r="G75" s="322" t="str">
        <f>IF(OR(E75="",F75=""),"",PID_KVLohnLookup($A$1,E75,F75,LOHNTABELLE!$H$4))</f>
        <v/>
      </c>
      <c r="H75" s="323" t="str">
        <f>IF(AND(ISNUMBER(D75),ISNUMBER(F75)),ROUNDDOWN(MIN(IF(OR(ISBLANK(I75),I75=""),EOMONTH(DATE(EINSTELLUNG!$C$35,$A$1,1),0),I75)-MAX(D75,DATE(EINSTELLUNG!$C$35,$A$1,1))+1)/DAY(EOMONTH(DATE(EINSTELLUNG!$C$35,$A$1,1),0))*F75,2),"")</f>
        <v/>
      </c>
      <c r="I75" s="53"/>
      <c r="J75" s="54"/>
      <c r="K75" s="322" t="str">
        <f t="shared" si="3"/>
        <v/>
      </c>
      <c r="L75" s="32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1" t="s">
        <v>147</v>
      </c>
      <c r="B76" s="96"/>
      <c r="C76" s="41"/>
      <c r="D76" s="45"/>
      <c r="E76" s="43"/>
      <c r="F76" s="44"/>
      <c r="G76" s="322" t="str">
        <f>IF(OR(E76="",F76=""),"",PID_KVLohnLookup($A$1,E76,F76,LOHNTABELLE!$H$4))</f>
        <v/>
      </c>
      <c r="H76" s="323" t="str">
        <f>IF(AND(ISNUMBER(D76),ISNUMBER(F76)),ROUNDDOWN(MIN(IF(OR(ISBLANK(I76),I76=""),EOMONTH(DATE(EINSTELLUNG!$C$35,$A$1,1),0),I76)-MAX(D76,DATE(EINSTELLUNG!$C$35,$A$1,1))+1)/DAY(EOMONTH(DATE(EINSTELLUNG!$C$35,$A$1,1),0))*F76,2),"")</f>
        <v/>
      </c>
      <c r="I76" s="45"/>
      <c r="J76" s="46"/>
      <c r="K76" s="322" t="str">
        <f t="shared" si="3"/>
        <v/>
      </c>
      <c r="L76" s="32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1" t="s">
        <v>148</v>
      </c>
      <c r="B77" s="97"/>
      <c r="C77" s="49"/>
      <c r="D77" s="53"/>
      <c r="E77" s="51"/>
      <c r="F77" s="52"/>
      <c r="G77" s="322" t="str">
        <f>IF(OR(E77="",F77=""),"",PID_KVLohnLookup($A$1,E77,F77,LOHNTABELLE!$H$4))</f>
        <v/>
      </c>
      <c r="H77" s="323" t="str">
        <f>IF(AND(ISNUMBER(D77),ISNUMBER(F77)),ROUNDDOWN(MIN(IF(OR(ISBLANK(I77),I77=""),EOMONTH(DATE(EINSTELLUNG!$C$35,$A$1,1),0),I77)-MAX(D77,DATE(EINSTELLUNG!$C$35,$A$1,1))+1)/DAY(EOMONTH(DATE(EINSTELLUNG!$C$35,$A$1,1),0))*F77,2),"")</f>
        <v/>
      </c>
      <c r="I77" s="53"/>
      <c r="J77" s="54"/>
      <c r="K77" s="322" t="str">
        <f t="shared" si="3"/>
        <v/>
      </c>
      <c r="L77" s="32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1" t="s">
        <v>149</v>
      </c>
      <c r="B78" s="96"/>
      <c r="C78" s="41"/>
      <c r="D78" s="45"/>
      <c r="E78" s="43"/>
      <c r="F78" s="44"/>
      <c r="G78" s="322" t="str">
        <f>IF(OR(E78="",F78=""),"",PID_KVLohnLookup($A$1,E78,F78,LOHNTABELLE!$H$4))</f>
        <v/>
      </c>
      <c r="H78" s="323" t="str">
        <f>IF(AND(ISNUMBER(D78),ISNUMBER(F78)),ROUNDDOWN(MIN(IF(OR(ISBLANK(I78),I78=""),EOMONTH(DATE(EINSTELLUNG!$C$35,$A$1,1),0),I78)-MAX(D78,DATE(EINSTELLUNG!$C$35,$A$1,1))+1)/DAY(EOMONTH(DATE(EINSTELLUNG!$C$35,$A$1,1),0))*F78,2),"")</f>
        <v/>
      </c>
      <c r="I78" s="45"/>
      <c r="J78" s="46"/>
      <c r="K78" s="322" t="str">
        <f t="shared" si="3"/>
        <v/>
      </c>
      <c r="L78" s="32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1" t="s">
        <v>150</v>
      </c>
      <c r="B79" s="97"/>
      <c r="C79" s="49"/>
      <c r="D79" s="53"/>
      <c r="E79" s="51"/>
      <c r="F79" s="52"/>
      <c r="G79" s="322" t="str">
        <f>IF(OR(E79="",F79=""),"",PID_KVLohnLookup($A$1,E79,F79,LOHNTABELLE!$H$4))</f>
        <v/>
      </c>
      <c r="H79" s="323" t="str">
        <f>IF(AND(ISNUMBER(D79),ISNUMBER(F79)),ROUNDDOWN(MIN(IF(OR(ISBLANK(I79),I79=""),EOMONTH(DATE(EINSTELLUNG!$C$35,$A$1,1),0),I79)-MAX(D79,DATE(EINSTELLUNG!$C$35,$A$1,1))+1)/DAY(EOMONTH(DATE(EINSTELLUNG!$C$35,$A$1,1),0))*F79,2),"")</f>
        <v/>
      </c>
      <c r="I79" s="53"/>
      <c r="J79" s="54"/>
      <c r="K79" s="322" t="str">
        <f t="shared" si="3"/>
        <v/>
      </c>
      <c r="L79" s="32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1" t="s">
        <v>151</v>
      </c>
      <c r="B80" s="96"/>
      <c r="C80" s="41"/>
      <c r="D80" s="45"/>
      <c r="E80" s="43"/>
      <c r="F80" s="44"/>
      <c r="G80" s="322" t="str">
        <f>IF(OR(E80="",F80=""),"",PID_KVLohnLookup($A$1,E80,F80,LOHNTABELLE!$H$4))</f>
        <v/>
      </c>
      <c r="H80" s="323" t="str">
        <f>IF(AND(ISNUMBER(D80),ISNUMBER(F80)),ROUNDDOWN(MIN(IF(OR(ISBLANK(I80),I80=""),EOMONTH(DATE(EINSTELLUNG!$C$35,$A$1,1),0),I80)-MAX(D80,DATE(EINSTELLUNG!$C$35,$A$1,1))+1)/DAY(EOMONTH(DATE(EINSTELLUNG!$C$35,$A$1,1),0))*F80,2),"")</f>
        <v/>
      </c>
      <c r="I80" s="45"/>
      <c r="J80" s="46"/>
      <c r="K80" s="322" t="str">
        <f t="shared" si="3"/>
        <v/>
      </c>
      <c r="L80" s="32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1" t="s">
        <v>152</v>
      </c>
      <c r="B81" s="97"/>
      <c r="C81" s="49"/>
      <c r="D81" s="53"/>
      <c r="E81" s="51"/>
      <c r="F81" s="52"/>
      <c r="G81" s="322" t="str">
        <f>IF(OR(E81="",F81=""),"",PID_KVLohnLookup($A$1,E81,F81,LOHNTABELLE!$H$4))</f>
        <v/>
      </c>
      <c r="H81" s="323" t="str">
        <f>IF(AND(ISNUMBER(D81),ISNUMBER(F81)),ROUNDDOWN(MIN(IF(OR(ISBLANK(I81),I81=""),EOMONTH(DATE(EINSTELLUNG!$C$35,$A$1,1),0),I81)-MAX(D81,DATE(EINSTELLUNG!$C$35,$A$1,1))+1)/DAY(EOMONTH(DATE(EINSTELLUNG!$C$35,$A$1,1),0))*F81,2),"")</f>
        <v/>
      </c>
      <c r="I81" s="53"/>
      <c r="J81" s="54"/>
      <c r="K81" s="322" t="str">
        <f t="shared" si="3"/>
        <v/>
      </c>
      <c r="L81" s="32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87" t="s">
        <v>153</v>
      </c>
      <c r="B82" s="98"/>
      <c r="C82" s="58"/>
      <c r="D82" s="59"/>
      <c r="E82" s="60"/>
      <c r="F82" s="61"/>
      <c r="G82" s="388" t="str">
        <f>IF(OR(E82="",F82=""),"",PID_KVLohnLookup($A$1,E82,F82,LOHNTABELLE!$H$4))</f>
        <v/>
      </c>
      <c r="H82" s="389" t="str">
        <f>IF(AND(ISNUMBER(D82),ISNUMBER(F82)),ROUNDDOWN(MIN(IF(OR(ISBLANK(I82),I82=""),EOMONTH(DATE(EINSTELLUNG!$C$35,$A$1,1),0),I82)-MAX(D82,DATE(EINSTELLUNG!$C$35,$A$1,1))+1)/DAY(EOMONTH(DATE(EINSTELLUNG!$C$35,$A$1,1),0))*F82,2),"")</f>
        <v/>
      </c>
      <c r="I82" s="59"/>
      <c r="J82" s="62"/>
      <c r="K82" s="388" t="str">
        <f t="shared" si="3"/>
        <v/>
      </c>
      <c r="L82" s="390"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391"/>
      <c r="B83" s="391"/>
    </row>
    <row r="100" spans="26:26" ht="16" customHeight="1">
      <c r="Z100" s="301"/>
    </row>
  </sheetData>
  <sheetProtection algorithmName="SHA-512" hashValue="LrQ12AjgsUFp9rFR6cqR1/yF6RtjVd4AMV8J+CvUhSoT3yDRtcNEr2U2+9PIty5+afCC6aVN0Ct9sl53UpzkAQ==" saltValue="pBbBMFfz/+veWdfXxbfR4Q=="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F54</xm:sqref>
        </x14:dataValidation>
        <x14:dataValidation type="list" allowBlank="1" showInputMessage="1" showErrorMessage="1" xr:uid="{134117C3-5B75-2042-8C64-33A5B30B90E1}">
          <x14:formula1>
            <xm:f>KV_DROPDOWN_HELPER!$AGZ$1:$AGZ$13</xm:f>
          </x14:formula1>
          <xm:sqref>F15</xm:sqref>
        </x14:dataValidation>
        <x14:dataValidation type="list" allowBlank="1" showInputMessage="1" showErrorMessage="1" xr:uid="{5D1F5899-6135-AC47-B765-32157EDD8FD9}">
          <x14:formula1>
            <xm:f>KV_DROPDOWN_HELPER!$AHB$1:$AHB$13</xm:f>
          </x14:formula1>
          <xm:sqref>F18 F21 F23</xm:sqref>
        </x14:dataValidation>
        <x14:dataValidation type="list" allowBlank="1" showInputMessage="1" showErrorMessage="1" xr:uid="{75383239-9BF9-384D-91EA-600D933C570A}">
          <x14:formula1>
            <xm:f>KV_DROPDOWN_HELPER!$AHC$1:$AHC$13</xm:f>
          </x14:formula1>
          <xm:sqref>F59 F60 F61 F62 F63 F64 F65 F66 F67 F68 F69 F70 F71 F72 F73 F74 F75 F76 F77 F78 F79 F80 F81 F82</xm:sqref>
        </x14:dataValidation>
        <x14:dataValidation type="list" allowBlank="1" showInputMessage="1" showErrorMessage="1" xr:uid="{5FAD274F-3D32-4ADF-8D37-4CA97291C40E}">
          <x14:formula1>
            <xm:f>KV_DROPDOWN_HELPER!$AHA$1:$AHA$13</xm:f>
          </x14:formula1>
          <xm:sqref>F17</xm:sqref>
        </x14:dataValidation>
        <x14:dataValidation type="list" allowBlank="1" showInputMessage="1" showErrorMessage="1" xr:uid="{94C37223-5838-4530-91F8-760CD2208932}">
          <x14:formula1>
            <xm:f>KV_DROPDOWN_HELPER!$AGW$1:$AGW$15</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5"/>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9.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276</v>
      </c>
      <c r="B2">
        <v>400002</v>
      </c>
      <c r="C2" t="s">
        <v>386</v>
      </c>
      <c r="D2" s="3">
        <v>33359</v>
      </c>
      <c r="E2" s="3">
        <v>46037</v>
      </c>
      <c r="F2" t="s">
        <v>194</v>
      </c>
      <c r="G2">
        <v>12679</v>
      </c>
      <c r="H2" s="5">
        <v>1</v>
      </c>
      <c r="I2" s="5">
        <v>2</v>
      </c>
      <c r="J2" s="5">
        <v>2</v>
      </c>
      <c r="K2" t="s">
        <v>215</v>
      </c>
    </row>
    <row r="3" spans="1:11">
      <c r="A3" t="s">
        <v>276</v>
      </c>
      <c r="B3">
        <v>401691</v>
      </c>
      <c r="C3" t="s">
        <v>252</v>
      </c>
      <c r="D3" s="3">
        <v>45539</v>
      </c>
      <c r="E3" s="3">
        <v>46047</v>
      </c>
      <c r="F3" t="s">
        <v>184</v>
      </c>
      <c r="G3">
        <v>509</v>
      </c>
      <c r="H3" s="5">
        <v>0.75</v>
      </c>
      <c r="I3" s="5">
        <v>1.25</v>
      </c>
      <c r="J3" s="5">
        <v>0.9375</v>
      </c>
      <c r="K3" t="s">
        <v>277</v>
      </c>
    </row>
    <row r="4" spans="1:11">
      <c r="A4" t="s">
        <v>311</v>
      </c>
      <c r="B4">
        <v>600000</v>
      </c>
      <c r="C4" t="s">
        <v>303</v>
      </c>
      <c r="D4" s="3">
        <v>36865</v>
      </c>
      <c r="E4" s="3">
        <v>46055</v>
      </c>
      <c r="F4" t="s">
        <v>190</v>
      </c>
      <c r="G4">
        <v>9191</v>
      </c>
      <c r="H4" s="5">
        <v>0</v>
      </c>
      <c r="I4" s="5">
        <v>2</v>
      </c>
      <c r="J4" s="5">
        <v>0</v>
      </c>
      <c r="K4" t="s">
        <v>217</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168</v>
      </c>
      <c r="B7">
        <v>401406</v>
      </c>
      <c r="C7" t="s">
        <v>393</v>
      </c>
      <c r="D7" s="3">
        <v>36850</v>
      </c>
      <c r="E7" s="3">
        <v>46133</v>
      </c>
      <c r="F7" t="s">
        <v>194</v>
      </c>
      <c r="G7">
        <v>9284</v>
      </c>
      <c r="H7" s="5">
        <v>1</v>
      </c>
      <c r="I7" s="5">
        <v>2</v>
      </c>
      <c r="J7" s="5">
        <v>2</v>
      </c>
      <c r="K7" t="s">
        <v>215</v>
      </c>
    </row>
    <row r="8" spans="1:11">
      <c r="A8" t="s">
        <v>168</v>
      </c>
      <c r="B8">
        <v>401432</v>
      </c>
      <c r="C8" t="s">
        <v>235</v>
      </c>
      <c r="D8" s="3">
        <v>44441</v>
      </c>
      <c r="E8" s="3">
        <v>46131</v>
      </c>
      <c r="F8" t="s">
        <v>194</v>
      </c>
      <c r="G8">
        <v>1691</v>
      </c>
      <c r="H8" s="5">
        <v>1</v>
      </c>
      <c r="I8" s="5">
        <v>1.5</v>
      </c>
      <c r="J8" s="5">
        <v>1.5</v>
      </c>
      <c r="K8" t="s">
        <v>215</v>
      </c>
    </row>
    <row r="9" spans="1:11">
      <c r="A9" t="s">
        <v>168</v>
      </c>
      <c r="B9">
        <v>401476</v>
      </c>
      <c r="C9" t="s">
        <v>237</v>
      </c>
      <c r="D9" s="3">
        <v>44504</v>
      </c>
      <c r="E9" s="3">
        <v>46130</v>
      </c>
      <c r="F9" t="s">
        <v>195</v>
      </c>
      <c r="G9">
        <v>1627</v>
      </c>
      <c r="H9" s="5">
        <v>1.1000000000000001</v>
      </c>
      <c r="I9" s="5">
        <v>1.5</v>
      </c>
      <c r="J9" s="5">
        <v>1.6500000000000001</v>
      </c>
      <c r="K9" t="s">
        <v>215</v>
      </c>
    </row>
    <row r="10" spans="1:11">
      <c r="A10" t="s">
        <v>168</v>
      </c>
      <c r="B10">
        <v>401481</v>
      </c>
      <c r="C10" t="s">
        <v>239</v>
      </c>
      <c r="D10" s="3">
        <v>44531</v>
      </c>
      <c r="E10" s="3">
        <v>46132</v>
      </c>
      <c r="F10" t="s">
        <v>184</v>
      </c>
      <c r="G10">
        <v>1602</v>
      </c>
      <c r="H10" s="5">
        <v>0.75</v>
      </c>
      <c r="I10" s="5">
        <v>1.5</v>
      </c>
      <c r="J10" s="5">
        <v>1.125</v>
      </c>
      <c r="K10" t="s">
        <v>215</v>
      </c>
    </row>
    <row r="11" spans="1:11">
      <c r="A11" t="s">
        <v>169</v>
      </c>
      <c r="B11">
        <v>401703</v>
      </c>
      <c r="C11" t="s">
        <v>254</v>
      </c>
      <c r="D11" s="3">
        <v>45616</v>
      </c>
      <c r="E11" s="3">
        <v>46144</v>
      </c>
      <c r="F11" t="s">
        <v>194</v>
      </c>
      <c r="G11">
        <v>529</v>
      </c>
      <c r="H11" s="5">
        <v>1</v>
      </c>
      <c r="I11" s="5">
        <v>1.25</v>
      </c>
      <c r="J11" s="5">
        <v>1.25</v>
      </c>
      <c r="K11" t="s">
        <v>220</v>
      </c>
    </row>
    <row r="12" spans="1:11">
      <c r="A12" t="s">
        <v>169</v>
      </c>
      <c r="B12">
        <v>401736</v>
      </c>
      <c r="C12" t="s">
        <v>265</v>
      </c>
      <c r="D12" s="3">
        <v>45906</v>
      </c>
      <c r="E12" s="3">
        <v>46167</v>
      </c>
      <c r="F12" t="s">
        <v>186</v>
      </c>
      <c r="G12">
        <v>262</v>
      </c>
      <c r="H12" s="5">
        <v>0.5</v>
      </c>
      <c r="I12" s="5">
        <v>1</v>
      </c>
      <c r="J12" s="5">
        <v>0.5</v>
      </c>
      <c r="K12" t="s">
        <v>277</v>
      </c>
    </row>
    <row r="13" spans="1:11">
      <c r="A13" t="s">
        <v>170</v>
      </c>
      <c r="B13">
        <v>401047</v>
      </c>
      <c r="C13" t="s">
        <v>226</v>
      </c>
      <c r="D13" s="3">
        <v>41154</v>
      </c>
      <c r="E13" s="3">
        <v>46193</v>
      </c>
      <c r="F13" t="s">
        <v>185</v>
      </c>
      <c r="G13">
        <v>5040</v>
      </c>
      <c r="H13" s="5">
        <v>0</v>
      </c>
      <c r="I13" s="5">
        <v>2</v>
      </c>
      <c r="J13" s="5">
        <v>0</v>
      </c>
      <c r="K13" t="s">
        <v>217</v>
      </c>
    </row>
    <row r="14" spans="1:11">
      <c r="A14" t="s">
        <v>174</v>
      </c>
      <c r="B14">
        <v>401558</v>
      </c>
      <c r="C14" t="s">
        <v>236</v>
      </c>
      <c r="D14" s="3">
        <v>44460</v>
      </c>
      <c r="E14" s="3">
        <v>46275</v>
      </c>
      <c r="F14" t="s">
        <v>189</v>
      </c>
      <c r="G14">
        <v>1816</v>
      </c>
      <c r="H14" s="5">
        <v>0</v>
      </c>
      <c r="I14" s="5">
        <v>1.5</v>
      </c>
      <c r="J14" s="5">
        <v>0</v>
      </c>
      <c r="K14" t="s">
        <v>217</v>
      </c>
    </row>
    <row r="15" spans="1:11">
      <c r="A15" t="s">
        <v>176</v>
      </c>
      <c r="B15">
        <v>402000</v>
      </c>
      <c r="C15" t="s">
        <v>295</v>
      </c>
      <c r="D15" s="3">
        <v>46143</v>
      </c>
      <c r="E15" s="3">
        <v>46305</v>
      </c>
      <c r="F15" t="s">
        <v>188</v>
      </c>
      <c r="G15">
        <v>163</v>
      </c>
      <c r="H15" s="5">
        <v>0</v>
      </c>
      <c r="I15" s="5">
        <v>0.75</v>
      </c>
      <c r="J15" s="5">
        <v>0</v>
      </c>
      <c r="K15" t="s">
        <v>217</v>
      </c>
    </row>
  </sheetData>
  <sheetProtection algorithmName="SHA-512" hashValue="PZZaE9fE9WA13UV0OIOmqo/VpGMQAnMQj+ZsRHYcRrmTqtRzW4h2vBk7QyvZNmhJMbqOHxJzciezIDUuFm86Xg==" saltValue="Nu2AyNVGkLliwiEZFAdP9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R1TcX4s4n2z5NsGnC777vcTKsLYa5Q1x7XyE7e9XBwfUaeQ5W9TpRvBIIpps95eI79F9uEm4k+I6p9gTnTXzRg==" saltValue="8+LUZd75EtWc+/K40sWS0Q=="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6"/>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171</v>
      </c>
      <c r="B2" s="5">
        <v>151.38</v>
      </c>
      <c r="C2" s="5">
        <v>151.38</v>
      </c>
      <c r="D2" s="5">
        <v>151.38</v>
      </c>
      <c r="E2" s="5">
        <v>151.38</v>
      </c>
      <c r="F2" s="5">
        <v>151.38</v>
      </c>
      <c r="G2" s="5">
        <v>151.38</v>
      </c>
      <c r="CC2" s="5">
        <v>171</v>
      </c>
      <c r="CD2" s="5">
        <v>151.38</v>
      </c>
      <c r="CE2" s="5">
        <v>151.38</v>
      </c>
      <c r="CF2" s="5">
        <v>151.38</v>
      </c>
      <c r="CG2" s="5">
        <v>151.38</v>
      </c>
      <c r="CH2" s="5">
        <v>151.38</v>
      </c>
      <c r="CI2" s="5">
        <v>151.38</v>
      </c>
      <c r="FE2" s="5">
        <v>171</v>
      </c>
      <c r="FF2" s="5">
        <v>151.38</v>
      </c>
      <c r="FG2" s="5">
        <v>151.38</v>
      </c>
      <c r="FH2" s="5">
        <v>151.38</v>
      </c>
      <c r="FI2" s="5">
        <v>151.38</v>
      </c>
      <c r="FJ2" s="5">
        <v>151.38</v>
      </c>
      <c r="FK2" s="5">
        <v>151.38</v>
      </c>
      <c r="IG2" s="5">
        <v>171</v>
      </c>
      <c r="IH2" s="5">
        <v>151.38</v>
      </c>
      <c r="II2" s="5">
        <v>151.38</v>
      </c>
      <c r="IJ2" s="5">
        <v>151.38</v>
      </c>
      <c r="IK2" s="5">
        <v>151.38</v>
      </c>
      <c r="IL2" s="5">
        <v>151.38</v>
      </c>
      <c r="IM2" s="5">
        <v>151.38</v>
      </c>
      <c r="LI2" s="5">
        <v>171</v>
      </c>
      <c r="LJ2" s="5">
        <v>151.38</v>
      </c>
      <c r="LK2" s="5">
        <v>151.38</v>
      </c>
      <c r="LL2" s="5">
        <v>151.38</v>
      </c>
      <c r="LM2" s="5">
        <v>151.38</v>
      </c>
      <c r="LN2" s="5">
        <v>151.38</v>
      </c>
      <c r="LO2" s="5">
        <v>151.38</v>
      </c>
      <c r="OK2" s="5">
        <v>169</v>
      </c>
      <c r="OL2" s="5">
        <v>151.38</v>
      </c>
      <c r="OM2" s="5">
        <v>151.38</v>
      </c>
      <c r="ON2" s="5">
        <v>151.38</v>
      </c>
      <c r="OO2" s="5">
        <v>151.38</v>
      </c>
      <c r="OP2" s="5">
        <v>151.38</v>
      </c>
      <c r="OQ2" s="5">
        <v>151.38</v>
      </c>
      <c r="RM2" s="5">
        <v>169</v>
      </c>
      <c r="RN2" s="5">
        <v>151.38</v>
      </c>
      <c r="RO2" s="5">
        <v>151.38</v>
      </c>
      <c r="RP2" s="5">
        <v>151.38</v>
      </c>
      <c r="RQ2" s="5">
        <v>151.38</v>
      </c>
      <c r="RR2" s="5">
        <v>151.38</v>
      </c>
      <c r="RS2" s="5">
        <v>151.38</v>
      </c>
      <c r="UO2" s="5">
        <v>169</v>
      </c>
      <c r="UP2" s="5">
        <v>151.38</v>
      </c>
      <c r="UQ2" s="5">
        <v>151.38</v>
      </c>
      <c r="UR2" s="5">
        <v>151.38</v>
      </c>
      <c r="US2" s="5">
        <v>151.38</v>
      </c>
      <c r="UT2" s="5">
        <v>151.38</v>
      </c>
      <c r="UU2" s="5">
        <v>151.38</v>
      </c>
      <c r="XQ2" s="5">
        <v>171</v>
      </c>
      <c r="XR2" s="5">
        <v>151.38</v>
      </c>
      <c r="XS2" s="5">
        <v>151.38</v>
      </c>
      <c r="XT2" s="5">
        <v>151.38</v>
      </c>
      <c r="XU2" s="5">
        <v>151.38</v>
      </c>
      <c r="XV2" s="5">
        <v>151.38</v>
      </c>
      <c r="XW2" s="5">
        <v>151.38</v>
      </c>
      <c r="AAS2" s="5">
        <v>171</v>
      </c>
      <c r="AAT2" s="5">
        <v>151.38</v>
      </c>
      <c r="AAU2" s="5">
        <v>151.38</v>
      </c>
      <c r="AAV2" s="5">
        <v>151.38</v>
      </c>
      <c r="AAW2" s="5">
        <v>151.38</v>
      </c>
      <c r="AAX2" s="5">
        <v>151.38</v>
      </c>
      <c r="AAY2" s="5">
        <v>151.38</v>
      </c>
      <c r="ADU2" s="5">
        <v>169</v>
      </c>
      <c r="ADV2" s="5">
        <v>151.38</v>
      </c>
      <c r="ADW2" s="5">
        <v>151.38</v>
      </c>
      <c r="ADX2" s="5">
        <v>151.38</v>
      </c>
      <c r="ADY2" s="5">
        <v>151.38</v>
      </c>
      <c r="ADZ2" s="5">
        <v>151.38</v>
      </c>
      <c r="AEA2" s="5">
        <v>151.38</v>
      </c>
      <c r="AGW2" s="5">
        <v>169</v>
      </c>
      <c r="AGX2" s="5">
        <v>151.38</v>
      </c>
      <c r="AGY2" s="5">
        <v>151.38</v>
      </c>
      <c r="AGZ2" s="5">
        <v>151.38</v>
      </c>
      <c r="AHA2" s="5">
        <v>151.38</v>
      </c>
      <c r="AHB2" s="5">
        <v>151.38</v>
      </c>
      <c r="AHC2" s="5">
        <v>151.38</v>
      </c>
      <c r="AJY2" t="s">
        <v>3</v>
      </c>
    </row>
    <row r="3" spans="1:961">
      <c r="A3" s="5">
        <v>169</v>
      </c>
      <c r="B3" s="5">
        <v>138.4</v>
      </c>
      <c r="C3" s="5">
        <v>138.4</v>
      </c>
      <c r="D3" s="5">
        <v>138.4</v>
      </c>
      <c r="E3" s="5">
        <v>138.4</v>
      </c>
      <c r="F3" s="5">
        <v>138.4</v>
      </c>
      <c r="G3" s="5">
        <v>138.4</v>
      </c>
      <c r="CC3" s="5">
        <v>169</v>
      </c>
      <c r="CD3" s="5">
        <v>138.4</v>
      </c>
      <c r="CE3" s="5">
        <v>138.4</v>
      </c>
      <c r="CF3" s="5">
        <v>138.4</v>
      </c>
      <c r="CG3" s="5">
        <v>138.4</v>
      </c>
      <c r="CH3" s="5">
        <v>138.4</v>
      </c>
      <c r="CI3" s="5">
        <v>138.4</v>
      </c>
      <c r="FE3" s="5">
        <v>169</v>
      </c>
      <c r="FF3" s="5">
        <v>138.4</v>
      </c>
      <c r="FG3" s="5">
        <v>138.4</v>
      </c>
      <c r="FH3" s="5">
        <v>138.4</v>
      </c>
      <c r="FI3" s="5">
        <v>138.4</v>
      </c>
      <c r="FJ3" s="5">
        <v>138.4</v>
      </c>
      <c r="FK3" s="5">
        <v>138.4</v>
      </c>
      <c r="IG3" s="5">
        <v>169</v>
      </c>
      <c r="IH3" s="5">
        <v>138.4</v>
      </c>
      <c r="II3" s="5">
        <v>138.4</v>
      </c>
      <c r="IJ3" s="5">
        <v>138.4</v>
      </c>
      <c r="IK3" s="5">
        <v>138.4</v>
      </c>
      <c r="IL3" s="5">
        <v>138.4</v>
      </c>
      <c r="IM3" s="5">
        <v>138.4</v>
      </c>
      <c r="LI3" s="5">
        <v>169</v>
      </c>
      <c r="LJ3" s="5">
        <v>138.4</v>
      </c>
      <c r="LK3" s="5">
        <v>138.4</v>
      </c>
      <c r="LL3" s="5">
        <v>138.4</v>
      </c>
      <c r="LM3" s="5">
        <v>138.4</v>
      </c>
      <c r="LN3" s="5">
        <v>138.4</v>
      </c>
      <c r="LO3" s="5">
        <v>138.4</v>
      </c>
      <c r="OK3" s="5">
        <v>151.38</v>
      </c>
      <c r="OL3" s="5">
        <v>138.4</v>
      </c>
      <c r="OM3" s="5">
        <v>138.4</v>
      </c>
      <c r="ON3" s="5">
        <v>138.4</v>
      </c>
      <c r="OO3" s="5">
        <v>138.4</v>
      </c>
      <c r="OP3" s="5">
        <v>138.4</v>
      </c>
      <c r="OQ3" s="5">
        <v>138.4</v>
      </c>
      <c r="RM3" s="5">
        <v>151.38</v>
      </c>
      <c r="RN3" s="5">
        <v>138.4</v>
      </c>
      <c r="RO3" s="5">
        <v>138.4</v>
      </c>
      <c r="RP3" s="5">
        <v>138.4</v>
      </c>
      <c r="RQ3" s="5">
        <v>138.4</v>
      </c>
      <c r="RR3" s="5">
        <v>138.4</v>
      </c>
      <c r="RS3" s="5">
        <v>138.4</v>
      </c>
      <c r="UO3" s="5">
        <v>151.38</v>
      </c>
      <c r="UP3" s="5">
        <v>138.4</v>
      </c>
      <c r="UQ3" s="5">
        <v>138.4</v>
      </c>
      <c r="UR3" s="5">
        <v>138.4</v>
      </c>
      <c r="US3" s="5">
        <v>138.4</v>
      </c>
      <c r="UT3" s="5">
        <v>138.4</v>
      </c>
      <c r="UU3" s="5">
        <v>138.4</v>
      </c>
      <c r="XQ3" s="5">
        <v>169</v>
      </c>
      <c r="XR3" s="5">
        <v>138.4</v>
      </c>
      <c r="XS3" s="5">
        <v>138.4</v>
      </c>
      <c r="XT3" s="5">
        <v>138.4</v>
      </c>
      <c r="XU3" s="5">
        <v>138.4</v>
      </c>
      <c r="XV3" s="5">
        <v>138.4</v>
      </c>
      <c r="XW3" s="5">
        <v>138.4</v>
      </c>
      <c r="AAS3" s="5">
        <v>169</v>
      </c>
      <c r="AAT3" s="5">
        <v>138.4</v>
      </c>
      <c r="AAU3" s="5">
        <v>138.4</v>
      </c>
      <c r="AAV3" s="5">
        <v>138.4</v>
      </c>
      <c r="AAW3" s="5">
        <v>138.4</v>
      </c>
      <c r="AAX3" s="5">
        <v>138.4</v>
      </c>
      <c r="AAY3" s="5">
        <v>138.4</v>
      </c>
      <c r="ADU3" s="5">
        <v>151.38</v>
      </c>
      <c r="ADV3" s="5">
        <v>138.4</v>
      </c>
      <c r="ADW3" s="5">
        <v>138.4</v>
      </c>
      <c r="ADX3" s="5">
        <v>138.4</v>
      </c>
      <c r="ADY3" s="5">
        <v>138.4</v>
      </c>
      <c r="ADZ3" s="5">
        <v>138.4</v>
      </c>
      <c r="AEA3" s="5">
        <v>138.4</v>
      </c>
      <c r="AGW3" s="5">
        <v>151.38</v>
      </c>
      <c r="AGX3" s="5">
        <v>138.4</v>
      </c>
      <c r="AGY3" s="5">
        <v>138.4</v>
      </c>
      <c r="AGZ3" s="5">
        <v>138.4</v>
      </c>
      <c r="AHA3" s="5">
        <v>138.4</v>
      </c>
      <c r="AHB3" s="5">
        <v>138.4</v>
      </c>
      <c r="AHC3" s="5">
        <v>138.4</v>
      </c>
      <c r="AJY3" t="s">
        <v>4</v>
      </c>
    </row>
    <row r="4" spans="1:961">
      <c r="A4" s="5">
        <v>151.38</v>
      </c>
      <c r="B4" s="5">
        <v>129.75</v>
      </c>
      <c r="C4" s="5">
        <v>129.75</v>
      </c>
      <c r="D4" s="5">
        <v>129.75</v>
      </c>
      <c r="E4" s="5">
        <v>129.75</v>
      </c>
      <c r="F4" s="5">
        <v>129.75</v>
      </c>
      <c r="G4" s="5">
        <v>129.75</v>
      </c>
      <c r="CC4" s="5">
        <v>151.38</v>
      </c>
      <c r="CD4" s="5">
        <v>129.75</v>
      </c>
      <c r="CE4" s="5">
        <v>129.75</v>
      </c>
      <c r="CF4" s="5">
        <v>129.75</v>
      </c>
      <c r="CG4" s="5">
        <v>129.75</v>
      </c>
      <c r="CH4" s="5">
        <v>129.75</v>
      </c>
      <c r="CI4" s="5">
        <v>129.75</v>
      </c>
      <c r="FE4" s="5">
        <v>151.38</v>
      </c>
      <c r="FF4" s="5">
        <v>129.75</v>
      </c>
      <c r="FG4" s="5">
        <v>129.75</v>
      </c>
      <c r="FH4" s="5">
        <v>129.75</v>
      </c>
      <c r="FI4" s="5">
        <v>129.75</v>
      </c>
      <c r="FJ4" s="5">
        <v>129.75</v>
      </c>
      <c r="FK4" s="5">
        <v>129.75</v>
      </c>
      <c r="IG4" s="5">
        <v>151.38</v>
      </c>
      <c r="IH4" s="5">
        <v>129.75</v>
      </c>
      <c r="II4" s="5">
        <v>129.75</v>
      </c>
      <c r="IJ4" s="5">
        <v>129.75</v>
      </c>
      <c r="IK4" s="5">
        <v>129.75</v>
      </c>
      <c r="IL4" s="5">
        <v>129.75</v>
      </c>
      <c r="IM4" s="5">
        <v>129.75</v>
      </c>
      <c r="LI4" s="5">
        <v>151.38</v>
      </c>
      <c r="LJ4" s="5">
        <v>129.75</v>
      </c>
      <c r="LK4" s="5">
        <v>129.75</v>
      </c>
      <c r="LL4" s="5">
        <v>129.75</v>
      </c>
      <c r="LM4" s="5">
        <v>129.75</v>
      </c>
      <c r="LN4" s="5">
        <v>129.75</v>
      </c>
      <c r="LO4" s="5">
        <v>129.75</v>
      </c>
      <c r="OK4" s="5">
        <v>138.4</v>
      </c>
      <c r="OL4" s="5">
        <v>129.75</v>
      </c>
      <c r="OM4" s="5">
        <v>129.75</v>
      </c>
      <c r="ON4" s="5">
        <v>129.75</v>
      </c>
      <c r="OO4" s="5">
        <v>129.75</v>
      </c>
      <c r="OP4" s="5">
        <v>129.75</v>
      </c>
      <c r="OQ4" s="5">
        <v>129.75</v>
      </c>
      <c r="RM4" s="5">
        <v>138.4</v>
      </c>
      <c r="RN4" s="5">
        <v>129.75</v>
      </c>
      <c r="RO4" s="5">
        <v>129.75</v>
      </c>
      <c r="RP4" s="5">
        <v>129.75</v>
      </c>
      <c r="RQ4" s="5">
        <v>129.75</v>
      </c>
      <c r="RR4" s="5">
        <v>129.75</v>
      </c>
      <c r="RS4" s="5">
        <v>129.75</v>
      </c>
      <c r="UO4" s="5">
        <v>138.4</v>
      </c>
      <c r="UP4" s="5">
        <v>129.75</v>
      </c>
      <c r="UQ4" s="5">
        <v>129.75</v>
      </c>
      <c r="UR4" s="5">
        <v>129.75</v>
      </c>
      <c r="US4" s="5">
        <v>129.75</v>
      </c>
      <c r="UT4" s="5">
        <v>129.75</v>
      </c>
      <c r="UU4" s="5">
        <v>129.75</v>
      </c>
      <c r="XQ4" s="5">
        <v>151.38</v>
      </c>
      <c r="XR4" s="5">
        <v>129.75</v>
      </c>
      <c r="XS4" s="5">
        <v>129.75</v>
      </c>
      <c r="XT4" s="5">
        <v>129.75</v>
      </c>
      <c r="XU4" s="5">
        <v>129.75</v>
      </c>
      <c r="XV4" s="5">
        <v>129.75</v>
      </c>
      <c r="XW4" s="5">
        <v>129.75</v>
      </c>
      <c r="AAS4" s="5">
        <v>151.38</v>
      </c>
      <c r="AAT4" s="5">
        <v>129.75</v>
      </c>
      <c r="AAU4" s="5">
        <v>129.75</v>
      </c>
      <c r="AAV4" s="5">
        <v>129.75</v>
      </c>
      <c r="AAW4" s="5">
        <v>129.75</v>
      </c>
      <c r="AAX4" s="5">
        <v>129.75</v>
      </c>
      <c r="AAY4" s="5">
        <v>129.75</v>
      </c>
      <c r="ADU4" s="5">
        <v>138.4</v>
      </c>
      <c r="ADV4" s="5">
        <v>129.75</v>
      </c>
      <c r="ADW4" s="5">
        <v>129.75</v>
      </c>
      <c r="ADX4" s="5">
        <v>129.75</v>
      </c>
      <c r="ADY4" s="5">
        <v>129.75</v>
      </c>
      <c r="ADZ4" s="5">
        <v>129.75</v>
      </c>
      <c r="AEA4" s="5">
        <v>129.75</v>
      </c>
      <c r="AGW4" s="5">
        <v>138.4</v>
      </c>
      <c r="AGX4" s="5">
        <v>129.75</v>
      </c>
      <c r="AGY4" s="5">
        <v>129.75</v>
      </c>
      <c r="AGZ4" s="5">
        <v>129.75</v>
      </c>
      <c r="AHA4" s="5">
        <v>129.75</v>
      </c>
      <c r="AHB4" s="5">
        <v>129.75</v>
      </c>
      <c r="AHC4" s="5">
        <v>129.75</v>
      </c>
      <c r="AJY4" t="s">
        <v>5</v>
      </c>
    </row>
    <row r="5" spans="1:961">
      <c r="A5" s="5">
        <v>138.4</v>
      </c>
      <c r="B5" s="5">
        <v>108.13</v>
      </c>
      <c r="C5" s="5">
        <v>108.13</v>
      </c>
      <c r="D5" s="5">
        <v>108.13</v>
      </c>
      <c r="E5" s="5">
        <v>108.13</v>
      </c>
      <c r="F5" s="5">
        <v>108.13</v>
      </c>
      <c r="G5" s="5">
        <v>108.13</v>
      </c>
      <c r="CC5" s="5">
        <v>138.4</v>
      </c>
      <c r="CD5" s="5">
        <v>108.13</v>
      </c>
      <c r="CE5" s="5">
        <v>108.13</v>
      </c>
      <c r="CF5" s="5">
        <v>108.13</v>
      </c>
      <c r="CG5" s="5">
        <v>108.13</v>
      </c>
      <c r="CH5" s="5">
        <v>108.13</v>
      </c>
      <c r="CI5" s="5">
        <v>108.13</v>
      </c>
      <c r="FE5" s="5">
        <v>138.4</v>
      </c>
      <c r="FF5" s="5">
        <v>108.13</v>
      </c>
      <c r="FG5" s="5">
        <v>108.13</v>
      </c>
      <c r="FH5" s="5">
        <v>108.13</v>
      </c>
      <c r="FI5" s="5">
        <v>108.13</v>
      </c>
      <c r="FJ5" s="5">
        <v>108.13</v>
      </c>
      <c r="FK5" s="5">
        <v>108.13</v>
      </c>
      <c r="IG5" s="5">
        <v>138.4</v>
      </c>
      <c r="IH5" s="5">
        <v>108.13</v>
      </c>
      <c r="II5" s="5">
        <v>108.13</v>
      </c>
      <c r="IJ5" s="5">
        <v>108.13</v>
      </c>
      <c r="IK5" s="5">
        <v>108.13</v>
      </c>
      <c r="IL5" s="5">
        <v>108.13</v>
      </c>
      <c r="IM5" s="5">
        <v>108.13</v>
      </c>
      <c r="LI5" s="5">
        <v>138.4</v>
      </c>
      <c r="LJ5" s="5">
        <v>108.13</v>
      </c>
      <c r="LK5" s="5">
        <v>108.13</v>
      </c>
      <c r="LL5" s="5">
        <v>108.13</v>
      </c>
      <c r="LM5" s="5">
        <v>108.13</v>
      </c>
      <c r="LN5" s="5">
        <v>108.13</v>
      </c>
      <c r="LO5" s="5">
        <v>108.13</v>
      </c>
      <c r="OK5" s="5">
        <v>129.75</v>
      </c>
      <c r="OL5" s="5">
        <v>108.13</v>
      </c>
      <c r="OM5" s="5">
        <v>108.13</v>
      </c>
      <c r="ON5" s="5">
        <v>108.13</v>
      </c>
      <c r="OO5" s="5">
        <v>108.13</v>
      </c>
      <c r="OP5" s="5">
        <v>108.13</v>
      </c>
      <c r="OQ5" s="5">
        <v>108.13</v>
      </c>
      <c r="RM5" s="5">
        <v>129.75</v>
      </c>
      <c r="RN5" s="5">
        <v>108.13</v>
      </c>
      <c r="RO5" s="5">
        <v>108.13</v>
      </c>
      <c r="RP5" s="5">
        <v>108.13</v>
      </c>
      <c r="RQ5" s="5">
        <v>108.13</v>
      </c>
      <c r="RR5" s="5">
        <v>108.13</v>
      </c>
      <c r="RS5" s="5">
        <v>108.13</v>
      </c>
      <c r="UO5" s="5">
        <v>129.75</v>
      </c>
      <c r="UP5" s="5">
        <v>108.13</v>
      </c>
      <c r="UQ5" s="5">
        <v>108.13</v>
      </c>
      <c r="UR5" s="5">
        <v>108.13</v>
      </c>
      <c r="US5" s="5">
        <v>108.13</v>
      </c>
      <c r="UT5" s="5">
        <v>108.13</v>
      </c>
      <c r="UU5" s="5">
        <v>108.13</v>
      </c>
      <c r="XQ5" s="5">
        <v>138.4</v>
      </c>
      <c r="XR5" s="5">
        <v>108.13</v>
      </c>
      <c r="XS5" s="5">
        <v>108.13</v>
      </c>
      <c r="XT5" s="5">
        <v>108.13</v>
      </c>
      <c r="XU5" s="5">
        <v>108.13</v>
      </c>
      <c r="XV5" s="5">
        <v>108.13</v>
      </c>
      <c r="XW5" s="5">
        <v>108.13</v>
      </c>
      <c r="AAS5" s="5">
        <v>138.4</v>
      </c>
      <c r="AAT5" s="5">
        <v>108.13</v>
      </c>
      <c r="AAU5" s="5">
        <v>108.13</v>
      </c>
      <c r="AAV5" s="5">
        <v>108.13</v>
      </c>
      <c r="AAW5" s="5">
        <v>108.13</v>
      </c>
      <c r="AAX5" s="5">
        <v>108.13</v>
      </c>
      <c r="AAY5" s="5">
        <v>108.13</v>
      </c>
      <c r="ADU5" s="5">
        <v>129.75</v>
      </c>
      <c r="ADV5" s="5">
        <v>108.13</v>
      </c>
      <c r="ADW5" s="5">
        <v>108.13</v>
      </c>
      <c r="ADX5" s="5">
        <v>108.13</v>
      </c>
      <c r="ADY5" s="5">
        <v>108.13</v>
      </c>
      <c r="ADZ5" s="5">
        <v>108.13</v>
      </c>
      <c r="AEA5" s="5">
        <v>108.13</v>
      </c>
      <c r="AGW5" s="5">
        <v>129.75</v>
      </c>
      <c r="AGX5" s="5">
        <v>108.13</v>
      </c>
      <c r="AGY5" s="5">
        <v>108.13</v>
      </c>
      <c r="AGZ5" s="5">
        <v>108.13</v>
      </c>
      <c r="AHA5" s="5">
        <v>108.13</v>
      </c>
      <c r="AHB5" s="5">
        <v>108.13</v>
      </c>
      <c r="AHC5" s="5">
        <v>108.13</v>
      </c>
      <c r="AJY5" t="s">
        <v>6</v>
      </c>
    </row>
    <row r="6" spans="1:961">
      <c r="A6" s="5">
        <v>129.75</v>
      </c>
      <c r="B6" s="5">
        <v>103.8</v>
      </c>
      <c r="C6" s="5">
        <v>103.8</v>
      </c>
      <c r="D6" s="5">
        <v>103.8</v>
      </c>
      <c r="E6" s="5">
        <v>103.8</v>
      </c>
      <c r="F6" s="5">
        <v>103.8</v>
      </c>
      <c r="G6" s="5">
        <v>103.8</v>
      </c>
      <c r="CC6" s="5">
        <v>129.75</v>
      </c>
      <c r="CD6" s="5">
        <v>103.8</v>
      </c>
      <c r="CE6" s="5">
        <v>103.8</v>
      </c>
      <c r="CF6" s="5">
        <v>103.8</v>
      </c>
      <c r="CG6" s="5">
        <v>103.8</v>
      </c>
      <c r="CH6" s="5">
        <v>103.8</v>
      </c>
      <c r="CI6" s="5">
        <v>103.8</v>
      </c>
      <c r="FE6" s="5">
        <v>129.75</v>
      </c>
      <c r="FF6" s="5">
        <v>103.8</v>
      </c>
      <c r="FG6" s="5">
        <v>103.8</v>
      </c>
      <c r="FH6" s="5">
        <v>103.8</v>
      </c>
      <c r="FI6" s="5">
        <v>103.8</v>
      </c>
      <c r="FJ6" s="5">
        <v>103.8</v>
      </c>
      <c r="FK6" s="5">
        <v>103.8</v>
      </c>
      <c r="IG6" s="5">
        <v>129.75</v>
      </c>
      <c r="IH6" s="5">
        <v>103.8</v>
      </c>
      <c r="II6" s="5">
        <v>103.8</v>
      </c>
      <c r="IJ6" s="5">
        <v>103.8</v>
      </c>
      <c r="IK6" s="5">
        <v>103.8</v>
      </c>
      <c r="IL6" s="5">
        <v>103.8</v>
      </c>
      <c r="IM6" s="5">
        <v>103.8</v>
      </c>
      <c r="LI6" s="5">
        <v>129.75</v>
      </c>
      <c r="LJ6" s="5">
        <v>103.8</v>
      </c>
      <c r="LK6" s="5">
        <v>103.8</v>
      </c>
      <c r="LL6" s="5">
        <v>103.8</v>
      </c>
      <c r="LM6" s="5">
        <v>103.8</v>
      </c>
      <c r="LN6" s="5">
        <v>103.8</v>
      </c>
      <c r="LO6" s="5">
        <v>103.8</v>
      </c>
      <c r="OK6" s="5">
        <v>108.13</v>
      </c>
      <c r="OL6" s="5">
        <v>103.8</v>
      </c>
      <c r="OM6" s="5">
        <v>103.8</v>
      </c>
      <c r="ON6" s="5">
        <v>103.8</v>
      </c>
      <c r="OO6" s="5">
        <v>103.8</v>
      </c>
      <c r="OP6" s="5">
        <v>103.8</v>
      </c>
      <c r="OQ6" s="5">
        <v>103.8</v>
      </c>
      <c r="RM6" s="5">
        <v>108.13</v>
      </c>
      <c r="RN6" s="5">
        <v>103.8</v>
      </c>
      <c r="RO6" s="5">
        <v>103.8</v>
      </c>
      <c r="RP6" s="5">
        <v>103.8</v>
      </c>
      <c r="RQ6" s="5">
        <v>103.8</v>
      </c>
      <c r="RR6" s="5">
        <v>103.8</v>
      </c>
      <c r="RS6" s="5">
        <v>103.8</v>
      </c>
      <c r="UO6" s="5">
        <v>108.13</v>
      </c>
      <c r="UP6" s="5">
        <v>103.8</v>
      </c>
      <c r="UQ6" s="5">
        <v>103.8</v>
      </c>
      <c r="UR6" s="5">
        <v>103.8</v>
      </c>
      <c r="US6" s="5">
        <v>103.8</v>
      </c>
      <c r="UT6" s="5">
        <v>103.8</v>
      </c>
      <c r="UU6" s="5">
        <v>103.8</v>
      </c>
      <c r="XQ6" s="5">
        <v>129.75</v>
      </c>
      <c r="XR6" s="5">
        <v>103.8</v>
      </c>
      <c r="XS6" s="5">
        <v>103.8</v>
      </c>
      <c r="XT6" s="5">
        <v>103.8</v>
      </c>
      <c r="XU6" s="5">
        <v>103.8</v>
      </c>
      <c r="XV6" s="5">
        <v>103.8</v>
      </c>
      <c r="XW6" s="5">
        <v>103.8</v>
      </c>
      <c r="AAS6" s="5">
        <v>129.75</v>
      </c>
      <c r="AAT6" s="5">
        <v>103.8</v>
      </c>
      <c r="AAU6" s="5">
        <v>103.8</v>
      </c>
      <c r="AAV6" s="5">
        <v>103.8</v>
      </c>
      <c r="AAW6" s="5">
        <v>103.8</v>
      </c>
      <c r="AAX6" s="5">
        <v>103.8</v>
      </c>
      <c r="AAY6" s="5">
        <v>103.8</v>
      </c>
      <c r="ADU6" s="5">
        <v>108.13</v>
      </c>
      <c r="ADV6" s="5">
        <v>103.8</v>
      </c>
      <c r="ADW6" s="5">
        <v>103.8</v>
      </c>
      <c r="ADX6" s="5">
        <v>103.8</v>
      </c>
      <c r="ADY6" s="5">
        <v>103.8</v>
      </c>
      <c r="ADZ6" s="5">
        <v>103.8</v>
      </c>
      <c r="AEA6" s="5">
        <v>103.8</v>
      </c>
      <c r="AGW6" s="5">
        <v>108.13</v>
      </c>
      <c r="AGX6" s="5">
        <v>103.8</v>
      </c>
      <c r="AGY6" s="5">
        <v>103.8</v>
      </c>
      <c r="AGZ6" s="5">
        <v>103.8</v>
      </c>
      <c r="AHA6" s="5">
        <v>103.8</v>
      </c>
      <c r="AHB6" s="5">
        <v>103.8</v>
      </c>
      <c r="AHC6" s="5">
        <v>103.8</v>
      </c>
      <c r="AJY6" t="s">
        <v>7</v>
      </c>
    </row>
    <row r="7" spans="1:961">
      <c r="A7" s="5">
        <v>108.13</v>
      </c>
      <c r="B7" s="5">
        <v>86.5</v>
      </c>
      <c r="C7" s="5">
        <v>86.5</v>
      </c>
      <c r="D7" s="5">
        <v>86.5</v>
      </c>
      <c r="E7" s="5">
        <v>86.5</v>
      </c>
      <c r="F7" s="5">
        <v>86.5</v>
      </c>
      <c r="G7" s="5">
        <v>86.5</v>
      </c>
      <c r="CC7" s="5">
        <v>108.13</v>
      </c>
      <c r="CD7" s="5">
        <v>86.5</v>
      </c>
      <c r="CE7" s="5">
        <v>86.5</v>
      </c>
      <c r="CF7" s="5">
        <v>86.5</v>
      </c>
      <c r="CG7" s="5">
        <v>86.5</v>
      </c>
      <c r="CH7" s="5">
        <v>86.5</v>
      </c>
      <c r="CI7" s="5">
        <v>86.5</v>
      </c>
      <c r="FE7" s="5">
        <v>108.13</v>
      </c>
      <c r="FF7" s="5">
        <v>86.5</v>
      </c>
      <c r="FG7" s="5">
        <v>86.5</v>
      </c>
      <c r="FH7" s="5">
        <v>86.5</v>
      </c>
      <c r="FI7" s="5">
        <v>86.5</v>
      </c>
      <c r="FJ7" s="5">
        <v>86.5</v>
      </c>
      <c r="FK7" s="5">
        <v>86.5</v>
      </c>
      <c r="IG7" s="5">
        <v>108.13</v>
      </c>
      <c r="IH7" s="5">
        <v>86.5</v>
      </c>
      <c r="II7" s="5">
        <v>86.5</v>
      </c>
      <c r="IJ7" s="5">
        <v>86.5</v>
      </c>
      <c r="IK7" s="5">
        <v>86.5</v>
      </c>
      <c r="IL7" s="5">
        <v>86.5</v>
      </c>
      <c r="IM7" s="5">
        <v>86.5</v>
      </c>
      <c r="LI7" s="5">
        <v>108.13</v>
      </c>
      <c r="LJ7" s="5">
        <v>86.5</v>
      </c>
      <c r="LK7" s="5">
        <v>86.5</v>
      </c>
      <c r="LL7" s="5">
        <v>86.5</v>
      </c>
      <c r="LM7" s="5">
        <v>86.5</v>
      </c>
      <c r="LN7" s="5">
        <v>86.5</v>
      </c>
      <c r="LO7" s="5">
        <v>86.5</v>
      </c>
      <c r="OK7" s="5">
        <v>103.8</v>
      </c>
      <c r="OL7" s="5">
        <v>86.5</v>
      </c>
      <c r="OM7" s="5">
        <v>86.5</v>
      </c>
      <c r="ON7" s="5">
        <v>86.5</v>
      </c>
      <c r="OO7" s="5">
        <v>86.5</v>
      </c>
      <c r="OP7" s="5">
        <v>86.5</v>
      </c>
      <c r="OQ7" s="5">
        <v>86.5</v>
      </c>
      <c r="RM7" s="5">
        <v>103.8</v>
      </c>
      <c r="RN7" s="5">
        <v>86.5</v>
      </c>
      <c r="RO7" s="5">
        <v>86.5</v>
      </c>
      <c r="RP7" s="5">
        <v>86.5</v>
      </c>
      <c r="RQ7" s="5">
        <v>86.5</v>
      </c>
      <c r="RR7" s="5">
        <v>86.5</v>
      </c>
      <c r="RS7" s="5">
        <v>86.5</v>
      </c>
      <c r="UO7" s="5">
        <v>103.8</v>
      </c>
      <c r="UP7" s="5">
        <v>86.5</v>
      </c>
      <c r="UQ7" s="5">
        <v>86.5</v>
      </c>
      <c r="UR7" s="5">
        <v>86.5</v>
      </c>
      <c r="US7" s="5">
        <v>86.5</v>
      </c>
      <c r="UT7" s="5">
        <v>86.5</v>
      </c>
      <c r="UU7" s="5">
        <v>86.5</v>
      </c>
      <c r="XQ7" s="5">
        <v>108.13</v>
      </c>
      <c r="XR7" s="5">
        <v>86.5</v>
      </c>
      <c r="XS7" s="5">
        <v>86.5</v>
      </c>
      <c r="XT7" s="5">
        <v>86.5</v>
      </c>
      <c r="XU7" s="5">
        <v>86.5</v>
      </c>
      <c r="XV7" s="5">
        <v>86.5</v>
      </c>
      <c r="XW7" s="5">
        <v>86.5</v>
      </c>
      <c r="AAS7" s="5">
        <v>108.13</v>
      </c>
      <c r="AAT7" s="5">
        <v>86.5</v>
      </c>
      <c r="AAU7" s="5">
        <v>86.5</v>
      </c>
      <c r="AAV7" s="5">
        <v>86.5</v>
      </c>
      <c r="AAW7" s="5">
        <v>86.5</v>
      </c>
      <c r="AAX7" s="5">
        <v>86.5</v>
      </c>
      <c r="AAY7" s="5">
        <v>86.5</v>
      </c>
      <c r="ADU7" s="5">
        <v>103.8</v>
      </c>
      <c r="ADV7" s="5">
        <v>86.5</v>
      </c>
      <c r="ADW7" s="5">
        <v>86.5</v>
      </c>
      <c r="ADX7" s="5">
        <v>86.5</v>
      </c>
      <c r="ADY7" s="5">
        <v>86.5</v>
      </c>
      <c r="ADZ7" s="5">
        <v>86.5</v>
      </c>
      <c r="AEA7" s="5">
        <v>86.5</v>
      </c>
      <c r="AGW7" s="5">
        <v>103.8</v>
      </c>
      <c r="AGX7" s="5">
        <v>86.5</v>
      </c>
      <c r="AGY7" s="5">
        <v>86.5</v>
      </c>
      <c r="AGZ7" s="5">
        <v>86.5</v>
      </c>
      <c r="AHA7" s="5">
        <v>86.5</v>
      </c>
      <c r="AHB7" s="5">
        <v>86.5</v>
      </c>
      <c r="AHC7" s="5">
        <v>86.5</v>
      </c>
      <c r="AJY7" t="s">
        <v>8</v>
      </c>
    </row>
    <row r="8" spans="1:961">
      <c r="A8" s="5">
        <v>103.8</v>
      </c>
      <c r="B8" s="5">
        <v>69.2</v>
      </c>
      <c r="C8" s="5">
        <v>69.2</v>
      </c>
      <c r="D8" s="5">
        <v>69.2</v>
      </c>
      <c r="E8" s="5">
        <v>69.2</v>
      </c>
      <c r="F8" s="5">
        <v>69.2</v>
      </c>
      <c r="G8" s="5">
        <v>69.2</v>
      </c>
      <c r="CC8" s="5">
        <v>103.8</v>
      </c>
      <c r="CD8" s="5">
        <v>69.2</v>
      </c>
      <c r="CE8" s="5">
        <v>69.2</v>
      </c>
      <c r="CF8" s="5">
        <v>69.2</v>
      </c>
      <c r="CG8" s="5">
        <v>69.2</v>
      </c>
      <c r="CH8" s="5">
        <v>69.2</v>
      </c>
      <c r="CI8" s="5">
        <v>69.2</v>
      </c>
      <c r="FE8" s="5">
        <v>103.8</v>
      </c>
      <c r="FF8" s="5">
        <v>69.2</v>
      </c>
      <c r="FG8" s="5">
        <v>69.2</v>
      </c>
      <c r="FH8" s="5">
        <v>69.2</v>
      </c>
      <c r="FI8" s="5">
        <v>69.2</v>
      </c>
      <c r="FJ8" s="5">
        <v>69.2</v>
      </c>
      <c r="FK8" s="5">
        <v>69.2</v>
      </c>
      <c r="IG8" s="5">
        <v>103.8</v>
      </c>
      <c r="IH8" s="5">
        <v>69.2</v>
      </c>
      <c r="II8" s="5">
        <v>69.2</v>
      </c>
      <c r="IJ8" s="5">
        <v>69.2</v>
      </c>
      <c r="IK8" s="5">
        <v>69.2</v>
      </c>
      <c r="IL8" s="5">
        <v>69.2</v>
      </c>
      <c r="IM8" s="5">
        <v>69.2</v>
      </c>
      <c r="LI8" s="5">
        <v>103.8</v>
      </c>
      <c r="LJ8" s="5">
        <v>69.2</v>
      </c>
      <c r="LK8" s="5">
        <v>69.2</v>
      </c>
      <c r="LL8" s="5">
        <v>69.2</v>
      </c>
      <c r="LM8" s="5">
        <v>69.2</v>
      </c>
      <c r="LN8" s="5">
        <v>69.2</v>
      </c>
      <c r="LO8" s="5">
        <v>69.2</v>
      </c>
      <c r="OK8" s="5">
        <v>86.5</v>
      </c>
      <c r="OL8" s="5">
        <v>69.2</v>
      </c>
      <c r="OM8" s="5">
        <v>69.2</v>
      </c>
      <c r="ON8" s="5">
        <v>69.2</v>
      </c>
      <c r="OO8" s="5">
        <v>69.2</v>
      </c>
      <c r="OP8" s="5">
        <v>69.2</v>
      </c>
      <c r="OQ8" s="5">
        <v>69.2</v>
      </c>
      <c r="RM8" s="5">
        <v>86.5</v>
      </c>
      <c r="RN8" s="5">
        <v>69.2</v>
      </c>
      <c r="RO8" s="5">
        <v>69.2</v>
      </c>
      <c r="RP8" s="5">
        <v>69.2</v>
      </c>
      <c r="RQ8" s="5">
        <v>69.2</v>
      </c>
      <c r="RR8" s="5">
        <v>69.2</v>
      </c>
      <c r="RS8" s="5">
        <v>69.2</v>
      </c>
      <c r="UO8" s="5">
        <v>86.5</v>
      </c>
      <c r="UP8" s="5">
        <v>69.2</v>
      </c>
      <c r="UQ8" s="5">
        <v>69.2</v>
      </c>
      <c r="UR8" s="5">
        <v>69.2</v>
      </c>
      <c r="US8" s="5">
        <v>69.2</v>
      </c>
      <c r="UT8" s="5">
        <v>69.2</v>
      </c>
      <c r="UU8" s="5">
        <v>69.2</v>
      </c>
      <c r="XQ8" s="5">
        <v>103.8</v>
      </c>
      <c r="XR8" s="5">
        <v>69.2</v>
      </c>
      <c r="XS8" s="5">
        <v>69.2</v>
      </c>
      <c r="XT8" s="5">
        <v>69.2</v>
      </c>
      <c r="XU8" s="5">
        <v>69.2</v>
      </c>
      <c r="XV8" s="5">
        <v>69.2</v>
      </c>
      <c r="XW8" s="5">
        <v>69.2</v>
      </c>
      <c r="AAS8" s="5">
        <v>103.8</v>
      </c>
      <c r="AAT8" s="5">
        <v>69.2</v>
      </c>
      <c r="AAU8" s="5">
        <v>69.2</v>
      </c>
      <c r="AAV8" s="5">
        <v>69.2</v>
      </c>
      <c r="AAW8" s="5">
        <v>69.2</v>
      </c>
      <c r="AAX8" s="5">
        <v>69.2</v>
      </c>
      <c r="AAY8" s="5">
        <v>69.2</v>
      </c>
      <c r="ADU8" s="5">
        <v>86.5</v>
      </c>
      <c r="ADV8" s="5">
        <v>69.2</v>
      </c>
      <c r="ADW8" s="5">
        <v>69.2</v>
      </c>
      <c r="ADX8" s="5">
        <v>69.2</v>
      </c>
      <c r="ADY8" s="5">
        <v>69.2</v>
      </c>
      <c r="ADZ8" s="5">
        <v>69.2</v>
      </c>
      <c r="AEA8" s="5">
        <v>69.2</v>
      </c>
      <c r="AGW8" s="5">
        <v>86.5</v>
      </c>
      <c r="AGX8" s="5">
        <v>69.2</v>
      </c>
      <c r="AGY8" s="5">
        <v>69.2</v>
      </c>
      <c r="AGZ8" s="5">
        <v>69.2</v>
      </c>
      <c r="AHA8" s="5">
        <v>69.2</v>
      </c>
      <c r="AHB8" s="5">
        <v>69.2</v>
      </c>
      <c r="AHC8" s="5">
        <v>69.2</v>
      </c>
      <c r="AJY8" t="s">
        <v>9</v>
      </c>
    </row>
    <row r="9" spans="1:961">
      <c r="A9" s="5">
        <v>86.5</v>
      </c>
      <c r="B9" s="5">
        <v>51.9</v>
      </c>
      <c r="C9" s="5">
        <v>51.9</v>
      </c>
      <c r="D9" s="5">
        <v>51.9</v>
      </c>
      <c r="E9" s="5">
        <v>51.9</v>
      </c>
      <c r="F9" s="5">
        <v>51.9</v>
      </c>
      <c r="G9" s="5">
        <v>51.9</v>
      </c>
      <c r="CC9" s="5">
        <v>86.5</v>
      </c>
      <c r="CD9" s="5">
        <v>51.9</v>
      </c>
      <c r="CE9" s="5">
        <v>51.9</v>
      </c>
      <c r="CF9" s="5">
        <v>51.9</v>
      </c>
      <c r="CG9" s="5">
        <v>51.9</v>
      </c>
      <c r="CH9" s="5">
        <v>51.9</v>
      </c>
      <c r="CI9" s="5">
        <v>51.9</v>
      </c>
      <c r="FE9" s="5">
        <v>86.5</v>
      </c>
      <c r="FF9" s="5">
        <v>51.9</v>
      </c>
      <c r="FG9" s="5">
        <v>51.9</v>
      </c>
      <c r="FH9" s="5">
        <v>51.9</v>
      </c>
      <c r="FI9" s="5">
        <v>51.9</v>
      </c>
      <c r="FJ9" s="5">
        <v>51.9</v>
      </c>
      <c r="FK9" s="5">
        <v>51.9</v>
      </c>
      <c r="IG9" s="5">
        <v>86.5</v>
      </c>
      <c r="IH9" s="5">
        <v>51.9</v>
      </c>
      <c r="II9" s="5">
        <v>51.9</v>
      </c>
      <c r="IJ9" s="5">
        <v>51.9</v>
      </c>
      <c r="IK9" s="5">
        <v>51.9</v>
      </c>
      <c r="IL9" s="5">
        <v>51.9</v>
      </c>
      <c r="IM9" s="5">
        <v>51.9</v>
      </c>
      <c r="LI9" s="5">
        <v>86.5</v>
      </c>
      <c r="LJ9" s="5">
        <v>51.9</v>
      </c>
      <c r="LK9" s="5">
        <v>51.9</v>
      </c>
      <c r="LL9" s="5">
        <v>51.9</v>
      </c>
      <c r="LM9" s="5">
        <v>51.9</v>
      </c>
      <c r="LN9" s="5">
        <v>51.9</v>
      </c>
      <c r="LO9" s="5">
        <v>51.9</v>
      </c>
      <c r="OK9" s="5">
        <v>69.2</v>
      </c>
      <c r="OL9" s="5">
        <v>51.9</v>
      </c>
      <c r="OM9" s="5">
        <v>51.9</v>
      </c>
      <c r="ON9" s="5">
        <v>51.9</v>
      </c>
      <c r="OO9" s="5">
        <v>51.9</v>
      </c>
      <c r="OP9" s="5">
        <v>51.9</v>
      </c>
      <c r="OQ9" s="5">
        <v>51.9</v>
      </c>
      <c r="RM9" s="5">
        <v>69.2</v>
      </c>
      <c r="RN9" s="5">
        <v>51.9</v>
      </c>
      <c r="RO9" s="5">
        <v>51.9</v>
      </c>
      <c r="RP9" s="5">
        <v>51.9</v>
      </c>
      <c r="RQ9" s="5">
        <v>51.9</v>
      </c>
      <c r="RR9" s="5">
        <v>51.9</v>
      </c>
      <c r="RS9" s="5">
        <v>51.9</v>
      </c>
      <c r="UO9" s="5">
        <v>69.2</v>
      </c>
      <c r="UP9" s="5">
        <v>51.9</v>
      </c>
      <c r="UQ9" s="5">
        <v>51.9</v>
      </c>
      <c r="UR9" s="5">
        <v>51.9</v>
      </c>
      <c r="US9" s="5">
        <v>51.9</v>
      </c>
      <c r="UT9" s="5">
        <v>51.9</v>
      </c>
      <c r="UU9" s="5">
        <v>51.9</v>
      </c>
      <c r="XQ9" s="5">
        <v>86.5</v>
      </c>
      <c r="XR9" s="5">
        <v>51.9</v>
      </c>
      <c r="XS9" s="5">
        <v>51.9</v>
      </c>
      <c r="XT9" s="5">
        <v>51.9</v>
      </c>
      <c r="XU9" s="5">
        <v>51.9</v>
      </c>
      <c r="XV9" s="5">
        <v>51.9</v>
      </c>
      <c r="XW9" s="5">
        <v>51.9</v>
      </c>
      <c r="AAS9" s="5">
        <v>86.5</v>
      </c>
      <c r="AAT9" s="5">
        <v>51.9</v>
      </c>
      <c r="AAU9" s="5">
        <v>51.9</v>
      </c>
      <c r="AAV9" s="5">
        <v>51.9</v>
      </c>
      <c r="AAW9" s="5">
        <v>51.9</v>
      </c>
      <c r="AAX9" s="5">
        <v>51.9</v>
      </c>
      <c r="AAY9" s="5">
        <v>51.9</v>
      </c>
      <c r="ADU9" s="5">
        <v>69.2</v>
      </c>
      <c r="ADV9" s="5">
        <v>51.9</v>
      </c>
      <c r="ADW9" s="5">
        <v>51.9</v>
      </c>
      <c r="ADX9" s="5">
        <v>51.9</v>
      </c>
      <c r="ADY9" s="5">
        <v>51.9</v>
      </c>
      <c r="ADZ9" s="5">
        <v>51.9</v>
      </c>
      <c r="AEA9" s="5">
        <v>51.9</v>
      </c>
      <c r="AGW9" s="5">
        <v>69.2</v>
      </c>
      <c r="AGX9" s="5">
        <v>51.9</v>
      </c>
      <c r="AGY9" s="5">
        <v>51.9</v>
      </c>
      <c r="AGZ9" s="5">
        <v>51.9</v>
      </c>
      <c r="AHA9" s="5">
        <v>51.9</v>
      </c>
      <c r="AHB9" s="5">
        <v>51.9</v>
      </c>
      <c r="AHC9" s="5">
        <v>51.9</v>
      </c>
      <c r="AJY9" t="s">
        <v>10</v>
      </c>
    </row>
    <row r="10" spans="1:961">
      <c r="A10" s="5">
        <v>69.2</v>
      </c>
      <c r="B10" s="5">
        <v>47.58</v>
      </c>
      <c r="C10" s="5">
        <v>47.58</v>
      </c>
      <c r="D10" s="5">
        <v>47.58</v>
      </c>
      <c r="E10" s="5">
        <v>47.58</v>
      </c>
      <c r="F10" s="5">
        <v>47.58</v>
      </c>
      <c r="G10" s="5">
        <v>47.58</v>
      </c>
      <c r="CC10" s="5">
        <v>69.2</v>
      </c>
      <c r="CD10" s="5">
        <v>47.58</v>
      </c>
      <c r="CE10" s="5">
        <v>47.58</v>
      </c>
      <c r="CF10" s="5">
        <v>47.58</v>
      </c>
      <c r="CG10" s="5">
        <v>47.58</v>
      </c>
      <c r="CH10" s="5">
        <v>47.58</v>
      </c>
      <c r="CI10" s="5">
        <v>47.58</v>
      </c>
      <c r="FE10" s="5">
        <v>69.2</v>
      </c>
      <c r="FF10" s="5">
        <v>47.58</v>
      </c>
      <c r="FG10" s="5">
        <v>47.58</v>
      </c>
      <c r="FH10" s="5">
        <v>47.58</v>
      </c>
      <c r="FI10" s="5">
        <v>47.58</v>
      </c>
      <c r="FJ10" s="5">
        <v>47.58</v>
      </c>
      <c r="FK10" s="5">
        <v>47.58</v>
      </c>
      <c r="IG10" s="5">
        <v>69.2</v>
      </c>
      <c r="IH10" s="5">
        <v>47.58</v>
      </c>
      <c r="II10" s="5">
        <v>47.58</v>
      </c>
      <c r="IJ10" s="5">
        <v>47.58</v>
      </c>
      <c r="IK10" s="5">
        <v>47.58</v>
      </c>
      <c r="IL10" s="5">
        <v>47.58</v>
      </c>
      <c r="IM10" s="5">
        <v>47.58</v>
      </c>
      <c r="LI10" s="5">
        <v>69.2</v>
      </c>
      <c r="LJ10" s="5">
        <v>47.58</v>
      </c>
      <c r="LK10" s="5">
        <v>47.58</v>
      </c>
      <c r="LL10" s="5">
        <v>47.58</v>
      </c>
      <c r="LM10" s="5">
        <v>47.58</v>
      </c>
      <c r="LN10" s="5">
        <v>47.58</v>
      </c>
      <c r="LO10" s="5">
        <v>47.58</v>
      </c>
      <c r="OK10" s="5">
        <v>55</v>
      </c>
      <c r="OL10" s="5">
        <v>47.58</v>
      </c>
      <c r="OM10" s="5">
        <v>47.58</v>
      </c>
      <c r="ON10" s="5">
        <v>47.58</v>
      </c>
      <c r="OO10" s="5">
        <v>47.58</v>
      </c>
      <c r="OP10" s="5">
        <v>47.58</v>
      </c>
      <c r="OQ10" s="5">
        <v>47.58</v>
      </c>
      <c r="RM10" s="5">
        <v>55</v>
      </c>
      <c r="RN10" s="5">
        <v>47.58</v>
      </c>
      <c r="RO10" s="5">
        <v>47.58</v>
      </c>
      <c r="RP10" s="5">
        <v>47.58</v>
      </c>
      <c r="RQ10" s="5">
        <v>47.58</v>
      </c>
      <c r="RR10" s="5">
        <v>47.58</v>
      </c>
      <c r="RS10" s="5">
        <v>47.58</v>
      </c>
      <c r="UO10" s="5">
        <v>55</v>
      </c>
      <c r="UP10" s="5">
        <v>47.58</v>
      </c>
      <c r="UQ10" s="5">
        <v>47.58</v>
      </c>
      <c r="UR10" s="5">
        <v>47.58</v>
      </c>
      <c r="US10" s="5">
        <v>47.58</v>
      </c>
      <c r="UT10" s="5">
        <v>47.58</v>
      </c>
      <c r="UU10" s="5">
        <v>47.58</v>
      </c>
      <c r="XQ10" s="5">
        <v>69.2</v>
      </c>
      <c r="XR10" s="5">
        <v>47.58</v>
      </c>
      <c r="XS10" s="5">
        <v>47.58</v>
      </c>
      <c r="XT10" s="5">
        <v>47.58</v>
      </c>
      <c r="XU10" s="5">
        <v>47.58</v>
      </c>
      <c r="XV10" s="5">
        <v>47.58</v>
      </c>
      <c r="XW10" s="5">
        <v>47.58</v>
      </c>
      <c r="AAS10" s="5">
        <v>69.2</v>
      </c>
      <c r="AAT10" s="5">
        <v>47.58</v>
      </c>
      <c r="AAU10" s="5">
        <v>47.58</v>
      </c>
      <c r="AAV10" s="5">
        <v>47.58</v>
      </c>
      <c r="AAW10" s="5">
        <v>47.58</v>
      </c>
      <c r="AAX10" s="5">
        <v>47.58</v>
      </c>
      <c r="AAY10" s="5">
        <v>47.58</v>
      </c>
      <c r="ADU10" s="5">
        <v>55</v>
      </c>
      <c r="ADV10" s="5">
        <v>47.58</v>
      </c>
      <c r="ADW10" s="5">
        <v>47.58</v>
      </c>
      <c r="ADX10" s="5">
        <v>47.58</v>
      </c>
      <c r="ADY10" s="5">
        <v>47.58</v>
      </c>
      <c r="ADZ10" s="5">
        <v>47.58</v>
      </c>
      <c r="AEA10" s="5">
        <v>47.58</v>
      </c>
      <c r="AGW10" s="5">
        <v>55</v>
      </c>
      <c r="AGX10" s="5">
        <v>47.58</v>
      </c>
      <c r="AGY10" s="5">
        <v>47.58</v>
      </c>
      <c r="AGZ10" s="5">
        <v>47.58</v>
      </c>
      <c r="AHA10" s="5">
        <v>47.58</v>
      </c>
      <c r="AHB10" s="5">
        <v>47.58</v>
      </c>
      <c r="AHC10" s="5">
        <v>47.58</v>
      </c>
      <c r="AJY10" t="s">
        <v>11</v>
      </c>
    </row>
    <row r="11" spans="1:961">
      <c r="A11" s="5">
        <v>55</v>
      </c>
      <c r="B11" s="5">
        <v>43.25</v>
      </c>
      <c r="C11" s="5">
        <v>43.25</v>
      </c>
      <c r="D11" s="5">
        <v>43.25</v>
      </c>
      <c r="E11" s="5">
        <v>43.25</v>
      </c>
      <c r="F11" s="5">
        <v>43.25</v>
      </c>
      <c r="G11" s="5">
        <v>43.25</v>
      </c>
      <c r="CC11" s="5">
        <v>55</v>
      </c>
      <c r="CD11" s="5">
        <v>43.25</v>
      </c>
      <c r="CE11" s="5">
        <v>43.25</v>
      </c>
      <c r="CF11" s="5">
        <v>43.25</v>
      </c>
      <c r="CG11" s="5">
        <v>43.25</v>
      </c>
      <c r="CH11" s="5">
        <v>43.25</v>
      </c>
      <c r="CI11" s="5">
        <v>43.25</v>
      </c>
      <c r="FE11" s="5">
        <v>55</v>
      </c>
      <c r="FF11" s="5">
        <v>43.25</v>
      </c>
      <c r="FG11" s="5">
        <v>43.25</v>
      </c>
      <c r="FH11" s="5">
        <v>43.25</v>
      </c>
      <c r="FI11" s="5">
        <v>43.25</v>
      </c>
      <c r="FJ11" s="5">
        <v>43.25</v>
      </c>
      <c r="FK11" s="5">
        <v>43.25</v>
      </c>
      <c r="IG11" s="5">
        <v>55</v>
      </c>
      <c r="IH11" s="5">
        <v>43.25</v>
      </c>
      <c r="II11" s="5">
        <v>43.25</v>
      </c>
      <c r="IJ11" s="5">
        <v>43.25</v>
      </c>
      <c r="IK11" s="5">
        <v>43.25</v>
      </c>
      <c r="IL11" s="5">
        <v>43.25</v>
      </c>
      <c r="IM11" s="5">
        <v>43.25</v>
      </c>
      <c r="LI11" s="5">
        <v>55</v>
      </c>
      <c r="LJ11" s="5">
        <v>43.25</v>
      </c>
      <c r="LK11" s="5">
        <v>43.25</v>
      </c>
      <c r="LL11" s="5">
        <v>43.25</v>
      </c>
      <c r="LM11" s="5">
        <v>43.25</v>
      </c>
      <c r="LN11" s="5">
        <v>43.25</v>
      </c>
      <c r="LO11" s="5">
        <v>43.25</v>
      </c>
      <c r="OK11" s="5">
        <v>51.9</v>
      </c>
      <c r="OL11" s="5">
        <v>43.25</v>
      </c>
      <c r="OM11" s="5">
        <v>43.25</v>
      </c>
      <c r="ON11" s="5">
        <v>43.25</v>
      </c>
      <c r="OO11" s="5">
        <v>43.25</v>
      </c>
      <c r="OP11" s="5">
        <v>43.25</v>
      </c>
      <c r="OQ11" s="5">
        <v>43.25</v>
      </c>
      <c r="RM11" s="5">
        <v>51.9</v>
      </c>
      <c r="RN11" s="5">
        <v>43.25</v>
      </c>
      <c r="RO11" s="5">
        <v>43.25</v>
      </c>
      <c r="RP11" s="5">
        <v>43.25</v>
      </c>
      <c r="RQ11" s="5">
        <v>43.25</v>
      </c>
      <c r="RR11" s="5">
        <v>43.25</v>
      </c>
      <c r="RS11" s="5">
        <v>43.25</v>
      </c>
      <c r="UO11" s="5">
        <v>51.9</v>
      </c>
      <c r="UP11" s="5">
        <v>43.25</v>
      </c>
      <c r="UQ11" s="5">
        <v>43.25</v>
      </c>
      <c r="UR11" s="5">
        <v>43.25</v>
      </c>
      <c r="US11" s="5">
        <v>43.25</v>
      </c>
      <c r="UT11" s="5">
        <v>43.25</v>
      </c>
      <c r="UU11" s="5">
        <v>43.25</v>
      </c>
      <c r="XQ11" s="5">
        <v>55</v>
      </c>
      <c r="XR11" s="5">
        <v>43.25</v>
      </c>
      <c r="XS11" s="5">
        <v>43.25</v>
      </c>
      <c r="XT11" s="5">
        <v>43.25</v>
      </c>
      <c r="XU11" s="5">
        <v>43.25</v>
      </c>
      <c r="XV11" s="5">
        <v>43.25</v>
      </c>
      <c r="XW11" s="5">
        <v>43.25</v>
      </c>
      <c r="AAS11" s="5">
        <v>55</v>
      </c>
      <c r="AAT11" s="5">
        <v>43.25</v>
      </c>
      <c r="AAU11" s="5">
        <v>43.25</v>
      </c>
      <c r="AAV11" s="5">
        <v>43.25</v>
      </c>
      <c r="AAW11" s="5">
        <v>43.25</v>
      </c>
      <c r="AAX11" s="5">
        <v>43.25</v>
      </c>
      <c r="AAY11" s="5">
        <v>43.25</v>
      </c>
      <c r="ADU11" s="5">
        <v>51.9</v>
      </c>
      <c r="ADV11" s="5">
        <v>43.25</v>
      </c>
      <c r="ADW11" s="5">
        <v>43.25</v>
      </c>
      <c r="ADX11" s="5">
        <v>43.25</v>
      </c>
      <c r="ADY11" s="5">
        <v>43.25</v>
      </c>
      <c r="ADZ11" s="5">
        <v>43.25</v>
      </c>
      <c r="AEA11" s="5">
        <v>43.25</v>
      </c>
      <c r="AGW11" s="5">
        <v>51.9</v>
      </c>
      <c r="AGX11" s="5">
        <v>43.25</v>
      </c>
      <c r="AGY11" s="5">
        <v>43.25</v>
      </c>
      <c r="AGZ11" s="5">
        <v>43.25</v>
      </c>
      <c r="AHA11" s="5">
        <v>43.25</v>
      </c>
      <c r="AHB11" s="5">
        <v>43.25</v>
      </c>
      <c r="AHC11" s="5">
        <v>43.25</v>
      </c>
      <c r="AJY11" t="s">
        <v>12</v>
      </c>
    </row>
    <row r="12" spans="1:961">
      <c r="A12" s="5">
        <v>51.9</v>
      </c>
      <c r="B12" s="5">
        <v>34.6</v>
      </c>
      <c r="C12" s="5">
        <v>34.6</v>
      </c>
      <c r="D12" s="5">
        <v>34.6</v>
      </c>
      <c r="E12" s="5">
        <v>34.6</v>
      </c>
      <c r="F12" s="5">
        <v>34.6</v>
      </c>
      <c r="G12" s="5">
        <v>34.6</v>
      </c>
      <c r="CC12" s="5">
        <v>51.9</v>
      </c>
      <c r="CD12" s="5">
        <v>34.6</v>
      </c>
      <c r="CE12" s="5">
        <v>34.6</v>
      </c>
      <c r="CF12" s="5">
        <v>34.6</v>
      </c>
      <c r="CG12" s="5">
        <v>34.6</v>
      </c>
      <c r="CH12" s="5">
        <v>34.6</v>
      </c>
      <c r="CI12" s="5">
        <v>34.6</v>
      </c>
      <c r="FE12" s="5">
        <v>51.9</v>
      </c>
      <c r="FF12" s="5">
        <v>34.6</v>
      </c>
      <c r="FG12" s="5">
        <v>34.6</v>
      </c>
      <c r="FH12" s="5">
        <v>34.6</v>
      </c>
      <c r="FI12" s="5">
        <v>34.6</v>
      </c>
      <c r="FJ12" s="5">
        <v>34.6</v>
      </c>
      <c r="FK12" s="5">
        <v>34.6</v>
      </c>
      <c r="IG12" s="5">
        <v>51.9</v>
      </c>
      <c r="IH12" s="5">
        <v>34.6</v>
      </c>
      <c r="II12" s="5">
        <v>34.6</v>
      </c>
      <c r="IJ12" s="5">
        <v>34.6</v>
      </c>
      <c r="IK12" s="5">
        <v>34.6</v>
      </c>
      <c r="IL12" s="5">
        <v>34.6</v>
      </c>
      <c r="IM12" s="5">
        <v>34.6</v>
      </c>
      <c r="LI12" s="5">
        <v>51.9</v>
      </c>
      <c r="LJ12" s="5">
        <v>34.6</v>
      </c>
      <c r="LK12" s="5">
        <v>34.6</v>
      </c>
      <c r="LL12" s="5">
        <v>34.6</v>
      </c>
      <c r="LM12" s="5">
        <v>34.6</v>
      </c>
      <c r="LN12" s="5">
        <v>34.6</v>
      </c>
      <c r="LO12" s="5">
        <v>34.6</v>
      </c>
      <c r="OK12" s="5">
        <v>47.58</v>
      </c>
      <c r="OL12" s="5">
        <v>34.6</v>
      </c>
      <c r="OM12" s="5">
        <v>34.6</v>
      </c>
      <c r="ON12" s="5">
        <v>34.6</v>
      </c>
      <c r="OO12" s="5">
        <v>34.6</v>
      </c>
      <c r="OP12" s="5">
        <v>34.6</v>
      </c>
      <c r="OQ12" s="5">
        <v>34.6</v>
      </c>
      <c r="RM12" s="5">
        <v>47.58</v>
      </c>
      <c r="RN12" s="5">
        <v>34.6</v>
      </c>
      <c r="RO12" s="5">
        <v>34.6</v>
      </c>
      <c r="RP12" s="5">
        <v>34.6</v>
      </c>
      <c r="RQ12" s="5">
        <v>34.6</v>
      </c>
      <c r="RR12" s="5">
        <v>34.6</v>
      </c>
      <c r="RS12" s="5">
        <v>34.6</v>
      </c>
      <c r="UO12" s="5">
        <v>47.58</v>
      </c>
      <c r="UP12" s="5">
        <v>34.6</v>
      </c>
      <c r="UQ12" s="5">
        <v>34.6</v>
      </c>
      <c r="UR12" s="5">
        <v>34.6</v>
      </c>
      <c r="US12" s="5">
        <v>34.6</v>
      </c>
      <c r="UT12" s="5">
        <v>34.6</v>
      </c>
      <c r="UU12" s="5">
        <v>34.6</v>
      </c>
      <c r="XQ12" s="5">
        <v>51.9</v>
      </c>
      <c r="XR12" s="5">
        <v>34.6</v>
      </c>
      <c r="XS12" s="5">
        <v>34.6</v>
      </c>
      <c r="XT12" s="5">
        <v>34.6</v>
      </c>
      <c r="XU12" s="5">
        <v>34.6</v>
      </c>
      <c r="XV12" s="5">
        <v>34.6</v>
      </c>
      <c r="XW12" s="5">
        <v>34.6</v>
      </c>
      <c r="AAS12" s="5">
        <v>51.9</v>
      </c>
      <c r="AAT12" s="5">
        <v>34.6</v>
      </c>
      <c r="AAU12" s="5">
        <v>34.6</v>
      </c>
      <c r="AAV12" s="5">
        <v>34.6</v>
      </c>
      <c r="AAW12" s="5">
        <v>34.6</v>
      </c>
      <c r="AAX12" s="5">
        <v>34.6</v>
      </c>
      <c r="AAY12" s="5">
        <v>34.6</v>
      </c>
      <c r="ADU12" s="5">
        <v>47.58</v>
      </c>
      <c r="ADV12" s="5">
        <v>34.6</v>
      </c>
      <c r="ADW12" s="5">
        <v>34.6</v>
      </c>
      <c r="ADX12" s="5">
        <v>34.6</v>
      </c>
      <c r="ADY12" s="5">
        <v>34.6</v>
      </c>
      <c r="ADZ12" s="5">
        <v>34.6</v>
      </c>
      <c r="AEA12" s="5">
        <v>34.6</v>
      </c>
      <c r="AGW12" s="5">
        <v>47.58</v>
      </c>
      <c r="AGX12" s="5">
        <v>34.6</v>
      </c>
      <c r="AGY12" s="5">
        <v>34.6</v>
      </c>
      <c r="AGZ12" s="5">
        <v>34.6</v>
      </c>
      <c r="AHA12" s="5">
        <v>34.6</v>
      </c>
      <c r="AHB12" s="5">
        <v>34.6</v>
      </c>
      <c r="AHC12" s="5">
        <v>34.6</v>
      </c>
      <c r="AJY12" t="s">
        <v>13</v>
      </c>
    </row>
    <row r="13" spans="1:961">
      <c r="A13" s="5">
        <v>47.58</v>
      </c>
      <c r="B13" s="5">
        <v>32.01</v>
      </c>
      <c r="C13" s="5">
        <v>32.01</v>
      </c>
      <c r="D13" s="5">
        <v>32.01</v>
      </c>
      <c r="E13" s="5">
        <v>32.01</v>
      </c>
      <c r="F13" s="5">
        <v>32.01</v>
      </c>
      <c r="G13" s="5">
        <v>32.01</v>
      </c>
      <c r="CC13" s="5">
        <v>47.58</v>
      </c>
      <c r="CD13" s="5">
        <v>32.01</v>
      </c>
      <c r="CE13" s="5">
        <v>32.01</v>
      </c>
      <c r="CF13" s="5">
        <v>32.01</v>
      </c>
      <c r="CG13" s="5">
        <v>32.01</v>
      </c>
      <c r="CH13" s="5">
        <v>32.01</v>
      </c>
      <c r="CI13" s="5">
        <v>32.01</v>
      </c>
      <c r="FE13" s="5">
        <v>47.58</v>
      </c>
      <c r="FF13" s="5">
        <v>32.01</v>
      </c>
      <c r="FG13" s="5">
        <v>32.01</v>
      </c>
      <c r="FH13" s="5">
        <v>32.01</v>
      </c>
      <c r="FI13" s="5">
        <v>32.01</v>
      </c>
      <c r="FJ13" s="5">
        <v>32.01</v>
      </c>
      <c r="FK13" s="5">
        <v>32.01</v>
      </c>
      <c r="IG13" s="5">
        <v>47.58</v>
      </c>
      <c r="IH13" s="5">
        <v>32.01</v>
      </c>
      <c r="II13" s="5">
        <v>32.01</v>
      </c>
      <c r="IJ13" s="5">
        <v>32.01</v>
      </c>
      <c r="IK13" s="5">
        <v>32.01</v>
      </c>
      <c r="IL13" s="5">
        <v>32.01</v>
      </c>
      <c r="IM13" s="5">
        <v>32.01</v>
      </c>
      <c r="LI13" s="5">
        <v>47.58</v>
      </c>
      <c r="LJ13" s="5">
        <v>32.01</v>
      </c>
      <c r="LK13" s="5">
        <v>32.01</v>
      </c>
      <c r="LL13" s="5">
        <v>32.01</v>
      </c>
      <c r="LM13" s="5">
        <v>32.01</v>
      </c>
      <c r="LN13" s="5">
        <v>32.01</v>
      </c>
      <c r="LO13" s="5">
        <v>32.01</v>
      </c>
      <c r="OK13" s="5">
        <v>43.25</v>
      </c>
      <c r="OL13" s="5">
        <v>32.01</v>
      </c>
      <c r="OM13" s="5">
        <v>32.01</v>
      </c>
      <c r="ON13" s="5">
        <v>32.01</v>
      </c>
      <c r="OO13" s="5">
        <v>32.01</v>
      </c>
      <c r="OP13" s="5">
        <v>32.01</v>
      </c>
      <c r="OQ13" s="5">
        <v>32.01</v>
      </c>
      <c r="RM13" s="5">
        <v>43.25</v>
      </c>
      <c r="RN13" s="5">
        <v>32.01</v>
      </c>
      <c r="RO13" s="5">
        <v>32.01</v>
      </c>
      <c r="RP13" s="5">
        <v>32.01</v>
      </c>
      <c r="RQ13" s="5">
        <v>32.01</v>
      </c>
      <c r="RR13" s="5">
        <v>32.01</v>
      </c>
      <c r="RS13" s="5">
        <v>32.01</v>
      </c>
      <c r="UO13" s="5">
        <v>43.25</v>
      </c>
      <c r="UP13" s="5">
        <v>32.01</v>
      </c>
      <c r="UQ13" s="5">
        <v>32.01</v>
      </c>
      <c r="UR13" s="5">
        <v>32.01</v>
      </c>
      <c r="US13" s="5">
        <v>32.01</v>
      </c>
      <c r="UT13" s="5">
        <v>32.01</v>
      </c>
      <c r="UU13" s="5">
        <v>32.01</v>
      </c>
      <c r="XQ13" s="5">
        <v>47.58</v>
      </c>
      <c r="XR13" s="5">
        <v>32.01</v>
      </c>
      <c r="XS13" s="5">
        <v>32.01</v>
      </c>
      <c r="XT13" s="5">
        <v>32.01</v>
      </c>
      <c r="XU13" s="5">
        <v>32.01</v>
      </c>
      <c r="XV13" s="5">
        <v>32.01</v>
      </c>
      <c r="XW13" s="5">
        <v>32.01</v>
      </c>
      <c r="AAS13" s="5">
        <v>47.58</v>
      </c>
      <c r="AAT13" s="5">
        <v>32.01</v>
      </c>
      <c r="AAU13" s="5">
        <v>32.01</v>
      </c>
      <c r="AAV13" s="5">
        <v>32.01</v>
      </c>
      <c r="AAW13" s="5">
        <v>32.01</v>
      </c>
      <c r="AAX13" s="5">
        <v>32.01</v>
      </c>
      <c r="AAY13" s="5">
        <v>32.01</v>
      </c>
      <c r="ADU13" s="5">
        <v>43.25</v>
      </c>
      <c r="ADV13" s="5">
        <v>32.01</v>
      </c>
      <c r="ADW13" s="5">
        <v>32.01</v>
      </c>
      <c r="ADX13" s="5">
        <v>32.01</v>
      </c>
      <c r="ADY13" s="5">
        <v>32.01</v>
      </c>
      <c r="ADZ13" s="5">
        <v>32.01</v>
      </c>
      <c r="AEA13" s="5">
        <v>32.01</v>
      </c>
      <c r="AGW13" s="5">
        <v>43.25</v>
      </c>
      <c r="AGX13" s="5">
        <v>32.01</v>
      </c>
      <c r="AGY13" s="5">
        <v>32.01</v>
      </c>
      <c r="AGZ13" s="5">
        <v>32.01</v>
      </c>
      <c r="AHA13" s="5">
        <v>32.01</v>
      </c>
      <c r="AHB13" s="5">
        <v>32.01</v>
      </c>
      <c r="AHC13" s="5">
        <v>32.01</v>
      </c>
    </row>
    <row r="14" spans="1:961">
      <c r="A14" s="5">
        <v>43.25</v>
      </c>
      <c r="CC14" s="5">
        <v>43.25</v>
      </c>
      <c r="FE14" s="5">
        <v>43.25</v>
      </c>
      <c r="IG14" s="5">
        <v>43.25</v>
      </c>
      <c r="LI14" s="5">
        <v>43.25</v>
      </c>
      <c r="OK14" s="5">
        <v>34.6</v>
      </c>
      <c r="RM14" s="5">
        <v>34.6</v>
      </c>
      <c r="UO14" s="5">
        <v>34.6</v>
      </c>
      <c r="XQ14" s="5">
        <v>43.25</v>
      </c>
      <c r="AAS14" s="5">
        <v>43.25</v>
      </c>
      <c r="ADU14" s="5">
        <v>34.6</v>
      </c>
      <c r="AGW14" s="5">
        <v>34.6</v>
      </c>
    </row>
    <row r="15" spans="1:961">
      <c r="A15" s="5">
        <v>34.6</v>
      </c>
      <c r="CC15" s="5">
        <v>34.6</v>
      </c>
      <c r="FE15" s="5">
        <v>34.6</v>
      </c>
      <c r="IG15" s="5">
        <v>34.6</v>
      </c>
      <c r="LI15" s="5">
        <v>34.6</v>
      </c>
      <c r="OK15" s="5">
        <v>32.01</v>
      </c>
      <c r="RM15" s="5">
        <v>32.01</v>
      </c>
      <c r="UO15" s="5">
        <v>32.01</v>
      </c>
      <c r="XQ15" s="5">
        <v>34.6</v>
      </c>
      <c r="AAS15" s="5">
        <v>34.6</v>
      </c>
      <c r="ADU15" s="5">
        <v>32.01</v>
      </c>
      <c r="AGW15" s="5">
        <v>32.01</v>
      </c>
    </row>
    <row r="16" spans="1:961">
      <c r="A16" s="5">
        <v>32.01</v>
      </c>
      <c r="CC16" s="5">
        <v>32.01</v>
      </c>
      <c r="FE16" s="5">
        <v>32.01</v>
      </c>
      <c r="IG16" s="5">
        <v>32.01</v>
      </c>
      <c r="LI16" s="5">
        <v>32.01</v>
      </c>
      <c r="XQ16" s="5">
        <v>32.01</v>
      </c>
      <c r="AAS16" s="5">
        <v>32.01</v>
      </c>
    </row>
  </sheetData>
  <sheetProtection algorithmName="SHA-512" hashValue="43oF6q36lqeKRTNrMoYNUxhz9ZjN8bpIRKNuFnVuHSqGTQveSFoHA3BTzhELFwzlvijqUwA1MrWv1aoq+A5V4Q==" saltValue="AqSeGkC0lxmNhw+pPinkH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8"/>
  <sheetViews>
    <sheetView workbookViewId="0"/>
  </sheetViews>
  <sheetFormatPr baseColWidth="10" defaultRowHeight="14.5"/>
  <sheetData>
    <row r="1" spans="1:5">
      <c r="A1" t="s">
        <v>304</v>
      </c>
      <c r="B1" t="s">
        <v>305</v>
      </c>
      <c r="C1" t="s">
        <v>306</v>
      </c>
      <c r="D1" t="s">
        <v>307</v>
      </c>
      <c r="E1" t="s">
        <v>308</v>
      </c>
    </row>
    <row r="2" spans="1:5">
      <c r="A2">
        <v>2026</v>
      </c>
      <c r="B2">
        <v>7</v>
      </c>
      <c r="C2" t="s">
        <v>354</v>
      </c>
      <c r="D2" t="s">
        <v>313</v>
      </c>
      <c r="E2">
        <v>129.75</v>
      </c>
    </row>
    <row r="3" spans="1:5">
      <c r="A3">
        <v>2026</v>
      </c>
      <c r="B3">
        <v>9</v>
      </c>
      <c r="C3" t="s">
        <v>354</v>
      </c>
      <c r="D3" t="s">
        <v>313</v>
      </c>
      <c r="E3">
        <v>86.5</v>
      </c>
    </row>
    <row r="4" spans="1:5">
      <c r="A4">
        <v>2026</v>
      </c>
      <c r="B4">
        <v>11</v>
      </c>
      <c r="C4" t="s">
        <v>354</v>
      </c>
      <c r="D4" t="s">
        <v>313</v>
      </c>
      <c r="E4">
        <v>166</v>
      </c>
    </row>
    <row r="5" spans="1:5">
      <c r="A5">
        <v>2026</v>
      </c>
      <c r="B5">
        <v>1</v>
      </c>
      <c r="C5" t="s">
        <v>428</v>
      </c>
      <c r="D5" t="s">
        <v>313</v>
      </c>
      <c r="E5">
        <v>171</v>
      </c>
    </row>
    <row r="6" spans="1:5">
      <c r="A6">
        <v>2026</v>
      </c>
      <c r="B6">
        <v>1</v>
      </c>
      <c r="C6" t="s">
        <v>429</v>
      </c>
      <c r="D6" t="s">
        <v>313</v>
      </c>
      <c r="E6">
        <v>173</v>
      </c>
    </row>
    <row r="7" spans="1:5">
      <c r="A7">
        <v>2026</v>
      </c>
      <c r="B7">
        <v>9</v>
      </c>
      <c r="C7" t="s">
        <v>429</v>
      </c>
      <c r="D7" t="s">
        <v>313</v>
      </c>
      <c r="E7">
        <v>138.4</v>
      </c>
    </row>
    <row r="8" spans="1:5">
      <c r="A8">
        <v>2026</v>
      </c>
      <c r="B8">
        <v>7</v>
      </c>
      <c r="C8" t="s">
        <v>429</v>
      </c>
      <c r="D8" t="s">
        <v>313</v>
      </c>
      <c r="E8">
        <v>138.4</v>
      </c>
    </row>
  </sheetData>
  <sheetProtection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6" zoomScaleNormal="100" workbookViewId="0">
      <selection activeCell="E30" sqref="E30"/>
    </sheetView>
  </sheetViews>
  <sheetFormatPr baseColWidth="10" defaultColWidth="11.453125" defaultRowHeight="14"/>
  <cols>
    <col min="1" max="1" width="4.453125" style="221" customWidth="1"/>
    <col min="2" max="2" width="16.36328125" style="221" customWidth="1"/>
    <col min="3" max="4" width="15.6328125" style="221" customWidth="1"/>
    <col min="5" max="5" width="14.6328125" style="221" customWidth="1"/>
    <col min="6" max="6" width="20.81640625" style="221" customWidth="1"/>
    <col min="7" max="7" width="15.81640625" style="221" customWidth="1"/>
    <col min="8" max="8" width="14.6328125" style="221" customWidth="1"/>
    <col min="9" max="9" width="15.6328125" style="221" customWidth="1"/>
    <col min="10" max="10" width="28.6328125" style="221" customWidth="1"/>
    <col min="11" max="11" width="14" style="221" customWidth="1"/>
    <col min="12" max="13" width="20.6328125" style="221" customWidth="1"/>
    <col min="14" max="15" width="15.6328125" style="221" customWidth="1"/>
    <col min="16" max="16" width="11.6328125" style="221" customWidth="1"/>
    <col min="17" max="17" width="20.6328125" style="221" customWidth="1"/>
    <col min="18" max="16384" width="11.453125" style="221"/>
  </cols>
  <sheetData>
    <row r="2" spans="2:21" ht="28" customHeight="1">
      <c r="B2" s="216" t="str">
        <f xml:space="preserve"> "FINANZIELL ÜBERSICHT " &amp; EINSTELLUNG!C35</f>
        <v>FINANZIELL ÜBERSICHT 2026</v>
      </c>
      <c r="C2" s="217"/>
      <c r="D2" s="217"/>
      <c r="E2" s="217"/>
      <c r="F2" s="217"/>
      <c r="G2" s="217"/>
      <c r="H2" s="217"/>
      <c r="I2" s="217"/>
      <c r="J2" s="217"/>
      <c r="K2" s="217"/>
      <c r="L2" s="217"/>
      <c r="M2" s="217"/>
      <c r="N2" s="217"/>
      <c r="O2" s="217"/>
      <c r="P2" s="217"/>
      <c r="Q2" s="218"/>
      <c r="R2" s="219"/>
      <c r="S2" s="220"/>
      <c r="T2" s="220"/>
      <c r="U2" s="220"/>
    </row>
    <row r="3" spans="2:21" ht="18" customHeight="1" thickBot="1">
      <c r="B3" s="222"/>
      <c r="C3" s="223"/>
      <c r="D3" s="223"/>
      <c r="E3" s="223"/>
      <c r="F3" s="223"/>
      <c r="G3" s="223"/>
      <c r="H3" s="223"/>
      <c r="I3" s="223"/>
      <c r="J3" s="223"/>
      <c r="K3" s="223"/>
      <c r="L3" s="223"/>
      <c r="M3" s="223"/>
      <c r="N3" s="223"/>
      <c r="O3" s="223"/>
      <c r="P3" s="223"/>
      <c r="Q3" s="224"/>
      <c r="R3" s="219"/>
    </row>
    <row r="4" spans="2:21" ht="24" customHeight="1">
      <c r="B4" s="225"/>
      <c r="C4" s="226" t="s">
        <v>17</v>
      </c>
      <c r="D4" s="226"/>
      <c r="E4" s="226"/>
      <c r="F4" s="226" t="s">
        <v>154</v>
      </c>
      <c r="G4" s="226"/>
      <c r="H4" s="226"/>
      <c r="I4" s="226" t="s">
        <v>155</v>
      </c>
      <c r="J4" s="226"/>
      <c r="K4" s="226"/>
      <c r="L4" s="226" t="s">
        <v>156</v>
      </c>
      <c r="M4" s="226" t="s">
        <v>157</v>
      </c>
      <c r="N4" s="226" t="s">
        <v>158</v>
      </c>
      <c r="O4" s="226"/>
      <c r="P4" s="226"/>
      <c r="Q4" s="227" t="s">
        <v>90</v>
      </c>
    </row>
    <row r="5" spans="2:21" ht="30" customHeight="1">
      <c r="B5" s="228"/>
      <c r="C5" s="229"/>
      <c r="D5" s="229"/>
      <c r="E5" s="229"/>
      <c r="F5" s="229"/>
      <c r="G5" s="229"/>
      <c r="H5" s="229"/>
      <c r="I5" s="229"/>
      <c r="J5" s="229"/>
      <c r="K5" s="229"/>
      <c r="L5" s="229"/>
      <c r="M5" s="229"/>
      <c r="N5" s="229"/>
      <c r="O5" s="229"/>
      <c r="P5" s="229"/>
      <c r="Q5" s="230"/>
    </row>
    <row r="6" spans="2:21" ht="30" customHeight="1">
      <c r="B6" s="228"/>
      <c r="C6" s="231" t="s">
        <v>159</v>
      </c>
      <c r="D6" s="231" t="s">
        <v>160</v>
      </c>
      <c r="E6" s="231" t="s">
        <v>161</v>
      </c>
      <c r="F6" s="231" t="s">
        <v>159</v>
      </c>
      <c r="G6" s="231" t="s">
        <v>160</v>
      </c>
      <c r="H6" s="231" t="s">
        <v>161</v>
      </c>
      <c r="I6" s="231" t="s">
        <v>159</v>
      </c>
      <c r="J6" s="231" t="s">
        <v>160</v>
      </c>
      <c r="K6" s="231" t="s">
        <v>161</v>
      </c>
      <c r="L6" s="229"/>
      <c r="M6" s="229"/>
      <c r="N6" s="231" t="s">
        <v>162</v>
      </c>
      <c r="O6" s="231" t="s">
        <v>163</v>
      </c>
      <c r="P6" s="231" t="s">
        <v>161</v>
      </c>
      <c r="Q6" s="230"/>
    </row>
    <row r="7" spans="2:21" ht="30" customHeight="1">
      <c r="B7" s="232" t="s">
        <v>164</v>
      </c>
      <c r="C7" s="233">
        <f>EINSTELLUNG!C6</f>
        <v>450000</v>
      </c>
      <c r="D7" s="233">
        <f>EINSTELLUNG!C22</f>
        <v>450000</v>
      </c>
      <c r="E7" s="233">
        <f>D7-C7</f>
        <v>0</v>
      </c>
      <c r="F7" s="233">
        <f>EINSTELLUNG!D6</f>
        <v>100000</v>
      </c>
      <c r="G7" s="233">
        <v>95068.188500000004</v>
      </c>
      <c r="H7" s="233">
        <f t="shared" ref="H7:H23" si="0">G7-F7</f>
        <v>-4931.8114999999962</v>
      </c>
      <c r="I7" s="234">
        <f>EINSTELLUNG!E6</f>
        <v>0.22222222222222221</v>
      </c>
      <c r="J7" s="234">
        <v>0.21126264111111112</v>
      </c>
      <c r="K7" s="234">
        <f t="shared" ref="K7:K23" si="1">J7-I7</f>
        <v>-1.0959581111111089E-2</v>
      </c>
      <c r="L7" s="235">
        <f>Januar!S40</f>
        <v>71.530417117705682</v>
      </c>
      <c r="M7" s="235">
        <f>Januar!S41</f>
        <v>4.6097379920299222</v>
      </c>
      <c r="N7" s="235">
        <f>Januar!O5</f>
        <v>728.74943166107107</v>
      </c>
      <c r="O7" s="235">
        <f>Januar!P5</f>
        <v>600</v>
      </c>
      <c r="P7" s="235">
        <f>O7-N7</f>
        <v>-128.74943166107107</v>
      </c>
      <c r="Q7" s="236">
        <v>3.8834951456310676E-2</v>
      </c>
    </row>
    <row r="8" spans="2:21" ht="30" customHeight="1">
      <c r="B8" s="237" t="s">
        <v>165</v>
      </c>
      <c r="C8" s="238">
        <f>EINSTELLUNG!C7</f>
        <v>400000</v>
      </c>
      <c r="D8" s="238">
        <f>EINSTELLUNG!C23</f>
        <v>425000</v>
      </c>
      <c r="E8" s="238">
        <f>D8-C8</f>
        <v>25000</v>
      </c>
      <c r="F8" s="238">
        <f>EINSTELLUNG!D7</f>
        <v>100000</v>
      </c>
      <c r="G8" s="238">
        <v>112083.4129</v>
      </c>
      <c r="H8" s="238">
        <f t="shared" si="0"/>
        <v>12083.412899999996</v>
      </c>
      <c r="I8" s="239">
        <f>EINSTELLUNG!E7</f>
        <v>0.25</v>
      </c>
      <c r="J8" s="239">
        <v>0.26372567741176467</v>
      </c>
      <c r="K8" s="239">
        <f t="shared" si="1"/>
        <v>1.372567741176467E-2</v>
      </c>
      <c r="L8" s="240">
        <f>Februar!S40</f>
        <v>53.280579291531275</v>
      </c>
      <c r="M8" s="240">
        <f>Februar!S41</f>
        <v>3.6356159987162515</v>
      </c>
      <c r="N8" s="240">
        <f>Februar!O5</f>
        <v>864.1711345065703</v>
      </c>
      <c r="O8" s="240">
        <f>Februar!P5</f>
        <v>600</v>
      </c>
      <c r="P8" s="240">
        <f t="shared" ref="P8:P23" si="2">O8-N8</f>
        <v>-264.1711345065703</v>
      </c>
      <c r="Q8" s="241">
        <v>1.6260162601626018E-2</v>
      </c>
    </row>
    <row r="9" spans="2:21" ht="30" customHeight="1">
      <c r="B9" s="232" t="s">
        <v>166</v>
      </c>
      <c r="C9" s="233">
        <f>EINSTELLUNG!C8</f>
        <v>400000</v>
      </c>
      <c r="D9" s="233">
        <f>EINSTELLUNG!C24</f>
        <v>430000</v>
      </c>
      <c r="E9" s="233">
        <f>D9-C9</f>
        <v>30000</v>
      </c>
      <c r="F9" s="233">
        <f>EINSTELLUNG!D8</f>
        <v>100000</v>
      </c>
      <c r="G9" s="233">
        <v>114630.03419999999</v>
      </c>
      <c r="H9" s="233">
        <f t="shared" si="0"/>
        <v>14630.034199999995</v>
      </c>
      <c r="I9" s="234">
        <f>EINSTELLUNG!E8</f>
        <v>0.25</v>
      </c>
      <c r="J9" s="234">
        <v>0.26658147488372091</v>
      </c>
      <c r="K9" s="234">
        <f t="shared" si="1"/>
        <v>1.6581474883720915E-2</v>
      </c>
      <c r="L9" s="235">
        <f>Marz!S40</f>
        <v>48.668189339629258</v>
      </c>
      <c r="M9" s="235">
        <f>Marz!S41</f>
        <v>3.282273234533136</v>
      </c>
      <c r="N9" s="235">
        <f>Marz!O5</f>
        <v>882.95228179960691</v>
      </c>
      <c r="O9" s="235">
        <f>Marz!P5</f>
        <v>600</v>
      </c>
      <c r="P9" s="235">
        <f t="shared" si="2"/>
        <v>-282.95228179960691</v>
      </c>
      <c r="Q9" s="236">
        <v>1.6129032258064516E-2</v>
      </c>
    </row>
    <row r="10" spans="2:21" ht="30" customHeight="1">
      <c r="B10" s="242" t="s">
        <v>167</v>
      </c>
      <c r="C10" s="243">
        <f>SUM(C7:C9)</f>
        <v>1250000</v>
      </c>
      <c r="D10" s="243">
        <f>SUM(D7:D9)</f>
        <v>1305000</v>
      </c>
      <c r="E10" s="243">
        <f>D10-C10</f>
        <v>55000</v>
      </c>
      <c r="F10" s="243">
        <f>SUM(F7:F9)</f>
        <v>300000</v>
      </c>
      <c r="G10" s="243">
        <f>SUM(G7:G9)</f>
        <v>321781.63559999998</v>
      </c>
      <c r="H10" s="243">
        <f t="shared" si="0"/>
        <v>21781.63559999998</v>
      </c>
      <c r="I10" s="244">
        <f>AVERAGE(I7:I9)</f>
        <v>0.24074074074074073</v>
      </c>
      <c r="J10" s="244">
        <f>AVERAGE(J7:J9)</f>
        <v>0.24718993113553225</v>
      </c>
      <c r="K10" s="244">
        <f t="shared" si="1"/>
        <v>6.4491903947915263E-3</v>
      </c>
      <c r="L10" s="245">
        <f>AVERAGE(L7:L9)</f>
        <v>57.826395249622074</v>
      </c>
      <c r="M10" s="245">
        <f>AVERAGE(M7:M9)</f>
        <v>3.842542408426437</v>
      </c>
      <c r="N10" s="245">
        <f>SUM(N7:N9)</f>
        <v>2475.8728479672482</v>
      </c>
      <c r="O10" s="245">
        <f>SUM(O7:O9)</f>
        <v>1800</v>
      </c>
      <c r="P10" s="245">
        <f t="shared" si="2"/>
        <v>-675.87284796724816</v>
      </c>
      <c r="Q10" s="246">
        <v>7.0175438596491224E-2</v>
      </c>
    </row>
    <row r="11" spans="2:21" ht="30" customHeight="1">
      <c r="B11" s="232" t="s">
        <v>168</v>
      </c>
      <c r="C11" s="233">
        <f>EINSTELLUNG!C9</f>
        <v>400000</v>
      </c>
      <c r="D11" s="233">
        <f>EINSTELLUNG!C25</f>
        <v>300000</v>
      </c>
      <c r="E11" s="233">
        <f t="shared" ref="E11:E21" si="3">D11-C11</f>
        <v>-100000</v>
      </c>
      <c r="F11" s="233">
        <f>EINSTELLUNG!D9</f>
        <v>100000</v>
      </c>
      <c r="G11" s="233">
        <v>112179.0267</v>
      </c>
      <c r="H11" s="233">
        <f t="shared" si="0"/>
        <v>12179.026700000002</v>
      </c>
      <c r="I11" s="234">
        <f>EINSTELLUNG!E9</f>
        <v>0.25</v>
      </c>
      <c r="J11" s="234">
        <v>0.37393008900000002</v>
      </c>
      <c r="K11" s="234">
        <f t="shared" si="1"/>
        <v>0.12393008900000002</v>
      </c>
      <c r="L11" s="235">
        <f>April!S40</f>
        <v>35.974932666917695</v>
      </c>
      <c r="M11" s="235">
        <f>April!S41</f>
        <v>2.9979110555764743</v>
      </c>
      <c r="N11" s="235">
        <f>April!O5</f>
        <v>885.03864704714294</v>
      </c>
      <c r="O11" s="235">
        <f>April!P5</f>
        <v>600</v>
      </c>
      <c r="P11" s="235">
        <f t="shared" si="2"/>
        <v>-285.03864704714294</v>
      </c>
      <c r="Q11" s="236">
        <v>8.3333333333333329E-2</v>
      </c>
    </row>
    <row r="12" spans="2:21" ht="30" customHeight="1">
      <c r="B12" s="237" t="s">
        <v>169</v>
      </c>
      <c r="C12" s="238">
        <f>EINSTELLUNG!C10</f>
        <v>400000</v>
      </c>
      <c r="D12" s="238">
        <f>EINSTELLUNG!C26</f>
        <v>420000</v>
      </c>
      <c r="E12" s="238">
        <f t="shared" si="3"/>
        <v>20000</v>
      </c>
      <c r="F12" s="238">
        <f>EINSTELLUNG!D10</f>
        <v>100000</v>
      </c>
      <c r="G12" s="238">
        <v>107952.6223</v>
      </c>
      <c r="H12" s="238">
        <f t="shared" si="0"/>
        <v>7952.6223000000027</v>
      </c>
      <c r="I12" s="239">
        <f>EINSTELLUNG!E10</f>
        <v>0.25</v>
      </c>
      <c r="J12" s="239">
        <v>0.25703005309523808</v>
      </c>
      <c r="K12" s="239">
        <f t="shared" si="1"/>
        <v>7.0300530952380758E-3</v>
      </c>
      <c r="L12" s="240">
        <f>Mai!S40</f>
        <v>56.455027521825926</v>
      </c>
      <c r="M12" s="240">
        <f>Mai!S41</f>
        <v>4.1669186980395327</v>
      </c>
      <c r="N12" s="240">
        <f>Mai!O5</f>
        <v>839.1270314057133</v>
      </c>
      <c r="O12" s="240">
        <f>Mai!P5</f>
        <v>600</v>
      </c>
      <c r="P12" s="240">
        <f t="shared" si="2"/>
        <v>-239.1270314057133</v>
      </c>
      <c r="Q12" s="241">
        <v>3.4188034188034191E-2</v>
      </c>
    </row>
    <row r="13" spans="2:21" ht="30" customHeight="1">
      <c r="B13" s="232" t="s">
        <v>170</v>
      </c>
      <c r="C13" s="233">
        <f>EINSTELLUNG!C11</f>
        <v>400000</v>
      </c>
      <c r="D13" s="233">
        <f>EINSTELLUNG!C27</f>
        <v>435000</v>
      </c>
      <c r="E13" s="233">
        <f t="shared" si="3"/>
        <v>35000</v>
      </c>
      <c r="F13" s="233">
        <f>EINSTELLUNG!D11</f>
        <v>100000</v>
      </c>
      <c r="G13" s="233">
        <v>106914.2567</v>
      </c>
      <c r="H13" s="233">
        <f t="shared" si="0"/>
        <v>6914.2566999999981</v>
      </c>
      <c r="I13" s="234">
        <f>EINSTELLUNG!E11</f>
        <v>0.25</v>
      </c>
      <c r="J13" s="234">
        <v>0.24577990045977011</v>
      </c>
      <c r="K13" s="234">
        <f t="shared" si="1"/>
        <v>-4.2200995402298935E-3</v>
      </c>
      <c r="L13" s="235">
        <f>Juni!S40</f>
        <v>4350</v>
      </c>
      <c r="M13" s="235">
        <f>Juni!S41</f>
        <v>310</v>
      </c>
      <c r="N13" s="235">
        <f>Juni!O5</f>
        <v>814.08485833746272</v>
      </c>
      <c r="O13" s="235">
        <f>Juni!P5</f>
        <v>600</v>
      </c>
      <c r="P13" s="235">
        <f t="shared" si="2"/>
        <v>-214.08485833746272</v>
      </c>
      <c r="Q13" s="236">
        <v>1.7391304347826087E-2</v>
      </c>
    </row>
    <row r="14" spans="2:21" ht="30" customHeight="1">
      <c r="B14" s="242" t="s">
        <v>171</v>
      </c>
      <c r="C14" s="243">
        <f>SUM(C11:C13)</f>
        <v>1200000</v>
      </c>
      <c r="D14" s="243">
        <f>SUM(D11:D13)</f>
        <v>1155000</v>
      </c>
      <c r="E14" s="243">
        <f t="shared" si="3"/>
        <v>-45000</v>
      </c>
      <c r="F14" s="243">
        <f>SUM(F11:F13)</f>
        <v>300000</v>
      </c>
      <c r="G14" s="243">
        <f>SUM(G11:G13)</f>
        <v>327045.9057</v>
      </c>
      <c r="H14" s="243">
        <f t="shared" si="0"/>
        <v>27045.905700000003</v>
      </c>
      <c r="I14" s="244">
        <f>AVERAGE(I11:I13)</f>
        <v>0.25</v>
      </c>
      <c r="J14" s="244">
        <f>AVERAGE(J11:J13)</f>
        <v>0.29224668085166944</v>
      </c>
      <c r="K14" s="244">
        <f t="shared" si="1"/>
        <v>4.2246680851669438E-2</v>
      </c>
      <c r="L14" s="245">
        <f>AVERAGE(L11:L13)</f>
        <v>1480.8099867295812</v>
      </c>
      <c r="M14" s="245">
        <f>AVERAGE(M11:M13)</f>
        <v>105.721609917872</v>
      </c>
      <c r="N14" s="245">
        <f>SUM(N11:N13)</f>
        <v>2538.2505367903191</v>
      </c>
      <c r="O14" s="245">
        <f>SUM(O11:O13)</f>
        <v>1800</v>
      </c>
      <c r="P14" s="245">
        <f t="shared" si="2"/>
        <v>-738.25053679031907</v>
      </c>
      <c r="Q14" s="246">
        <v>0.13445378151260504</v>
      </c>
    </row>
    <row r="15" spans="2:21" ht="30" customHeight="1">
      <c r="B15" s="232" t="s">
        <v>172</v>
      </c>
      <c r="C15" s="233">
        <f>EINSTELLUNG!C12</f>
        <v>400000</v>
      </c>
      <c r="D15" s="233">
        <f>EINSTELLUNG!C28</f>
        <v>435000</v>
      </c>
      <c r="E15" s="233">
        <f t="shared" si="3"/>
        <v>35000</v>
      </c>
      <c r="F15" s="233">
        <f>EINSTELLUNG!D12</f>
        <v>100000</v>
      </c>
      <c r="G15" s="233">
        <v>104235.64</v>
      </c>
      <c r="H15" s="233">
        <f t="shared" si="0"/>
        <v>4235.6399999999994</v>
      </c>
      <c r="I15" s="234">
        <f>EINSTELLUNG!E12</f>
        <v>0.25</v>
      </c>
      <c r="J15" s="234">
        <v>0.23962216091954022</v>
      </c>
      <c r="K15" s="234">
        <f t="shared" si="1"/>
        <v>-1.0377839080459778E-2</v>
      </c>
      <c r="L15" s="235">
        <f>Juli!S40</f>
        <v>57.025846473311908</v>
      </c>
      <c r="M15" s="235">
        <f>Juli!S41</f>
        <v>4.06391089809809</v>
      </c>
      <c r="N15" s="235">
        <f>Juli!O5</f>
        <v>789.87742437148711</v>
      </c>
      <c r="O15" s="235">
        <f>Juli!P5</f>
        <v>600</v>
      </c>
      <c r="P15" s="235">
        <f t="shared" si="2"/>
        <v>-189.87742437148711</v>
      </c>
      <c r="Q15" s="236">
        <v>0</v>
      </c>
    </row>
    <row r="16" spans="2:21" ht="30" customHeight="1">
      <c r="B16" s="237" t="s">
        <v>173</v>
      </c>
      <c r="C16" s="238">
        <f>EINSTELLUNG!C13</f>
        <v>400000</v>
      </c>
      <c r="D16" s="238">
        <f>EINSTELLUNG!C29</f>
        <v>435000</v>
      </c>
      <c r="E16" s="238">
        <f t="shared" si="3"/>
        <v>35000</v>
      </c>
      <c r="F16" s="238">
        <f>EINSTELLUNG!D13</f>
        <v>100000</v>
      </c>
      <c r="G16" s="238">
        <v>104235.64</v>
      </c>
      <c r="H16" s="238">
        <f t="shared" si="0"/>
        <v>4235.6399999999994</v>
      </c>
      <c r="I16" s="239">
        <f>EINSTELLUNG!E13</f>
        <v>0.25</v>
      </c>
      <c r="J16" s="239">
        <v>0.23962216091954022</v>
      </c>
      <c r="K16" s="239">
        <f t="shared" si="1"/>
        <v>-1.0377839080459778E-2</v>
      </c>
      <c r="L16" s="240">
        <f>August!S40</f>
        <v>58.727278618410402</v>
      </c>
      <c r="M16" s="240">
        <f>August!S41</f>
        <v>4.1851623843005115</v>
      </c>
      <c r="N16" s="240">
        <f>August!O5</f>
        <v>789.87742437148711</v>
      </c>
      <c r="O16" s="240">
        <f>August!P5</f>
        <v>620</v>
      </c>
      <c r="P16" s="240">
        <f t="shared" si="2"/>
        <v>-169.87742437148711</v>
      </c>
      <c r="Q16" s="241">
        <v>0</v>
      </c>
    </row>
    <row r="17" spans="2:17" ht="30" customHeight="1">
      <c r="B17" s="232" t="s">
        <v>174</v>
      </c>
      <c r="C17" s="233">
        <f>EINSTELLUNG!C14</f>
        <v>400000</v>
      </c>
      <c r="D17" s="233">
        <f>EINSTELLUNG!C30</f>
        <v>450000</v>
      </c>
      <c r="E17" s="233">
        <f t="shared" si="3"/>
        <v>50000</v>
      </c>
      <c r="F17" s="233">
        <f>EINSTELLUNG!D14</f>
        <v>100000</v>
      </c>
      <c r="G17" s="233">
        <v>102652.5233</v>
      </c>
      <c r="H17" s="233">
        <f t="shared" si="0"/>
        <v>2652.5233000000007</v>
      </c>
      <c r="I17" s="234">
        <f>EINSTELLUNG!E14</f>
        <v>0.25</v>
      </c>
      <c r="J17" s="234">
        <v>0.22811671844444445</v>
      </c>
      <c r="K17" s="234">
        <f t="shared" si="1"/>
        <v>-2.188328155555555E-2</v>
      </c>
      <c r="L17" s="235">
        <f>September!S40</f>
        <v>62.064428393510553</v>
      </c>
      <c r="M17" s="235">
        <f>September!S41</f>
        <v>4.2755495115529492</v>
      </c>
      <c r="N17" s="235">
        <f>September!O5</f>
        <v>785.70372886011194</v>
      </c>
      <c r="O17" s="235">
        <f>September!P5</f>
        <v>600</v>
      </c>
      <c r="P17" s="235">
        <f t="shared" si="2"/>
        <v>-185.70372886011194</v>
      </c>
      <c r="Q17" s="236">
        <v>1.7699115044247787E-2</v>
      </c>
    </row>
    <row r="18" spans="2:17" ht="30" customHeight="1">
      <c r="B18" s="242" t="s">
        <v>175</v>
      </c>
      <c r="C18" s="243">
        <f>SUM(C15:C17)</f>
        <v>1200000</v>
      </c>
      <c r="D18" s="243">
        <f>SUM(D15:D17)</f>
        <v>1320000</v>
      </c>
      <c r="E18" s="243">
        <f>D18-C18</f>
        <v>120000</v>
      </c>
      <c r="F18" s="243">
        <f>SUM(F15:F17)</f>
        <v>300000</v>
      </c>
      <c r="G18" s="243">
        <f>SUM(G15:G17)</f>
        <v>311123.80330000003</v>
      </c>
      <c r="H18" s="243">
        <f t="shared" si="0"/>
        <v>11123.803300000029</v>
      </c>
      <c r="I18" s="244">
        <f>AVERAGE(I15:I17)</f>
        <v>0.25</v>
      </c>
      <c r="J18" s="244">
        <f>AVERAGE(J15:J17)</f>
        <v>0.23578701342784161</v>
      </c>
      <c r="K18" s="244">
        <f t="shared" si="1"/>
        <v>-1.4212986572158387E-2</v>
      </c>
      <c r="L18" s="245">
        <f>AVERAGE(L15:L17)</f>
        <v>59.272517828410948</v>
      </c>
      <c r="M18" s="245">
        <f>AVERAGE(M15:M17)</f>
        <v>4.1748742646505166</v>
      </c>
      <c r="N18" s="245">
        <f>SUM(N15:N17)</f>
        <v>2365.4585776030863</v>
      </c>
      <c r="O18" s="245">
        <f>SUM(O15:O17)</f>
        <v>1820</v>
      </c>
      <c r="P18" s="245">
        <f t="shared" si="2"/>
        <v>-545.45857760308627</v>
      </c>
      <c r="Q18" s="246">
        <v>1.7699115044247787E-2</v>
      </c>
    </row>
    <row r="19" spans="2:17" ht="30" customHeight="1">
      <c r="B19" s="232" t="s">
        <v>176</v>
      </c>
      <c r="C19" s="233">
        <f>EINSTELLUNG!C15</f>
        <v>400000</v>
      </c>
      <c r="D19" s="233">
        <f>EINSTELLUNG!C31</f>
        <v>401000</v>
      </c>
      <c r="E19" s="233">
        <f>D19-C19</f>
        <v>1000</v>
      </c>
      <c r="F19" s="233">
        <f>EINSTELLUNG!D15</f>
        <v>100000</v>
      </c>
      <c r="G19" s="233">
        <v>100340.32550000001</v>
      </c>
      <c r="H19" s="233">
        <f t="shared" si="0"/>
        <v>340.32550000000629</v>
      </c>
      <c r="I19" s="234">
        <f>EINSTELLUNG!E15</f>
        <v>0.25</v>
      </c>
      <c r="J19" s="234">
        <v>0.25022525062344142</v>
      </c>
      <c r="K19" s="234">
        <f t="shared" si="1"/>
        <v>2.2525062344141977E-4</v>
      </c>
      <c r="L19" s="235">
        <f>Oktober!S40</f>
        <v>54.463937674783743</v>
      </c>
      <c r="M19" s="235">
        <f>Oktober!S41</f>
        <v>4.2104290970531073</v>
      </c>
      <c r="N19" s="235">
        <f>Oktober!O5</f>
        <v>769.00894681461148</v>
      </c>
      <c r="O19" s="235">
        <f>Oktober!P5</f>
        <v>600</v>
      </c>
      <c r="P19" s="235">
        <f t="shared" si="2"/>
        <v>-169.00894681461148</v>
      </c>
      <c r="Q19" s="236">
        <v>1.8018018018018018E-2</v>
      </c>
    </row>
    <row r="20" spans="2:17" ht="30" customHeight="1">
      <c r="B20" s="237" t="s">
        <v>177</v>
      </c>
      <c r="C20" s="238">
        <f>EINSTELLUNG!C16</f>
        <v>400000</v>
      </c>
      <c r="D20" s="238">
        <f>EINSTELLUNG!C32</f>
        <v>398000</v>
      </c>
      <c r="E20" s="238">
        <f>D20-C20</f>
        <v>-2000</v>
      </c>
      <c r="F20" s="238">
        <f>EINSTELLUNG!D16</f>
        <v>100000</v>
      </c>
      <c r="G20" s="238">
        <v>96656.89</v>
      </c>
      <c r="H20" s="238">
        <f t="shared" si="0"/>
        <v>-3343.1100000000006</v>
      </c>
      <c r="I20" s="239">
        <f>EINSTELLUNG!E16</f>
        <v>0.25</v>
      </c>
      <c r="J20" s="239">
        <v>0.24285650753768845</v>
      </c>
      <c r="K20" s="239">
        <f t="shared" si="1"/>
        <v>-7.1434924623115514E-3</v>
      </c>
      <c r="L20" s="240">
        <f>November!S40</f>
        <v>59.410344863617446</v>
      </c>
      <c r="M20" s="240">
        <f>November!S41</f>
        <v>4.6274389215380429</v>
      </c>
      <c r="N20" s="240">
        <f>November!O5</f>
        <v>776.68082642511604</v>
      </c>
      <c r="O20" s="240">
        <f>November!P5</f>
        <v>600</v>
      </c>
      <c r="P20" s="240">
        <f t="shared" si="2"/>
        <v>-176.68082642511604</v>
      </c>
      <c r="Q20" s="241">
        <v>0</v>
      </c>
    </row>
    <row r="21" spans="2:17" ht="30" customHeight="1">
      <c r="B21" s="232" t="s">
        <v>178</v>
      </c>
      <c r="C21" s="233">
        <f>EINSTELLUNG!C17</f>
        <v>400000</v>
      </c>
      <c r="D21" s="233">
        <f>EINSTELLUNG!C33</f>
        <v>390000</v>
      </c>
      <c r="E21" s="233">
        <f t="shared" si="3"/>
        <v>-10000</v>
      </c>
      <c r="F21" s="233">
        <f>EINSTELLUNG!D17</f>
        <v>100000</v>
      </c>
      <c r="G21" s="233">
        <v>96656.89</v>
      </c>
      <c r="H21" s="233">
        <f t="shared" si="0"/>
        <v>-3343.1100000000006</v>
      </c>
      <c r="I21" s="234">
        <f>EINSTELLUNG!E17</f>
        <v>0.25</v>
      </c>
      <c r="J21" s="234">
        <v>0.24783817948717948</v>
      </c>
      <c r="K21" s="234">
        <f t="shared" si="1"/>
        <v>-2.161820512820517E-3</v>
      </c>
      <c r="L21" s="235">
        <f>Dezember!S40</f>
        <v>60.708420569258195</v>
      </c>
      <c r="M21" s="235">
        <f>Dezember!S41</f>
        <v>4.8255411221718054</v>
      </c>
      <c r="N21" s="235">
        <f>Dezember!O5</f>
        <v>776.68082642511604</v>
      </c>
      <c r="O21" s="235">
        <f>Dezember!P5</f>
        <v>600</v>
      </c>
      <c r="P21" s="235">
        <f t="shared" si="2"/>
        <v>-176.68082642511604</v>
      </c>
      <c r="Q21" s="236">
        <v>0</v>
      </c>
    </row>
    <row r="22" spans="2:17" ht="30" customHeight="1">
      <c r="B22" s="242" t="s">
        <v>179</v>
      </c>
      <c r="C22" s="243">
        <f>SUM(C19:C21)</f>
        <v>1200000</v>
      </c>
      <c r="D22" s="243">
        <f>SUM(D19:D21)</f>
        <v>1189000</v>
      </c>
      <c r="E22" s="243">
        <f>D22-C22</f>
        <v>-11000</v>
      </c>
      <c r="F22" s="243">
        <f>SUM(F19:F21)</f>
        <v>300000</v>
      </c>
      <c r="G22" s="243">
        <f>SUM(G19:G21)</f>
        <v>293654.10550000001</v>
      </c>
      <c r="H22" s="243">
        <f t="shared" si="0"/>
        <v>-6345.8944999999949</v>
      </c>
      <c r="I22" s="244">
        <f>AVERAGE(I19:I21)</f>
        <v>0.25</v>
      </c>
      <c r="J22" s="244">
        <f>AVERAGE(J19:J21)</f>
        <v>0.24697331254943644</v>
      </c>
      <c r="K22" s="244">
        <f t="shared" si="1"/>
        <v>-3.0266874505635588E-3</v>
      </c>
      <c r="L22" s="245">
        <f>AVERAGE(L19:L21)</f>
        <v>58.194234369219792</v>
      </c>
      <c r="M22" s="245">
        <f>AVERAGE(M19:M21)</f>
        <v>4.5544697135876513</v>
      </c>
      <c r="N22" s="245">
        <f>SUM(N19:N21)</f>
        <v>2322.3705996648432</v>
      </c>
      <c r="O22" s="245">
        <f>SUM(O19:O21)</f>
        <v>1800</v>
      </c>
      <c r="P22" s="245">
        <f>O22-N22</f>
        <v>-522.37059966484321</v>
      </c>
      <c r="Q22" s="246">
        <v>1.8181818181818181E-2</v>
      </c>
    </row>
    <row r="23" spans="2:17" ht="32" customHeight="1" thickBot="1">
      <c r="B23" s="247" t="str">
        <f xml:space="preserve"> "GESAMT " &amp; EINSTELLUNG!C35</f>
        <v>GESAMT 2026</v>
      </c>
      <c r="C23" s="248">
        <f>SUM(C10,C14,C18,C22)</f>
        <v>4850000</v>
      </c>
      <c r="D23" s="248">
        <f>SUM(D10,D14,D18,D22)</f>
        <v>4969000</v>
      </c>
      <c r="E23" s="248">
        <f>D23-C23</f>
        <v>119000</v>
      </c>
      <c r="F23" s="248">
        <f>SUM(F10,F14,F18,F22)</f>
        <v>1200000</v>
      </c>
      <c r="G23" s="248">
        <f>SUM(G10,G14,G18,G22)</f>
        <v>1253605.4501</v>
      </c>
      <c r="H23" s="248">
        <f t="shared" si="0"/>
        <v>53605.450100000016</v>
      </c>
      <c r="I23" s="249">
        <f>AVERAGE(I10,I14,I18,I22)</f>
        <v>0.24768518518518517</v>
      </c>
      <c r="J23" s="249">
        <f>AVERAGE(J10,J14,J18,J22)</f>
        <v>0.25554923449111994</v>
      </c>
      <c r="K23" s="249">
        <f t="shared" si="1"/>
        <v>7.8640493059347616E-3</v>
      </c>
      <c r="L23" s="250">
        <f>AVERAGE(L22,L18,L14,L10)</f>
        <v>414.02578354420848</v>
      </c>
      <c r="M23" s="250">
        <f>AVERAGE(M10,M14,M18,M22)</f>
        <v>29.573374076134151</v>
      </c>
      <c r="N23" s="250">
        <f>SUM(N10,N14,N18,N22)</f>
        <v>9701.9525620254972</v>
      </c>
      <c r="O23" s="250">
        <f>SUM(O10,O14,O18,O22)</f>
        <v>7220</v>
      </c>
      <c r="P23" s="250">
        <f t="shared" si="2"/>
        <v>-2481.9525620254972</v>
      </c>
      <c r="Q23" s="251">
        <v>0.22018348623853212</v>
      </c>
    </row>
    <row r="24" spans="2:17">
      <c r="B24" s="252" t="s">
        <v>384</v>
      </c>
      <c r="O24" s="253"/>
    </row>
    <row r="25" spans="2:17">
      <c r="B25" s="252"/>
      <c r="C25" s="252"/>
      <c r="D25" s="252"/>
      <c r="E25" s="252"/>
      <c r="F25" s="252"/>
      <c r="G25" s="252"/>
      <c r="H25" s="252"/>
    </row>
    <row r="26" spans="2:17">
      <c r="B26" s="254"/>
      <c r="C26" s="254"/>
      <c r="D26" s="254"/>
      <c r="E26" s="254"/>
    </row>
    <row r="27" spans="2:17" ht="14.5" thickBot="1">
      <c r="B27" s="254"/>
      <c r="C27" s="254"/>
      <c r="D27" s="254"/>
      <c r="E27" s="254"/>
    </row>
    <row r="28" spans="2:17" ht="28" customHeight="1">
      <c r="B28" s="255" t="str">
        <f xml:space="preserve"> "DURCHRECHNUNGSSTUNDEN - " &amp; EINSTELLUNG!C35</f>
        <v>DURCHRECHNUNGSSTUNDEN - 2026</v>
      </c>
      <c r="C28" s="256"/>
      <c r="D28" s="256"/>
      <c r="E28" s="256"/>
      <c r="F28" s="256"/>
      <c r="G28" s="256"/>
      <c r="H28" s="256"/>
      <c r="I28" s="256"/>
      <c r="J28" s="256"/>
      <c r="K28" s="256"/>
      <c r="L28" s="256"/>
      <c r="M28" s="256"/>
      <c r="N28" s="256"/>
      <c r="O28" s="256"/>
      <c r="P28" s="256"/>
      <c r="Q28" s="257"/>
    </row>
    <row r="29" spans="2:17" ht="48" customHeight="1" thickBot="1">
      <c r="B29" s="258" t="s">
        <v>348</v>
      </c>
      <c r="C29" s="259"/>
      <c r="D29" s="259"/>
      <c r="E29" s="259"/>
      <c r="F29" s="259"/>
      <c r="G29" s="259"/>
      <c r="H29" s="259"/>
      <c r="I29" s="259"/>
      <c r="J29" s="259"/>
      <c r="K29" s="259"/>
      <c r="L29" s="259"/>
      <c r="M29" s="259"/>
      <c r="N29" s="259"/>
      <c r="O29" s="259"/>
      <c r="P29" s="259"/>
      <c r="Q29" s="260"/>
    </row>
    <row r="30" spans="2:17" ht="40" customHeight="1" thickBot="1">
      <c r="B30" s="261" t="s">
        <v>340</v>
      </c>
      <c r="C30" s="262"/>
      <c r="D30" s="262"/>
      <c r="E30" s="21">
        <v>7000</v>
      </c>
      <c r="F30" s="262" t="s">
        <v>341</v>
      </c>
      <c r="G30" s="262"/>
      <c r="H30" s="262"/>
      <c r="I30" s="21">
        <v>5600</v>
      </c>
      <c r="J30" s="263"/>
      <c r="K30" s="263"/>
      <c r="L30" s="263"/>
      <c r="M30" s="263"/>
      <c r="N30" s="263"/>
      <c r="O30" s="263"/>
      <c r="P30" s="263"/>
      <c r="Q30" s="264"/>
    </row>
    <row r="31" spans="2:17" s="272" customFormat="1" ht="30" customHeight="1">
      <c r="B31" s="265" t="s">
        <v>327</v>
      </c>
      <c r="C31" s="266" t="s">
        <v>334</v>
      </c>
      <c r="D31" s="266" t="s">
        <v>342</v>
      </c>
      <c r="E31" s="267" t="s">
        <v>335</v>
      </c>
      <c r="F31" s="266" t="s">
        <v>95</v>
      </c>
      <c r="G31" s="266" t="s">
        <v>336</v>
      </c>
      <c r="H31" s="266" t="s">
        <v>337</v>
      </c>
      <c r="I31" s="268" t="s">
        <v>338</v>
      </c>
      <c r="J31" s="269" t="s">
        <v>339</v>
      </c>
      <c r="K31" s="270"/>
      <c r="L31" s="270"/>
      <c r="M31" s="270"/>
      <c r="N31" s="270"/>
      <c r="O31" s="270"/>
      <c r="P31" s="270"/>
      <c r="Q31" s="271"/>
    </row>
    <row r="32" spans="2:17" ht="42" customHeight="1">
      <c r="B32" s="273" t="s">
        <v>343</v>
      </c>
      <c r="C32" s="274" t="s">
        <v>168</v>
      </c>
      <c r="D32" s="275">
        <f>Februar!Q12+Marz!Q13+April!Q13</f>
        <v>25151.119999999999</v>
      </c>
      <c r="E32" s="275">
        <f>EINSTELLUNG!L7+EINSTELLUNG!L8+EINSTELLUNG!L9</f>
        <v>20100</v>
      </c>
      <c r="F32" s="275">
        <f>April!Q15</f>
        <v>6839.1399999999994</v>
      </c>
      <c r="G32" s="276">
        <f>April!Q42</f>
        <v>11.9369812622314</v>
      </c>
      <c r="H32" s="275">
        <f>MAX(0,-F32)</f>
        <v>0</v>
      </c>
      <c r="I32" s="277" t="str">
        <f>IF(OR(G32=0,H32=0),"",H32*G32*3/2)</f>
        <v/>
      </c>
      <c r="J32" s="278" t="str">
        <f>IF(F32&lt;0,"ACHTUNG: Überstunden",IF(F32&gt;0,"Reserve möglich","OK"))</f>
        <v>Reserve möglich</v>
      </c>
      <c r="K32" s="279"/>
      <c r="L32" s="279"/>
      <c r="M32" s="279"/>
      <c r="N32" s="279"/>
      <c r="O32" s="279"/>
      <c r="P32" s="279"/>
      <c r="Q32" s="280"/>
    </row>
    <row r="33" spans="2:17" ht="42" customHeight="1">
      <c r="B33" s="281" t="s">
        <v>328</v>
      </c>
      <c r="C33" s="282" t="s">
        <v>172</v>
      </c>
      <c r="D33" s="283">
        <f>Mai!Q12+Juni!Q13+Juli!Q13</f>
        <v>22589.969999999998</v>
      </c>
      <c r="E33" s="283">
        <f>EINSTELLUNG!L10+EINSTELLUNG!L11+EINSTELLUNG!L12</f>
        <v>27900</v>
      </c>
      <c r="F33" s="283">
        <f>Juli!Q15</f>
        <v>-1671.880000000001</v>
      </c>
      <c r="G33" s="284">
        <f>Juli!Q42</f>
        <v>11.911571241472334</v>
      </c>
      <c r="H33" s="283">
        <f>MAX(0,-F33)</f>
        <v>1671.880000000001</v>
      </c>
      <c r="I33" s="285">
        <f>IF(OR(G33=0,H33=0),"",H33*G33*3/2)</f>
        <v>29872.076590789169</v>
      </c>
      <c r="J33" s="286" t="str">
        <f>IF(F33&lt;0,"ACHTUNG: Überstunden",IF(F33&gt;0,"Reserve möglich","OK"))</f>
        <v>ACHTUNG: Überstunden</v>
      </c>
      <c r="K33" s="287"/>
      <c r="L33" s="287"/>
      <c r="M33" s="287"/>
      <c r="N33" s="287"/>
      <c r="O33" s="287"/>
      <c r="P33" s="287"/>
      <c r="Q33" s="288"/>
    </row>
    <row r="34" spans="2:17" ht="42" customHeight="1">
      <c r="B34" s="273" t="s">
        <v>329</v>
      </c>
      <c r="C34" s="274" t="s">
        <v>176</v>
      </c>
      <c r="D34" s="275">
        <f>August!Q12+September!Q13+Oktober!Q13</f>
        <v>22020.319999999996</v>
      </c>
      <c r="E34" s="275">
        <f>EINSTELLUNG!L13+EINSTELLUNG!L14+EINSTELLUNG!L15</f>
        <v>27900</v>
      </c>
      <c r="F34" s="275">
        <f>Oktober!Q15</f>
        <v>-1937.3300000000008</v>
      </c>
      <c r="G34" s="276">
        <f>Oktober!Q42</f>
        <v>11.921326989528469</v>
      </c>
      <c r="H34" s="275">
        <f>MAX(0,-F34)</f>
        <v>1937.3300000000008</v>
      </c>
      <c r="I34" s="277">
        <f>IF(OR(G34=0,H34=0),"",H34*G34*3/2)</f>
        <v>34643.3166249348</v>
      </c>
      <c r="J34" s="278" t="str">
        <f>IF(F34&lt;0,"ACHTUNG: Überstunden",IF(F34&gt;0,"Reserve möglich","OK"))</f>
        <v>ACHTUNG: Überstunden</v>
      </c>
      <c r="K34" s="279"/>
      <c r="L34" s="279"/>
      <c r="M34" s="279"/>
      <c r="N34" s="279"/>
      <c r="O34" s="279"/>
      <c r="P34" s="279"/>
      <c r="Q34" s="280"/>
    </row>
    <row r="35" spans="2:17" ht="42" customHeight="1" thickBot="1">
      <c r="B35" s="289" t="s">
        <v>344</v>
      </c>
      <c r="C35" s="290" t="s">
        <v>345</v>
      </c>
      <c r="D35" s="291">
        <f>November!Q12+Dezember!Q13+E30</f>
        <v>20123.32</v>
      </c>
      <c r="E35" s="291">
        <f>EINSTELLUNG!L16+EINSTELLUNG!L17+I30</f>
        <v>24200</v>
      </c>
      <c r="F35" s="291">
        <f>D35-E35</f>
        <v>-4076.6800000000003</v>
      </c>
      <c r="G35" s="292">
        <f>Dezember!Q42</f>
        <v>12.60577584937931</v>
      </c>
      <c r="H35" s="291">
        <f>MAX(0,-F35)</f>
        <v>4076.6800000000003</v>
      </c>
      <c r="I35" s="293">
        <f>IF(OR(G35=0,H35=0),"",H35*G35*3/2)</f>
        <v>77084.57143447148</v>
      </c>
      <c r="J35" s="294" t="str">
        <f>IF(F35&lt;0,"ACHTUNG: Überstunden",IF(F35&gt;0,"Reserve möglich","OK"))</f>
        <v>ACHTUNG: Überstunden</v>
      </c>
      <c r="K35" s="295"/>
      <c r="L35" s="295"/>
      <c r="M35" s="295"/>
      <c r="N35" s="295"/>
      <c r="O35" s="295"/>
      <c r="P35" s="295"/>
      <c r="Q35" s="296"/>
    </row>
    <row r="36" spans="2:17" ht="40" customHeight="1" thickBot="1">
      <c r="B36" s="297" t="s">
        <v>346</v>
      </c>
      <c r="C36" s="298"/>
      <c r="D36" s="298"/>
      <c r="E36" s="298"/>
      <c r="F36" s="298"/>
      <c r="G36" s="298"/>
      <c r="H36" s="298"/>
      <c r="I36" s="298"/>
      <c r="J36" s="298"/>
      <c r="K36" s="298"/>
      <c r="L36" s="298"/>
      <c r="M36" s="298"/>
      <c r="N36" s="298"/>
      <c r="O36" s="298"/>
      <c r="P36" s="298"/>
      <c r="Q36" s="299"/>
    </row>
    <row r="37" spans="2:17">
      <c r="B37" s="300"/>
      <c r="C37" s="300"/>
      <c r="D37" s="300"/>
      <c r="E37" s="300"/>
      <c r="F37" s="300"/>
      <c r="G37" s="300"/>
      <c r="H37" s="300"/>
      <c r="I37" s="300"/>
      <c r="J37" s="300"/>
      <c r="K37" s="300"/>
      <c r="L37" s="300"/>
      <c r="M37" s="300"/>
      <c r="N37" s="300"/>
      <c r="O37" s="300"/>
      <c r="P37" s="300"/>
      <c r="Q37" s="300"/>
    </row>
    <row r="38" spans="2:17" ht="40" customHeight="1">
      <c r="B38" s="300"/>
      <c r="C38" s="300"/>
      <c r="D38" s="300"/>
      <c r="E38" s="300"/>
      <c r="F38" s="300"/>
      <c r="G38" s="300"/>
      <c r="H38" s="300"/>
      <c r="I38" s="300"/>
      <c r="J38" s="300"/>
      <c r="K38" s="300"/>
      <c r="L38" s="300"/>
      <c r="M38" s="300"/>
      <c r="N38" s="300"/>
      <c r="O38" s="300"/>
      <c r="P38" s="300"/>
      <c r="Q38" s="300"/>
    </row>
    <row r="100" spans="26:26">
      <c r="Z100" s="301"/>
    </row>
  </sheetData>
  <sheetProtection algorithmName="SHA-512" hashValue="HH0TMzbxdL3TB5caHX+o7hlRfkp7aDS4FjCz9PyYPY5Y9HP+2j4q/hIg8R71JogpcH0HBIACw/CmyI1BRYk25A==" saltValue="SxXBg8rHBT9G1ypc70f47g==" spinCount="100000" sheet="1" objects="1" scenarios="1" selectLockedCells="1"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94"/>
  <sheetViews>
    <sheetView showGridLines="0" workbookViewId="0">
      <selection activeCell="B9" sqref="B9"/>
    </sheetView>
  </sheetViews>
  <sheetFormatPr baseColWidth="10" defaultColWidth="10.81640625" defaultRowHeight="15" customHeight="1"/>
  <cols>
    <col min="1" max="1" width="26" style="426" customWidth="1"/>
    <col min="2" max="2" width="20.6328125" style="426" customWidth="1"/>
    <col min="3" max="4" width="26.6328125" style="426" customWidth="1"/>
    <col min="5" max="5" width="31.453125" style="426" customWidth="1"/>
    <col min="6" max="6" width="14.26953125" style="426" customWidth="1"/>
    <col min="7" max="7" width="11.81640625" style="426" customWidth="1"/>
    <col min="8" max="8" width="16.26953125" style="426" customWidth="1"/>
    <col min="9" max="9" width="22" style="426" customWidth="1"/>
    <col min="10" max="10" width="15.1796875" style="426" customWidth="1"/>
    <col min="11" max="12" width="37.453125" style="426" customWidth="1"/>
    <col min="13" max="14" width="31.453125" style="426" customWidth="1"/>
    <col min="15" max="15" width="10.81640625" style="426"/>
    <col min="16" max="19" width="2.6328125" style="426" customWidth="1"/>
    <col min="20" max="26" width="10.81640625" style="426" hidden="1" customWidth="1"/>
    <col min="27" max="16384" width="10.81640625" style="426"/>
  </cols>
  <sheetData>
    <row r="1" spans="1:17" ht="28" customHeight="1">
      <c r="A1" s="181" t="s">
        <v>357</v>
      </c>
      <c r="B1" s="181"/>
      <c r="C1" s="181"/>
      <c r="D1" s="181"/>
      <c r="E1" s="181"/>
      <c r="P1" s="426" t="s">
        <v>206</v>
      </c>
      <c r="Q1" s="426" t="s">
        <v>218</v>
      </c>
    </row>
    <row r="2" spans="1:17" ht="18" customHeight="1">
      <c r="A2" s="8" t="s">
        <v>314</v>
      </c>
      <c r="B2" s="8">
        <v>2026</v>
      </c>
      <c r="C2" s="8" t="s">
        <v>315</v>
      </c>
      <c r="D2" s="8" t="s">
        <v>436</v>
      </c>
      <c r="E2" s="8"/>
      <c r="P2" s="426" t="s">
        <v>276</v>
      </c>
      <c r="Q2" s="426">
        <v>2</v>
      </c>
    </row>
    <row r="3" spans="1:17" ht="15" customHeight="1">
      <c r="P3" s="426" t="s">
        <v>311</v>
      </c>
      <c r="Q3" s="426">
        <v>1</v>
      </c>
    </row>
    <row r="4" spans="1:17" ht="22" customHeight="1" thickBot="1">
      <c r="A4" s="192" t="s">
        <v>316</v>
      </c>
      <c r="B4" s="192"/>
      <c r="C4" s="192"/>
      <c r="D4" s="192"/>
      <c r="E4" s="192"/>
      <c r="P4" s="426" t="s">
        <v>168</v>
      </c>
      <c r="Q4" s="426">
        <v>5</v>
      </c>
    </row>
    <row r="5" spans="1:17" ht="24" customHeight="1">
      <c r="A5" s="200" t="s">
        <v>286</v>
      </c>
      <c r="B5" s="202" t="s">
        <v>422</v>
      </c>
      <c r="C5" s="196" t="s">
        <v>430</v>
      </c>
      <c r="D5" s="196"/>
      <c r="E5" s="197"/>
      <c r="P5" s="426" t="s">
        <v>169</v>
      </c>
      <c r="Q5" s="426">
        <v>2</v>
      </c>
    </row>
    <row r="6" spans="1:17" ht="24" customHeight="1" thickBot="1">
      <c r="A6" s="201"/>
      <c r="B6" s="428"/>
      <c r="C6" s="198"/>
      <c r="D6" s="198"/>
      <c r="E6" s="199"/>
      <c r="P6" s="426" t="s">
        <v>170</v>
      </c>
      <c r="Q6" s="426">
        <v>1</v>
      </c>
    </row>
    <row r="7" spans="1:17" ht="15" customHeight="1" thickBot="1">
      <c r="P7" s="426" t="s">
        <v>174</v>
      </c>
      <c r="Q7" s="426">
        <v>1</v>
      </c>
    </row>
    <row r="8" spans="1:17" ht="24" customHeight="1">
      <c r="A8" s="9" t="s">
        <v>212</v>
      </c>
      <c r="B8" s="10" t="s">
        <v>317</v>
      </c>
      <c r="C8" s="10" t="s">
        <v>401</v>
      </c>
      <c r="D8" s="10" t="s">
        <v>318</v>
      </c>
      <c r="E8" s="11" t="s">
        <v>319</v>
      </c>
      <c r="P8" s="426" t="s">
        <v>176</v>
      </c>
      <c r="Q8" s="426">
        <v>1</v>
      </c>
    </row>
    <row r="9" spans="1:17" ht="22" customHeight="1" thickBot="1">
      <c r="A9" s="126">
        <v>13</v>
      </c>
      <c r="B9" s="429">
        <v>0.22018348623853212</v>
      </c>
      <c r="C9" s="127">
        <v>12.0875</v>
      </c>
      <c r="D9" s="128">
        <v>7</v>
      </c>
      <c r="E9" s="129">
        <v>0</v>
      </c>
    </row>
    <row r="10" spans="1:17" ht="22" customHeight="1" thickBot="1">
      <c r="A10" s="130" t="s">
        <v>398</v>
      </c>
      <c r="B10" s="205" t="s">
        <v>410</v>
      </c>
      <c r="C10" s="205"/>
      <c r="D10" s="205"/>
      <c r="E10" s="206"/>
    </row>
    <row r="11" spans="1:17" ht="22" customHeight="1" thickBot="1">
      <c r="A11" s="193" t="s">
        <v>358</v>
      </c>
      <c r="B11" s="193"/>
      <c r="C11" s="193"/>
      <c r="D11" s="193"/>
      <c r="E11" s="193"/>
    </row>
    <row r="12" spans="1:17" ht="22" customHeight="1">
      <c r="A12" s="9" t="s">
        <v>320</v>
      </c>
      <c r="B12" s="10" t="s">
        <v>321</v>
      </c>
      <c r="C12" s="10" t="s">
        <v>322</v>
      </c>
      <c r="D12" s="203" t="s">
        <v>359</v>
      </c>
      <c r="E12" s="204"/>
    </row>
    <row r="13" spans="1:17" ht="57.25" customHeight="1">
      <c r="A13" s="23">
        <v>1</v>
      </c>
      <c r="B13" s="24" t="s">
        <v>377</v>
      </c>
      <c r="C13" s="24" t="s">
        <v>387</v>
      </c>
      <c r="D13" s="194" t="s">
        <v>378</v>
      </c>
      <c r="E13" s="195"/>
    </row>
    <row r="14" spans="1:17" ht="73" customHeight="1">
      <c r="A14" s="23">
        <v>2</v>
      </c>
      <c r="B14" s="24" t="s">
        <v>219</v>
      </c>
      <c r="C14" s="24" t="s">
        <v>361</v>
      </c>
      <c r="D14" s="194" t="s">
        <v>360</v>
      </c>
      <c r="E14" s="195"/>
    </row>
    <row r="15" spans="1:17" ht="57.25" customHeight="1">
      <c r="A15" s="23">
        <v>3</v>
      </c>
      <c r="B15" s="24" t="s">
        <v>377</v>
      </c>
      <c r="C15" s="24" t="s">
        <v>391</v>
      </c>
      <c r="D15" s="194" t="s">
        <v>378</v>
      </c>
      <c r="E15" s="195"/>
    </row>
    <row r="16" spans="1:17" ht="57.25" customHeight="1">
      <c r="A16" s="23">
        <v>4</v>
      </c>
      <c r="B16" s="24" t="s">
        <v>377</v>
      </c>
      <c r="C16" s="24" t="s">
        <v>423</v>
      </c>
      <c r="D16" s="194" t="s">
        <v>378</v>
      </c>
      <c r="E16" s="195"/>
    </row>
    <row r="17" spans="1:17" ht="57.25" customHeight="1">
      <c r="A17" s="23">
        <v>5</v>
      </c>
      <c r="B17" s="24" t="s">
        <v>377</v>
      </c>
      <c r="C17" s="24" t="s">
        <v>424</v>
      </c>
      <c r="D17" s="194" t="s">
        <v>378</v>
      </c>
      <c r="E17" s="195"/>
    </row>
    <row r="18" spans="1:17" ht="73" customHeight="1">
      <c r="A18" s="23">
        <v>6</v>
      </c>
      <c r="B18" s="24" t="s">
        <v>377</v>
      </c>
      <c r="C18" s="24" t="s">
        <v>425</v>
      </c>
      <c r="D18" s="194" t="s">
        <v>378</v>
      </c>
      <c r="E18" s="195"/>
    </row>
    <row r="19" spans="1:17" ht="57.25" customHeight="1">
      <c r="A19" s="23">
        <v>7</v>
      </c>
      <c r="B19" s="24" t="s">
        <v>377</v>
      </c>
      <c r="C19" s="24" t="s">
        <v>426</v>
      </c>
      <c r="D19" s="194" t="s">
        <v>378</v>
      </c>
      <c r="E19" s="195"/>
    </row>
    <row r="20" spans="1:17" ht="57.25" customHeight="1" thickBot="1">
      <c r="A20" s="25">
        <v>8</v>
      </c>
      <c r="B20" s="22" t="s">
        <v>220</v>
      </c>
      <c r="C20" s="22" t="s">
        <v>362</v>
      </c>
      <c r="D20" s="198" t="s">
        <v>363</v>
      </c>
      <c r="E20" s="199"/>
      <c r="P20" s="426" t="s">
        <v>211</v>
      </c>
      <c r="Q20" s="426" t="s">
        <v>324</v>
      </c>
    </row>
    <row r="21" spans="1:17" ht="15" customHeight="1">
      <c r="P21" s="426" t="s">
        <v>380</v>
      </c>
      <c r="Q21" s="426">
        <v>6</v>
      </c>
    </row>
    <row r="22" spans="1:17" ht="15" customHeight="1">
      <c r="P22" s="426" t="s">
        <v>216</v>
      </c>
      <c r="Q22" s="426">
        <v>1</v>
      </c>
    </row>
    <row r="23" spans="1:17" ht="22" customHeight="1" thickBot="1">
      <c r="A23" s="192" t="s">
        <v>323</v>
      </c>
      <c r="B23" s="192"/>
      <c r="C23" s="192"/>
      <c r="D23" s="192"/>
      <c r="E23" s="192"/>
      <c r="P23" s="426" t="s">
        <v>325</v>
      </c>
      <c r="Q23" s="426">
        <v>2</v>
      </c>
    </row>
    <row r="24" spans="1:17" ht="41.5" customHeight="1">
      <c r="A24" s="131">
        <v>1</v>
      </c>
      <c r="B24" s="196" t="s">
        <v>379</v>
      </c>
      <c r="C24" s="196"/>
      <c r="D24" s="196"/>
      <c r="E24" s="197"/>
      <c r="P24" s="426" t="s">
        <v>333</v>
      </c>
      <c r="Q24" s="426">
        <v>4</v>
      </c>
    </row>
    <row r="25" spans="1:17" ht="41.5" customHeight="1">
      <c r="A25" s="23">
        <v>2</v>
      </c>
      <c r="B25" s="194" t="s">
        <v>364</v>
      </c>
      <c r="C25" s="194"/>
      <c r="D25" s="194"/>
      <c r="E25" s="195"/>
    </row>
    <row r="26" spans="1:17" ht="41.5" customHeight="1">
      <c r="A26" s="23">
        <v>3</v>
      </c>
      <c r="B26" s="194" t="s">
        <v>385</v>
      </c>
      <c r="C26" s="194"/>
      <c r="D26" s="194"/>
      <c r="E26" s="195"/>
    </row>
    <row r="27" spans="1:17" ht="41.5" customHeight="1" thickBot="1">
      <c r="A27" s="25">
        <v>4</v>
      </c>
      <c r="B27" s="198" t="s">
        <v>388</v>
      </c>
      <c r="C27" s="198"/>
      <c r="D27" s="198"/>
      <c r="E27" s="199"/>
    </row>
    <row r="29" spans="1:17" ht="15" customHeight="1">
      <c r="A29" s="427" t="s">
        <v>326</v>
      </c>
      <c r="B29" s="427"/>
      <c r="C29" s="427"/>
      <c r="D29" s="427"/>
      <c r="E29" s="427"/>
    </row>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426" t="s">
        <v>183</v>
      </c>
      <c r="S40" s="426" t="s">
        <v>324</v>
      </c>
    </row>
    <row r="41" spans="18:19" ht="18" customHeight="1">
      <c r="R41" s="426" t="s">
        <v>194</v>
      </c>
      <c r="S41" s="426">
        <v>5</v>
      </c>
    </row>
    <row r="42" spans="18:19" ht="18" customHeight="1">
      <c r="R42" s="426" t="s">
        <v>184</v>
      </c>
      <c r="S42" s="426">
        <v>3</v>
      </c>
    </row>
    <row r="43" spans="18:19" ht="18" customHeight="1">
      <c r="R43" s="426" t="s">
        <v>190</v>
      </c>
      <c r="S43" s="426">
        <v>1</v>
      </c>
    </row>
    <row r="44" spans="18:19" ht="18" customHeight="1">
      <c r="R44" s="426" t="s">
        <v>195</v>
      </c>
      <c r="S44" s="426">
        <v>1</v>
      </c>
    </row>
    <row r="45" spans="18:19" ht="18" customHeight="1">
      <c r="R45" s="426" t="s">
        <v>186</v>
      </c>
      <c r="S45" s="426">
        <v>1</v>
      </c>
    </row>
    <row r="46" spans="18:19" ht="18" customHeight="1">
      <c r="R46" s="426" t="s">
        <v>185</v>
      </c>
      <c r="S46" s="426">
        <v>1</v>
      </c>
    </row>
    <row r="47" spans="18:19" ht="18" customHeight="1">
      <c r="R47" s="426" t="s">
        <v>189</v>
      </c>
      <c r="S47" s="426">
        <v>1</v>
      </c>
    </row>
    <row r="48" spans="18:19" ht="18" customHeight="1">
      <c r="R48" s="426" t="s">
        <v>188</v>
      </c>
      <c r="S48" s="426">
        <v>1</v>
      </c>
    </row>
    <row r="49" spans="1:12" ht="18" customHeight="1"/>
    <row r="50" spans="1:12" ht="18" customHeight="1"/>
    <row r="51" spans="1:12" ht="18" customHeight="1"/>
    <row r="52" spans="1:12" ht="18" customHeight="1"/>
    <row r="53" spans="1:12" ht="18" customHeight="1"/>
    <row r="54" spans="1:12" ht="18" customHeight="1"/>
    <row r="55" spans="1:12" ht="18" customHeight="1"/>
    <row r="56" spans="1:12" ht="18" customHeight="1"/>
    <row r="57" spans="1:12" ht="18" customHeight="1"/>
    <row r="58" spans="1:12" ht="18" customHeight="1"/>
    <row r="59" spans="1:12" ht="18" customHeight="1"/>
    <row r="60" spans="1:12" ht="18" customHeight="1"/>
    <row r="61" spans="1:12" ht="18" customHeight="1">
      <c r="A61" s="181" t="s">
        <v>365</v>
      </c>
      <c r="B61" s="181"/>
      <c r="C61" s="181"/>
      <c r="D61" s="181"/>
      <c r="E61" s="181"/>
      <c r="F61" s="181"/>
      <c r="G61" s="181"/>
      <c r="H61" s="181"/>
      <c r="I61" s="181"/>
      <c r="J61" s="181"/>
      <c r="K61" s="181"/>
      <c r="L61" s="181"/>
    </row>
    <row r="62" spans="1:12" ht="15" customHeight="1" thickBot="1"/>
    <row r="63" spans="1:12" ht="18" customHeight="1">
      <c r="A63" s="9" t="s">
        <v>206</v>
      </c>
      <c r="B63" s="10" t="s">
        <v>218</v>
      </c>
      <c r="C63" s="10" t="s">
        <v>222</v>
      </c>
      <c r="D63" s="10" t="s">
        <v>214</v>
      </c>
      <c r="E63" s="10" t="s">
        <v>400</v>
      </c>
      <c r="F63" s="10" t="s">
        <v>380</v>
      </c>
      <c r="G63" s="10" t="s">
        <v>216</v>
      </c>
      <c r="H63" s="10" t="s">
        <v>330</v>
      </c>
      <c r="I63" s="10" t="s">
        <v>366</v>
      </c>
      <c r="J63" s="10" t="s">
        <v>292</v>
      </c>
      <c r="K63" s="10"/>
      <c r="L63" s="11"/>
    </row>
    <row r="64" spans="1:12" ht="73" customHeight="1">
      <c r="A64" s="26" t="s">
        <v>276</v>
      </c>
      <c r="B64" s="27">
        <v>2</v>
      </c>
      <c r="C64" s="28">
        <v>3.8834951456310676E-2</v>
      </c>
      <c r="D64" s="29">
        <v>2.9375</v>
      </c>
      <c r="E64" s="29">
        <v>1.46875</v>
      </c>
      <c r="F64" s="27">
        <v>1</v>
      </c>
      <c r="G64" s="27">
        <v>0</v>
      </c>
      <c r="H64" s="27">
        <v>0</v>
      </c>
      <c r="I64" s="30" t="s">
        <v>431</v>
      </c>
      <c r="J64" s="209" t="s">
        <v>382</v>
      </c>
      <c r="K64" s="209"/>
      <c r="L64" s="210"/>
    </row>
    <row r="65" spans="1:12" ht="34" customHeight="1">
      <c r="A65" s="26" t="s">
        <v>311</v>
      </c>
      <c r="B65" s="27">
        <v>1</v>
      </c>
      <c r="C65" s="28">
        <v>1.6260162601626018E-2</v>
      </c>
      <c r="D65" s="29">
        <v>0</v>
      </c>
      <c r="E65" s="29">
        <v>0</v>
      </c>
      <c r="F65" s="27">
        <v>0</v>
      </c>
      <c r="G65" s="27">
        <v>0</v>
      </c>
      <c r="H65" s="27">
        <v>1</v>
      </c>
      <c r="I65" s="30" t="s">
        <v>435</v>
      </c>
      <c r="J65" s="209" t="s">
        <v>332</v>
      </c>
      <c r="K65" s="209"/>
      <c r="L65" s="210"/>
    </row>
    <row r="66" spans="1:12" ht="120" customHeight="1">
      <c r="A66" s="26" t="s">
        <v>168</v>
      </c>
      <c r="B66" s="27">
        <v>5</v>
      </c>
      <c r="C66" s="28">
        <v>8.3333333333333329E-2</v>
      </c>
      <c r="D66" s="29">
        <v>7.4</v>
      </c>
      <c r="E66" s="29">
        <v>1.48</v>
      </c>
      <c r="F66" s="27">
        <v>5</v>
      </c>
      <c r="G66" s="27">
        <v>0</v>
      </c>
      <c r="H66" s="27">
        <v>0</v>
      </c>
      <c r="I66" s="30" t="s">
        <v>427</v>
      </c>
      <c r="J66" s="209" t="s">
        <v>382</v>
      </c>
      <c r="K66" s="209"/>
      <c r="L66" s="210"/>
    </row>
    <row r="67" spans="1:12" ht="73" customHeight="1">
      <c r="A67" s="26" t="s">
        <v>169</v>
      </c>
      <c r="B67" s="27">
        <v>2</v>
      </c>
      <c r="C67" s="28">
        <v>3.4188034188034191E-2</v>
      </c>
      <c r="D67" s="29">
        <v>1.75</v>
      </c>
      <c r="E67" s="29">
        <v>0.875</v>
      </c>
      <c r="F67" s="27">
        <v>0</v>
      </c>
      <c r="G67" s="27">
        <v>1</v>
      </c>
      <c r="H67" s="27">
        <v>0</v>
      </c>
      <c r="I67" s="30" t="s">
        <v>381</v>
      </c>
      <c r="J67" s="209" t="s">
        <v>367</v>
      </c>
      <c r="K67" s="209"/>
      <c r="L67" s="210"/>
    </row>
    <row r="68" spans="1:12" ht="34" customHeight="1">
      <c r="A68" s="26" t="s">
        <v>170</v>
      </c>
      <c r="B68" s="27">
        <v>1</v>
      </c>
      <c r="C68" s="28">
        <v>1.7391304347826087E-2</v>
      </c>
      <c r="D68" s="29">
        <v>0</v>
      </c>
      <c r="E68" s="29">
        <v>0</v>
      </c>
      <c r="F68" s="27">
        <v>0</v>
      </c>
      <c r="G68" s="27">
        <v>0</v>
      </c>
      <c r="H68" s="27">
        <v>1</v>
      </c>
      <c r="I68" s="30" t="s">
        <v>331</v>
      </c>
      <c r="J68" s="209" t="s">
        <v>332</v>
      </c>
      <c r="K68" s="209"/>
      <c r="L68" s="210"/>
    </row>
    <row r="69" spans="1:12" ht="34" customHeight="1">
      <c r="A69" s="26" t="s">
        <v>174</v>
      </c>
      <c r="B69" s="27">
        <v>1</v>
      </c>
      <c r="C69" s="28">
        <v>1.7699115044247787E-2</v>
      </c>
      <c r="D69" s="29">
        <v>0</v>
      </c>
      <c r="E69" s="29">
        <v>0</v>
      </c>
      <c r="F69" s="27">
        <v>0</v>
      </c>
      <c r="G69" s="27">
        <v>0</v>
      </c>
      <c r="H69" s="27">
        <v>1</v>
      </c>
      <c r="I69" s="30" t="s">
        <v>433</v>
      </c>
      <c r="J69" s="209" t="s">
        <v>332</v>
      </c>
      <c r="K69" s="209"/>
      <c r="L69" s="210"/>
    </row>
    <row r="70" spans="1:12" ht="34" customHeight="1">
      <c r="A70" s="26" t="s">
        <v>176</v>
      </c>
      <c r="B70" s="27">
        <v>1</v>
      </c>
      <c r="C70" s="28">
        <v>1.8018018018018018E-2</v>
      </c>
      <c r="D70" s="29">
        <v>0</v>
      </c>
      <c r="E70" s="29">
        <v>0</v>
      </c>
      <c r="F70" s="27">
        <v>0</v>
      </c>
      <c r="G70" s="27">
        <v>0</v>
      </c>
      <c r="H70" s="27">
        <v>1</v>
      </c>
      <c r="I70" s="30" t="s">
        <v>434</v>
      </c>
      <c r="J70" s="209" t="s">
        <v>332</v>
      </c>
      <c r="K70" s="209"/>
      <c r="L70" s="210"/>
    </row>
    <row r="71" spans="1:12" ht="34" customHeight="1" thickBot="1">
      <c r="A71" s="31" t="s">
        <v>383</v>
      </c>
      <c r="B71" s="75">
        <v>13</v>
      </c>
      <c r="C71" s="76"/>
      <c r="D71" s="77">
        <v>12.0875</v>
      </c>
      <c r="E71" s="77">
        <v>0.92980769230769234</v>
      </c>
      <c r="F71" s="75"/>
      <c r="G71" s="75"/>
      <c r="H71" s="75"/>
      <c r="I71" s="78"/>
      <c r="J71" s="78"/>
      <c r="K71" s="78"/>
      <c r="L71" s="79"/>
    </row>
    <row r="74" spans="1:12" ht="15" customHeight="1" thickBot="1"/>
    <row r="75" spans="1:12" ht="22" customHeight="1">
      <c r="A75" s="213" t="s">
        <v>368</v>
      </c>
      <c r="B75" s="214"/>
      <c r="C75" s="214"/>
      <c r="D75" s="214"/>
      <c r="E75" s="215"/>
    </row>
    <row r="76" spans="1:12" ht="41.5" customHeight="1">
      <c r="A76" s="23" t="s">
        <v>221</v>
      </c>
      <c r="B76" s="209" t="s">
        <v>223</v>
      </c>
      <c r="C76" s="209"/>
      <c r="D76" s="209"/>
      <c r="E76" s="210"/>
    </row>
    <row r="77" spans="1:12" ht="57.25" customHeight="1">
      <c r="A77" s="23" t="s">
        <v>401</v>
      </c>
      <c r="B77" s="209" t="s">
        <v>402</v>
      </c>
      <c r="C77" s="209"/>
      <c r="D77" s="209"/>
      <c r="E77" s="210"/>
    </row>
    <row r="78" spans="1:12" ht="41.5" customHeight="1">
      <c r="A78" s="23" t="s">
        <v>275</v>
      </c>
      <c r="B78" s="209" t="s">
        <v>369</v>
      </c>
      <c r="C78" s="209"/>
      <c r="D78" s="209"/>
      <c r="E78" s="210"/>
    </row>
    <row r="79" spans="1:12" ht="41.5" customHeight="1">
      <c r="A79" s="23" t="s">
        <v>219</v>
      </c>
      <c r="B79" s="209" t="s">
        <v>370</v>
      </c>
      <c r="C79" s="209"/>
      <c r="D79" s="209"/>
      <c r="E79" s="210"/>
    </row>
    <row r="80" spans="1:12" ht="41.5" customHeight="1">
      <c r="A80" s="23" t="s">
        <v>215</v>
      </c>
      <c r="B80" s="209" t="s">
        <v>371</v>
      </c>
      <c r="C80" s="209"/>
      <c r="D80" s="209"/>
      <c r="E80" s="210"/>
    </row>
    <row r="81" spans="1:5" ht="41.5" customHeight="1">
      <c r="A81" s="23" t="s">
        <v>220</v>
      </c>
      <c r="B81" s="209" t="s">
        <v>372</v>
      </c>
      <c r="C81" s="209"/>
      <c r="D81" s="209"/>
      <c r="E81" s="210"/>
    </row>
    <row r="82" spans="1:5" ht="28" customHeight="1">
      <c r="A82" s="23" t="s">
        <v>217</v>
      </c>
      <c r="B82" s="209" t="s">
        <v>373</v>
      </c>
      <c r="C82" s="209"/>
      <c r="D82" s="209"/>
      <c r="E82" s="210"/>
    </row>
    <row r="83" spans="1:5" ht="28" customHeight="1" thickBot="1">
      <c r="A83" s="25" t="s">
        <v>374</v>
      </c>
      <c r="B83" s="207" t="s">
        <v>375</v>
      </c>
      <c r="C83" s="207"/>
      <c r="D83" s="207"/>
      <c r="E83" s="208"/>
    </row>
    <row r="84" spans="1:5" ht="15" customHeight="1" thickBot="1"/>
    <row r="85" spans="1:5" ht="22" customHeight="1">
      <c r="A85" s="213" t="s">
        <v>403</v>
      </c>
      <c r="B85" s="214"/>
      <c r="C85" s="214"/>
      <c r="D85" s="214"/>
      <c r="E85" s="215"/>
    </row>
    <row r="86" spans="1:5" ht="15" customHeight="1">
      <c r="A86" s="23" t="s">
        <v>404</v>
      </c>
      <c r="B86" s="211" t="s">
        <v>405</v>
      </c>
      <c r="C86" s="430"/>
      <c r="D86" s="430"/>
      <c r="E86" s="431"/>
    </row>
    <row r="87" spans="1:5" ht="15" customHeight="1">
      <c r="A87" s="23" t="s">
        <v>406</v>
      </c>
      <c r="B87" s="211" t="s">
        <v>407</v>
      </c>
      <c r="C87" s="430"/>
      <c r="D87" s="430"/>
      <c r="E87" s="431"/>
    </row>
    <row r="88" spans="1:5" ht="15" customHeight="1">
      <c r="A88" s="23" t="s">
        <v>408</v>
      </c>
      <c r="B88" s="211" t="s">
        <v>399</v>
      </c>
      <c r="C88" s="430"/>
      <c r="D88" s="430"/>
      <c r="E88" s="431"/>
    </row>
    <row r="89" spans="1:5" ht="15" customHeight="1">
      <c r="A89" s="23" t="s">
        <v>409</v>
      </c>
      <c r="B89" s="211" t="s">
        <v>410</v>
      </c>
      <c r="C89" s="430"/>
      <c r="D89" s="430"/>
      <c r="E89" s="431"/>
    </row>
    <row r="90" spans="1:5" ht="15" customHeight="1">
      <c r="A90" s="23" t="s">
        <v>411</v>
      </c>
      <c r="B90" s="211" t="s">
        <v>412</v>
      </c>
      <c r="C90" s="430"/>
      <c r="D90" s="430"/>
      <c r="E90" s="431"/>
    </row>
    <row r="91" spans="1:5" ht="15" customHeight="1">
      <c r="A91" s="23" t="s">
        <v>413</v>
      </c>
      <c r="B91" s="211" t="s">
        <v>414</v>
      </c>
      <c r="C91" s="430"/>
      <c r="D91" s="430"/>
      <c r="E91" s="431"/>
    </row>
    <row r="92" spans="1:5" ht="15" customHeight="1">
      <c r="A92" s="23" t="s">
        <v>415</v>
      </c>
      <c r="B92" s="211" t="s">
        <v>416</v>
      </c>
      <c r="C92" s="430"/>
      <c r="D92" s="430"/>
      <c r="E92" s="431"/>
    </row>
    <row r="93" spans="1:5" ht="15" customHeight="1">
      <c r="A93" s="23" t="s">
        <v>417</v>
      </c>
      <c r="B93" s="211" t="s">
        <v>418</v>
      </c>
      <c r="C93" s="430"/>
      <c r="D93" s="430"/>
      <c r="E93" s="431"/>
    </row>
    <row r="94" spans="1:5" ht="40" customHeight="1" thickBot="1">
      <c r="A94" s="25" t="s">
        <v>419</v>
      </c>
      <c r="B94" s="212" t="s">
        <v>420</v>
      </c>
      <c r="C94" s="432"/>
      <c r="D94" s="432"/>
      <c r="E94" s="433"/>
    </row>
  </sheetData>
  <sheetProtection algorithmName="SHA-512" hashValue="0F7iwihGPMPSHfgOVFOWrtNxrVdQwznziZ4qB7OySYukdq114TSKqQqlQ0dL/cmzPCQMtdI78axhlB67v4n4KA==" saltValue="0UadsPjFU0H9/hgzJCPLWg==" spinCount="100000" sheet="1" objects="1" scenarios="1"/>
  <mergeCells count="49">
    <mergeCell ref="B86:E86"/>
    <mergeCell ref="A23:E23"/>
    <mergeCell ref="B92:E92"/>
    <mergeCell ref="B93:E93"/>
    <mergeCell ref="B94:E94"/>
    <mergeCell ref="B88:E88"/>
    <mergeCell ref="B89:E89"/>
    <mergeCell ref="B90:E90"/>
    <mergeCell ref="B91:E91"/>
    <mergeCell ref="B87:E87"/>
    <mergeCell ref="B76:E76"/>
    <mergeCell ref="B77:E77"/>
    <mergeCell ref="A75:E75"/>
    <mergeCell ref="A85:E85"/>
    <mergeCell ref="D18:E18"/>
    <mergeCell ref="D19:E19"/>
    <mergeCell ref="D20:E20"/>
    <mergeCell ref="B82:E82"/>
    <mergeCell ref="B80:E80"/>
    <mergeCell ref="B79:E79"/>
    <mergeCell ref="B25:E25"/>
    <mergeCell ref="B26:E26"/>
    <mergeCell ref="A61:L61"/>
    <mergeCell ref="J64:L64"/>
    <mergeCell ref="J65:L65"/>
    <mergeCell ref="J66:L66"/>
    <mergeCell ref="J67:L67"/>
    <mergeCell ref="J68:L68"/>
    <mergeCell ref="J69:L69"/>
    <mergeCell ref="J70:L70"/>
    <mergeCell ref="B27:E27"/>
    <mergeCell ref="A29:E29"/>
    <mergeCell ref="B83:E83"/>
    <mergeCell ref="B78:E78"/>
    <mergeCell ref="B24:E24"/>
    <mergeCell ref="B81:E81"/>
    <mergeCell ref="A1:E1"/>
    <mergeCell ref="A4:E4"/>
    <mergeCell ref="A11:E11"/>
    <mergeCell ref="D17:E17"/>
    <mergeCell ref="C5:E6"/>
    <mergeCell ref="A5:A6"/>
    <mergeCell ref="B5:B6"/>
    <mergeCell ref="D12:E12"/>
    <mergeCell ref="D13:E13"/>
    <mergeCell ref="D14:E14"/>
    <mergeCell ref="D15:E15"/>
    <mergeCell ref="D16:E16"/>
    <mergeCell ref="B10:E10"/>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2026-06-19T04:38:42Z</dcterms:modified>
  <cp:category/>
  <cp:contentStatus/>
</cp:coreProperties>
</file>
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drawings/drawing7.xml" ContentType="application/vnd.openxmlformats-officedocument.drawing+xml"/>
  <Override PartName="/xl/ctrlProps/ctrlProp6.xml" ContentType="application/vnd.ms-excel.controlproperties+xml"/>
  <Override PartName="/xl/drawings/drawing8.xml" ContentType="application/vnd.openxmlformats-officedocument.drawing+xml"/>
  <Override PartName="/xl/ctrlProps/ctrlProp7.xml" ContentType="application/vnd.ms-excel.controlproperties+xml"/>
  <Override PartName="/xl/drawings/drawing9.xml" ContentType="application/vnd.openxmlformats-officedocument.drawing+xml"/>
  <Override PartName="/xl/ctrlProps/ctrlProp8.xml" ContentType="application/vnd.ms-excel.controlproperties+xml"/>
  <Override PartName="/xl/drawings/drawing10.xml" ContentType="application/vnd.openxmlformats-officedocument.drawing+xml"/>
  <Override PartName="/xl/ctrlProps/ctrlProp9.xml" ContentType="application/vnd.ms-excel.controlproperties+xml"/>
  <Override PartName="/xl/drawings/drawing11.xml" ContentType="application/vnd.openxmlformats-officedocument.drawing+xml"/>
  <Override PartName="/xl/ctrlProps/ctrlProp10.xml" ContentType="application/vnd.ms-excel.controlproperties+xml"/>
  <Override PartName="/xl/drawings/drawing12.xml" ContentType="application/vnd.openxmlformats-officedocument.drawing+xml"/>
  <Override PartName="/xl/ctrlProps/ctrlProp11.xml" ContentType="application/vnd.ms-excel.controlproperties+xml"/>
  <Override PartName="/xl/drawings/drawing13.xml" ContentType="application/vnd.openxmlformats-officedocument.drawing+xml"/>
  <Override PartName="/xl/ctrlProps/ctrlProp12.xml" ContentType="application/vnd.ms-excel.controlproperties+xml"/>
  <Override PartName="/xl/drawings/drawing1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22" codeName="{643B0D74-A683-FBA9-23B4-8A0AA6E0B6B9}"/>
  <workbookPr codeName="DieseArbeitsmappe"/>
  <mc:AlternateContent xmlns:mc="http://schemas.openxmlformats.org/markup-compatibility/2006">
    <mc:Choice Requires="x15">
      <x15ac:absPath xmlns:x15ac="http://schemas.microsoft.com/office/spreadsheetml/2010/11/ac" url="/Users/adam/Desktop/PERSONALSHEET_DEV/"/>
    </mc:Choice>
  </mc:AlternateContent>
  <xr:revisionPtr revIDLastSave="0" documentId="13_ncr:1_{7A75A4BE-17F8-7D47-80F7-C75F43485F2C}" xr6:coauthVersionLast="47" xr6:coauthVersionMax="47" xr10:uidLastSave="{00000000-0000-0000-0000-000000000000}"/>
  <bookViews>
    <workbookView xWindow="0" yWindow="780" windowWidth="34040" windowHeight="19900" tabRatio="677" activeTab="1" xr2:uid="{00000000-000D-0000-FFFF-FFFF00000000}"/>
  </bookViews>
  <sheets>
    <sheet name="LOHNTABELLE" sheetId="23" r:id="rId1"/>
    <sheet name="LOHNTABELLE_TEST" sheetId="46" r:id="rId2"/>
    <sheet name="EINSTELLUNG" sheetId="2" r:id="rId3"/>
    <sheet name="Januar" sheetId="3" r:id="rId4"/>
    <sheet name="Settings" sheetId="18" state="veryHidden" r:id="rId5"/>
    <sheet name="Februar" sheetId="25" r:id="rId6"/>
    <sheet name="Marz" sheetId="26" r:id="rId7"/>
    <sheet name="April" sheetId="27" r:id="rId8"/>
    <sheet name="Mai" sheetId="28" r:id="rId9"/>
    <sheet name="Juni" sheetId="37" r:id="rId10"/>
    <sheet name="Juli" sheetId="30" r:id="rId11"/>
    <sheet name="August" sheetId="31" r:id="rId12"/>
    <sheet name="September" sheetId="32" r:id="rId13"/>
    <sheet name="Oktober" sheetId="33" r:id="rId14"/>
    <sheet name="November" sheetId="36" r:id="rId15"/>
    <sheet name="Dezember" sheetId="35" r:id="rId16"/>
    <sheet name="UBERSICHT" sheetId="15" r:id="rId17"/>
    <sheet name="FLUKTUATION_DATEN" sheetId="38" state="veryHidden" r:id="rId18"/>
    <sheet name="Fluktuation" sheetId="39" r:id="rId19"/>
    <sheet name="Message" sheetId="22" state="veryHidden" r:id="rId20"/>
    <sheet name="KV_DROPDOWN_HELPER" sheetId="49" state="veryHidden" r:id="rId21"/>
    <sheet name="PID_HOUR_OVERRIDES" sheetId="50" state="veryHidden" r:id="rId22"/>
    <sheet name="SYSTEM_CHECK" sheetId="51" r:id="rId23"/>
  </sheets>
  <functionGroups builtInGroupCount="19"/>
  <definedNames>
    <definedName name="_xleta.OR" hidden="1" xlm="1">#NAME?</definedName>
    <definedName name="_xleta.SUM" hidden="1" xlm="1">#NAME?</definedName>
    <definedName name="_xlpm.d" hidden="1" xlm="1">#NAME?</definedName>
    <definedName name="_xlpm.i" hidden="1" xlm="1">#NAME?</definedName>
    <definedName name="_xlpm.w" hidden="1" xlm="1">#NAME?</definedName>
    <definedName name="BG1_10_Hours">LOHNTABELLE!$B$29:$B$41</definedName>
    <definedName name="BG1_10_Wages">LOHNTABELLE!$C$29:$C$41</definedName>
    <definedName name="BG1_15_Hours">LOHNTABELLE!$B$42:$B$54</definedName>
    <definedName name="BG1_15_Wages">LOHNTABELLE!$C$42:$C$54</definedName>
    <definedName name="BG1_5_Hours">LOHNTABELLE!$B$16:$B$28</definedName>
    <definedName name="BG1_5_Wages">LOHNTABELLE!$C$16:$C$28</definedName>
    <definedName name="BG1_Hours">LOHNTABELLE!$B$3:$B$15</definedName>
    <definedName name="BG1_Wages">LOHNTABELLE!$C$3:$C$15</definedName>
    <definedName name="BG2_10_Hours">LOHNTABELLE!$B$81:$B$93</definedName>
    <definedName name="BG2_15_Hours">LOHNTABELLE!$B$94:$B$106</definedName>
    <definedName name="BG2_5_Hours">LOHNTABELLE!$B$68:$B$80</definedName>
    <definedName name="BG2_Hours">LOHNTABELLE!$B$55:$B$67</definedName>
    <definedName name="KV_DD_APRIL_10">KV_DROPDOWN_HELPER!$IN$1:$IN$13</definedName>
    <definedName name="KV_DD_APRIL_11">KV_DROPDOWN_HELPER!$IO$1:$IO$13</definedName>
    <definedName name="KV_DD_APRIL_12">KV_DROPDOWN_HELPER!$IP$1:$IP$13</definedName>
    <definedName name="KV_DD_APRIL_13">KV_DROPDOWN_HELPER!$IQ$1:$IQ$13</definedName>
    <definedName name="KV_DD_APRIL_14">KV_DROPDOWN_HELPER!$IR$1:$IR$13</definedName>
    <definedName name="KV_DD_APRIL_15">KV_DROPDOWN_HELPER!$IS$1:$IS$13</definedName>
    <definedName name="KV_DD_APRIL_16">KV_DROPDOWN_HELPER!$IT$1:$IT$13</definedName>
    <definedName name="KV_DD_APRIL_17">KV_DROPDOWN_HELPER!$IU$1:$IU$13</definedName>
    <definedName name="KV_DD_APRIL_18">KV_DROPDOWN_HELPER!$IV$1:$IV$13</definedName>
    <definedName name="KV_DD_APRIL_19">KV_DROPDOWN_HELPER!$IW$1:$IW$13</definedName>
    <definedName name="KV_DD_APRIL_20">KV_DROPDOWN_HELPER!$IX$1:$IX$13</definedName>
    <definedName name="KV_DD_APRIL_21">KV_DROPDOWN_HELPER!$IY$1:$IY$13</definedName>
    <definedName name="KV_DD_APRIL_22">KV_DROPDOWN_HELPER!$IZ$1:$IZ$13</definedName>
    <definedName name="KV_DD_APRIL_23">KV_DROPDOWN_HELPER!$JA$1:$JA$13</definedName>
    <definedName name="KV_DD_APRIL_24">KV_DROPDOWN_HELPER!$JB$1:$JB$13</definedName>
    <definedName name="KV_DD_APRIL_25">KV_DROPDOWN_HELPER!$JC$1:$JC$13</definedName>
    <definedName name="KV_DD_APRIL_26">KV_DROPDOWN_HELPER!$JD$1:$JD$13</definedName>
    <definedName name="KV_DD_APRIL_27">KV_DROPDOWN_HELPER!$JE$1:$JE$13</definedName>
    <definedName name="KV_DD_APRIL_28">KV_DROPDOWN_HELPER!$JF$1:$JF$13</definedName>
    <definedName name="KV_DD_APRIL_29">KV_DROPDOWN_HELPER!$JG$1:$JG$13</definedName>
    <definedName name="KV_DD_APRIL_3">KV_DROPDOWN_HELPER!$IG$1:$IG$13</definedName>
    <definedName name="KV_DD_APRIL_30">KV_DROPDOWN_HELPER!$JH$1:$JH$13</definedName>
    <definedName name="KV_DD_APRIL_31">KV_DROPDOWN_HELPER!$JI$1:$JI$13</definedName>
    <definedName name="KV_DD_APRIL_32">KV_DROPDOWN_HELPER!$JJ$1:$JJ$13</definedName>
    <definedName name="KV_DD_APRIL_33">KV_DROPDOWN_HELPER!$JK$1:$JK$13</definedName>
    <definedName name="KV_DD_APRIL_34">KV_DROPDOWN_HELPER!$JL$1:$JL$13</definedName>
    <definedName name="KV_DD_APRIL_35">KV_DROPDOWN_HELPER!$JM$1:$JM$13</definedName>
    <definedName name="KV_DD_APRIL_36">KV_DROPDOWN_HELPER!$JN$1:$JN$13</definedName>
    <definedName name="KV_DD_APRIL_37">KV_DROPDOWN_HELPER!$JO$1:$JO$13</definedName>
    <definedName name="KV_DD_APRIL_38">KV_DROPDOWN_HELPER!$JP$1:$JP$13</definedName>
    <definedName name="KV_DD_APRIL_39">KV_DROPDOWN_HELPER!$JQ$1:$JQ$13</definedName>
    <definedName name="KV_DD_APRIL_4">KV_DROPDOWN_HELPER!$IH$1:$IH$13</definedName>
    <definedName name="KV_DD_APRIL_40">KV_DROPDOWN_HELPER!$JR$1:$JR$13</definedName>
    <definedName name="KV_DD_APRIL_41">KV_DROPDOWN_HELPER!$JS$1:$JS$13</definedName>
    <definedName name="KV_DD_APRIL_42">KV_DROPDOWN_HELPER!$JT$1:$JT$13</definedName>
    <definedName name="KV_DD_APRIL_43">KV_DROPDOWN_HELPER!$JU$1:$JU$13</definedName>
    <definedName name="KV_DD_APRIL_44">KV_DROPDOWN_HELPER!$JV$1:$JV$13</definedName>
    <definedName name="KV_DD_APRIL_45">KV_DROPDOWN_HELPER!$JW$1:$JW$13</definedName>
    <definedName name="KV_DD_APRIL_46">KV_DROPDOWN_HELPER!$JX$1:$JX$13</definedName>
    <definedName name="KV_DD_APRIL_47">KV_DROPDOWN_HELPER!$JY$1:$JY$13</definedName>
    <definedName name="KV_DD_APRIL_48">KV_DROPDOWN_HELPER!$JZ$1:$JZ$13</definedName>
    <definedName name="KV_DD_APRIL_49">KV_DROPDOWN_HELPER!$KA$1:$KA$13</definedName>
    <definedName name="KV_DD_APRIL_5">KV_DROPDOWN_HELPER!$II$1:$II$13</definedName>
    <definedName name="KV_DD_APRIL_50">KV_DROPDOWN_HELPER!$KB$1:$KB$13</definedName>
    <definedName name="KV_DD_APRIL_51">KV_DROPDOWN_HELPER!$KC$1:$KC$13</definedName>
    <definedName name="KV_DD_APRIL_52">KV_DROPDOWN_HELPER!$KD$1:$KD$13</definedName>
    <definedName name="KV_DD_APRIL_53">KV_DROPDOWN_HELPER!$KE$1:$KE$13</definedName>
    <definedName name="KV_DD_APRIL_54">KV_DROPDOWN_HELPER!$KF$1:$KF$13</definedName>
    <definedName name="KV_DD_APRIL_55">KV_DROPDOWN_HELPER!$KG$1:$KG$13</definedName>
    <definedName name="KV_DD_APRIL_56">KV_DROPDOWN_HELPER!$KH$1:$KH$13</definedName>
    <definedName name="KV_DD_APRIL_57">KV_DROPDOWN_HELPER!$KI$1:$KI$13</definedName>
    <definedName name="KV_DD_APRIL_58">KV_DROPDOWN_HELPER!$KJ$1:$KJ$13</definedName>
    <definedName name="KV_DD_APRIL_59">KV_DROPDOWN_HELPER!$KK$1:$KK$13</definedName>
    <definedName name="KV_DD_APRIL_6">KV_DROPDOWN_HELPER!$IJ$1:$IJ$13</definedName>
    <definedName name="KV_DD_APRIL_60">KV_DROPDOWN_HELPER!$KL$1:$KL$13</definedName>
    <definedName name="KV_DD_APRIL_7">KV_DROPDOWN_HELPER!$IK$1:$IK$13</definedName>
    <definedName name="KV_DD_APRIL_8">KV_DROPDOWN_HELPER!$IL$1:$IL$13</definedName>
    <definedName name="KV_DD_APRIL_9">KV_DROPDOWN_HELPER!$IM$1:$IM$13</definedName>
    <definedName name="KV_DD_AUGUST_10">KV_DROPDOWN_HELPER!$UV$1:$UV$13</definedName>
    <definedName name="KV_DD_AUGUST_11">KV_DROPDOWN_HELPER!$UW$1:$UW$13</definedName>
    <definedName name="KV_DD_AUGUST_12">KV_DROPDOWN_HELPER!$UX$1:$UX$13</definedName>
    <definedName name="KV_DD_AUGUST_13">KV_DROPDOWN_HELPER!$UY$1:$UY$13</definedName>
    <definedName name="KV_DD_AUGUST_14">KV_DROPDOWN_HELPER!$UZ$1:$UZ$13</definedName>
    <definedName name="KV_DD_AUGUST_15">KV_DROPDOWN_HELPER!$VA$1:$VA$13</definedName>
    <definedName name="KV_DD_AUGUST_16">KV_DROPDOWN_HELPER!$VB$1:$VB$13</definedName>
    <definedName name="KV_DD_AUGUST_17">KV_DROPDOWN_HELPER!$VC$1:$VC$13</definedName>
    <definedName name="KV_DD_AUGUST_18">KV_DROPDOWN_HELPER!$VD$1:$VD$13</definedName>
    <definedName name="KV_DD_AUGUST_19">KV_DROPDOWN_HELPER!$VE$1:$VE$13</definedName>
    <definedName name="KV_DD_AUGUST_20">KV_DROPDOWN_HELPER!$VF$1:$VF$13</definedName>
    <definedName name="KV_DD_AUGUST_21">KV_DROPDOWN_HELPER!$VG$1:$VG$13</definedName>
    <definedName name="KV_DD_AUGUST_22">KV_DROPDOWN_HELPER!$VH$1:$VH$13</definedName>
    <definedName name="KV_DD_AUGUST_23">KV_DROPDOWN_HELPER!$VI$1:$VI$13</definedName>
    <definedName name="KV_DD_AUGUST_24">KV_DROPDOWN_HELPER!$VJ$1:$VJ$13</definedName>
    <definedName name="KV_DD_AUGUST_25">KV_DROPDOWN_HELPER!$VK$1:$VK$13</definedName>
    <definedName name="KV_DD_AUGUST_26">KV_DROPDOWN_HELPER!$VL$1:$VL$13</definedName>
    <definedName name="KV_DD_AUGUST_27">KV_DROPDOWN_HELPER!$VM$1:$VM$13</definedName>
    <definedName name="KV_DD_AUGUST_28">KV_DROPDOWN_HELPER!$VN$1:$VN$13</definedName>
    <definedName name="KV_DD_AUGUST_29">KV_DROPDOWN_HELPER!$VO$1:$VO$13</definedName>
    <definedName name="KV_DD_AUGUST_3">KV_DROPDOWN_HELPER!$UO$1:$UO$13</definedName>
    <definedName name="KV_DD_AUGUST_30">KV_DROPDOWN_HELPER!$VP$1:$VP$13</definedName>
    <definedName name="KV_DD_AUGUST_31">KV_DROPDOWN_HELPER!$VQ$1:$VQ$13</definedName>
    <definedName name="KV_DD_AUGUST_32">KV_DROPDOWN_HELPER!$VR$1:$VR$13</definedName>
    <definedName name="KV_DD_AUGUST_33">KV_DROPDOWN_HELPER!$VS$1:$VS$13</definedName>
    <definedName name="KV_DD_AUGUST_34">KV_DROPDOWN_HELPER!$VT$1:$VT$13</definedName>
    <definedName name="KV_DD_AUGUST_35">KV_DROPDOWN_HELPER!$VU$1:$VU$13</definedName>
    <definedName name="KV_DD_AUGUST_36">KV_DROPDOWN_HELPER!$VV$1:$VV$13</definedName>
    <definedName name="KV_DD_AUGUST_37">KV_DROPDOWN_HELPER!$VW$1:$VW$13</definedName>
    <definedName name="KV_DD_AUGUST_38">KV_DROPDOWN_HELPER!$VX$1:$VX$13</definedName>
    <definedName name="KV_DD_AUGUST_39">KV_DROPDOWN_HELPER!$VY$1:$VY$13</definedName>
    <definedName name="KV_DD_AUGUST_4">KV_DROPDOWN_HELPER!$UP$1:$UP$13</definedName>
    <definedName name="KV_DD_AUGUST_40">KV_DROPDOWN_HELPER!$VZ$1:$VZ$13</definedName>
    <definedName name="KV_DD_AUGUST_41">KV_DROPDOWN_HELPER!$WA$1:$WA$13</definedName>
    <definedName name="KV_DD_AUGUST_42">KV_DROPDOWN_HELPER!$WB$1:$WB$13</definedName>
    <definedName name="KV_DD_AUGUST_43">KV_DROPDOWN_HELPER!$WC$1:$WC$13</definedName>
    <definedName name="KV_DD_AUGUST_44">KV_DROPDOWN_HELPER!$WD$1:$WD$13</definedName>
    <definedName name="KV_DD_AUGUST_45">KV_DROPDOWN_HELPER!$WE$1:$WE$13</definedName>
    <definedName name="KV_DD_AUGUST_46">KV_DROPDOWN_HELPER!$WF$1:$WF$13</definedName>
    <definedName name="KV_DD_AUGUST_47">KV_DROPDOWN_HELPER!$WG$1:$WG$13</definedName>
    <definedName name="KV_DD_AUGUST_48">KV_DROPDOWN_HELPER!$WH$1:$WH$13</definedName>
    <definedName name="KV_DD_AUGUST_49">KV_DROPDOWN_HELPER!$WI$1:$WI$13</definedName>
    <definedName name="KV_DD_AUGUST_5">KV_DROPDOWN_HELPER!$UQ$1:$UQ$13</definedName>
    <definedName name="KV_DD_AUGUST_50">KV_DROPDOWN_HELPER!$WJ$1:$WJ$13</definedName>
    <definedName name="KV_DD_AUGUST_51">KV_DROPDOWN_HELPER!$WK$1:$WK$13</definedName>
    <definedName name="KV_DD_AUGUST_52">KV_DROPDOWN_HELPER!$WL$1:$WL$13</definedName>
    <definedName name="KV_DD_AUGUST_53">KV_DROPDOWN_HELPER!$WM$1:$WM$13</definedName>
    <definedName name="KV_DD_AUGUST_54">KV_DROPDOWN_HELPER!$WN$1:$WN$13</definedName>
    <definedName name="KV_DD_AUGUST_55">KV_DROPDOWN_HELPER!$WO$1:$WO$13</definedName>
    <definedName name="KV_DD_AUGUST_56">KV_DROPDOWN_HELPER!$WP$1:$WP$13</definedName>
    <definedName name="KV_DD_AUGUST_57">KV_DROPDOWN_HELPER!$WQ$1:$WQ$13</definedName>
    <definedName name="KV_DD_AUGUST_58">KV_DROPDOWN_HELPER!$WR$1:$WR$13</definedName>
    <definedName name="KV_DD_AUGUST_59">KV_DROPDOWN_HELPER!$WS$1:$WS$13</definedName>
    <definedName name="KV_DD_AUGUST_6">KV_DROPDOWN_HELPER!$UR$1:$UR$13</definedName>
    <definedName name="KV_DD_AUGUST_60">KV_DROPDOWN_HELPER!$WT$1:$WT$13</definedName>
    <definedName name="KV_DD_AUGUST_61">KV_DROPDOWN_HELPER!$WU$1:$WU$13</definedName>
    <definedName name="KV_DD_AUGUST_62">KV_DROPDOWN_HELPER!$WV$1:$WV$13</definedName>
    <definedName name="KV_DD_AUGUST_7">KV_DROPDOWN_HELPER!$US$1:$US$13</definedName>
    <definedName name="KV_DD_AUGUST_8">KV_DROPDOWN_HELPER!$UT$1:$UT$13</definedName>
    <definedName name="KV_DD_AUGUST_9">KV_DROPDOWN_HELPER!$UU$1:$UU$13</definedName>
    <definedName name="KV_DD_DEZEMBER_10">KV_DROPDOWN_HELPER!$AHD$1:$AHD$13</definedName>
    <definedName name="KV_DD_DEZEMBER_11">KV_DROPDOWN_HELPER!$AHE$1:$AHE$13</definedName>
    <definedName name="KV_DD_DEZEMBER_12">KV_DROPDOWN_HELPER!$AHF$1:$AHF$13</definedName>
    <definedName name="KV_DD_DEZEMBER_13">KV_DROPDOWN_HELPER!$AHG$1:$AHG$13</definedName>
    <definedName name="KV_DD_DEZEMBER_14">KV_DROPDOWN_HELPER!$AHH$1:$AHH$13</definedName>
    <definedName name="KV_DD_DEZEMBER_15">KV_DROPDOWN_HELPER!$AHI$1:$AHI$13</definedName>
    <definedName name="KV_DD_DEZEMBER_16">KV_DROPDOWN_HELPER!$AHJ$1:$AHJ$13</definedName>
    <definedName name="KV_DD_DEZEMBER_17">KV_DROPDOWN_HELPER!$AHK$1:$AHK$13</definedName>
    <definedName name="KV_DD_DEZEMBER_18">KV_DROPDOWN_HELPER!$AHL$1:$AHL$13</definedName>
    <definedName name="KV_DD_DEZEMBER_19">KV_DROPDOWN_HELPER!$AHM$1:$AHM$13</definedName>
    <definedName name="KV_DD_DEZEMBER_20">KV_DROPDOWN_HELPER!$AHN$1:$AHN$13</definedName>
    <definedName name="KV_DD_DEZEMBER_21">KV_DROPDOWN_HELPER!$AHO$1:$AHO$13</definedName>
    <definedName name="KV_DD_DEZEMBER_22">KV_DROPDOWN_HELPER!$AHP$1:$AHP$13</definedName>
    <definedName name="KV_DD_DEZEMBER_23">KV_DROPDOWN_HELPER!$AHQ$1:$AHQ$13</definedName>
    <definedName name="KV_DD_DEZEMBER_24">KV_DROPDOWN_HELPER!$AHR$1:$AHR$13</definedName>
    <definedName name="KV_DD_DEZEMBER_25">KV_DROPDOWN_HELPER!$AHS$1:$AHS$13</definedName>
    <definedName name="KV_DD_DEZEMBER_26">KV_DROPDOWN_HELPER!$AHT$1:$AHT$13</definedName>
    <definedName name="KV_DD_DEZEMBER_27">KV_DROPDOWN_HELPER!$AHU$1:$AHU$13</definedName>
    <definedName name="KV_DD_DEZEMBER_28">KV_DROPDOWN_HELPER!$AHV$1:$AHV$13</definedName>
    <definedName name="KV_DD_DEZEMBER_29">KV_DROPDOWN_HELPER!$AHW$1:$AHW$13</definedName>
    <definedName name="KV_DD_DEZEMBER_3">KV_DROPDOWN_HELPER!$AGW$1:$AGW$13</definedName>
    <definedName name="KV_DD_DEZEMBER_30">KV_DROPDOWN_HELPER!$AHX$1:$AHX$13</definedName>
    <definedName name="KV_DD_DEZEMBER_31">KV_DROPDOWN_HELPER!$AHY$1:$AHY$13</definedName>
    <definedName name="KV_DD_DEZEMBER_32">KV_DROPDOWN_HELPER!$AHZ$1:$AHZ$13</definedName>
    <definedName name="KV_DD_DEZEMBER_33">KV_DROPDOWN_HELPER!$AIA$1:$AIA$13</definedName>
    <definedName name="KV_DD_DEZEMBER_34">KV_DROPDOWN_HELPER!$AIB$1:$AIB$13</definedName>
    <definedName name="KV_DD_DEZEMBER_35">KV_DROPDOWN_HELPER!$AIC$1:$AIC$13</definedName>
    <definedName name="KV_DD_DEZEMBER_36">KV_DROPDOWN_HELPER!$AID$1:$AID$13</definedName>
    <definedName name="KV_DD_DEZEMBER_37">KV_DROPDOWN_HELPER!$AIE$1:$AIE$13</definedName>
    <definedName name="KV_DD_DEZEMBER_38">KV_DROPDOWN_HELPER!$AIF$1:$AIF$13</definedName>
    <definedName name="KV_DD_DEZEMBER_39">KV_DROPDOWN_HELPER!$AIG$1:$AIG$13</definedName>
    <definedName name="KV_DD_DEZEMBER_4">KV_DROPDOWN_HELPER!$AGX$1:$AGX$13</definedName>
    <definedName name="KV_DD_DEZEMBER_40">KV_DROPDOWN_HELPER!$AIH$1:$AIH$13</definedName>
    <definedName name="KV_DD_DEZEMBER_41">KV_DROPDOWN_HELPER!$AII$1:$AII$13</definedName>
    <definedName name="KV_DD_DEZEMBER_42">KV_DROPDOWN_HELPER!$AIJ$1:$AIJ$13</definedName>
    <definedName name="KV_DD_DEZEMBER_43">KV_DROPDOWN_HELPER!$AIK$1:$AIK$13</definedName>
    <definedName name="KV_DD_DEZEMBER_44">KV_DROPDOWN_HELPER!$AIL$1:$AIL$13</definedName>
    <definedName name="KV_DD_DEZEMBER_45">KV_DROPDOWN_HELPER!$AIM$1:$AIM$13</definedName>
    <definedName name="KV_DD_DEZEMBER_46">KV_DROPDOWN_HELPER!$AIN$1:$AIN$13</definedName>
    <definedName name="KV_DD_DEZEMBER_47">KV_DROPDOWN_HELPER!$AIO$1:$AIO$13</definedName>
    <definedName name="KV_DD_DEZEMBER_48">KV_DROPDOWN_HELPER!$AIP$1:$AIP$13</definedName>
    <definedName name="KV_DD_DEZEMBER_49">KV_DROPDOWN_HELPER!$AIQ$1:$AIQ$13</definedName>
    <definedName name="KV_DD_DEZEMBER_5">KV_DROPDOWN_HELPER!$AGY$1:$AGY$13</definedName>
    <definedName name="KV_DD_DEZEMBER_50">KV_DROPDOWN_HELPER!$AIR$1:$AIR$13</definedName>
    <definedName name="KV_DD_DEZEMBER_51">KV_DROPDOWN_HELPER!$AIS$1:$AIS$13</definedName>
    <definedName name="KV_DD_DEZEMBER_52">KV_DROPDOWN_HELPER!$AIT$1:$AIT$13</definedName>
    <definedName name="KV_DD_DEZEMBER_53">KV_DROPDOWN_HELPER!$AIU$1:$AIU$13</definedName>
    <definedName name="KV_DD_DEZEMBER_54">KV_DROPDOWN_HELPER!$AIV$1:$AIV$13</definedName>
    <definedName name="KV_DD_DEZEMBER_55">KV_DROPDOWN_HELPER!$AIW$1:$AIW$13</definedName>
    <definedName name="KV_DD_DEZEMBER_56">KV_DROPDOWN_HELPER!$AIX$1:$AIX$13</definedName>
    <definedName name="KV_DD_DEZEMBER_57">KV_DROPDOWN_HELPER!$AIY$1:$AIY$13</definedName>
    <definedName name="KV_DD_DEZEMBER_58">KV_DROPDOWN_HELPER!$AIZ$1:$AIZ$13</definedName>
    <definedName name="KV_DD_DEZEMBER_59">KV_DROPDOWN_HELPER!$AJA$1:$AJA$13</definedName>
    <definedName name="KV_DD_DEZEMBER_6">KV_DROPDOWN_HELPER!$AGZ$1:$AGZ$13</definedName>
    <definedName name="KV_DD_DEZEMBER_60">KV_DROPDOWN_HELPER!$AJB$1:$AJB$13</definedName>
    <definedName name="KV_DD_DEZEMBER_61">KV_DROPDOWN_HELPER!$AJC$1:$AJC$13</definedName>
    <definedName name="KV_DD_DEZEMBER_7">KV_DROPDOWN_HELPER!$AHA$1:$AHA$13</definedName>
    <definedName name="KV_DD_DEZEMBER_8">KV_DROPDOWN_HELPER!$AHB$1:$AHB$13</definedName>
    <definedName name="KV_DD_DEZEMBER_9">KV_DROPDOWN_HELPER!$AHC$1:$AHC$13</definedName>
    <definedName name="KV_DD_FEBRUAR_10">KV_DROPDOWN_HELPER!$CJ$1:$CJ$13</definedName>
    <definedName name="KV_DD_FEBRUAR_11">KV_DROPDOWN_HELPER!$CK$1:$CK$13</definedName>
    <definedName name="KV_DD_FEBRUAR_12">KV_DROPDOWN_HELPER!$CL$1:$CL$13</definedName>
    <definedName name="KV_DD_FEBRUAR_13">KV_DROPDOWN_HELPER!$CM$1:$CM$13</definedName>
    <definedName name="KV_DD_FEBRUAR_14">KV_DROPDOWN_HELPER!$CN$1:$CN$13</definedName>
    <definedName name="KV_DD_FEBRUAR_15">KV_DROPDOWN_HELPER!$CO$1:$CO$13</definedName>
    <definedName name="KV_DD_FEBRUAR_16">KV_DROPDOWN_HELPER!$CP$1:$CP$13</definedName>
    <definedName name="KV_DD_FEBRUAR_17">KV_DROPDOWN_HELPER!$CQ$1:$CQ$13</definedName>
    <definedName name="KV_DD_FEBRUAR_18">KV_DROPDOWN_HELPER!$CR$1:$CR$13</definedName>
    <definedName name="KV_DD_FEBRUAR_19">KV_DROPDOWN_HELPER!$CS$1:$CS$13</definedName>
    <definedName name="KV_DD_FEBRUAR_20">KV_DROPDOWN_HELPER!$CT$1:$CT$13</definedName>
    <definedName name="KV_DD_FEBRUAR_21">KV_DROPDOWN_HELPER!$CU$1:$CU$13</definedName>
    <definedName name="KV_DD_FEBRUAR_22">KV_DROPDOWN_HELPER!$CV$1:$CV$13</definedName>
    <definedName name="KV_DD_FEBRUAR_23">KV_DROPDOWN_HELPER!$CW$1:$CW$13</definedName>
    <definedName name="KV_DD_FEBRUAR_24">KV_DROPDOWN_HELPER!$CX$1:$CX$13</definedName>
    <definedName name="KV_DD_FEBRUAR_25">KV_DROPDOWN_HELPER!$CY$1:$CY$13</definedName>
    <definedName name="KV_DD_FEBRUAR_26">KV_DROPDOWN_HELPER!$CZ$1:$CZ$13</definedName>
    <definedName name="KV_DD_FEBRUAR_27">KV_DROPDOWN_HELPER!$DA$1:$DA$13</definedName>
    <definedName name="KV_DD_FEBRUAR_28">KV_DROPDOWN_HELPER!$DB$1:$DB$13</definedName>
    <definedName name="KV_DD_FEBRUAR_29">KV_DROPDOWN_HELPER!$DC$1:$DC$13</definedName>
    <definedName name="KV_DD_FEBRUAR_3">KV_DROPDOWN_HELPER!$CC$1:$CC$13</definedName>
    <definedName name="KV_DD_FEBRUAR_30">KV_DROPDOWN_HELPER!$DD$1:$DD$13</definedName>
    <definedName name="KV_DD_FEBRUAR_31">KV_DROPDOWN_HELPER!$DE$1:$DE$13</definedName>
    <definedName name="KV_DD_FEBRUAR_32">KV_DROPDOWN_HELPER!$DF$1:$DF$13</definedName>
    <definedName name="KV_DD_FEBRUAR_33">KV_DROPDOWN_HELPER!$DG$1:$DG$13</definedName>
    <definedName name="KV_DD_FEBRUAR_34">KV_DROPDOWN_HELPER!$DH$1:$DH$13</definedName>
    <definedName name="KV_DD_FEBRUAR_35">KV_DROPDOWN_HELPER!$DI$1:$DI$13</definedName>
    <definedName name="KV_DD_FEBRUAR_36">KV_DROPDOWN_HELPER!$DJ$1:$DJ$13</definedName>
    <definedName name="KV_DD_FEBRUAR_37">KV_DROPDOWN_HELPER!$DK$1:$DK$13</definedName>
    <definedName name="KV_DD_FEBRUAR_38">KV_DROPDOWN_HELPER!$DL$1:$DL$13</definedName>
    <definedName name="KV_DD_FEBRUAR_39">KV_DROPDOWN_HELPER!$DM$1:$DM$13</definedName>
    <definedName name="KV_DD_FEBRUAR_4">KV_DROPDOWN_HELPER!$CD$1:$CD$13</definedName>
    <definedName name="KV_DD_FEBRUAR_40">KV_DROPDOWN_HELPER!$DN$1:$DN$13</definedName>
    <definedName name="KV_DD_FEBRUAR_41">KV_DROPDOWN_HELPER!$DO$1:$DO$13</definedName>
    <definedName name="KV_DD_FEBRUAR_42">KV_DROPDOWN_HELPER!$DP$1:$DP$13</definedName>
    <definedName name="KV_DD_FEBRUAR_43">KV_DROPDOWN_HELPER!$DQ$1:$DQ$13</definedName>
    <definedName name="KV_DD_FEBRUAR_44">KV_DROPDOWN_HELPER!$DR$1:$DR$13</definedName>
    <definedName name="KV_DD_FEBRUAR_45">KV_DROPDOWN_HELPER!$DS$1:$DS$13</definedName>
    <definedName name="KV_DD_FEBRUAR_46">KV_DROPDOWN_HELPER!$DT$1:$DT$13</definedName>
    <definedName name="KV_DD_FEBRUAR_47">KV_DROPDOWN_HELPER!$DU$1:$DU$13</definedName>
    <definedName name="KV_DD_FEBRUAR_48">KV_DROPDOWN_HELPER!$DV$1:$DV$13</definedName>
    <definedName name="KV_DD_FEBRUAR_49">KV_DROPDOWN_HELPER!$DW$1:$DW$13</definedName>
    <definedName name="KV_DD_FEBRUAR_5">KV_DROPDOWN_HELPER!$CE$1:$CE$13</definedName>
    <definedName name="KV_DD_FEBRUAR_50">KV_DROPDOWN_HELPER!$DX$1:$DX$13</definedName>
    <definedName name="KV_DD_FEBRUAR_51">KV_DROPDOWN_HELPER!$DY$1:$DY$13</definedName>
    <definedName name="KV_DD_FEBRUAR_52">KV_DROPDOWN_HELPER!$DZ$1:$DZ$13</definedName>
    <definedName name="KV_DD_FEBRUAR_53">KV_DROPDOWN_HELPER!$EA$1:$EA$13</definedName>
    <definedName name="KV_DD_FEBRUAR_54">KV_DROPDOWN_HELPER!$EB$1:$EB$13</definedName>
    <definedName name="KV_DD_FEBRUAR_55">KV_DROPDOWN_HELPER!$EC$1:$EC$13</definedName>
    <definedName name="KV_DD_FEBRUAR_56">KV_DROPDOWN_HELPER!$ED$1:$ED$13</definedName>
    <definedName name="KV_DD_FEBRUAR_57">KV_DROPDOWN_HELPER!$EE$1:$EE$13</definedName>
    <definedName name="KV_DD_FEBRUAR_58">KV_DROPDOWN_HELPER!$EF$1:$EF$13</definedName>
    <definedName name="KV_DD_FEBRUAR_59">KV_DROPDOWN_HELPER!$EG$1:$EG$13</definedName>
    <definedName name="KV_DD_FEBRUAR_6">KV_DROPDOWN_HELPER!$CF$1:$CF$13</definedName>
    <definedName name="KV_DD_FEBRUAR_60">KV_DROPDOWN_HELPER!$EH$1:$EH$13</definedName>
    <definedName name="KV_DD_FEBRUAR_7">KV_DROPDOWN_HELPER!$CG$1:$CG$13</definedName>
    <definedName name="KV_DD_FEBRUAR_8">KV_DROPDOWN_HELPER!$CH$1:$CH$13</definedName>
    <definedName name="KV_DD_FEBRUAR_9">KV_DROPDOWN_HELPER!$CI$1:$CI$13</definedName>
    <definedName name="KV_DD_JANUAR_10">KV_DROPDOWN_HELPER!$H$1:$H$13</definedName>
    <definedName name="KV_DD_JANUAR_11">KV_DROPDOWN_HELPER!$I$1:$I$13</definedName>
    <definedName name="KV_DD_JANUAR_12">KV_DROPDOWN_HELPER!$J$1:$J$13</definedName>
    <definedName name="KV_DD_JANUAR_13">KV_DROPDOWN_HELPER!$K$1:$K$13</definedName>
    <definedName name="KV_DD_JANUAR_14">KV_DROPDOWN_HELPER!$L$1:$L$13</definedName>
    <definedName name="KV_DD_JANUAR_15">KV_DROPDOWN_HELPER!$M$1:$M$13</definedName>
    <definedName name="KV_DD_JANUAR_16">KV_DROPDOWN_HELPER!$N$1:$N$13</definedName>
    <definedName name="KV_DD_JANUAR_17">KV_DROPDOWN_HELPER!$O$1:$O$13</definedName>
    <definedName name="KV_DD_JANUAR_18">KV_DROPDOWN_HELPER!$P$1:$P$13</definedName>
    <definedName name="KV_DD_JANUAR_19">KV_DROPDOWN_HELPER!$Q$1:$Q$13</definedName>
    <definedName name="KV_DD_JANUAR_20">KV_DROPDOWN_HELPER!$R$1:$R$13</definedName>
    <definedName name="KV_DD_JANUAR_21">KV_DROPDOWN_HELPER!$S$1:$S$13</definedName>
    <definedName name="KV_DD_JANUAR_22">KV_DROPDOWN_HELPER!$T$1:$T$13</definedName>
    <definedName name="KV_DD_JANUAR_23">KV_DROPDOWN_HELPER!$U$1:$U$13</definedName>
    <definedName name="KV_DD_JANUAR_24">KV_DROPDOWN_HELPER!$V$1:$V$13</definedName>
    <definedName name="KV_DD_JANUAR_25">KV_DROPDOWN_HELPER!$W$1:$W$13</definedName>
    <definedName name="KV_DD_JANUAR_26">KV_DROPDOWN_HELPER!$X$1:$X$13</definedName>
    <definedName name="KV_DD_JANUAR_27">KV_DROPDOWN_HELPER!$Y$1:$Y$13</definedName>
    <definedName name="KV_DD_JANUAR_28">KV_DROPDOWN_HELPER!$Z$1:$Z$13</definedName>
    <definedName name="KV_DD_JANUAR_29">KV_DROPDOWN_HELPER!$AA$1:$AA$13</definedName>
    <definedName name="KV_DD_JANUAR_3">KV_DROPDOWN_HELPER!$A$1:$A$13</definedName>
    <definedName name="KV_DD_JANUAR_30">KV_DROPDOWN_HELPER!$AB$1:$AB$13</definedName>
    <definedName name="KV_DD_JANUAR_31">KV_DROPDOWN_HELPER!$AC$1:$AC$13</definedName>
    <definedName name="KV_DD_JANUAR_32">KV_DROPDOWN_HELPER!$AD$1:$AD$13</definedName>
    <definedName name="KV_DD_JANUAR_33">KV_DROPDOWN_HELPER!$AE$1:$AE$13</definedName>
    <definedName name="KV_DD_JANUAR_34">KV_DROPDOWN_HELPER!$AF$1:$AF$13</definedName>
    <definedName name="KV_DD_JANUAR_35">KV_DROPDOWN_HELPER!$AG$1:$AG$13</definedName>
    <definedName name="KV_DD_JANUAR_36">KV_DROPDOWN_HELPER!$AH$1:$AH$13</definedName>
    <definedName name="KV_DD_JANUAR_37">KV_DROPDOWN_HELPER!$AI$1:$AI$13</definedName>
    <definedName name="KV_DD_JANUAR_38">KV_DROPDOWN_HELPER!$AJ$1:$AJ$13</definedName>
    <definedName name="KV_DD_JANUAR_39">KV_DROPDOWN_HELPER!$AK$1:$AK$13</definedName>
    <definedName name="KV_DD_JANUAR_4">KV_DROPDOWN_HELPER!$B$1:$B$13</definedName>
    <definedName name="KV_DD_JANUAR_40">KV_DROPDOWN_HELPER!$AL$1:$AL$13</definedName>
    <definedName name="KV_DD_JANUAR_41">KV_DROPDOWN_HELPER!$AM$1:$AM$13</definedName>
    <definedName name="KV_DD_JANUAR_42">KV_DROPDOWN_HELPER!$AN$1:$AN$13</definedName>
    <definedName name="KV_DD_JANUAR_43">KV_DROPDOWN_HELPER!$AO$1:$AO$13</definedName>
    <definedName name="KV_DD_JANUAR_44">KV_DROPDOWN_HELPER!$AP$1:$AP$13</definedName>
    <definedName name="KV_DD_JANUAR_45">KV_DROPDOWN_HELPER!$AQ$1:$AQ$13</definedName>
    <definedName name="KV_DD_JANUAR_46">KV_DROPDOWN_HELPER!$AR$1:$AR$13</definedName>
    <definedName name="KV_DD_JANUAR_47">KV_DROPDOWN_HELPER!$AS$1:$AS$13</definedName>
    <definedName name="KV_DD_JANUAR_48">KV_DROPDOWN_HELPER!$AT$1:$AT$13</definedName>
    <definedName name="KV_DD_JANUAR_49">KV_DROPDOWN_HELPER!$AU$1:$AU$13</definedName>
    <definedName name="KV_DD_JANUAR_5">KV_DROPDOWN_HELPER!$C$1:$C$13</definedName>
    <definedName name="KV_DD_JANUAR_50">KV_DROPDOWN_HELPER!$AV$1:$AV$13</definedName>
    <definedName name="KV_DD_JANUAR_51">KV_DROPDOWN_HELPER!$AW$1:$AW$13</definedName>
    <definedName name="KV_DD_JANUAR_52">KV_DROPDOWN_HELPER!$AX$1:$AX$13</definedName>
    <definedName name="KV_DD_JANUAR_53">KV_DROPDOWN_HELPER!$AY$1:$AY$13</definedName>
    <definedName name="KV_DD_JANUAR_54">KV_DROPDOWN_HELPER!$AZ$1:$AZ$13</definedName>
    <definedName name="KV_DD_JANUAR_6">KV_DROPDOWN_HELPER!$D$1:$D$13</definedName>
    <definedName name="KV_DD_JANUAR_7">KV_DROPDOWN_HELPER!$E$1:$E$13</definedName>
    <definedName name="KV_DD_JANUAR_8">KV_DROPDOWN_HELPER!$F$1:$F$13</definedName>
    <definedName name="KV_DD_JANUAR_9">KV_DROPDOWN_HELPER!$G$1:$G$13</definedName>
    <definedName name="KV_DD_JULI_10">KV_DROPDOWN_HELPER!$RT$1:$RT$13</definedName>
    <definedName name="KV_DD_JULI_11">KV_DROPDOWN_HELPER!$RU$1:$RU$13</definedName>
    <definedName name="KV_DD_JULI_12">KV_DROPDOWN_HELPER!$RV$1:$RV$13</definedName>
    <definedName name="KV_DD_JULI_13">KV_DROPDOWN_HELPER!$RW$1:$RW$13</definedName>
    <definedName name="KV_DD_JULI_14">KV_DROPDOWN_HELPER!$RX$1:$RX$13</definedName>
    <definedName name="KV_DD_JULI_15">KV_DROPDOWN_HELPER!$RY$1:$RY$13</definedName>
    <definedName name="KV_DD_JULI_16">KV_DROPDOWN_HELPER!$RZ$1:$RZ$13</definedName>
    <definedName name="KV_DD_JULI_17">KV_DROPDOWN_HELPER!$SA$1:$SA$13</definedName>
    <definedName name="KV_DD_JULI_18">KV_DROPDOWN_HELPER!$SB$1:$SB$13</definedName>
    <definedName name="KV_DD_JULI_19">KV_DROPDOWN_HELPER!$SC$1:$SC$13</definedName>
    <definedName name="KV_DD_JULI_20">KV_DROPDOWN_HELPER!$SD$1:$SD$13</definedName>
    <definedName name="KV_DD_JULI_21">KV_DROPDOWN_HELPER!$SE$1:$SE$13</definedName>
    <definedName name="KV_DD_JULI_22">KV_DROPDOWN_HELPER!$SF$1:$SF$13</definedName>
    <definedName name="KV_DD_JULI_23">KV_DROPDOWN_HELPER!$SG$1:$SG$13</definedName>
    <definedName name="KV_DD_JULI_24">KV_DROPDOWN_HELPER!$SH$1:$SH$13</definedName>
    <definedName name="KV_DD_JULI_25">KV_DROPDOWN_HELPER!$SI$1:$SI$13</definedName>
    <definedName name="KV_DD_JULI_26">KV_DROPDOWN_HELPER!$SJ$1:$SJ$13</definedName>
    <definedName name="KV_DD_JULI_27">KV_DROPDOWN_HELPER!$SK$1:$SK$13</definedName>
    <definedName name="KV_DD_JULI_28">KV_DROPDOWN_HELPER!$SL$1:$SL$13</definedName>
    <definedName name="KV_DD_JULI_29">KV_DROPDOWN_HELPER!$SM$1:$SM$13</definedName>
    <definedName name="KV_DD_JULI_3">KV_DROPDOWN_HELPER!$RM$1:$RM$13</definedName>
    <definedName name="KV_DD_JULI_30">KV_DROPDOWN_HELPER!$SN$1:$SN$13</definedName>
    <definedName name="KV_DD_JULI_31">KV_DROPDOWN_HELPER!$SO$1:$SO$13</definedName>
    <definedName name="KV_DD_JULI_32">KV_DROPDOWN_HELPER!$SP$1:$SP$13</definedName>
    <definedName name="KV_DD_JULI_33">KV_DROPDOWN_HELPER!$SQ$1:$SQ$13</definedName>
    <definedName name="KV_DD_JULI_34">KV_DROPDOWN_HELPER!$SR$1:$SR$13</definedName>
    <definedName name="KV_DD_JULI_35">KV_DROPDOWN_HELPER!$SS$1:$SS$13</definedName>
    <definedName name="KV_DD_JULI_36">KV_DROPDOWN_HELPER!$ST$1:$ST$13</definedName>
    <definedName name="KV_DD_JULI_37">KV_DROPDOWN_HELPER!$SU$1:$SU$13</definedName>
    <definedName name="KV_DD_JULI_38">KV_DROPDOWN_HELPER!$SV$1:$SV$13</definedName>
    <definedName name="KV_DD_JULI_39">KV_DROPDOWN_HELPER!$SW$1:$SW$13</definedName>
    <definedName name="KV_DD_JULI_4">KV_DROPDOWN_HELPER!$RN$1:$RN$13</definedName>
    <definedName name="KV_DD_JULI_40">KV_DROPDOWN_HELPER!$SX$1:$SX$13</definedName>
    <definedName name="KV_DD_JULI_41">KV_DROPDOWN_HELPER!$SY$1:$SY$13</definedName>
    <definedName name="KV_DD_JULI_42">KV_DROPDOWN_HELPER!$SZ$1:$SZ$13</definedName>
    <definedName name="KV_DD_JULI_43">KV_DROPDOWN_HELPER!$TA$1:$TA$13</definedName>
    <definedName name="KV_DD_JULI_44">KV_DROPDOWN_HELPER!$TB$1:$TB$13</definedName>
    <definedName name="KV_DD_JULI_45">KV_DROPDOWN_HELPER!$TC$1:$TC$13</definedName>
    <definedName name="KV_DD_JULI_46">KV_DROPDOWN_HELPER!$TD$1:$TD$13</definedName>
    <definedName name="KV_DD_JULI_47">KV_DROPDOWN_HELPER!$TE$1:$TE$13</definedName>
    <definedName name="KV_DD_JULI_48">KV_DROPDOWN_HELPER!$TF$1:$TF$13</definedName>
    <definedName name="KV_DD_JULI_49">KV_DROPDOWN_HELPER!$TG$1:$TG$13</definedName>
    <definedName name="KV_DD_JULI_5">KV_DROPDOWN_HELPER!$RO$1:$RO$13</definedName>
    <definedName name="KV_DD_JULI_50">KV_DROPDOWN_HELPER!$TH$1:$TH$13</definedName>
    <definedName name="KV_DD_JULI_51">KV_DROPDOWN_HELPER!$TI$1:$TI$13</definedName>
    <definedName name="KV_DD_JULI_52">KV_DROPDOWN_HELPER!$TJ$1:$TJ$13</definedName>
    <definedName name="KV_DD_JULI_53">KV_DROPDOWN_HELPER!$TK$1:$TK$13</definedName>
    <definedName name="KV_DD_JULI_54">KV_DROPDOWN_HELPER!$TL$1:$TL$13</definedName>
    <definedName name="KV_DD_JULI_55">KV_DROPDOWN_HELPER!$TM$1:$TM$13</definedName>
    <definedName name="KV_DD_JULI_56">KV_DROPDOWN_HELPER!$TN$1:$TN$13</definedName>
    <definedName name="KV_DD_JULI_57">KV_DROPDOWN_HELPER!$TO$1:$TO$13</definedName>
    <definedName name="KV_DD_JULI_58">KV_DROPDOWN_HELPER!$TP$1:$TP$13</definedName>
    <definedName name="KV_DD_JULI_59">KV_DROPDOWN_HELPER!$TQ$1:$TQ$13</definedName>
    <definedName name="KV_DD_JULI_6">KV_DROPDOWN_HELPER!$RP$1:$RP$13</definedName>
    <definedName name="KV_DD_JULI_60">KV_DROPDOWN_HELPER!$TR$1:$TR$13</definedName>
    <definedName name="KV_DD_JULI_61">KV_DROPDOWN_HELPER!$TS$1:$TS$13</definedName>
    <definedName name="KV_DD_JULI_62">KV_DROPDOWN_HELPER!$TT$1:$TT$13</definedName>
    <definedName name="KV_DD_JULI_7">KV_DROPDOWN_HELPER!$RQ$1:$RQ$13</definedName>
    <definedName name="KV_DD_JULI_8">KV_DROPDOWN_HELPER!$RR$1:$RR$13</definedName>
    <definedName name="KV_DD_JULI_9">KV_DROPDOWN_HELPER!$RS$1:$RS$13</definedName>
    <definedName name="KV_DD_JUNI_10">KV_DROPDOWN_HELPER!$OR$1:$OR$13</definedName>
    <definedName name="KV_DD_JUNI_11">KV_DROPDOWN_HELPER!$OS$1:$OS$13</definedName>
    <definedName name="KV_DD_JUNI_12">KV_DROPDOWN_HELPER!$OT$1:$OT$13</definedName>
    <definedName name="KV_DD_JUNI_13">KV_DROPDOWN_HELPER!$OU$1:$OU$13</definedName>
    <definedName name="KV_DD_JUNI_14">KV_DROPDOWN_HELPER!$OV$1:$OV$13</definedName>
    <definedName name="KV_DD_JUNI_15">KV_DROPDOWN_HELPER!$OW$1:$OW$13</definedName>
    <definedName name="KV_DD_JUNI_16">KV_DROPDOWN_HELPER!$OX$1:$OX$13</definedName>
    <definedName name="KV_DD_JUNI_17">KV_DROPDOWN_HELPER!$OY$1:$OY$13</definedName>
    <definedName name="KV_DD_JUNI_18">KV_DROPDOWN_HELPER!$OZ$1:$OZ$13</definedName>
    <definedName name="KV_DD_JUNI_19">KV_DROPDOWN_HELPER!$PA$1:$PA$13</definedName>
    <definedName name="KV_DD_JUNI_20">KV_DROPDOWN_HELPER!$PB$1:$PB$13</definedName>
    <definedName name="KV_DD_JUNI_21">KV_DROPDOWN_HELPER!$PC$1:$PC$13</definedName>
    <definedName name="KV_DD_JUNI_22">KV_DROPDOWN_HELPER!$PD$1:$PD$13</definedName>
    <definedName name="KV_DD_JUNI_23">KV_DROPDOWN_HELPER!$PE$1:$PE$13</definedName>
    <definedName name="KV_DD_JUNI_24">KV_DROPDOWN_HELPER!$PF$1:$PF$13</definedName>
    <definedName name="KV_DD_JUNI_25">KV_DROPDOWN_HELPER!$PG$1:$PG$13</definedName>
    <definedName name="KV_DD_JUNI_26">KV_DROPDOWN_HELPER!$PH$1:$PH$13</definedName>
    <definedName name="KV_DD_JUNI_27">KV_DROPDOWN_HELPER!$PI$1:$PI$13</definedName>
    <definedName name="KV_DD_JUNI_28">KV_DROPDOWN_HELPER!$PJ$1:$PJ$13</definedName>
    <definedName name="KV_DD_JUNI_29">KV_DROPDOWN_HELPER!$PK$1:$PK$13</definedName>
    <definedName name="KV_DD_JUNI_3">KV_DROPDOWN_HELPER!$OK$1:$OK$13</definedName>
    <definedName name="KV_DD_JUNI_30">KV_DROPDOWN_HELPER!$PL$1:$PL$13</definedName>
    <definedName name="KV_DD_JUNI_31">KV_DROPDOWN_HELPER!$PM$1:$PM$13</definedName>
    <definedName name="KV_DD_JUNI_32">KV_DROPDOWN_HELPER!$PN$1:$PN$13</definedName>
    <definedName name="KV_DD_JUNI_33">KV_DROPDOWN_HELPER!$PO$1:$PO$13</definedName>
    <definedName name="KV_DD_JUNI_34">KV_DROPDOWN_HELPER!$PP$1:$PP$13</definedName>
    <definedName name="KV_DD_JUNI_35">KV_DROPDOWN_HELPER!$PQ$1:$PQ$13</definedName>
    <definedName name="KV_DD_JUNI_36">KV_DROPDOWN_HELPER!$PR$1:$PR$13</definedName>
    <definedName name="KV_DD_JUNI_37">KV_DROPDOWN_HELPER!$PS$1:$PS$13</definedName>
    <definedName name="KV_DD_JUNI_38">KV_DROPDOWN_HELPER!$PT$1:$PT$13</definedName>
    <definedName name="KV_DD_JUNI_39">KV_DROPDOWN_HELPER!$PU$1:$PU$13</definedName>
    <definedName name="KV_DD_JUNI_4">KV_DROPDOWN_HELPER!$OL$1:$OL$13</definedName>
    <definedName name="KV_DD_JUNI_40">KV_DROPDOWN_HELPER!$PV$1:$PV$13</definedName>
    <definedName name="KV_DD_JUNI_41">KV_DROPDOWN_HELPER!$PW$1:$PW$13</definedName>
    <definedName name="KV_DD_JUNI_42">KV_DROPDOWN_HELPER!$PX$1:$PX$13</definedName>
    <definedName name="KV_DD_JUNI_43">KV_DROPDOWN_HELPER!$PY$1:$PY$13</definedName>
    <definedName name="KV_DD_JUNI_44">KV_DROPDOWN_HELPER!$PZ$1:$PZ$13</definedName>
    <definedName name="KV_DD_JUNI_45">KV_DROPDOWN_HELPER!$QA$1:$QA$13</definedName>
    <definedName name="KV_DD_JUNI_46">KV_DROPDOWN_HELPER!$QB$1:$QB$13</definedName>
    <definedName name="KV_DD_JUNI_47">KV_DROPDOWN_HELPER!$QC$1:$QC$13</definedName>
    <definedName name="KV_DD_JUNI_48">KV_DROPDOWN_HELPER!$QD$1:$QD$13</definedName>
    <definedName name="KV_DD_JUNI_49">KV_DROPDOWN_HELPER!$QE$1:$QE$13</definedName>
    <definedName name="KV_DD_JUNI_5">KV_DROPDOWN_HELPER!$OM$1:$OM$13</definedName>
    <definedName name="KV_DD_JUNI_50">KV_DROPDOWN_HELPER!$QF$1:$QF$13</definedName>
    <definedName name="KV_DD_JUNI_51">KV_DROPDOWN_HELPER!$QG$1:$QG$13</definedName>
    <definedName name="KV_DD_JUNI_52">KV_DROPDOWN_HELPER!$QH$1:$QH$13</definedName>
    <definedName name="KV_DD_JUNI_53">KV_DROPDOWN_HELPER!$QI$1:$QI$13</definedName>
    <definedName name="KV_DD_JUNI_54">KV_DROPDOWN_HELPER!$QJ$1:$QJ$13</definedName>
    <definedName name="KV_DD_JUNI_55">KV_DROPDOWN_HELPER!$QK$1:$QK$13</definedName>
    <definedName name="KV_DD_JUNI_56">KV_DROPDOWN_HELPER!$QL$1:$QL$13</definedName>
    <definedName name="KV_DD_JUNI_57">KV_DROPDOWN_HELPER!$QM$1:$QM$13</definedName>
    <definedName name="KV_DD_JUNI_58">KV_DROPDOWN_HELPER!$QN$1:$QN$13</definedName>
    <definedName name="KV_DD_JUNI_59">KV_DROPDOWN_HELPER!$QO$1:$QO$13</definedName>
    <definedName name="KV_DD_JUNI_6">KV_DROPDOWN_HELPER!$ON$1:$ON$13</definedName>
    <definedName name="KV_DD_JUNI_60">KV_DROPDOWN_HELPER!$QP$1:$QP$13</definedName>
    <definedName name="KV_DD_JUNI_61">KV_DROPDOWN_HELPER!$QQ$1:$QQ$13</definedName>
    <definedName name="KV_DD_JUNI_62">KV_DROPDOWN_HELPER!$QR$1:$QR$13</definedName>
    <definedName name="KV_DD_JUNI_7">KV_DROPDOWN_HELPER!$OO$1:$OO$13</definedName>
    <definedName name="KV_DD_JUNI_8">KV_DROPDOWN_HELPER!$OP$1:$OP$13</definedName>
    <definedName name="KV_DD_JUNI_9">KV_DROPDOWN_HELPER!$OQ$1:$OQ$13</definedName>
    <definedName name="KV_DD_MAI_10">KV_DROPDOWN_HELPER!$LP$1:$LP$13</definedName>
    <definedName name="KV_DD_MAI_11">KV_DROPDOWN_HELPER!$LQ$1:$LQ$13</definedName>
    <definedName name="KV_DD_MAI_12">KV_DROPDOWN_HELPER!$LR$1:$LR$13</definedName>
    <definedName name="KV_DD_MAI_13">KV_DROPDOWN_HELPER!$LS$1:$LS$13</definedName>
    <definedName name="KV_DD_MAI_14">KV_DROPDOWN_HELPER!$LT$1:$LT$13</definedName>
    <definedName name="KV_DD_MAI_15">KV_DROPDOWN_HELPER!$LU$1:$LU$13</definedName>
    <definedName name="KV_DD_MAI_16">KV_DROPDOWN_HELPER!$LV$1:$LV$13</definedName>
    <definedName name="KV_DD_MAI_17">KV_DROPDOWN_HELPER!$LW$1:$LW$13</definedName>
    <definedName name="KV_DD_MAI_18">KV_DROPDOWN_HELPER!$LX$1:$LX$13</definedName>
    <definedName name="KV_DD_MAI_19">KV_DROPDOWN_HELPER!$LY$1:$LY$13</definedName>
    <definedName name="KV_DD_MAI_20">KV_DROPDOWN_HELPER!$LZ$1:$LZ$13</definedName>
    <definedName name="KV_DD_MAI_21">KV_DROPDOWN_HELPER!$MA$1:$MA$13</definedName>
    <definedName name="KV_DD_MAI_22">KV_DROPDOWN_HELPER!$MB$1:$MB$13</definedName>
    <definedName name="KV_DD_MAI_23">KV_DROPDOWN_HELPER!$MC$1:$MC$13</definedName>
    <definedName name="KV_DD_MAI_24">KV_DROPDOWN_HELPER!$MD$1:$MD$13</definedName>
    <definedName name="KV_DD_MAI_25">KV_DROPDOWN_HELPER!$ME$1:$ME$13</definedName>
    <definedName name="KV_DD_MAI_26">KV_DROPDOWN_HELPER!$MF$1:$MF$13</definedName>
    <definedName name="KV_DD_MAI_27">KV_DROPDOWN_HELPER!$MG$1:$MG$13</definedName>
    <definedName name="KV_DD_MAI_28">KV_DROPDOWN_HELPER!$MH$1:$MH$13</definedName>
    <definedName name="KV_DD_MAI_29">KV_DROPDOWN_HELPER!$MI$1:$MI$13</definedName>
    <definedName name="KV_DD_MAI_3">KV_DROPDOWN_HELPER!$LI$1:$LI$13</definedName>
    <definedName name="KV_DD_MAI_30">KV_DROPDOWN_HELPER!$MJ$1:$MJ$13</definedName>
    <definedName name="KV_DD_MAI_31">KV_DROPDOWN_HELPER!$MK$1:$MK$13</definedName>
    <definedName name="KV_DD_MAI_32">KV_DROPDOWN_HELPER!$ML$1:$ML$13</definedName>
    <definedName name="KV_DD_MAI_33">KV_DROPDOWN_HELPER!$MM$1:$MM$13</definedName>
    <definedName name="KV_DD_MAI_34">KV_DROPDOWN_HELPER!$MN$1:$MN$13</definedName>
    <definedName name="KV_DD_MAI_35">KV_DROPDOWN_HELPER!$MO$1:$MO$13</definedName>
    <definedName name="KV_DD_MAI_36">KV_DROPDOWN_HELPER!$MP$1:$MP$13</definedName>
    <definedName name="KV_DD_MAI_37">KV_DROPDOWN_HELPER!$MQ$1:$MQ$13</definedName>
    <definedName name="KV_DD_MAI_38">KV_DROPDOWN_HELPER!$MR$1:$MR$13</definedName>
    <definedName name="KV_DD_MAI_39">KV_DROPDOWN_HELPER!$MS$1:$MS$13</definedName>
    <definedName name="KV_DD_MAI_4">KV_DROPDOWN_HELPER!$LJ$1:$LJ$13</definedName>
    <definedName name="KV_DD_MAI_40">KV_DROPDOWN_HELPER!$MT$1:$MT$13</definedName>
    <definedName name="KV_DD_MAI_41">KV_DROPDOWN_HELPER!$MU$1:$MU$13</definedName>
    <definedName name="KV_DD_MAI_42">KV_DROPDOWN_HELPER!$MV$1:$MV$13</definedName>
    <definedName name="KV_DD_MAI_43">KV_DROPDOWN_HELPER!$MW$1:$MW$13</definedName>
    <definedName name="KV_DD_MAI_44">KV_DROPDOWN_HELPER!$MX$1:$MX$13</definedName>
    <definedName name="KV_DD_MAI_45">KV_DROPDOWN_HELPER!$MY$1:$MY$13</definedName>
    <definedName name="KV_DD_MAI_46">KV_DROPDOWN_HELPER!$MZ$1:$MZ$13</definedName>
    <definedName name="KV_DD_MAI_47">KV_DROPDOWN_HELPER!$NA$1:$NA$13</definedName>
    <definedName name="KV_DD_MAI_48">KV_DROPDOWN_HELPER!$NB$1:$NB$13</definedName>
    <definedName name="KV_DD_MAI_49">KV_DROPDOWN_HELPER!$NC$1:$NC$13</definedName>
    <definedName name="KV_DD_MAI_5">KV_DROPDOWN_HELPER!$LK$1:$LK$13</definedName>
    <definedName name="KV_DD_MAI_50">KV_DROPDOWN_HELPER!$ND$1:$ND$13</definedName>
    <definedName name="KV_DD_MAI_51">KV_DROPDOWN_HELPER!$NE$1:$NE$13</definedName>
    <definedName name="KV_DD_MAI_52">KV_DROPDOWN_HELPER!$NF$1:$NF$13</definedName>
    <definedName name="KV_DD_MAI_53">KV_DROPDOWN_HELPER!$NG$1:$NG$13</definedName>
    <definedName name="KV_DD_MAI_54">KV_DROPDOWN_HELPER!$NH$1:$NH$13</definedName>
    <definedName name="KV_DD_MAI_55">KV_DROPDOWN_HELPER!$NI$1:$NI$13</definedName>
    <definedName name="KV_DD_MAI_56">KV_DROPDOWN_HELPER!$NJ$1:$NJ$13</definedName>
    <definedName name="KV_DD_MAI_57">KV_DROPDOWN_HELPER!$NK$1:$NK$13</definedName>
    <definedName name="KV_DD_MAI_58">KV_DROPDOWN_HELPER!$NL$1:$NL$13</definedName>
    <definedName name="KV_DD_MAI_59">KV_DROPDOWN_HELPER!$NM$1:$NM$13</definedName>
    <definedName name="KV_DD_MAI_6">KV_DROPDOWN_HELPER!$LL$1:$LL$13</definedName>
    <definedName name="KV_DD_MAI_60">KV_DROPDOWN_HELPER!$NN$1:$NN$13</definedName>
    <definedName name="KV_DD_MAI_61">KV_DROPDOWN_HELPER!$NO$1:$NO$13</definedName>
    <definedName name="KV_DD_MAI_62">KV_DROPDOWN_HELPER!$NP$1:$NP$13</definedName>
    <definedName name="KV_DD_MAI_63">KV_DROPDOWN_HELPER!$NQ$1:$NQ$13</definedName>
    <definedName name="KV_DD_MAI_7">KV_DROPDOWN_HELPER!$LM$1:$LM$13</definedName>
    <definedName name="KV_DD_MAI_8">KV_DROPDOWN_HELPER!$LN$1:$LN$13</definedName>
    <definedName name="KV_DD_MAI_9">KV_DROPDOWN_HELPER!$LO$1:$LO$13</definedName>
    <definedName name="KV_DD_MARZ_10">KV_DROPDOWN_HELPER!$FL$1:$FL$13</definedName>
    <definedName name="KV_DD_MARZ_11">KV_DROPDOWN_HELPER!$FM$1:$FM$13</definedName>
    <definedName name="KV_DD_MARZ_12">KV_DROPDOWN_HELPER!$FN$1:$FN$13</definedName>
    <definedName name="KV_DD_MARZ_13">KV_DROPDOWN_HELPER!$FO$1:$FO$13</definedName>
    <definedName name="KV_DD_MARZ_14">KV_DROPDOWN_HELPER!$FP$1:$FP$13</definedName>
    <definedName name="KV_DD_MARZ_15">KV_DROPDOWN_HELPER!$FQ$1:$FQ$13</definedName>
    <definedName name="KV_DD_MARZ_16">KV_DROPDOWN_HELPER!$FR$1:$FR$13</definedName>
    <definedName name="KV_DD_MARZ_17">KV_DROPDOWN_HELPER!$FS$1:$FS$13</definedName>
    <definedName name="KV_DD_MARZ_18">KV_DROPDOWN_HELPER!$FT$1:$FT$13</definedName>
    <definedName name="KV_DD_MARZ_19">KV_DROPDOWN_HELPER!$FU$1:$FU$13</definedName>
    <definedName name="KV_DD_MARZ_20">KV_DROPDOWN_HELPER!$FV$1:$FV$13</definedName>
    <definedName name="KV_DD_MARZ_21">KV_DROPDOWN_HELPER!$FW$1:$FW$13</definedName>
    <definedName name="KV_DD_MARZ_22">KV_DROPDOWN_HELPER!$FX$1:$FX$13</definedName>
    <definedName name="KV_DD_MARZ_23">KV_DROPDOWN_HELPER!$FY$1:$FY$13</definedName>
    <definedName name="KV_DD_MARZ_24">KV_DROPDOWN_HELPER!$FZ$1:$FZ$13</definedName>
    <definedName name="KV_DD_MARZ_25">KV_DROPDOWN_HELPER!$GA$1:$GA$13</definedName>
    <definedName name="KV_DD_MARZ_26">KV_DROPDOWN_HELPER!$GB$1:$GB$13</definedName>
    <definedName name="KV_DD_MARZ_27">KV_DROPDOWN_HELPER!$GC$1:$GC$13</definedName>
    <definedName name="KV_DD_MARZ_28">KV_DROPDOWN_HELPER!$GD$1:$GD$13</definedName>
    <definedName name="KV_DD_MARZ_29">KV_DROPDOWN_HELPER!$GE$1:$GE$13</definedName>
    <definedName name="KV_DD_MARZ_3">KV_DROPDOWN_HELPER!$FE$1:$FE$13</definedName>
    <definedName name="KV_DD_MARZ_30">KV_DROPDOWN_HELPER!$GF$1:$GF$13</definedName>
    <definedName name="KV_DD_MARZ_31">KV_DROPDOWN_HELPER!$GG$1:$GG$13</definedName>
    <definedName name="KV_DD_MARZ_32">KV_DROPDOWN_HELPER!$GH$1:$GH$13</definedName>
    <definedName name="KV_DD_MARZ_33">KV_DROPDOWN_HELPER!$GI$1:$GI$13</definedName>
    <definedName name="KV_DD_MARZ_34">KV_DROPDOWN_HELPER!$GJ$1:$GJ$13</definedName>
    <definedName name="KV_DD_MARZ_35">KV_DROPDOWN_HELPER!$GK$1:$GK$13</definedName>
    <definedName name="KV_DD_MARZ_36">KV_DROPDOWN_HELPER!$GL$1:$GL$13</definedName>
    <definedName name="KV_DD_MARZ_37">KV_DROPDOWN_HELPER!$GM$1:$GM$13</definedName>
    <definedName name="KV_DD_MARZ_38">KV_DROPDOWN_HELPER!$GN$1:$GN$13</definedName>
    <definedName name="KV_DD_MARZ_39">KV_DROPDOWN_HELPER!$GO$1:$GO$13</definedName>
    <definedName name="KV_DD_MARZ_4">KV_DROPDOWN_HELPER!$FF$1:$FF$13</definedName>
    <definedName name="KV_DD_MARZ_40">KV_DROPDOWN_HELPER!$GP$1:$GP$13</definedName>
    <definedName name="KV_DD_MARZ_41">KV_DROPDOWN_HELPER!$GQ$1:$GQ$13</definedName>
    <definedName name="KV_DD_MARZ_42">KV_DROPDOWN_HELPER!$GR$1:$GR$13</definedName>
    <definedName name="KV_DD_MARZ_43">KV_DROPDOWN_HELPER!$GS$1:$GS$13</definedName>
    <definedName name="KV_DD_MARZ_44">KV_DROPDOWN_HELPER!$GT$1:$GT$13</definedName>
    <definedName name="KV_DD_MARZ_45">KV_DROPDOWN_HELPER!$GU$1:$GU$13</definedName>
    <definedName name="KV_DD_MARZ_46">KV_DROPDOWN_HELPER!$GV$1:$GV$13</definedName>
    <definedName name="KV_DD_MARZ_47">KV_DROPDOWN_HELPER!$GW$1:$GW$13</definedName>
    <definedName name="KV_DD_MARZ_48">KV_DROPDOWN_HELPER!$GX$1:$GX$13</definedName>
    <definedName name="KV_DD_MARZ_49">KV_DROPDOWN_HELPER!$GY$1:$GY$13</definedName>
    <definedName name="KV_DD_MARZ_5">KV_DROPDOWN_HELPER!$FG$1:$FG$13</definedName>
    <definedName name="KV_DD_MARZ_50">KV_DROPDOWN_HELPER!$GZ$1:$GZ$13</definedName>
    <definedName name="KV_DD_MARZ_51">KV_DROPDOWN_HELPER!$HA$1:$HA$13</definedName>
    <definedName name="KV_DD_MARZ_52">KV_DROPDOWN_HELPER!$HB$1:$HB$13</definedName>
    <definedName name="KV_DD_MARZ_53">KV_DROPDOWN_HELPER!$HC$1:$HC$13</definedName>
    <definedName name="KV_DD_MARZ_54">KV_DROPDOWN_HELPER!$HD$1:$HD$13</definedName>
    <definedName name="KV_DD_MARZ_55">KV_DROPDOWN_HELPER!$HE$1:$HE$13</definedName>
    <definedName name="KV_DD_MARZ_56">KV_DROPDOWN_HELPER!$HF$1:$HF$13</definedName>
    <definedName name="KV_DD_MARZ_57">KV_DROPDOWN_HELPER!$HG$1:$HG$13</definedName>
    <definedName name="KV_DD_MARZ_58">KV_DROPDOWN_HELPER!$HH$1:$HH$13</definedName>
    <definedName name="KV_DD_MARZ_59">KV_DROPDOWN_HELPER!$HI$1:$HI$13</definedName>
    <definedName name="KV_DD_MARZ_6">KV_DROPDOWN_HELPER!$FH$1:$FH$13</definedName>
    <definedName name="KV_DD_MARZ_60">KV_DROPDOWN_HELPER!$HJ$1:$HJ$13</definedName>
    <definedName name="KV_DD_MARZ_61">KV_DROPDOWN_HELPER!$HK$1:$HK$13</definedName>
    <definedName name="KV_DD_MARZ_7">KV_DROPDOWN_HELPER!$FI$1:$FI$13</definedName>
    <definedName name="KV_DD_MARZ_8">KV_DROPDOWN_HELPER!$FJ$1:$FJ$13</definedName>
    <definedName name="KV_DD_MARZ_9">KV_DROPDOWN_HELPER!$FK$1:$FK$13</definedName>
    <definedName name="KV_DD_NOVEMBER_10">KV_DROPDOWN_HELPER!$AEB$1:$AEB$13</definedName>
    <definedName name="KV_DD_NOVEMBER_11">KV_DROPDOWN_HELPER!$AEC$1:$AEC$13</definedName>
    <definedName name="KV_DD_NOVEMBER_12">KV_DROPDOWN_HELPER!$AED$1:$AED$13</definedName>
    <definedName name="KV_DD_NOVEMBER_13">KV_DROPDOWN_HELPER!$AEE$1:$AEE$13</definedName>
    <definedName name="KV_DD_NOVEMBER_14">KV_DROPDOWN_HELPER!$AEF$1:$AEF$13</definedName>
    <definedName name="KV_DD_NOVEMBER_15">KV_DROPDOWN_HELPER!$AEG$1:$AEG$13</definedName>
    <definedName name="KV_DD_NOVEMBER_16">KV_DROPDOWN_HELPER!$AEH$1:$AEH$13</definedName>
    <definedName name="KV_DD_NOVEMBER_17">KV_DROPDOWN_HELPER!$AEI$1:$AEI$13</definedName>
    <definedName name="KV_DD_NOVEMBER_18">KV_DROPDOWN_HELPER!$AEJ$1:$AEJ$13</definedName>
    <definedName name="KV_DD_NOVEMBER_19">KV_DROPDOWN_HELPER!$AEK$1:$AEK$13</definedName>
    <definedName name="KV_DD_NOVEMBER_20">KV_DROPDOWN_HELPER!$AEL$1:$AEL$13</definedName>
    <definedName name="KV_DD_NOVEMBER_21">KV_DROPDOWN_HELPER!$AEM$1:$AEM$13</definedName>
    <definedName name="KV_DD_NOVEMBER_22">KV_DROPDOWN_HELPER!$AEN$1:$AEN$13</definedName>
    <definedName name="KV_DD_NOVEMBER_23">KV_DROPDOWN_HELPER!$AEO$1:$AEO$13</definedName>
    <definedName name="KV_DD_NOVEMBER_24">KV_DROPDOWN_HELPER!$AEP$1:$AEP$13</definedName>
    <definedName name="KV_DD_NOVEMBER_25">KV_DROPDOWN_HELPER!$AEQ$1:$AEQ$13</definedName>
    <definedName name="KV_DD_NOVEMBER_26">KV_DROPDOWN_HELPER!$AER$1:$AER$13</definedName>
    <definedName name="KV_DD_NOVEMBER_27">KV_DROPDOWN_HELPER!$AES$1:$AES$13</definedName>
    <definedName name="KV_DD_NOVEMBER_28">KV_DROPDOWN_HELPER!$AET$1:$AET$13</definedName>
    <definedName name="KV_DD_NOVEMBER_29">KV_DROPDOWN_HELPER!$AEU$1:$AEU$13</definedName>
    <definedName name="KV_DD_NOVEMBER_3">KV_DROPDOWN_HELPER!$ADU$1:$ADU$13</definedName>
    <definedName name="KV_DD_NOVEMBER_30">KV_DROPDOWN_HELPER!$AEV$1:$AEV$13</definedName>
    <definedName name="KV_DD_NOVEMBER_31">KV_DROPDOWN_HELPER!$AEW$1:$AEW$13</definedName>
    <definedName name="KV_DD_NOVEMBER_32">KV_DROPDOWN_HELPER!$AEX$1:$AEX$13</definedName>
    <definedName name="KV_DD_NOVEMBER_33">KV_DROPDOWN_HELPER!$AEY$1:$AEY$13</definedName>
    <definedName name="KV_DD_NOVEMBER_34">KV_DROPDOWN_HELPER!$AEZ$1:$AEZ$13</definedName>
    <definedName name="KV_DD_NOVEMBER_35">KV_DROPDOWN_HELPER!$AFA$1:$AFA$13</definedName>
    <definedName name="KV_DD_NOVEMBER_36">KV_DROPDOWN_HELPER!$AFB$1:$AFB$13</definedName>
    <definedName name="KV_DD_NOVEMBER_37">KV_DROPDOWN_HELPER!$AFC$1:$AFC$13</definedName>
    <definedName name="KV_DD_NOVEMBER_38">KV_DROPDOWN_HELPER!$AFD$1:$AFD$13</definedName>
    <definedName name="KV_DD_NOVEMBER_39">KV_DROPDOWN_HELPER!$AFE$1:$AFE$13</definedName>
    <definedName name="KV_DD_NOVEMBER_4">KV_DROPDOWN_HELPER!$ADV$1:$ADV$13</definedName>
    <definedName name="KV_DD_NOVEMBER_40">KV_DROPDOWN_HELPER!$AFF$1:$AFF$13</definedName>
    <definedName name="KV_DD_NOVEMBER_41">KV_DROPDOWN_HELPER!$AFG$1:$AFG$13</definedName>
    <definedName name="KV_DD_NOVEMBER_42">KV_DROPDOWN_HELPER!$AFH$1:$AFH$13</definedName>
    <definedName name="KV_DD_NOVEMBER_43">KV_DROPDOWN_HELPER!$AFI$1:$AFI$13</definedName>
    <definedName name="KV_DD_NOVEMBER_44">KV_DROPDOWN_HELPER!$AFJ$1:$AFJ$13</definedName>
    <definedName name="KV_DD_NOVEMBER_45">KV_DROPDOWN_HELPER!$AFK$1:$AFK$13</definedName>
    <definedName name="KV_DD_NOVEMBER_46">KV_DROPDOWN_HELPER!$AFL$1:$AFL$13</definedName>
    <definedName name="KV_DD_NOVEMBER_47">KV_DROPDOWN_HELPER!$AFM$1:$AFM$13</definedName>
    <definedName name="KV_DD_NOVEMBER_48">KV_DROPDOWN_HELPER!$AFN$1:$AFN$13</definedName>
    <definedName name="KV_DD_NOVEMBER_49">KV_DROPDOWN_HELPER!$AFO$1:$AFO$13</definedName>
    <definedName name="KV_DD_NOVEMBER_5">KV_DROPDOWN_HELPER!$ADW$1:$ADW$13</definedName>
    <definedName name="KV_DD_NOVEMBER_50">KV_DROPDOWN_HELPER!$AFP$1:$AFP$13</definedName>
    <definedName name="KV_DD_NOVEMBER_51">KV_DROPDOWN_HELPER!$AFQ$1:$AFQ$13</definedName>
    <definedName name="KV_DD_NOVEMBER_52">KV_DROPDOWN_HELPER!$AFR$1:$AFR$13</definedName>
    <definedName name="KV_DD_NOVEMBER_53">KV_DROPDOWN_HELPER!$AFS$1:$AFS$13</definedName>
    <definedName name="KV_DD_NOVEMBER_54">KV_DROPDOWN_HELPER!$AFT$1:$AFT$13</definedName>
    <definedName name="KV_DD_NOVEMBER_55">KV_DROPDOWN_HELPER!$AFU$1:$AFU$13</definedName>
    <definedName name="KV_DD_NOVEMBER_56">KV_DROPDOWN_HELPER!$AFV$1:$AFV$13</definedName>
    <definedName name="KV_DD_NOVEMBER_57">KV_DROPDOWN_HELPER!$AFW$1:$AFW$13</definedName>
    <definedName name="KV_DD_NOVEMBER_58">KV_DROPDOWN_HELPER!$AFX$1:$AFX$13</definedName>
    <definedName name="KV_DD_NOVEMBER_59">KV_DROPDOWN_HELPER!$AFY$1:$AFY$13</definedName>
    <definedName name="KV_DD_NOVEMBER_6">KV_DROPDOWN_HELPER!$ADX$1:$ADX$13</definedName>
    <definedName name="KV_DD_NOVEMBER_60">KV_DROPDOWN_HELPER!$AFZ$1:$AFZ$13</definedName>
    <definedName name="KV_DD_NOVEMBER_61">KV_DROPDOWN_HELPER!$AGA$1:$AGA$13</definedName>
    <definedName name="KV_DD_NOVEMBER_7">KV_DROPDOWN_HELPER!$ADY$1:$ADY$13</definedName>
    <definedName name="KV_DD_NOVEMBER_8">KV_DROPDOWN_HELPER!$ADZ$1:$ADZ$13</definedName>
    <definedName name="KV_DD_NOVEMBER_9">KV_DROPDOWN_HELPER!$AEA$1:$AEA$13</definedName>
    <definedName name="KV_DD_OKTOBER_10">KV_DROPDOWN_HELPER!$AAZ$1:$AAZ$13</definedName>
    <definedName name="KV_DD_OKTOBER_11">KV_DROPDOWN_HELPER!$ABA$1:$ABA$13</definedName>
    <definedName name="KV_DD_OKTOBER_12">KV_DROPDOWN_HELPER!$ABB$1:$ABB$13</definedName>
    <definedName name="KV_DD_OKTOBER_13">KV_DROPDOWN_HELPER!$ABC$1:$ABC$13</definedName>
    <definedName name="KV_DD_OKTOBER_14">KV_DROPDOWN_HELPER!$ABD$1:$ABD$13</definedName>
    <definedName name="KV_DD_OKTOBER_15">KV_DROPDOWN_HELPER!$ABE$1:$ABE$13</definedName>
    <definedName name="KV_DD_OKTOBER_16">KV_DROPDOWN_HELPER!$ABF$1:$ABF$13</definedName>
    <definedName name="KV_DD_OKTOBER_17">KV_DROPDOWN_HELPER!$ABG$1:$ABG$13</definedName>
    <definedName name="KV_DD_OKTOBER_18">KV_DROPDOWN_HELPER!$ABH$1:$ABH$13</definedName>
    <definedName name="KV_DD_OKTOBER_19">KV_DROPDOWN_HELPER!$ABI$1:$ABI$13</definedName>
    <definedName name="KV_DD_OKTOBER_20">KV_DROPDOWN_HELPER!$ABJ$1:$ABJ$13</definedName>
    <definedName name="KV_DD_OKTOBER_21">KV_DROPDOWN_HELPER!$ABK$1:$ABK$13</definedName>
    <definedName name="KV_DD_OKTOBER_22">KV_DROPDOWN_HELPER!$ABL$1:$ABL$13</definedName>
    <definedName name="KV_DD_OKTOBER_23">KV_DROPDOWN_HELPER!$ABM$1:$ABM$13</definedName>
    <definedName name="KV_DD_OKTOBER_24">KV_DROPDOWN_HELPER!$ABN$1:$ABN$13</definedName>
    <definedName name="KV_DD_OKTOBER_25">KV_DROPDOWN_HELPER!$ABO$1:$ABO$13</definedName>
    <definedName name="KV_DD_OKTOBER_26">KV_DROPDOWN_HELPER!$ABP$1:$ABP$13</definedName>
    <definedName name="KV_DD_OKTOBER_27">KV_DROPDOWN_HELPER!$ABQ$1:$ABQ$13</definedName>
    <definedName name="KV_DD_OKTOBER_28">KV_DROPDOWN_HELPER!$ABR$1:$ABR$13</definedName>
    <definedName name="KV_DD_OKTOBER_29">KV_DROPDOWN_HELPER!$ABS$1:$ABS$13</definedName>
    <definedName name="KV_DD_OKTOBER_3">KV_DROPDOWN_HELPER!$AAS$1:$AAS$13</definedName>
    <definedName name="KV_DD_OKTOBER_30">KV_DROPDOWN_HELPER!$ABT$1:$ABT$13</definedName>
    <definedName name="KV_DD_OKTOBER_31">KV_DROPDOWN_HELPER!$ABU$1:$ABU$13</definedName>
    <definedName name="KV_DD_OKTOBER_32">KV_DROPDOWN_HELPER!$ABV$1:$ABV$13</definedName>
    <definedName name="KV_DD_OKTOBER_33">KV_DROPDOWN_HELPER!$ABW$1:$ABW$13</definedName>
    <definedName name="KV_DD_OKTOBER_34">KV_DROPDOWN_HELPER!$ABX$1:$ABX$13</definedName>
    <definedName name="KV_DD_OKTOBER_35">KV_DROPDOWN_HELPER!$ABY$1:$ABY$13</definedName>
    <definedName name="KV_DD_OKTOBER_36">KV_DROPDOWN_HELPER!$ABZ$1:$ABZ$13</definedName>
    <definedName name="KV_DD_OKTOBER_37">KV_DROPDOWN_HELPER!$ACA$1:$ACA$13</definedName>
    <definedName name="KV_DD_OKTOBER_38">KV_DROPDOWN_HELPER!$ACB$1:$ACB$13</definedName>
    <definedName name="KV_DD_OKTOBER_39">KV_DROPDOWN_HELPER!$ACC$1:$ACC$13</definedName>
    <definedName name="KV_DD_OKTOBER_4">KV_DROPDOWN_HELPER!$AAT$1:$AAT$13</definedName>
    <definedName name="KV_DD_OKTOBER_40">KV_DROPDOWN_HELPER!$ACD$1:$ACD$13</definedName>
    <definedName name="KV_DD_OKTOBER_41">KV_DROPDOWN_HELPER!$ACE$1:$ACE$13</definedName>
    <definedName name="KV_DD_OKTOBER_42">KV_DROPDOWN_HELPER!$ACF$1:$ACF$13</definedName>
    <definedName name="KV_DD_OKTOBER_43">KV_DROPDOWN_HELPER!$ACG$1:$ACG$13</definedName>
    <definedName name="KV_DD_OKTOBER_44">KV_DROPDOWN_HELPER!$ACH$1:$ACH$13</definedName>
    <definedName name="KV_DD_OKTOBER_45">KV_DROPDOWN_HELPER!$ACI$1:$ACI$13</definedName>
    <definedName name="KV_DD_OKTOBER_46">KV_DROPDOWN_HELPER!$ACJ$1:$ACJ$13</definedName>
    <definedName name="KV_DD_OKTOBER_47">KV_DROPDOWN_HELPER!$ACK$1:$ACK$13</definedName>
    <definedName name="KV_DD_OKTOBER_48">KV_DROPDOWN_HELPER!$ACL$1:$ACL$13</definedName>
    <definedName name="KV_DD_OKTOBER_49">KV_DROPDOWN_HELPER!$ACM$1:$ACM$13</definedName>
    <definedName name="KV_DD_OKTOBER_5">KV_DROPDOWN_HELPER!$AAU$1:$AAU$13</definedName>
    <definedName name="KV_DD_OKTOBER_50">KV_DROPDOWN_HELPER!$ACN$1:$ACN$13</definedName>
    <definedName name="KV_DD_OKTOBER_51">KV_DROPDOWN_HELPER!$ACO$1:$ACO$13</definedName>
    <definedName name="KV_DD_OKTOBER_52">KV_DROPDOWN_HELPER!$ACP$1:$ACP$13</definedName>
    <definedName name="KV_DD_OKTOBER_53">KV_DROPDOWN_HELPER!$ACQ$1:$ACQ$13</definedName>
    <definedName name="KV_DD_OKTOBER_54">KV_DROPDOWN_HELPER!$ACR$1:$ACR$13</definedName>
    <definedName name="KV_DD_OKTOBER_55">KV_DROPDOWN_HELPER!$ACS$1:$ACS$13</definedName>
    <definedName name="KV_DD_OKTOBER_56">KV_DROPDOWN_HELPER!$ACT$1:$ACT$13</definedName>
    <definedName name="KV_DD_OKTOBER_57">KV_DROPDOWN_HELPER!$ACU$1:$ACU$13</definedName>
    <definedName name="KV_DD_OKTOBER_58">KV_DROPDOWN_HELPER!$ACV$1:$ACV$13</definedName>
    <definedName name="KV_DD_OKTOBER_59">KV_DROPDOWN_HELPER!$ACW$1:$ACW$13</definedName>
    <definedName name="KV_DD_OKTOBER_6">KV_DROPDOWN_HELPER!$AAV$1:$AAV$13</definedName>
    <definedName name="KV_DD_OKTOBER_60">KV_DROPDOWN_HELPER!$ACX$1:$ACX$13</definedName>
    <definedName name="KV_DD_OKTOBER_61">KV_DROPDOWN_HELPER!$ACY$1:$ACY$13</definedName>
    <definedName name="KV_DD_OKTOBER_7">KV_DROPDOWN_HELPER!$AAW$1:$AAW$13</definedName>
    <definedName name="KV_DD_OKTOBER_8">KV_DROPDOWN_HELPER!$AAX$1:$AAX$13</definedName>
    <definedName name="KV_DD_OKTOBER_9">KV_DROPDOWN_HELPER!$AAY$1:$AAY$13</definedName>
    <definedName name="KV_DD_SEPTEMBER_10">KV_DROPDOWN_HELPER!$XX$1:$XX$13</definedName>
    <definedName name="KV_DD_SEPTEMBER_11">KV_DROPDOWN_HELPER!$XY$1:$XY$13</definedName>
    <definedName name="KV_DD_SEPTEMBER_12">KV_DROPDOWN_HELPER!$XZ$1:$XZ$13</definedName>
    <definedName name="KV_DD_SEPTEMBER_13">KV_DROPDOWN_HELPER!$YA$1:$YA$13</definedName>
    <definedName name="KV_DD_SEPTEMBER_14">KV_DROPDOWN_HELPER!$YB$1:$YB$13</definedName>
    <definedName name="KV_DD_SEPTEMBER_15">KV_DROPDOWN_HELPER!$YC$1:$YC$13</definedName>
    <definedName name="KV_DD_SEPTEMBER_16">KV_DROPDOWN_HELPER!$YD$1:$YD$13</definedName>
    <definedName name="KV_DD_SEPTEMBER_17">KV_DROPDOWN_HELPER!$YE$1:$YE$13</definedName>
    <definedName name="KV_DD_SEPTEMBER_18">KV_DROPDOWN_HELPER!$YF$1:$YF$13</definedName>
    <definedName name="KV_DD_SEPTEMBER_19">KV_DROPDOWN_HELPER!$YG$1:$YG$13</definedName>
    <definedName name="KV_DD_SEPTEMBER_20">KV_DROPDOWN_HELPER!$YH$1:$YH$13</definedName>
    <definedName name="KV_DD_SEPTEMBER_21">KV_DROPDOWN_HELPER!$YI$1:$YI$13</definedName>
    <definedName name="KV_DD_SEPTEMBER_22">KV_DROPDOWN_HELPER!$YJ$1:$YJ$13</definedName>
    <definedName name="KV_DD_SEPTEMBER_23">KV_DROPDOWN_HELPER!$YK$1:$YK$13</definedName>
    <definedName name="KV_DD_SEPTEMBER_24">KV_DROPDOWN_HELPER!$YL$1:$YL$13</definedName>
    <definedName name="KV_DD_SEPTEMBER_25">KV_DROPDOWN_HELPER!$YM$1:$YM$13</definedName>
    <definedName name="KV_DD_SEPTEMBER_26">KV_DROPDOWN_HELPER!$YN$1:$YN$13</definedName>
    <definedName name="KV_DD_SEPTEMBER_27">KV_DROPDOWN_HELPER!$YO$1:$YO$13</definedName>
    <definedName name="KV_DD_SEPTEMBER_28">KV_DROPDOWN_HELPER!$YP$1:$YP$13</definedName>
    <definedName name="KV_DD_SEPTEMBER_29">KV_DROPDOWN_HELPER!$YQ$1:$YQ$13</definedName>
    <definedName name="KV_DD_SEPTEMBER_3">KV_DROPDOWN_HELPER!$XQ$1:$XQ$13</definedName>
    <definedName name="KV_DD_SEPTEMBER_30">KV_DROPDOWN_HELPER!$YR$1:$YR$13</definedName>
    <definedName name="KV_DD_SEPTEMBER_31">KV_DROPDOWN_HELPER!$YS$1:$YS$13</definedName>
    <definedName name="KV_DD_SEPTEMBER_32">KV_DROPDOWN_HELPER!$YT$1:$YT$13</definedName>
    <definedName name="KV_DD_SEPTEMBER_33">KV_DROPDOWN_HELPER!$YU$1:$YU$13</definedName>
    <definedName name="KV_DD_SEPTEMBER_34">KV_DROPDOWN_HELPER!$YV$1:$YV$13</definedName>
    <definedName name="KV_DD_SEPTEMBER_35">KV_DROPDOWN_HELPER!$YW$1:$YW$13</definedName>
    <definedName name="KV_DD_SEPTEMBER_36">KV_DROPDOWN_HELPER!$YX$1:$YX$13</definedName>
    <definedName name="KV_DD_SEPTEMBER_37">KV_DROPDOWN_HELPER!$YY$1:$YY$13</definedName>
    <definedName name="KV_DD_SEPTEMBER_38">KV_DROPDOWN_HELPER!$YZ$1:$YZ$13</definedName>
    <definedName name="KV_DD_SEPTEMBER_39">KV_DROPDOWN_HELPER!$ZA$1:$ZA$13</definedName>
    <definedName name="KV_DD_SEPTEMBER_4">KV_DROPDOWN_HELPER!$XR$1:$XR$13</definedName>
    <definedName name="KV_DD_SEPTEMBER_40">KV_DROPDOWN_HELPER!$ZB$1:$ZB$13</definedName>
    <definedName name="KV_DD_SEPTEMBER_41">KV_DROPDOWN_HELPER!$ZC$1:$ZC$13</definedName>
    <definedName name="KV_DD_SEPTEMBER_42">KV_DROPDOWN_HELPER!$ZD$1:$ZD$13</definedName>
    <definedName name="KV_DD_SEPTEMBER_43">KV_DROPDOWN_HELPER!$ZE$1:$ZE$13</definedName>
    <definedName name="KV_DD_SEPTEMBER_44">KV_DROPDOWN_HELPER!$ZF$1:$ZF$13</definedName>
    <definedName name="KV_DD_SEPTEMBER_45">KV_DROPDOWN_HELPER!$ZG$1:$ZG$13</definedName>
    <definedName name="KV_DD_SEPTEMBER_46">KV_DROPDOWN_HELPER!$ZH$1:$ZH$13</definedName>
    <definedName name="KV_DD_SEPTEMBER_47">KV_DROPDOWN_HELPER!$ZI$1:$ZI$13</definedName>
    <definedName name="KV_DD_SEPTEMBER_48">KV_DROPDOWN_HELPER!$ZJ$1:$ZJ$13</definedName>
    <definedName name="KV_DD_SEPTEMBER_49">KV_DROPDOWN_HELPER!$ZK$1:$ZK$13</definedName>
    <definedName name="KV_DD_SEPTEMBER_5">KV_DROPDOWN_HELPER!$XS$1:$XS$13</definedName>
    <definedName name="KV_DD_SEPTEMBER_50">KV_DROPDOWN_HELPER!$ZL$1:$ZL$13</definedName>
    <definedName name="KV_DD_SEPTEMBER_51">KV_DROPDOWN_HELPER!$ZM$1:$ZM$13</definedName>
    <definedName name="KV_DD_SEPTEMBER_52">KV_DROPDOWN_HELPER!$ZN$1:$ZN$13</definedName>
    <definedName name="KV_DD_SEPTEMBER_53">KV_DROPDOWN_HELPER!$ZO$1:$ZO$13</definedName>
    <definedName name="KV_DD_SEPTEMBER_54">KV_DROPDOWN_HELPER!$ZP$1:$ZP$13</definedName>
    <definedName name="KV_DD_SEPTEMBER_55">KV_DROPDOWN_HELPER!$ZQ$1:$ZQ$13</definedName>
    <definedName name="KV_DD_SEPTEMBER_56">KV_DROPDOWN_HELPER!$ZR$1:$ZR$13</definedName>
    <definedName name="KV_DD_SEPTEMBER_57">KV_DROPDOWN_HELPER!$ZS$1:$ZS$13</definedName>
    <definedName name="KV_DD_SEPTEMBER_58">KV_DROPDOWN_HELPER!$ZT$1:$ZT$13</definedName>
    <definedName name="KV_DD_SEPTEMBER_59">KV_DROPDOWN_HELPER!$ZU$1:$ZU$13</definedName>
    <definedName name="KV_DD_SEPTEMBER_6">KV_DROPDOWN_HELPER!$XT$1:$XT$13</definedName>
    <definedName name="KV_DD_SEPTEMBER_60">KV_DROPDOWN_HELPER!$ZV$1:$ZV$13</definedName>
    <definedName name="KV_DD_SEPTEMBER_61">KV_DROPDOWN_HELPER!$ZW$1:$ZW$13</definedName>
    <definedName name="KV_DD_SEPTEMBER_62">KV_DROPDOWN_HELPER!$ZX$1:$ZX$13</definedName>
    <definedName name="KV_DD_SEPTEMBER_7">KV_DROPDOWN_HELPER!$XU$1:$XU$13</definedName>
    <definedName name="KV_DD_SEPTEMBER_8">KV_DROPDOWN_HELPER!$XV$1:$XV$13</definedName>
    <definedName name="KV_DD_SEPTEMBER_9">KV_DROPDOWN_HELPER!$XW$1:$XW$13</definedName>
    <definedName name="ShowWelcomeMessage">TRUE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3" i="35" l="1"/>
  <c r="L3" i="35" s="1"/>
  <c r="K4" i="35"/>
  <c r="L4" i="35" s="1"/>
  <c r="K5" i="35"/>
  <c r="L5" i="35" s="1"/>
  <c r="K6" i="35"/>
  <c r="L6" i="35" s="1"/>
  <c r="K7" i="35"/>
  <c r="L7" i="35" s="1"/>
  <c r="K8" i="35"/>
  <c r="L8" i="35" s="1"/>
  <c r="K9" i="35"/>
  <c r="L9" i="35" s="1"/>
  <c r="K10" i="35"/>
  <c r="L10" i="35" s="1"/>
  <c r="K11" i="35"/>
  <c r="L11" i="35" s="1"/>
  <c r="K12" i="35"/>
  <c r="L12" i="35" s="1"/>
  <c r="K13" i="35"/>
  <c r="L13" i="35" s="1"/>
  <c r="K14" i="35"/>
  <c r="L14" i="35" s="1"/>
  <c r="K15" i="35"/>
  <c r="L15" i="35" s="1"/>
  <c r="K16" i="35"/>
  <c r="L16" i="35" s="1"/>
  <c r="K17" i="35"/>
  <c r="L17" i="35" s="1"/>
  <c r="K18" i="35"/>
  <c r="L18" i="35" s="1"/>
  <c r="K19" i="35"/>
  <c r="L19" i="35" s="1"/>
  <c r="K20" i="35"/>
  <c r="L20" i="35" s="1"/>
  <c r="K21" i="35"/>
  <c r="L21" i="35" s="1"/>
  <c r="K22" i="35"/>
  <c r="L22" i="35" s="1"/>
  <c r="K23" i="35"/>
  <c r="L23" i="35" s="1"/>
  <c r="K24" i="35"/>
  <c r="L24" i="35" s="1"/>
  <c r="K25" i="35"/>
  <c r="L25" i="35" s="1"/>
  <c r="K26" i="35"/>
  <c r="L26" i="35" s="1"/>
  <c r="K27" i="35"/>
  <c r="L27" i="35" s="1"/>
  <c r="K28" i="35"/>
  <c r="L28" i="35" s="1"/>
  <c r="K29" i="35"/>
  <c r="L29" i="35" s="1"/>
  <c r="K30" i="35"/>
  <c r="L30" i="35" s="1"/>
  <c r="K31" i="35"/>
  <c r="L31" i="35" s="1"/>
  <c r="K32" i="35"/>
  <c r="L32" i="35" s="1"/>
  <c r="K33" i="35"/>
  <c r="L33" i="35" s="1"/>
  <c r="K34" i="35"/>
  <c r="L34" i="35" s="1"/>
  <c r="K35" i="35"/>
  <c r="L35" i="35" s="1"/>
  <c r="K36" i="35"/>
  <c r="L36" i="35" s="1"/>
  <c r="K37" i="35"/>
  <c r="L37" i="35" s="1"/>
  <c r="K38" i="35"/>
  <c r="L38" i="35" s="1"/>
  <c r="K39" i="35"/>
  <c r="L39" i="35" s="1"/>
  <c r="K40" i="35"/>
  <c r="L40" i="35" s="1"/>
  <c r="K41" i="35"/>
  <c r="L41" i="35" s="1"/>
  <c r="K42" i="35"/>
  <c r="L42" i="35" s="1"/>
  <c r="K43" i="35"/>
  <c r="L43" i="35" s="1"/>
  <c r="K44" i="35"/>
  <c r="L44" i="35" s="1"/>
  <c r="K45" i="35"/>
  <c r="L45" i="35" s="1"/>
  <c r="K46" i="35"/>
  <c r="L46" i="35" s="1"/>
  <c r="K47" i="35"/>
  <c r="L47" i="35" s="1"/>
  <c r="K48" i="35"/>
  <c r="L48" i="35" s="1"/>
  <c r="K49" i="35"/>
  <c r="L49" i="35" s="1"/>
  <c r="K50" i="35"/>
  <c r="L50" i="35" s="1"/>
  <c r="K51" i="35"/>
  <c r="L51" i="35" s="1"/>
  <c r="K52" i="35"/>
  <c r="L52" i="35" s="1"/>
  <c r="K53" i="35"/>
  <c r="L53" i="35" s="1"/>
  <c r="K54" i="35"/>
  <c r="L54" i="35" s="1"/>
  <c r="K55" i="35"/>
  <c r="L55" i="35" s="1"/>
  <c r="K56" i="35"/>
  <c r="L56" i="35" s="1"/>
  <c r="K57" i="35"/>
  <c r="L57" i="35" s="1"/>
  <c r="K58" i="35"/>
  <c r="L58" i="35" s="1"/>
  <c r="K59" i="35"/>
  <c r="L59" i="35" s="1"/>
  <c r="K60" i="35"/>
  <c r="L60" i="35" s="1"/>
  <c r="K61" i="35"/>
  <c r="L61" i="35" s="1"/>
  <c r="K62" i="35"/>
  <c r="L62" i="35" s="1"/>
  <c r="K63" i="35"/>
  <c r="L63" i="35" s="1"/>
  <c r="K64" i="35"/>
  <c r="L64" i="35" s="1"/>
  <c r="K65" i="35"/>
  <c r="L65" i="35" s="1"/>
  <c r="K66" i="35"/>
  <c r="L66" i="35" s="1"/>
  <c r="K67" i="35"/>
  <c r="L67" i="35" s="1"/>
  <c r="K68" i="35"/>
  <c r="L68" i="35" s="1"/>
  <c r="K69" i="35"/>
  <c r="L69" i="35" s="1"/>
  <c r="K70" i="35"/>
  <c r="L70" i="35" s="1"/>
  <c r="K71" i="35"/>
  <c r="L71" i="35" s="1"/>
  <c r="K72" i="35"/>
  <c r="L72" i="35" s="1"/>
  <c r="K73" i="35"/>
  <c r="L73" i="35" s="1"/>
  <c r="K74" i="35"/>
  <c r="L74" i="35" s="1"/>
  <c r="K75" i="35"/>
  <c r="L75" i="35" s="1"/>
  <c r="K76" i="35"/>
  <c r="L76" i="35" s="1"/>
  <c r="K77" i="35"/>
  <c r="L77" i="35" s="1"/>
  <c r="K78" i="35"/>
  <c r="L78" i="35" s="1"/>
  <c r="K79" i="35"/>
  <c r="L79" i="35" s="1"/>
  <c r="K80" i="35"/>
  <c r="L80" i="35" s="1"/>
  <c r="K81" i="35"/>
  <c r="L81" i="35" s="1"/>
  <c r="K82" i="35"/>
  <c r="L82" i="35" s="1"/>
  <c r="H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48" i="35"/>
  <c r="H49" i="35"/>
  <c r="H50" i="35"/>
  <c r="H51" i="35"/>
  <c r="H52" i="35"/>
  <c r="H53" i="35"/>
  <c r="H54" i="35"/>
  <c r="H55" i="35"/>
  <c r="H56" i="35"/>
  <c r="H57" i="35"/>
  <c r="H58" i="35"/>
  <c r="H59" i="35"/>
  <c r="H60" i="35"/>
  <c r="H61" i="35"/>
  <c r="H62" i="35"/>
  <c r="H63" i="35"/>
  <c r="H64" i="35"/>
  <c r="H65" i="35"/>
  <c r="H66" i="35"/>
  <c r="H67" i="35"/>
  <c r="H68" i="35"/>
  <c r="H69" i="35"/>
  <c r="H70" i="35"/>
  <c r="H71" i="35"/>
  <c r="H72" i="35"/>
  <c r="H73" i="35"/>
  <c r="H74" i="35"/>
  <c r="H75" i="35"/>
  <c r="H76" i="35"/>
  <c r="H77" i="35"/>
  <c r="H78" i="35"/>
  <c r="H79" i="35"/>
  <c r="H80" i="35"/>
  <c r="H81" i="35"/>
  <c r="H82" i="35"/>
  <c r="K3" i="36"/>
  <c r="L3" i="36" s="1"/>
  <c r="K4" i="36"/>
  <c r="L4" i="36" s="1"/>
  <c r="K5" i="36"/>
  <c r="L5" i="36" s="1"/>
  <c r="K6" i="36"/>
  <c r="L6" i="36" s="1"/>
  <c r="K7" i="36"/>
  <c r="L7" i="36" s="1"/>
  <c r="K8" i="36"/>
  <c r="L8" i="36" s="1"/>
  <c r="K9" i="36"/>
  <c r="L9" i="36" s="1"/>
  <c r="K10" i="36"/>
  <c r="L10" i="36" s="1"/>
  <c r="K11" i="36"/>
  <c r="L11" i="36" s="1"/>
  <c r="K12" i="36"/>
  <c r="L12" i="36" s="1"/>
  <c r="K13" i="36"/>
  <c r="L13" i="36" s="1"/>
  <c r="K14" i="36"/>
  <c r="L14" i="36" s="1"/>
  <c r="K15" i="36"/>
  <c r="L15" i="36" s="1"/>
  <c r="K16" i="36"/>
  <c r="L16" i="36" s="1"/>
  <c r="K17" i="36"/>
  <c r="L17" i="36" s="1"/>
  <c r="K18" i="36"/>
  <c r="L18" i="36" s="1"/>
  <c r="K19" i="36"/>
  <c r="L19" i="36" s="1"/>
  <c r="K20" i="36"/>
  <c r="L20" i="36" s="1"/>
  <c r="K21" i="36"/>
  <c r="L21" i="36" s="1"/>
  <c r="K22" i="36"/>
  <c r="L22" i="36" s="1"/>
  <c r="K23" i="36"/>
  <c r="L23" i="36" s="1"/>
  <c r="K24" i="36"/>
  <c r="L24" i="36" s="1"/>
  <c r="K25" i="36"/>
  <c r="L25" i="36" s="1"/>
  <c r="K26" i="36"/>
  <c r="L26" i="36" s="1"/>
  <c r="K27" i="36"/>
  <c r="L27" i="36" s="1"/>
  <c r="K28" i="36"/>
  <c r="L28" i="36" s="1"/>
  <c r="K29" i="36"/>
  <c r="L29" i="36" s="1"/>
  <c r="K30" i="36"/>
  <c r="L30" i="36" s="1"/>
  <c r="K31" i="36"/>
  <c r="L31" i="36" s="1"/>
  <c r="K32" i="36"/>
  <c r="L32" i="36" s="1"/>
  <c r="K33" i="36"/>
  <c r="L33" i="36" s="1"/>
  <c r="K34" i="36"/>
  <c r="L34" i="36" s="1"/>
  <c r="K35" i="36"/>
  <c r="L35" i="36" s="1"/>
  <c r="K36" i="36"/>
  <c r="L36" i="36" s="1"/>
  <c r="K37" i="36"/>
  <c r="L37" i="36" s="1"/>
  <c r="K38" i="36"/>
  <c r="L38" i="36" s="1"/>
  <c r="K39" i="36"/>
  <c r="L39" i="36" s="1"/>
  <c r="K40" i="36"/>
  <c r="L40" i="36" s="1"/>
  <c r="K41" i="36"/>
  <c r="L41" i="36" s="1"/>
  <c r="K42" i="36"/>
  <c r="L42" i="36" s="1"/>
  <c r="K43" i="36"/>
  <c r="L43" i="36" s="1"/>
  <c r="K44" i="36"/>
  <c r="L44" i="36" s="1"/>
  <c r="K45" i="36"/>
  <c r="L45" i="36" s="1"/>
  <c r="K46" i="36"/>
  <c r="L46" i="36" s="1"/>
  <c r="K47" i="36"/>
  <c r="L47" i="36" s="1"/>
  <c r="K48" i="36"/>
  <c r="L48" i="36" s="1"/>
  <c r="K49" i="36"/>
  <c r="L49" i="36" s="1"/>
  <c r="K50" i="36"/>
  <c r="L50" i="36" s="1"/>
  <c r="K51" i="36"/>
  <c r="L51" i="36" s="1"/>
  <c r="K52" i="36"/>
  <c r="L52" i="36" s="1"/>
  <c r="K53" i="36"/>
  <c r="L53" i="36" s="1"/>
  <c r="K54" i="36"/>
  <c r="L54" i="36" s="1"/>
  <c r="K55" i="36"/>
  <c r="L55" i="36" s="1"/>
  <c r="K56" i="36"/>
  <c r="L56" i="36" s="1"/>
  <c r="K57" i="36"/>
  <c r="L57" i="36" s="1"/>
  <c r="K58" i="36"/>
  <c r="L58" i="36" s="1"/>
  <c r="K59" i="36"/>
  <c r="L59" i="36" s="1"/>
  <c r="K60" i="36"/>
  <c r="L60" i="36" s="1"/>
  <c r="K61" i="36"/>
  <c r="L61" i="36" s="1"/>
  <c r="K62" i="36"/>
  <c r="L62" i="36" s="1"/>
  <c r="K63" i="36"/>
  <c r="L63" i="36" s="1"/>
  <c r="K64" i="36"/>
  <c r="L64" i="36" s="1"/>
  <c r="K65" i="36"/>
  <c r="L65" i="36" s="1"/>
  <c r="K66" i="36"/>
  <c r="L66" i="36" s="1"/>
  <c r="K67" i="36"/>
  <c r="L67" i="36" s="1"/>
  <c r="K68" i="36"/>
  <c r="L68" i="36" s="1"/>
  <c r="K69" i="36"/>
  <c r="L69" i="36" s="1"/>
  <c r="K70" i="36"/>
  <c r="L70" i="36" s="1"/>
  <c r="K71" i="36"/>
  <c r="L71" i="36" s="1"/>
  <c r="K72" i="36"/>
  <c r="L72" i="36" s="1"/>
  <c r="K73" i="36"/>
  <c r="L73" i="36" s="1"/>
  <c r="K74" i="36"/>
  <c r="L74" i="36" s="1"/>
  <c r="K75" i="36"/>
  <c r="L75" i="36" s="1"/>
  <c r="K76" i="36"/>
  <c r="L76" i="36" s="1"/>
  <c r="K77" i="36"/>
  <c r="L77" i="36" s="1"/>
  <c r="K78" i="36"/>
  <c r="L78" i="36" s="1"/>
  <c r="K79" i="36"/>
  <c r="L79" i="36" s="1"/>
  <c r="K80" i="36"/>
  <c r="L80" i="36" s="1"/>
  <c r="K81" i="36"/>
  <c r="L81" i="36" s="1"/>
  <c r="K82" i="36"/>
  <c r="L82" i="36" s="1"/>
  <c r="H3" i="36"/>
  <c r="H4" i="36"/>
  <c r="H5" i="36"/>
  <c r="H6" i="36"/>
  <c r="H7" i="36"/>
  <c r="H8" i="36"/>
  <c r="H9" i="36"/>
  <c r="H10" i="36"/>
  <c r="H11" i="36"/>
  <c r="H12" i="36"/>
  <c r="H13" i="36"/>
  <c r="H14" i="36"/>
  <c r="H15" i="36"/>
  <c r="H16" i="36"/>
  <c r="H17" i="36"/>
  <c r="H18" i="36"/>
  <c r="H19" i="36"/>
  <c r="H20" i="36"/>
  <c r="H21" i="36"/>
  <c r="H22" i="36"/>
  <c r="H23" i="36"/>
  <c r="H24" i="36"/>
  <c r="H25" i="36"/>
  <c r="H26" i="36"/>
  <c r="H27" i="36"/>
  <c r="H28" i="36"/>
  <c r="H29" i="36"/>
  <c r="H30" i="36"/>
  <c r="H31" i="36"/>
  <c r="H32" i="36"/>
  <c r="H33" i="36"/>
  <c r="H34" i="36"/>
  <c r="H35" i="36"/>
  <c r="H36" i="36"/>
  <c r="H37" i="36"/>
  <c r="H38" i="36"/>
  <c r="H39" i="36"/>
  <c r="H40" i="36"/>
  <c r="H41" i="36"/>
  <c r="H42" i="36"/>
  <c r="H43" i="36"/>
  <c r="H44" i="36"/>
  <c r="H45" i="36"/>
  <c r="H46" i="36"/>
  <c r="H47" i="36"/>
  <c r="H48" i="36"/>
  <c r="H49" i="36"/>
  <c r="H50" i="36"/>
  <c r="H51" i="36"/>
  <c r="H52" i="36"/>
  <c r="H53" i="36"/>
  <c r="H54" i="36"/>
  <c r="H55" i="36"/>
  <c r="H56" i="36"/>
  <c r="H57" i="36"/>
  <c r="H58" i="36"/>
  <c r="H59" i="36"/>
  <c r="H60" i="36"/>
  <c r="H61" i="36"/>
  <c r="H62" i="36"/>
  <c r="H63" i="36"/>
  <c r="H64" i="36"/>
  <c r="H65" i="36"/>
  <c r="H66" i="36"/>
  <c r="H67" i="36"/>
  <c r="H68" i="36"/>
  <c r="H69" i="36"/>
  <c r="H70" i="36"/>
  <c r="H71" i="36"/>
  <c r="H72" i="36"/>
  <c r="H73" i="36"/>
  <c r="H74" i="36"/>
  <c r="H75" i="36"/>
  <c r="H76" i="36"/>
  <c r="H77" i="36"/>
  <c r="H78" i="36"/>
  <c r="H79" i="36"/>
  <c r="H80" i="36"/>
  <c r="H81" i="36"/>
  <c r="H82" i="36"/>
  <c r="K3" i="33"/>
  <c r="L3" i="33" s="1"/>
  <c r="K4" i="33"/>
  <c r="L4" i="33" s="1"/>
  <c r="K5" i="33"/>
  <c r="L5" i="33" s="1"/>
  <c r="K6" i="33"/>
  <c r="L6" i="33" s="1"/>
  <c r="K7" i="33"/>
  <c r="L7" i="33" s="1"/>
  <c r="K8" i="33"/>
  <c r="L8" i="33" s="1"/>
  <c r="K9" i="33"/>
  <c r="L9" i="33" s="1"/>
  <c r="K10" i="33"/>
  <c r="L10" i="33" s="1"/>
  <c r="K11" i="33"/>
  <c r="L11" i="33" s="1"/>
  <c r="K12" i="33"/>
  <c r="L12" i="33" s="1"/>
  <c r="K13" i="33"/>
  <c r="L13" i="33" s="1"/>
  <c r="K14" i="33"/>
  <c r="L14" i="33" s="1"/>
  <c r="K15" i="33"/>
  <c r="L15" i="33" s="1"/>
  <c r="K16" i="33"/>
  <c r="L16" i="33" s="1"/>
  <c r="K17" i="33"/>
  <c r="L17" i="33" s="1"/>
  <c r="K18" i="33"/>
  <c r="L18" i="33" s="1"/>
  <c r="K19" i="33"/>
  <c r="L19" i="33" s="1"/>
  <c r="K20" i="33"/>
  <c r="L20" i="33" s="1"/>
  <c r="K21" i="33"/>
  <c r="L21" i="33" s="1"/>
  <c r="K22" i="33"/>
  <c r="L22" i="33" s="1"/>
  <c r="K23" i="33"/>
  <c r="L23" i="33" s="1"/>
  <c r="K24" i="33"/>
  <c r="L24" i="33" s="1"/>
  <c r="K25" i="33"/>
  <c r="L25" i="33" s="1"/>
  <c r="K26" i="33"/>
  <c r="L26" i="33" s="1"/>
  <c r="K27" i="33"/>
  <c r="L27" i="33" s="1"/>
  <c r="K28" i="33"/>
  <c r="L28" i="33" s="1"/>
  <c r="K29" i="33"/>
  <c r="L29" i="33" s="1"/>
  <c r="K30" i="33"/>
  <c r="L30" i="33" s="1"/>
  <c r="K31" i="33"/>
  <c r="L31" i="33" s="1"/>
  <c r="K32" i="33"/>
  <c r="L32" i="33" s="1"/>
  <c r="K33" i="33"/>
  <c r="L33" i="33" s="1"/>
  <c r="K34" i="33"/>
  <c r="L34" i="33" s="1"/>
  <c r="K35" i="33"/>
  <c r="L35" i="33" s="1"/>
  <c r="K36" i="33"/>
  <c r="L36" i="33" s="1"/>
  <c r="K37" i="33"/>
  <c r="L37" i="33" s="1"/>
  <c r="K38" i="33"/>
  <c r="L38" i="33" s="1"/>
  <c r="K39" i="33"/>
  <c r="L39" i="33" s="1"/>
  <c r="K40" i="33"/>
  <c r="L40" i="33" s="1"/>
  <c r="K41" i="33"/>
  <c r="L41" i="33" s="1"/>
  <c r="K42" i="33"/>
  <c r="L42" i="33" s="1"/>
  <c r="K43" i="33"/>
  <c r="L43" i="33" s="1"/>
  <c r="K44" i="33"/>
  <c r="L44" i="33" s="1"/>
  <c r="K45" i="33"/>
  <c r="L45" i="33" s="1"/>
  <c r="K46" i="33"/>
  <c r="L46" i="33" s="1"/>
  <c r="K47" i="33"/>
  <c r="L47" i="33" s="1"/>
  <c r="K48" i="33"/>
  <c r="L48" i="33" s="1"/>
  <c r="K49" i="33"/>
  <c r="L49" i="33" s="1"/>
  <c r="K50" i="33"/>
  <c r="L50" i="33" s="1"/>
  <c r="K51" i="33"/>
  <c r="L51" i="33" s="1"/>
  <c r="K52" i="33"/>
  <c r="L52" i="33" s="1"/>
  <c r="K53" i="33"/>
  <c r="L53" i="33" s="1"/>
  <c r="K54" i="33"/>
  <c r="L54" i="33" s="1"/>
  <c r="K55" i="33"/>
  <c r="L55" i="33" s="1"/>
  <c r="K56" i="33"/>
  <c r="L56" i="33" s="1"/>
  <c r="K57" i="33"/>
  <c r="L57" i="33" s="1"/>
  <c r="K58" i="33"/>
  <c r="L58" i="33" s="1"/>
  <c r="K59" i="33"/>
  <c r="L59" i="33" s="1"/>
  <c r="K60" i="33"/>
  <c r="L60" i="33" s="1"/>
  <c r="K61" i="33"/>
  <c r="L61" i="33" s="1"/>
  <c r="K62" i="33"/>
  <c r="L62" i="33" s="1"/>
  <c r="K63" i="33"/>
  <c r="L63" i="33" s="1"/>
  <c r="K64" i="33"/>
  <c r="L64" i="33" s="1"/>
  <c r="K65" i="33"/>
  <c r="L65" i="33" s="1"/>
  <c r="K66" i="33"/>
  <c r="L66" i="33" s="1"/>
  <c r="K67" i="33"/>
  <c r="L67" i="33" s="1"/>
  <c r="K68" i="33"/>
  <c r="L68" i="33" s="1"/>
  <c r="K69" i="33"/>
  <c r="L69" i="33" s="1"/>
  <c r="K70" i="33"/>
  <c r="L70" i="33" s="1"/>
  <c r="K71" i="33"/>
  <c r="L71" i="33" s="1"/>
  <c r="K72" i="33"/>
  <c r="L72" i="33" s="1"/>
  <c r="K73" i="33"/>
  <c r="L73" i="33" s="1"/>
  <c r="K74" i="33"/>
  <c r="L74" i="33" s="1"/>
  <c r="K75" i="33"/>
  <c r="L75" i="33" s="1"/>
  <c r="K76" i="33"/>
  <c r="L76" i="33" s="1"/>
  <c r="K77" i="33"/>
  <c r="L77" i="33" s="1"/>
  <c r="K78" i="33"/>
  <c r="L78" i="33" s="1"/>
  <c r="K79" i="33"/>
  <c r="L79" i="33" s="1"/>
  <c r="K80" i="33"/>
  <c r="L80" i="33" s="1"/>
  <c r="K81" i="33"/>
  <c r="L81" i="33" s="1"/>
  <c r="K82" i="33"/>
  <c r="L82" i="33" s="1"/>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K3" i="32"/>
  <c r="L3" i="32" s="1"/>
  <c r="K4" i="32"/>
  <c r="L4" i="32" s="1"/>
  <c r="K5" i="32"/>
  <c r="L5" i="32" s="1"/>
  <c r="K6" i="32"/>
  <c r="L6" i="32" s="1"/>
  <c r="K7" i="32"/>
  <c r="L7" i="32" s="1"/>
  <c r="K8" i="32"/>
  <c r="L8" i="32" s="1"/>
  <c r="K9" i="32"/>
  <c r="L9" i="32" s="1"/>
  <c r="K10" i="32"/>
  <c r="L10" i="32" s="1"/>
  <c r="K11" i="32"/>
  <c r="L11" i="32" s="1"/>
  <c r="K12" i="32"/>
  <c r="L12" i="32" s="1"/>
  <c r="K13" i="32"/>
  <c r="L13" i="32" s="1"/>
  <c r="K14" i="32"/>
  <c r="L14" i="32" s="1"/>
  <c r="K15" i="32"/>
  <c r="L15" i="32" s="1"/>
  <c r="K16" i="32"/>
  <c r="L16" i="32" s="1"/>
  <c r="K17" i="32"/>
  <c r="L17" i="32" s="1"/>
  <c r="K18" i="32"/>
  <c r="L18" i="32" s="1"/>
  <c r="K19" i="32"/>
  <c r="L19" i="32" s="1"/>
  <c r="K20" i="32"/>
  <c r="L20" i="32" s="1"/>
  <c r="K21" i="32"/>
  <c r="L21" i="32" s="1"/>
  <c r="K22" i="32"/>
  <c r="L22" i="32" s="1"/>
  <c r="K23" i="32"/>
  <c r="L23" i="32" s="1"/>
  <c r="K24" i="32"/>
  <c r="L24" i="32" s="1"/>
  <c r="K25" i="32"/>
  <c r="L25" i="32" s="1"/>
  <c r="K26" i="32"/>
  <c r="L26" i="32" s="1"/>
  <c r="K27" i="32"/>
  <c r="L27" i="32" s="1"/>
  <c r="K28" i="32"/>
  <c r="L28" i="32" s="1"/>
  <c r="K29" i="32"/>
  <c r="L29" i="32" s="1"/>
  <c r="K30" i="32"/>
  <c r="L30" i="32" s="1"/>
  <c r="K31" i="32"/>
  <c r="L31" i="32" s="1"/>
  <c r="K32" i="32"/>
  <c r="L32" i="32" s="1"/>
  <c r="K33" i="32"/>
  <c r="L33" i="32" s="1"/>
  <c r="K34" i="32"/>
  <c r="L34" i="32" s="1"/>
  <c r="K35" i="32"/>
  <c r="L35" i="32" s="1"/>
  <c r="K36" i="32"/>
  <c r="L36" i="32" s="1"/>
  <c r="K37" i="32"/>
  <c r="L37" i="32" s="1"/>
  <c r="K38" i="32"/>
  <c r="L38" i="32" s="1"/>
  <c r="K39" i="32"/>
  <c r="L39" i="32" s="1"/>
  <c r="K40" i="32"/>
  <c r="L40" i="32" s="1"/>
  <c r="K41" i="32"/>
  <c r="L41" i="32" s="1"/>
  <c r="K42" i="32"/>
  <c r="L42" i="32" s="1"/>
  <c r="K43" i="32"/>
  <c r="L43" i="32" s="1"/>
  <c r="K44" i="32"/>
  <c r="L44" i="32" s="1"/>
  <c r="K45" i="32"/>
  <c r="L45" i="32" s="1"/>
  <c r="K46" i="32"/>
  <c r="L46" i="32" s="1"/>
  <c r="K47" i="32"/>
  <c r="L47" i="32" s="1"/>
  <c r="K48" i="32"/>
  <c r="L48" i="32" s="1"/>
  <c r="K49" i="32"/>
  <c r="L49" i="32" s="1"/>
  <c r="K50" i="32"/>
  <c r="L50" i="32" s="1"/>
  <c r="K51" i="32"/>
  <c r="L51" i="32" s="1"/>
  <c r="K52" i="32"/>
  <c r="L52" i="32" s="1"/>
  <c r="K53" i="32"/>
  <c r="L53" i="32" s="1"/>
  <c r="K54" i="32"/>
  <c r="L54" i="32" s="1"/>
  <c r="K55" i="32"/>
  <c r="L55" i="32" s="1"/>
  <c r="K56" i="32"/>
  <c r="L56" i="32" s="1"/>
  <c r="K57" i="32"/>
  <c r="L57" i="32" s="1"/>
  <c r="K58" i="32"/>
  <c r="L58" i="32" s="1"/>
  <c r="K59" i="32"/>
  <c r="L59" i="32" s="1"/>
  <c r="K60" i="32"/>
  <c r="L60" i="32" s="1"/>
  <c r="K61" i="32"/>
  <c r="L61" i="32" s="1"/>
  <c r="K62" i="32"/>
  <c r="L62" i="32" s="1"/>
  <c r="K63" i="32"/>
  <c r="L63" i="32" s="1"/>
  <c r="K64" i="32"/>
  <c r="L64" i="32" s="1"/>
  <c r="K65" i="32"/>
  <c r="L65" i="32" s="1"/>
  <c r="K66" i="32"/>
  <c r="L66" i="32" s="1"/>
  <c r="K67" i="32"/>
  <c r="L67" i="32" s="1"/>
  <c r="K68" i="32"/>
  <c r="L68" i="32" s="1"/>
  <c r="K69" i="32"/>
  <c r="L69" i="32" s="1"/>
  <c r="K70" i="32"/>
  <c r="L70" i="32" s="1"/>
  <c r="K71" i="32"/>
  <c r="L71" i="32" s="1"/>
  <c r="K72" i="32"/>
  <c r="L72" i="32" s="1"/>
  <c r="K73" i="32"/>
  <c r="L73" i="32" s="1"/>
  <c r="K74" i="32"/>
  <c r="L74" i="32" s="1"/>
  <c r="K75" i="32"/>
  <c r="L75" i="32" s="1"/>
  <c r="K76" i="32"/>
  <c r="L76" i="32" s="1"/>
  <c r="K77" i="32"/>
  <c r="L77" i="32" s="1"/>
  <c r="K78" i="32"/>
  <c r="L78" i="32" s="1"/>
  <c r="K79" i="32"/>
  <c r="L79" i="32" s="1"/>
  <c r="K80" i="32"/>
  <c r="L80" i="32" s="1"/>
  <c r="K81" i="32"/>
  <c r="L81" i="32" s="1"/>
  <c r="K82" i="32"/>
  <c r="L82" i="32" s="1"/>
  <c r="H3" i="32"/>
  <c r="H4" i="32"/>
  <c r="H5" i="32"/>
  <c r="H6" i="32"/>
  <c r="H7" i="32"/>
  <c r="H8" i="32"/>
  <c r="H9" i="32"/>
  <c r="H10" i="32"/>
  <c r="H11" i="32"/>
  <c r="H12" i="32"/>
  <c r="H13" i="32"/>
  <c r="H14" i="32"/>
  <c r="H15" i="32"/>
  <c r="H16" i="32"/>
  <c r="H17" i="32"/>
  <c r="H18" i="32"/>
  <c r="H19" i="32"/>
  <c r="H20" i="32"/>
  <c r="H21" i="32"/>
  <c r="H22" i="32"/>
  <c r="H23" i="32"/>
  <c r="H24" i="32"/>
  <c r="H25" i="32"/>
  <c r="H26" i="32"/>
  <c r="H27" i="32"/>
  <c r="H28" i="32"/>
  <c r="H29" i="32"/>
  <c r="H30" i="32"/>
  <c r="H31" i="32"/>
  <c r="H32" i="32"/>
  <c r="H33" i="32"/>
  <c r="H34" i="32"/>
  <c r="H35" i="32"/>
  <c r="H36" i="32"/>
  <c r="H37" i="32"/>
  <c r="H38" i="32"/>
  <c r="H39" i="32"/>
  <c r="H40" i="32"/>
  <c r="H41" i="32"/>
  <c r="H42" i="32"/>
  <c r="H43" i="32"/>
  <c r="H44" i="32"/>
  <c r="H45" i="32"/>
  <c r="H46" i="32"/>
  <c r="H47" i="32"/>
  <c r="H48" i="32"/>
  <c r="H49" i="32"/>
  <c r="H50" i="32"/>
  <c r="H51" i="32"/>
  <c r="H52" i="32"/>
  <c r="H53" i="32"/>
  <c r="H54" i="32"/>
  <c r="H55" i="32"/>
  <c r="H56" i="32"/>
  <c r="H57" i="32"/>
  <c r="H58" i="32"/>
  <c r="H59" i="32"/>
  <c r="H60" i="32"/>
  <c r="H61" i="32"/>
  <c r="H62" i="32"/>
  <c r="H63" i="32"/>
  <c r="H64" i="32"/>
  <c r="H65" i="32"/>
  <c r="H66" i="32"/>
  <c r="H67" i="32"/>
  <c r="H68" i="32"/>
  <c r="H69" i="32"/>
  <c r="H70" i="32"/>
  <c r="H71" i="32"/>
  <c r="H72" i="32"/>
  <c r="H73" i="32"/>
  <c r="H74" i="32"/>
  <c r="H75" i="32"/>
  <c r="H76" i="32"/>
  <c r="H77" i="32"/>
  <c r="H78" i="32"/>
  <c r="H79" i="32"/>
  <c r="H80" i="32"/>
  <c r="H81" i="32"/>
  <c r="H82" i="32"/>
  <c r="K3" i="31"/>
  <c r="L3" i="31" s="1"/>
  <c r="K4" i="31"/>
  <c r="L4" i="31" s="1"/>
  <c r="K5" i="31"/>
  <c r="L5" i="31" s="1"/>
  <c r="K6" i="31"/>
  <c r="L6" i="31" s="1"/>
  <c r="K7" i="31"/>
  <c r="L7" i="31" s="1"/>
  <c r="K8" i="31"/>
  <c r="L8" i="31" s="1"/>
  <c r="K9" i="31"/>
  <c r="L9" i="31" s="1"/>
  <c r="K10" i="31"/>
  <c r="L10" i="31" s="1"/>
  <c r="K11" i="31"/>
  <c r="L11" i="31" s="1"/>
  <c r="K12" i="31"/>
  <c r="L12" i="31" s="1"/>
  <c r="K13" i="31"/>
  <c r="L13" i="31" s="1"/>
  <c r="K14" i="31"/>
  <c r="L14" i="31" s="1"/>
  <c r="K15" i="31"/>
  <c r="L15" i="31" s="1"/>
  <c r="K16" i="31"/>
  <c r="L16" i="31" s="1"/>
  <c r="K17" i="31"/>
  <c r="L17" i="31" s="1"/>
  <c r="K18" i="31"/>
  <c r="L18" i="31" s="1"/>
  <c r="K19" i="31"/>
  <c r="L19" i="31" s="1"/>
  <c r="K20" i="31"/>
  <c r="L20" i="31" s="1"/>
  <c r="K21" i="31"/>
  <c r="L21" i="31" s="1"/>
  <c r="K22" i="31"/>
  <c r="L22" i="31" s="1"/>
  <c r="K23" i="31"/>
  <c r="L23" i="31" s="1"/>
  <c r="K24" i="31"/>
  <c r="L24" i="31" s="1"/>
  <c r="K25" i="31"/>
  <c r="L25" i="31" s="1"/>
  <c r="K26" i="31"/>
  <c r="L26" i="31" s="1"/>
  <c r="K27" i="31"/>
  <c r="L27" i="31" s="1"/>
  <c r="K28" i="31"/>
  <c r="L28" i="31" s="1"/>
  <c r="K29" i="31"/>
  <c r="L29" i="31" s="1"/>
  <c r="K30" i="31"/>
  <c r="L30" i="31" s="1"/>
  <c r="K31" i="31"/>
  <c r="L31" i="31" s="1"/>
  <c r="K32" i="31"/>
  <c r="L32" i="31" s="1"/>
  <c r="K33" i="31"/>
  <c r="L33" i="31" s="1"/>
  <c r="K34" i="31"/>
  <c r="L34" i="31" s="1"/>
  <c r="K35" i="31"/>
  <c r="L35" i="31" s="1"/>
  <c r="K36" i="31"/>
  <c r="L36" i="31" s="1"/>
  <c r="K37" i="31"/>
  <c r="L37" i="31" s="1"/>
  <c r="K38" i="31"/>
  <c r="L38" i="31" s="1"/>
  <c r="K39" i="31"/>
  <c r="L39" i="31" s="1"/>
  <c r="K40" i="31"/>
  <c r="L40" i="31" s="1"/>
  <c r="K41" i="31"/>
  <c r="L41" i="31" s="1"/>
  <c r="K42" i="31"/>
  <c r="L42" i="31" s="1"/>
  <c r="K43" i="31"/>
  <c r="L43" i="31" s="1"/>
  <c r="K44" i="31"/>
  <c r="L44" i="31" s="1"/>
  <c r="K45" i="31"/>
  <c r="L45" i="31" s="1"/>
  <c r="K46" i="31"/>
  <c r="L46" i="31" s="1"/>
  <c r="K47" i="31"/>
  <c r="L47" i="31" s="1"/>
  <c r="K48" i="31"/>
  <c r="L48" i="31" s="1"/>
  <c r="K49" i="31"/>
  <c r="L49" i="31" s="1"/>
  <c r="K50" i="31"/>
  <c r="L50" i="31" s="1"/>
  <c r="K51" i="31"/>
  <c r="L51" i="31" s="1"/>
  <c r="K52" i="31"/>
  <c r="L52" i="31" s="1"/>
  <c r="K53" i="31"/>
  <c r="L53" i="31" s="1"/>
  <c r="K54" i="31"/>
  <c r="L54" i="31" s="1"/>
  <c r="K55" i="31"/>
  <c r="L55" i="31" s="1"/>
  <c r="K56" i="31"/>
  <c r="L56" i="31" s="1"/>
  <c r="K57" i="31"/>
  <c r="L57" i="31" s="1"/>
  <c r="K58" i="31"/>
  <c r="L58" i="31" s="1"/>
  <c r="K59" i="31"/>
  <c r="L59" i="31" s="1"/>
  <c r="K60" i="31"/>
  <c r="L60" i="31" s="1"/>
  <c r="K61" i="31"/>
  <c r="L61" i="31" s="1"/>
  <c r="K62" i="31"/>
  <c r="L62" i="31" s="1"/>
  <c r="K63" i="31"/>
  <c r="L63" i="31" s="1"/>
  <c r="K64" i="31"/>
  <c r="L64" i="31" s="1"/>
  <c r="K65" i="31"/>
  <c r="L65" i="31" s="1"/>
  <c r="K66" i="31"/>
  <c r="L66" i="31" s="1"/>
  <c r="K67" i="31"/>
  <c r="L67" i="31" s="1"/>
  <c r="K68" i="31"/>
  <c r="L68" i="31" s="1"/>
  <c r="K69" i="31"/>
  <c r="L69" i="31" s="1"/>
  <c r="K70" i="31"/>
  <c r="L70" i="31" s="1"/>
  <c r="K71" i="31"/>
  <c r="L71" i="31" s="1"/>
  <c r="K72" i="31"/>
  <c r="L72" i="31" s="1"/>
  <c r="K73" i="31"/>
  <c r="L73" i="31" s="1"/>
  <c r="K74" i="31"/>
  <c r="L74" i="31" s="1"/>
  <c r="K75" i="31"/>
  <c r="L75" i="31" s="1"/>
  <c r="K76" i="31"/>
  <c r="L76" i="31" s="1"/>
  <c r="K77" i="31"/>
  <c r="L77" i="31" s="1"/>
  <c r="K78" i="31"/>
  <c r="L78" i="31" s="1"/>
  <c r="K79" i="31"/>
  <c r="L79" i="31" s="1"/>
  <c r="K80" i="31"/>
  <c r="L80" i="31" s="1"/>
  <c r="K81" i="31"/>
  <c r="L81" i="31" s="1"/>
  <c r="K82" i="31"/>
  <c r="L82" i="31" s="1"/>
  <c r="H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L11" i="30"/>
  <c r="L14" i="30"/>
  <c r="L22" i="30"/>
  <c r="L27" i="30"/>
  <c r="L30" i="30"/>
  <c r="L38" i="30"/>
  <c r="L43" i="30"/>
  <c r="L46" i="30"/>
  <c r="L54" i="30"/>
  <c r="L59" i="30"/>
  <c r="L62" i="30"/>
  <c r="L70" i="30"/>
  <c r="L75" i="30"/>
  <c r="L78" i="30"/>
  <c r="K3" i="30"/>
  <c r="L3" i="30" s="1"/>
  <c r="K4" i="30"/>
  <c r="L4" i="30" s="1"/>
  <c r="K5" i="30"/>
  <c r="L5" i="30" s="1"/>
  <c r="K6" i="30"/>
  <c r="L6" i="30" s="1"/>
  <c r="K7" i="30"/>
  <c r="L7" i="30" s="1"/>
  <c r="K8" i="30"/>
  <c r="L8" i="30" s="1"/>
  <c r="K9" i="30"/>
  <c r="L9" i="30" s="1"/>
  <c r="K10" i="30"/>
  <c r="L10" i="30" s="1"/>
  <c r="K11" i="30"/>
  <c r="K12" i="30"/>
  <c r="L12" i="30" s="1"/>
  <c r="K13" i="30"/>
  <c r="L13" i="30" s="1"/>
  <c r="K14" i="30"/>
  <c r="K15" i="30"/>
  <c r="L15" i="30" s="1"/>
  <c r="K16" i="30"/>
  <c r="L16" i="30" s="1"/>
  <c r="K17" i="30"/>
  <c r="L17" i="30" s="1"/>
  <c r="K18" i="30"/>
  <c r="L18" i="30" s="1"/>
  <c r="K19" i="30"/>
  <c r="L19" i="30" s="1"/>
  <c r="K20" i="30"/>
  <c r="L20" i="30" s="1"/>
  <c r="K21" i="30"/>
  <c r="L21" i="30" s="1"/>
  <c r="K22" i="30"/>
  <c r="K23" i="30"/>
  <c r="L23" i="30" s="1"/>
  <c r="K24" i="30"/>
  <c r="L24" i="30" s="1"/>
  <c r="K25" i="30"/>
  <c r="L25" i="30" s="1"/>
  <c r="K26" i="30"/>
  <c r="L26" i="30" s="1"/>
  <c r="K27" i="30"/>
  <c r="K28" i="30"/>
  <c r="L28" i="30" s="1"/>
  <c r="K29" i="30"/>
  <c r="L29" i="30" s="1"/>
  <c r="K30" i="30"/>
  <c r="K31" i="30"/>
  <c r="L31" i="30" s="1"/>
  <c r="K32" i="30"/>
  <c r="L32" i="30" s="1"/>
  <c r="K33" i="30"/>
  <c r="L33" i="30" s="1"/>
  <c r="K34" i="30"/>
  <c r="L34" i="30" s="1"/>
  <c r="K35" i="30"/>
  <c r="L35" i="30" s="1"/>
  <c r="K36" i="30"/>
  <c r="L36" i="30" s="1"/>
  <c r="K37" i="30"/>
  <c r="L37" i="30" s="1"/>
  <c r="K38" i="30"/>
  <c r="K39" i="30"/>
  <c r="L39" i="30" s="1"/>
  <c r="K40" i="30"/>
  <c r="L40" i="30" s="1"/>
  <c r="K41" i="30"/>
  <c r="L41" i="30" s="1"/>
  <c r="K42" i="30"/>
  <c r="L42" i="30" s="1"/>
  <c r="K43" i="30"/>
  <c r="K44" i="30"/>
  <c r="L44" i="30" s="1"/>
  <c r="K45" i="30"/>
  <c r="L45" i="30" s="1"/>
  <c r="K46" i="30"/>
  <c r="K47" i="30"/>
  <c r="L47" i="30" s="1"/>
  <c r="K48" i="30"/>
  <c r="L48" i="30" s="1"/>
  <c r="K49" i="30"/>
  <c r="L49" i="30" s="1"/>
  <c r="K50" i="30"/>
  <c r="L50" i="30" s="1"/>
  <c r="K51" i="30"/>
  <c r="L51" i="30" s="1"/>
  <c r="K52" i="30"/>
  <c r="L52" i="30" s="1"/>
  <c r="K53" i="30"/>
  <c r="L53" i="30" s="1"/>
  <c r="K54" i="30"/>
  <c r="K55" i="30"/>
  <c r="L55" i="30" s="1"/>
  <c r="K56" i="30"/>
  <c r="L56" i="30" s="1"/>
  <c r="K57" i="30"/>
  <c r="L57" i="30" s="1"/>
  <c r="K58" i="30"/>
  <c r="L58" i="30" s="1"/>
  <c r="K59" i="30"/>
  <c r="K60" i="30"/>
  <c r="L60" i="30" s="1"/>
  <c r="K61" i="30"/>
  <c r="L61" i="30" s="1"/>
  <c r="K62" i="30"/>
  <c r="K63" i="30"/>
  <c r="L63" i="30" s="1"/>
  <c r="K64" i="30"/>
  <c r="L64" i="30" s="1"/>
  <c r="K65" i="30"/>
  <c r="L65" i="30" s="1"/>
  <c r="K66" i="30"/>
  <c r="L66" i="30" s="1"/>
  <c r="K67" i="30"/>
  <c r="L67" i="30" s="1"/>
  <c r="K68" i="30"/>
  <c r="L68" i="30" s="1"/>
  <c r="K69" i="30"/>
  <c r="L69" i="30" s="1"/>
  <c r="K70" i="30"/>
  <c r="K71" i="30"/>
  <c r="L71" i="30" s="1"/>
  <c r="K72" i="30"/>
  <c r="L72" i="30" s="1"/>
  <c r="K73" i="30"/>
  <c r="L73" i="30" s="1"/>
  <c r="K74" i="30"/>
  <c r="L74" i="30" s="1"/>
  <c r="K75" i="30"/>
  <c r="K76" i="30"/>
  <c r="L76" i="30" s="1"/>
  <c r="K77" i="30"/>
  <c r="L77" i="30" s="1"/>
  <c r="K78" i="30"/>
  <c r="K79" i="30"/>
  <c r="L79" i="30" s="1"/>
  <c r="K80" i="30"/>
  <c r="L80" i="30" s="1"/>
  <c r="K81" i="30"/>
  <c r="L81" i="30" s="1"/>
  <c r="K82" i="30"/>
  <c r="L82" i="30" s="1"/>
  <c r="H3" i="30"/>
  <c r="H4" i="30"/>
  <c r="H5" i="30"/>
  <c r="H6" i="30"/>
  <c r="H7" i="30"/>
  <c r="H8" i="30"/>
  <c r="H9" i="30"/>
  <c r="H10" i="30"/>
  <c r="H11" i="30"/>
  <c r="H12" i="30"/>
  <c r="H13" i="30"/>
  <c r="H14" i="30"/>
  <c r="H15" i="30"/>
  <c r="H16" i="30"/>
  <c r="H17" i="30"/>
  <c r="H18" i="30"/>
  <c r="H19" i="30"/>
  <c r="H20" i="30"/>
  <c r="H21" i="30"/>
  <c r="H22" i="30"/>
  <c r="H23" i="30"/>
  <c r="H24" i="30"/>
  <c r="H25" i="30"/>
  <c r="H26" i="30"/>
  <c r="H27" i="30"/>
  <c r="H28" i="30"/>
  <c r="H29" i="30"/>
  <c r="H30" i="30"/>
  <c r="H31" i="30"/>
  <c r="H32" i="30"/>
  <c r="H33" i="30"/>
  <c r="H34" i="30"/>
  <c r="H35" i="30"/>
  <c r="H36" i="30"/>
  <c r="H37" i="30"/>
  <c r="H38" i="30"/>
  <c r="H39" i="30"/>
  <c r="H40" i="30"/>
  <c r="H41" i="30"/>
  <c r="H42" i="30"/>
  <c r="H43" i="30"/>
  <c r="H44" i="30"/>
  <c r="H45" i="30"/>
  <c r="H46" i="30"/>
  <c r="H47" i="30"/>
  <c r="H48" i="30"/>
  <c r="H49" i="30"/>
  <c r="H50" i="30"/>
  <c r="H51" i="30"/>
  <c r="H52" i="30"/>
  <c r="H53" i="30"/>
  <c r="H54" i="30"/>
  <c r="H55" i="30"/>
  <c r="H56" i="30"/>
  <c r="H57" i="30"/>
  <c r="H58" i="30"/>
  <c r="H59" i="30"/>
  <c r="H60" i="30"/>
  <c r="H61" i="30"/>
  <c r="H62" i="30"/>
  <c r="H63" i="30"/>
  <c r="H64" i="30"/>
  <c r="H65" i="30"/>
  <c r="H66" i="30"/>
  <c r="H67" i="30"/>
  <c r="H68" i="30"/>
  <c r="H69" i="30"/>
  <c r="H70" i="30"/>
  <c r="H71" i="30"/>
  <c r="H72" i="30"/>
  <c r="H73" i="30"/>
  <c r="H74" i="30"/>
  <c r="H75" i="30"/>
  <c r="H76" i="30"/>
  <c r="H77" i="30"/>
  <c r="H78" i="30"/>
  <c r="H79" i="30"/>
  <c r="H80" i="30"/>
  <c r="H81" i="30"/>
  <c r="H82" i="30"/>
  <c r="L5" i="37"/>
  <c r="L8" i="37"/>
  <c r="L10" i="37"/>
  <c r="L13" i="37"/>
  <c r="L21" i="37"/>
  <c r="L23" i="37"/>
  <c r="L24" i="37"/>
  <c r="L26" i="37"/>
  <c r="L29" i="37"/>
  <c r="L30" i="37"/>
  <c r="L34" i="37"/>
  <c r="L37" i="37"/>
  <c r="L40" i="37"/>
  <c r="L42" i="37"/>
  <c r="L45" i="37"/>
  <c r="L53" i="37"/>
  <c r="L55" i="37"/>
  <c r="L56" i="37"/>
  <c r="L58" i="37"/>
  <c r="L62" i="37"/>
  <c r="L66" i="37"/>
  <c r="L69" i="37"/>
  <c r="L72" i="37"/>
  <c r="L74" i="37"/>
  <c r="L77" i="37"/>
  <c r="K3" i="37"/>
  <c r="L3" i="37" s="1"/>
  <c r="K4" i="37"/>
  <c r="L4" i="37" s="1"/>
  <c r="K5" i="37"/>
  <c r="K6" i="37"/>
  <c r="L6" i="37" s="1"/>
  <c r="K7" i="37"/>
  <c r="L7" i="37" s="1"/>
  <c r="K8" i="37"/>
  <c r="K9" i="37"/>
  <c r="L9" i="37" s="1"/>
  <c r="K10" i="37"/>
  <c r="K11" i="37"/>
  <c r="L11" i="37" s="1"/>
  <c r="K12" i="37"/>
  <c r="L12" i="37" s="1"/>
  <c r="K13" i="37"/>
  <c r="K14" i="37"/>
  <c r="L14" i="37" s="1"/>
  <c r="K15" i="37"/>
  <c r="L15" i="37" s="1"/>
  <c r="K16" i="37"/>
  <c r="L16" i="37" s="1"/>
  <c r="K17" i="37"/>
  <c r="L17" i="37" s="1"/>
  <c r="K18" i="37"/>
  <c r="L18" i="37" s="1"/>
  <c r="K19" i="37"/>
  <c r="L19" i="37" s="1"/>
  <c r="K20" i="37"/>
  <c r="L20" i="37" s="1"/>
  <c r="K21" i="37"/>
  <c r="K22" i="37"/>
  <c r="L22" i="37" s="1"/>
  <c r="K23" i="37"/>
  <c r="K24" i="37"/>
  <c r="K25" i="37"/>
  <c r="L25" i="37" s="1"/>
  <c r="K26" i="37"/>
  <c r="K27" i="37"/>
  <c r="L27" i="37" s="1"/>
  <c r="K28" i="37"/>
  <c r="L28" i="37" s="1"/>
  <c r="K29" i="37"/>
  <c r="K30" i="37"/>
  <c r="K31" i="37"/>
  <c r="L31" i="37" s="1"/>
  <c r="K32" i="37"/>
  <c r="L32" i="37" s="1"/>
  <c r="K33" i="37"/>
  <c r="L33" i="37" s="1"/>
  <c r="K34" i="37"/>
  <c r="K35" i="37"/>
  <c r="L35" i="37" s="1"/>
  <c r="K36" i="37"/>
  <c r="L36" i="37" s="1"/>
  <c r="K37" i="37"/>
  <c r="K38" i="37"/>
  <c r="L38" i="37" s="1"/>
  <c r="K39" i="37"/>
  <c r="L39" i="37" s="1"/>
  <c r="K40" i="37"/>
  <c r="K41" i="37"/>
  <c r="L41" i="37" s="1"/>
  <c r="K42" i="37"/>
  <c r="K43" i="37"/>
  <c r="L43" i="37" s="1"/>
  <c r="K44" i="37"/>
  <c r="L44" i="37" s="1"/>
  <c r="K45" i="37"/>
  <c r="K46" i="37"/>
  <c r="L46" i="37" s="1"/>
  <c r="K47" i="37"/>
  <c r="L47" i="37" s="1"/>
  <c r="K48" i="37"/>
  <c r="L48" i="37" s="1"/>
  <c r="K49" i="37"/>
  <c r="L49" i="37" s="1"/>
  <c r="K50" i="37"/>
  <c r="L50" i="37" s="1"/>
  <c r="K51" i="37"/>
  <c r="L51" i="37" s="1"/>
  <c r="K52" i="37"/>
  <c r="L52" i="37" s="1"/>
  <c r="K53" i="37"/>
  <c r="K54" i="37"/>
  <c r="L54" i="37" s="1"/>
  <c r="K55" i="37"/>
  <c r="K56" i="37"/>
  <c r="K57" i="37"/>
  <c r="L57" i="37" s="1"/>
  <c r="K58" i="37"/>
  <c r="K59" i="37"/>
  <c r="L59" i="37" s="1"/>
  <c r="K60" i="37"/>
  <c r="L60" i="37" s="1"/>
  <c r="K61" i="37"/>
  <c r="L61" i="37" s="1"/>
  <c r="K62" i="37"/>
  <c r="K63" i="37"/>
  <c r="L63" i="37" s="1"/>
  <c r="K64" i="37"/>
  <c r="L64" i="37" s="1"/>
  <c r="K65" i="37"/>
  <c r="L65" i="37" s="1"/>
  <c r="K66" i="37"/>
  <c r="K67" i="37"/>
  <c r="L67" i="37" s="1"/>
  <c r="K68" i="37"/>
  <c r="L68" i="37" s="1"/>
  <c r="K69" i="37"/>
  <c r="K70" i="37"/>
  <c r="L70" i="37" s="1"/>
  <c r="K71" i="37"/>
  <c r="L71" i="37" s="1"/>
  <c r="K72" i="37"/>
  <c r="K73" i="37"/>
  <c r="L73" i="37" s="1"/>
  <c r="K74" i="37"/>
  <c r="K75" i="37"/>
  <c r="L75" i="37" s="1"/>
  <c r="K76" i="37"/>
  <c r="L76" i="37" s="1"/>
  <c r="K77" i="37"/>
  <c r="K78" i="37"/>
  <c r="L78" i="37" s="1"/>
  <c r="K79" i="37"/>
  <c r="L79" i="37" s="1"/>
  <c r="K80" i="37"/>
  <c r="L80" i="37" s="1"/>
  <c r="K81" i="37"/>
  <c r="L81" i="37" s="1"/>
  <c r="K82" i="37"/>
  <c r="L82" i="37" s="1"/>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H42" i="37"/>
  <c r="H43" i="37"/>
  <c r="H44" i="37"/>
  <c r="H45" i="37"/>
  <c r="H46" i="37"/>
  <c r="H47" i="37"/>
  <c r="H48" i="37"/>
  <c r="H49" i="37"/>
  <c r="H50" i="37"/>
  <c r="H51" i="37"/>
  <c r="H52" i="37"/>
  <c r="H53" i="37"/>
  <c r="H54" i="37"/>
  <c r="H55" i="37"/>
  <c r="H56" i="37"/>
  <c r="H57" i="37"/>
  <c r="H58" i="37"/>
  <c r="H59" i="37"/>
  <c r="H60" i="37"/>
  <c r="H61" i="37"/>
  <c r="H62" i="37"/>
  <c r="H63" i="37"/>
  <c r="H64" i="37"/>
  <c r="H65" i="37"/>
  <c r="H66" i="37"/>
  <c r="H67" i="37"/>
  <c r="H68" i="37"/>
  <c r="H69" i="37"/>
  <c r="H70" i="37"/>
  <c r="H71" i="37"/>
  <c r="H72" i="37"/>
  <c r="H73" i="37"/>
  <c r="H74" i="37"/>
  <c r="H75" i="37"/>
  <c r="H76" i="37"/>
  <c r="H77" i="37"/>
  <c r="H78" i="37"/>
  <c r="H79" i="37"/>
  <c r="H80" i="37"/>
  <c r="H81" i="37"/>
  <c r="H82" i="37"/>
  <c r="L3" i="28"/>
  <c r="L5" i="28"/>
  <c r="L8" i="28"/>
  <c r="L13" i="28"/>
  <c r="L14" i="28"/>
  <c r="L21" i="28"/>
  <c r="L24" i="28"/>
  <c r="L29" i="28"/>
  <c r="L34" i="28"/>
  <c r="L35" i="28"/>
  <c r="L37" i="28"/>
  <c r="L40" i="28"/>
  <c r="L45" i="28"/>
  <c r="L46" i="28"/>
  <c r="L53" i="28"/>
  <c r="L56" i="28"/>
  <c r="L61" i="28"/>
  <c r="L66" i="28"/>
  <c r="L67" i="28"/>
  <c r="L69" i="28"/>
  <c r="L72" i="28"/>
  <c r="L77" i="28"/>
  <c r="L78" i="28"/>
  <c r="K3" i="28"/>
  <c r="K4" i="28"/>
  <c r="L4" i="28" s="1"/>
  <c r="K5" i="28"/>
  <c r="K6" i="28"/>
  <c r="L6" i="28" s="1"/>
  <c r="K7" i="28"/>
  <c r="L7" i="28" s="1"/>
  <c r="K8" i="28"/>
  <c r="K9" i="28"/>
  <c r="L9" i="28" s="1"/>
  <c r="K10" i="28"/>
  <c r="L10" i="28" s="1"/>
  <c r="K11" i="28"/>
  <c r="L11" i="28" s="1"/>
  <c r="K12" i="28"/>
  <c r="L12" i="28" s="1"/>
  <c r="K13" i="28"/>
  <c r="K14" i="28"/>
  <c r="K15" i="28"/>
  <c r="L15" i="28" s="1"/>
  <c r="K16" i="28"/>
  <c r="L16" i="28" s="1"/>
  <c r="K17" i="28"/>
  <c r="L17" i="28" s="1"/>
  <c r="K18" i="28"/>
  <c r="L18" i="28" s="1"/>
  <c r="K19" i="28"/>
  <c r="L19" i="28" s="1"/>
  <c r="K20" i="28"/>
  <c r="L20" i="28" s="1"/>
  <c r="K21" i="28"/>
  <c r="K22" i="28"/>
  <c r="L22" i="28" s="1"/>
  <c r="K23" i="28"/>
  <c r="L23" i="28" s="1"/>
  <c r="K24" i="28"/>
  <c r="K25" i="28"/>
  <c r="L25" i="28" s="1"/>
  <c r="K26" i="28"/>
  <c r="L26" i="28" s="1"/>
  <c r="K27" i="28"/>
  <c r="L27" i="28" s="1"/>
  <c r="K28" i="28"/>
  <c r="L28" i="28" s="1"/>
  <c r="K29" i="28"/>
  <c r="K30" i="28"/>
  <c r="L30" i="28" s="1"/>
  <c r="K31" i="28"/>
  <c r="L31" i="28" s="1"/>
  <c r="K32" i="28"/>
  <c r="L32" i="28" s="1"/>
  <c r="K33" i="28"/>
  <c r="L33" i="28" s="1"/>
  <c r="K34" i="28"/>
  <c r="K35" i="28"/>
  <c r="K36" i="28"/>
  <c r="L36" i="28" s="1"/>
  <c r="K37" i="28"/>
  <c r="K38" i="28"/>
  <c r="L38" i="28" s="1"/>
  <c r="K39" i="28"/>
  <c r="L39" i="28" s="1"/>
  <c r="K40" i="28"/>
  <c r="K41" i="28"/>
  <c r="L41" i="28" s="1"/>
  <c r="K42" i="28"/>
  <c r="L42" i="28" s="1"/>
  <c r="K43" i="28"/>
  <c r="L43" i="28" s="1"/>
  <c r="K44" i="28"/>
  <c r="L44" i="28" s="1"/>
  <c r="K45" i="28"/>
  <c r="K46" i="28"/>
  <c r="K47" i="28"/>
  <c r="L47" i="28" s="1"/>
  <c r="K48" i="28"/>
  <c r="L48" i="28" s="1"/>
  <c r="K49" i="28"/>
  <c r="L49" i="28" s="1"/>
  <c r="K50" i="28"/>
  <c r="L50" i="28" s="1"/>
  <c r="K51" i="28"/>
  <c r="L51" i="28" s="1"/>
  <c r="K52" i="28"/>
  <c r="L52" i="28" s="1"/>
  <c r="K53" i="28"/>
  <c r="K54" i="28"/>
  <c r="L54" i="28" s="1"/>
  <c r="K55" i="28"/>
  <c r="L55" i="28" s="1"/>
  <c r="K56" i="28"/>
  <c r="K57" i="28"/>
  <c r="L57" i="28" s="1"/>
  <c r="K58" i="28"/>
  <c r="L58" i="28" s="1"/>
  <c r="K59" i="28"/>
  <c r="L59" i="28" s="1"/>
  <c r="K60" i="28"/>
  <c r="L60" i="28" s="1"/>
  <c r="K61" i="28"/>
  <c r="K62" i="28"/>
  <c r="L62" i="28" s="1"/>
  <c r="K63" i="28"/>
  <c r="L63" i="28" s="1"/>
  <c r="K64" i="28"/>
  <c r="L64" i="28" s="1"/>
  <c r="K65" i="28"/>
  <c r="L65" i="28" s="1"/>
  <c r="K66" i="28"/>
  <c r="K67" i="28"/>
  <c r="K68" i="28"/>
  <c r="L68" i="28" s="1"/>
  <c r="K69" i="28"/>
  <c r="K70" i="28"/>
  <c r="L70" i="28" s="1"/>
  <c r="K71" i="28"/>
  <c r="L71" i="28" s="1"/>
  <c r="K72" i="28"/>
  <c r="K73" i="28"/>
  <c r="L73" i="28" s="1"/>
  <c r="K74" i="28"/>
  <c r="L74" i="28" s="1"/>
  <c r="K75" i="28"/>
  <c r="L75" i="28" s="1"/>
  <c r="K76" i="28"/>
  <c r="L76" i="28" s="1"/>
  <c r="K77" i="28"/>
  <c r="K78" i="28"/>
  <c r="K79" i="28"/>
  <c r="L79" i="28" s="1"/>
  <c r="K80" i="28"/>
  <c r="L80" i="28" s="1"/>
  <c r="K81" i="28"/>
  <c r="L81" i="28" s="1"/>
  <c r="K82" i="28"/>
  <c r="L82" i="28" s="1"/>
  <c r="H3" i="28"/>
  <c r="H4" i="28"/>
  <c r="H5" i="28"/>
  <c r="H6" i="28"/>
  <c r="H7" i="28"/>
  <c r="H8" i="28"/>
  <c r="H9" i="28"/>
  <c r="H10" i="28"/>
  <c r="H11" i="28"/>
  <c r="H12" i="28"/>
  <c r="H13" i="28"/>
  <c r="H14" i="28"/>
  <c r="H15" i="28"/>
  <c r="H16" i="28"/>
  <c r="H17" i="28"/>
  <c r="H18" i="28"/>
  <c r="H19" i="28"/>
  <c r="H20" i="28"/>
  <c r="H21" i="28"/>
  <c r="H22" i="28"/>
  <c r="H23" i="28"/>
  <c r="H24" i="28"/>
  <c r="H25" i="28"/>
  <c r="H26" i="28"/>
  <c r="H27" i="28"/>
  <c r="H28" i="28"/>
  <c r="H29" i="28"/>
  <c r="H30" i="28"/>
  <c r="H31" i="28"/>
  <c r="H32" i="28"/>
  <c r="H33" i="28"/>
  <c r="H34" i="28"/>
  <c r="H35" i="28"/>
  <c r="H36" i="28"/>
  <c r="H37" i="28"/>
  <c r="H38" i="28"/>
  <c r="H39" i="28"/>
  <c r="H40" i="28"/>
  <c r="H41" i="28"/>
  <c r="H42" i="28"/>
  <c r="H43" i="28"/>
  <c r="H44" i="28"/>
  <c r="H45" i="28"/>
  <c r="H46" i="28"/>
  <c r="H47" i="28"/>
  <c r="H48" i="28"/>
  <c r="H49" i="28"/>
  <c r="H50" i="28"/>
  <c r="H51" i="28"/>
  <c r="H52" i="28"/>
  <c r="H53" i="28"/>
  <c r="H54" i="28"/>
  <c r="H55" i="28"/>
  <c r="H56" i="28"/>
  <c r="H57" i="28"/>
  <c r="H58" i="28"/>
  <c r="H59" i="28"/>
  <c r="H60" i="28"/>
  <c r="H61" i="28"/>
  <c r="H62" i="28"/>
  <c r="H63" i="28"/>
  <c r="H64" i="28"/>
  <c r="H65" i="28"/>
  <c r="H66" i="28"/>
  <c r="H67" i="28"/>
  <c r="H68" i="28"/>
  <c r="H69" i="28"/>
  <c r="H70" i="28"/>
  <c r="H71" i="28"/>
  <c r="H72" i="28"/>
  <c r="H73" i="28"/>
  <c r="H74" i="28"/>
  <c r="H75" i="28"/>
  <c r="H76" i="28"/>
  <c r="H77" i="28"/>
  <c r="H78" i="28"/>
  <c r="H79" i="28"/>
  <c r="H80" i="28"/>
  <c r="H81" i="28"/>
  <c r="H82" i="28"/>
  <c r="L3" i="27"/>
  <c r="L7" i="27"/>
  <c r="L8" i="27"/>
  <c r="L14" i="27"/>
  <c r="L15" i="27"/>
  <c r="L18" i="27"/>
  <c r="L19" i="27"/>
  <c r="L23" i="27"/>
  <c r="L27" i="27"/>
  <c r="L29" i="27"/>
  <c r="L30" i="27"/>
  <c r="L31" i="27"/>
  <c r="L34" i="27"/>
  <c r="L35" i="27"/>
  <c r="L39" i="27"/>
  <c r="L40" i="27"/>
  <c r="L48" i="27"/>
  <c r="K3" i="27"/>
  <c r="K4" i="27"/>
  <c r="L4" i="27" s="1"/>
  <c r="K5" i="27"/>
  <c r="L5" i="27" s="1"/>
  <c r="K6" i="27"/>
  <c r="L6" i="27" s="1"/>
  <c r="K7" i="27"/>
  <c r="K8" i="27"/>
  <c r="K9" i="27"/>
  <c r="L9" i="27" s="1"/>
  <c r="K10" i="27"/>
  <c r="L10" i="27" s="1"/>
  <c r="K11" i="27"/>
  <c r="L11" i="27" s="1"/>
  <c r="K12" i="27"/>
  <c r="L12" i="27" s="1"/>
  <c r="K13" i="27"/>
  <c r="L13" i="27" s="1"/>
  <c r="K14" i="27"/>
  <c r="K15" i="27"/>
  <c r="K16" i="27"/>
  <c r="L16" i="27" s="1"/>
  <c r="K17" i="27"/>
  <c r="L17" i="27" s="1"/>
  <c r="K18" i="27"/>
  <c r="K19" i="27"/>
  <c r="K20" i="27"/>
  <c r="L20" i="27" s="1"/>
  <c r="K21" i="27"/>
  <c r="L21" i="27" s="1"/>
  <c r="K22" i="27"/>
  <c r="L22" i="27" s="1"/>
  <c r="K23" i="27"/>
  <c r="K24" i="27"/>
  <c r="L24" i="27" s="1"/>
  <c r="K25" i="27"/>
  <c r="L25" i="27" s="1"/>
  <c r="K26" i="27"/>
  <c r="L26" i="27" s="1"/>
  <c r="K27" i="27"/>
  <c r="K28" i="27"/>
  <c r="L28" i="27" s="1"/>
  <c r="K29" i="27"/>
  <c r="K30" i="27"/>
  <c r="K31" i="27"/>
  <c r="K32" i="27"/>
  <c r="L32" i="27" s="1"/>
  <c r="K33" i="27"/>
  <c r="L33" i="27" s="1"/>
  <c r="K34" i="27"/>
  <c r="K35" i="27"/>
  <c r="K36" i="27"/>
  <c r="L36" i="27" s="1"/>
  <c r="K37" i="27"/>
  <c r="L37" i="27" s="1"/>
  <c r="K38" i="27"/>
  <c r="L38" i="27" s="1"/>
  <c r="K39" i="27"/>
  <c r="K40" i="27"/>
  <c r="K41" i="27"/>
  <c r="L41" i="27" s="1"/>
  <c r="K42" i="27"/>
  <c r="L42" i="27" s="1"/>
  <c r="K43" i="27"/>
  <c r="L43" i="27" s="1"/>
  <c r="K44" i="27"/>
  <c r="L44" i="27" s="1"/>
  <c r="K45" i="27"/>
  <c r="L45" i="27" s="1"/>
  <c r="K46" i="27"/>
  <c r="L46" i="27" s="1"/>
  <c r="K47" i="27"/>
  <c r="L47" i="27" s="1"/>
  <c r="K48" i="27"/>
  <c r="K49" i="27"/>
  <c r="L49" i="27" s="1"/>
  <c r="K50" i="27"/>
  <c r="L50" i="27" s="1"/>
  <c r="K51" i="27"/>
  <c r="L51" i="27" s="1"/>
  <c r="K52" i="27"/>
  <c r="L52" i="27" s="1"/>
  <c r="K53" i="27"/>
  <c r="L53" i="27" s="1"/>
  <c r="K54" i="27"/>
  <c r="L54" i="27" s="1"/>
  <c r="K55" i="27"/>
  <c r="L55" i="27" s="1"/>
  <c r="K56" i="27"/>
  <c r="L56" i="27" s="1"/>
  <c r="K57" i="27"/>
  <c r="L57" i="27" s="1"/>
  <c r="K58" i="27"/>
  <c r="L58" i="27" s="1"/>
  <c r="K59" i="27"/>
  <c r="L59" i="27" s="1"/>
  <c r="K60" i="27"/>
  <c r="L60" i="27" s="1"/>
  <c r="K61" i="27"/>
  <c r="L61" i="27" s="1"/>
  <c r="K62" i="27"/>
  <c r="L62" i="27" s="1"/>
  <c r="K63" i="27"/>
  <c r="L63" i="27" s="1"/>
  <c r="K64" i="27"/>
  <c r="L64" i="27" s="1"/>
  <c r="K65" i="27"/>
  <c r="L65" i="27" s="1"/>
  <c r="K66" i="27"/>
  <c r="L66" i="27" s="1"/>
  <c r="K67" i="27"/>
  <c r="L67" i="27" s="1"/>
  <c r="K68" i="27"/>
  <c r="L68" i="27" s="1"/>
  <c r="K69" i="27"/>
  <c r="L69" i="27" s="1"/>
  <c r="K70" i="27"/>
  <c r="L70" i="27" s="1"/>
  <c r="K71" i="27"/>
  <c r="L71" i="27" s="1"/>
  <c r="K72" i="27"/>
  <c r="L72" i="27" s="1"/>
  <c r="K73" i="27"/>
  <c r="L73" i="27" s="1"/>
  <c r="K74" i="27"/>
  <c r="L74" i="27" s="1"/>
  <c r="K75" i="27"/>
  <c r="L75" i="27" s="1"/>
  <c r="K76" i="27"/>
  <c r="L76" i="27" s="1"/>
  <c r="K77" i="27"/>
  <c r="L77" i="27" s="1"/>
  <c r="K78" i="27"/>
  <c r="L78" i="27" s="1"/>
  <c r="K79" i="27"/>
  <c r="L79" i="27" s="1"/>
  <c r="K80" i="27"/>
  <c r="L80" i="27" s="1"/>
  <c r="K81" i="27"/>
  <c r="L81" i="27" s="1"/>
  <c r="K82" i="27"/>
  <c r="L82" i="27" s="1"/>
  <c r="H3" i="27"/>
  <c r="H4" i="27"/>
  <c r="H5" i="27"/>
  <c r="H6" i="27"/>
  <c r="H7" i="27"/>
  <c r="H8" i="27"/>
  <c r="H9" i="27"/>
  <c r="H10" i="27"/>
  <c r="H11"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H53" i="27"/>
  <c r="H54" i="27"/>
  <c r="H55" i="27"/>
  <c r="H56" i="27"/>
  <c r="H57" i="27"/>
  <c r="H58" i="27"/>
  <c r="H59" i="27"/>
  <c r="H60" i="27"/>
  <c r="H61" i="27"/>
  <c r="H62" i="27"/>
  <c r="H63" i="27"/>
  <c r="H64" i="27"/>
  <c r="H65" i="27"/>
  <c r="H66" i="27"/>
  <c r="H67" i="27"/>
  <c r="H68" i="27"/>
  <c r="H69" i="27"/>
  <c r="H70" i="27"/>
  <c r="H71" i="27"/>
  <c r="H72" i="27"/>
  <c r="H73" i="27"/>
  <c r="H74" i="27"/>
  <c r="H75" i="27"/>
  <c r="H76" i="27"/>
  <c r="H77" i="27"/>
  <c r="H78" i="27"/>
  <c r="H79" i="27"/>
  <c r="H80" i="27"/>
  <c r="H81" i="27"/>
  <c r="H82" i="27"/>
  <c r="L17" i="26"/>
  <c r="L25" i="26"/>
  <c r="L33" i="26"/>
  <c r="K3" i="26"/>
  <c r="L3" i="26" s="1"/>
  <c r="K4" i="26"/>
  <c r="L4" i="26" s="1"/>
  <c r="K5" i="26"/>
  <c r="L5" i="26" s="1"/>
  <c r="K6" i="26"/>
  <c r="L6" i="26" s="1"/>
  <c r="K7" i="26"/>
  <c r="L7" i="26" s="1"/>
  <c r="K8" i="26"/>
  <c r="L8" i="26" s="1"/>
  <c r="K9" i="26"/>
  <c r="L9" i="26" s="1"/>
  <c r="K10" i="26"/>
  <c r="L10" i="26" s="1"/>
  <c r="K11" i="26"/>
  <c r="L11" i="26" s="1"/>
  <c r="K12" i="26"/>
  <c r="L12" i="26" s="1"/>
  <c r="K13" i="26"/>
  <c r="L13" i="26" s="1"/>
  <c r="K14" i="26"/>
  <c r="L14" i="26" s="1"/>
  <c r="K15" i="26"/>
  <c r="L15" i="26" s="1"/>
  <c r="K16" i="26"/>
  <c r="L16" i="26" s="1"/>
  <c r="K17" i="26"/>
  <c r="K18" i="26"/>
  <c r="L18" i="26" s="1"/>
  <c r="K19" i="26"/>
  <c r="L19" i="26" s="1"/>
  <c r="K20" i="26"/>
  <c r="L20" i="26" s="1"/>
  <c r="K21" i="26"/>
  <c r="L21" i="26" s="1"/>
  <c r="K22" i="26"/>
  <c r="L22" i="26" s="1"/>
  <c r="K23" i="26"/>
  <c r="L23" i="26" s="1"/>
  <c r="K24" i="26"/>
  <c r="L24" i="26" s="1"/>
  <c r="K25" i="26"/>
  <c r="K26" i="26"/>
  <c r="L26" i="26" s="1"/>
  <c r="K27" i="26"/>
  <c r="L27" i="26" s="1"/>
  <c r="K28" i="26"/>
  <c r="L28" i="26" s="1"/>
  <c r="K29" i="26"/>
  <c r="L29" i="26" s="1"/>
  <c r="K30" i="26"/>
  <c r="L30" i="26" s="1"/>
  <c r="K31" i="26"/>
  <c r="L31" i="26" s="1"/>
  <c r="K32" i="26"/>
  <c r="L32" i="26" s="1"/>
  <c r="K33" i="26"/>
  <c r="K34" i="26"/>
  <c r="L34" i="26" s="1"/>
  <c r="K35" i="26"/>
  <c r="L35" i="26" s="1"/>
  <c r="K36" i="26"/>
  <c r="L36" i="26" s="1"/>
  <c r="K37" i="26"/>
  <c r="L37" i="26" s="1"/>
  <c r="K38" i="26"/>
  <c r="L38" i="26" s="1"/>
  <c r="K39" i="26"/>
  <c r="L39" i="26" s="1"/>
  <c r="K40" i="26"/>
  <c r="L40" i="26" s="1"/>
  <c r="K41" i="26"/>
  <c r="L41" i="26" s="1"/>
  <c r="K42" i="26"/>
  <c r="L42" i="26" s="1"/>
  <c r="K43" i="26"/>
  <c r="L43" i="26" s="1"/>
  <c r="K44" i="26"/>
  <c r="L44" i="26" s="1"/>
  <c r="K45" i="26"/>
  <c r="L45" i="26" s="1"/>
  <c r="K46" i="26"/>
  <c r="L46" i="26" s="1"/>
  <c r="K47" i="26"/>
  <c r="L47" i="26" s="1"/>
  <c r="K48" i="26"/>
  <c r="L48" i="26" s="1"/>
  <c r="K49" i="26"/>
  <c r="L49" i="26" s="1"/>
  <c r="K50" i="26"/>
  <c r="L50" i="26" s="1"/>
  <c r="K51" i="26"/>
  <c r="L51" i="26" s="1"/>
  <c r="K52" i="26"/>
  <c r="L52" i="26" s="1"/>
  <c r="K53" i="26"/>
  <c r="L53" i="26" s="1"/>
  <c r="K54" i="26"/>
  <c r="L54" i="26" s="1"/>
  <c r="K55" i="26"/>
  <c r="L55" i="26" s="1"/>
  <c r="K56" i="26"/>
  <c r="L56" i="26" s="1"/>
  <c r="K57" i="26"/>
  <c r="L57" i="26" s="1"/>
  <c r="K58" i="26"/>
  <c r="L58" i="26" s="1"/>
  <c r="K59" i="26"/>
  <c r="L59" i="26" s="1"/>
  <c r="K60" i="26"/>
  <c r="L60" i="26" s="1"/>
  <c r="K61" i="26"/>
  <c r="L61" i="26" s="1"/>
  <c r="K62" i="26"/>
  <c r="L62" i="26" s="1"/>
  <c r="K63" i="26"/>
  <c r="L63" i="26" s="1"/>
  <c r="K64" i="26"/>
  <c r="L64" i="26" s="1"/>
  <c r="K65" i="26"/>
  <c r="L65" i="26" s="1"/>
  <c r="K66" i="26"/>
  <c r="L66" i="26" s="1"/>
  <c r="K67" i="26"/>
  <c r="L67" i="26" s="1"/>
  <c r="K68" i="26"/>
  <c r="L68" i="26" s="1"/>
  <c r="K69" i="26"/>
  <c r="L69" i="26" s="1"/>
  <c r="K70" i="26"/>
  <c r="L70" i="26" s="1"/>
  <c r="K71" i="26"/>
  <c r="L71" i="26" s="1"/>
  <c r="K72" i="26"/>
  <c r="L72" i="26" s="1"/>
  <c r="K73" i="26"/>
  <c r="L73" i="26" s="1"/>
  <c r="K74" i="26"/>
  <c r="L74" i="26" s="1"/>
  <c r="K75" i="26"/>
  <c r="L75" i="26" s="1"/>
  <c r="K76" i="26"/>
  <c r="L76" i="26" s="1"/>
  <c r="K77" i="26"/>
  <c r="L77" i="26" s="1"/>
  <c r="K78" i="26"/>
  <c r="L78" i="26" s="1"/>
  <c r="K79" i="26"/>
  <c r="L79" i="26" s="1"/>
  <c r="K80" i="26"/>
  <c r="L80" i="26" s="1"/>
  <c r="K81" i="26"/>
  <c r="L81" i="26" s="1"/>
  <c r="K82" i="26"/>
  <c r="L82" i="26" s="1"/>
  <c r="H3" i="26"/>
  <c r="H4" i="26"/>
  <c r="H5" i="26"/>
  <c r="H6" i="26"/>
  <c r="H7" i="26"/>
  <c r="H8" i="26"/>
  <c r="H9" i="26"/>
  <c r="H10" i="26"/>
  <c r="H11" i="26"/>
  <c r="H12" i="26"/>
  <c r="H13" i="26"/>
  <c r="H14" i="26"/>
  <c r="H15" i="26"/>
  <c r="H16" i="26"/>
  <c r="H17" i="26"/>
  <c r="H18" i="26"/>
  <c r="H19" i="26"/>
  <c r="H20" i="26"/>
  <c r="H21" i="26"/>
  <c r="H22" i="26"/>
  <c r="H23" i="26"/>
  <c r="H24" i="26"/>
  <c r="H25" i="26"/>
  <c r="H26" i="26"/>
  <c r="H27" i="26"/>
  <c r="H28" i="26"/>
  <c r="H29" i="26"/>
  <c r="H30" i="26"/>
  <c r="H31" i="26"/>
  <c r="H32" i="26"/>
  <c r="H33" i="26"/>
  <c r="H34" i="26"/>
  <c r="H35" i="26"/>
  <c r="H36" i="26"/>
  <c r="H37" i="26"/>
  <c r="H38" i="26"/>
  <c r="H39" i="26"/>
  <c r="H40" i="26"/>
  <c r="H41" i="26"/>
  <c r="H42" i="26"/>
  <c r="H43" i="26"/>
  <c r="H44" i="26"/>
  <c r="H45" i="26"/>
  <c r="H46" i="26"/>
  <c r="H47" i="26"/>
  <c r="H48" i="26"/>
  <c r="H49" i="26"/>
  <c r="H50" i="26"/>
  <c r="H51" i="26"/>
  <c r="H52" i="26"/>
  <c r="H53" i="26"/>
  <c r="H54" i="26"/>
  <c r="H55" i="26"/>
  <c r="H56" i="26"/>
  <c r="H57" i="26"/>
  <c r="H58" i="26"/>
  <c r="H59" i="26"/>
  <c r="H60" i="26"/>
  <c r="H61" i="26"/>
  <c r="H62" i="26"/>
  <c r="H63" i="26"/>
  <c r="H64" i="26"/>
  <c r="H65" i="26"/>
  <c r="H66" i="26"/>
  <c r="H67" i="26"/>
  <c r="H68" i="26"/>
  <c r="H69" i="26"/>
  <c r="H70" i="26"/>
  <c r="H71" i="26"/>
  <c r="H72" i="26"/>
  <c r="H73" i="26"/>
  <c r="H74" i="26"/>
  <c r="H75" i="26"/>
  <c r="H76" i="26"/>
  <c r="H77" i="26"/>
  <c r="H78" i="26"/>
  <c r="H79" i="26"/>
  <c r="H80" i="26"/>
  <c r="H81" i="26"/>
  <c r="H82" i="26"/>
  <c r="L7" i="25"/>
  <c r="L22" i="25"/>
  <c r="L30" i="25"/>
  <c r="L31" i="25"/>
  <c r="L38" i="25"/>
  <c r="L39" i="25"/>
  <c r="L62" i="25"/>
  <c r="L63" i="25"/>
  <c r="K3" i="25"/>
  <c r="L3" i="25" s="1"/>
  <c r="K4" i="25"/>
  <c r="L4" i="25" s="1"/>
  <c r="K5" i="25"/>
  <c r="L5" i="25" s="1"/>
  <c r="K6" i="25"/>
  <c r="L6" i="25" s="1"/>
  <c r="K7" i="25"/>
  <c r="K8" i="25"/>
  <c r="L8" i="25" s="1"/>
  <c r="K9" i="25"/>
  <c r="L9" i="25" s="1"/>
  <c r="K10" i="25"/>
  <c r="L10" i="25" s="1"/>
  <c r="K11" i="25"/>
  <c r="L11" i="25" s="1"/>
  <c r="K12" i="25"/>
  <c r="L12" i="25" s="1"/>
  <c r="K13" i="25"/>
  <c r="L13" i="25" s="1"/>
  <c r="K14" i="25"/>
  <c r="L14" i="25" s="1"/>
  <c r="K15" i="25"/>
  <c r="L15" i="25" s="1"/>
  <c r="K16" i="25"/>
  <c r="L16" i="25" s="1"/>
  <c r="K17" i="25"/>
  <c r="L17" i="25" s="1"/>
  <c r="K18" i="25"/>
  <c r="L18" i="25" s="1"/>
  <c r="K19" i="25"/>
  <c r="L19" i="25" s="1"/>
  <c r="K20" i="25"/>
  <c r="L20" i="25" s="1"/>
  <c r="K21" i="25"/>
  <c r="L21" i="25" s="1"/>
  <c r="K22" i="25"/>
  <c r="K23" i="25"/>
  <c r="L23" i="25" s="1"/>
  <c r="K24" i="25"/>
  <c r="L24" i="25" s="1"/>
  <c r="K25" i="25"/>
  <c r="L25" i="25" s="1"/>
  <c r="K26" i="25"/>
  <c r="L26" i="25" s="1"/>
  <c r="K27" i="25"/>
  <c r="L27" i="25" s="1"/>
  <c r="K28" i="25"/>
  <c r="L28" i="25" s="1"/>
  <c r="K29" i="25"/>
  <c r="L29" i="25" s="1"/>
  <c r="K30" i="25"/>
  <c r="K31" i="25"/>
  <c r="K32" i="25"/>
  <c r="L32" i="25" s="1"/>
  <c r="K33" i="25"/>
  <c r="L33" i="25" s="1"/>
  <c r="K34" i="25"/>
  <c r="L34" i="25" s="1"/>
  <c r="K35" i="25"/>
  <c r="L35" i="25" s="1"/>
  <c r="K36" i="25"/>
  <c r="L36" i="25" s="1"/>
  <c r="K37" i="25"/>
  <c r="L37" i="25" s="1"/>
  <c r="K38" i="25"/>
  <c r="K39" i="25"/>
  <c r="K40" i="25"/>
  <c r="L40" i="25" s="1"/>
  <c r="K41" i="25"/>
  <c r="L41" i="25" s="1"/>
  <c r="K42" i="25"/>
  <c r="L42" i="25" s="1"/>
  <c r="K43" i="25"/>
  <c r="L43" i="25" s="1"/>
  <c r="K44" i="25"/>
  <c r="L44" i="25" s="1"/>
  <c r="K45" i="25"/>
  <c r="L45" i="25" s="1"/>
  <c r="K46" i="25"/>
  <c r="L46" i="25" s="1"/>
  <c r="K47" i="25"/>
  <c r="L47" i="25" s="1"/>
  <c r="K48" i="25"/>
  <c r="L48" i="25" s="1"/>
  <c r="K49" i="25"/>
  <c r="L49" i="25" s="1"/>
  <c r="K50" i="25"/>
  <c r="L50" i="25" s="1"/>
  <c r="K51" i="25"/>
  <c r="L51" i="25" s="1"/>
  <c r="K52" i="25"/>
  <c r="L52" i="25" s="1"/>
  <c r="K53" i="25"/>
  <c r="L53" i="25" s="1"/>
  <c r="K54" i="25"/>
  <c r="L54" i="25" s="1"/>
  <c r="K55" i="25"/>
  <c r="L55" i="25" s="1"/>
  <c r="K56" i="25"/>
  <c r="L56" i="25" s="1"/>
  <c r="K57" i="25"/>
  <c r="L57" i="25" s="1"/>
  <c r="K58" i="25"/>
  <c r="L58" i="25" s="1"/>
  <c r="K59" i="25"/>
  <c r="L59" i="25" s="1"/>
  <c r="K60" i="25"/>
  <c r="L60" i="25" s="1"/>
  <c r="K61" i="25"/>
  <c r="L61" i="25" s="1"/>
  <c r="K62" i="25"/>
  <c r="K63" i="25"/>
  <c r="K64" i="25"/>
  <c r="L64" i="25" s="1"/>
  <c r="K65" i="25"/>
  <c r="L65" i="25" s="1"/>
  <c r="K66" i="25"/>
  <c r="L66" i="25" s="1"/>
  <c r="K67" i="25"/>
  <c r="L67" i="25" s="1"/>
  <c r="K68" i="25"/>
  <c r="L68" i="25" s="1"/>
  <c r="K69" i="25"/>
  <c r="L69" i="25" s="1"/>
  <c r="K70" i="25"/>
  <c r="L70" i="25" s="1"/>
  <c r="K71" i="25"/>
  <c r="L71" i="25" s="1"/>
  <c r="K72" i="25"/>
  <c r="L72" i="25" s="1"/>
  <c r="K73" i="25"/>
  <c r="L73" i="25" s="1"/>
  <c r="K74" i="25"/>
  <c r="L74" i="25" s="1"/>
  <c r="K75" i="25"/>
  <c r="L75" i="25" s="1"/>
  <c r="K76" i="25"/>
  <c r="L76" i="25" s="1"/>
  <c r="K77" i="25"/>
  <c r="L77" i="25" s="1"/>
  <c r="K78" i="25"/>
  <c r="L78" i="25" s="1"/>
  <c r="K79" i="25"/>
  <c r="L79" i="25" s="1"/>
  <c r="K80" i="25"/>
  <c r="L80" i="25" s="1"/>
  <c r="K81" i="25"/>
  <c r="L81" i="25" s="1"/>
  <c r="K82" i="25"/>
  <c r="L82" i="25" s="1"/>
  <c r="H3" i="25"/>
  <c r="H4" i="25"/>
  <c r="H5" i="25"/>
  <c r="H6" i="25"/>
  <c r="H7" i="25"/>
  <c r="H8" i="25"/>
  <c r="H9" i="25"/>
  <c r="H10" i="25"/>
  <c r="H11" i="25"/>
  <c r="H12" i="25"/>
  <c r="H13" i="25"/>
  <c r="H14" i="25"/>
  <c r="H15" i="25"/>
  <c r="H16" i="25"/>
  <c r="H17" i="25"/>
  <c r="H18" i="25"/>
  <c r="H19" i="25"/>
  <c r="H20" i="25"/>
  <c r="H21" i="25"/>
  <c r="H22" i="25"/>
  <c r="H23" i="25"/>
  <c r="H24" i="25"/>
  <c r="H25" i="25"/>
  <c r="H26" i="25"/>
  <c r="H27" i="25"/>
  <c r="H28" i="25"/>
  <c r="H29" i="25"/>
  <c r="H30" i="25"/>
  <c r="H31" i="25"/>
  <c r="H32" i="25"/>
  <c r="H33" i="25"/>
  <c r="H34" i="25"/>
  <c r="H35" i="25"/>
  <c r="H36" i="25"/>
  <c r="H37" i="25"/>
  <c r="H38" i="25"/>
  <c r="H39" i="25"/>
  <c r="H40" i="25"/>
  <c r="H41" i="25"/>
  <c r="H42" i="25"/>
  <c r="H43" i="25"/>
  <c r="H44" i="25"/>
  <c r="H45" i="25"/>
  <c r="H46" i="25"/>
  <c r="H47" i="25"/>
  <c r="H48" i="25"/>
  <c r="H49" i="25"/>
  <c r="H50" i="25"/>
  <c r="H51" i="25"/>
  <c r="H52" i="25"/>
  <c r="H53" i="25"/>
  <c r="H54" i="25"/>
  <c r="H55" i="25"/>
  <c r="H56" i="25"/>
  <c r="H57" i="25"/>
  <c r="H58" i="25"/>
  <c r="H59" i="25"/>
  <c r="H60" i="25"/>
  <c r="H61" i="25"/>
  <c r="H62" i="25"/>
  <c r="H63" i="25"/>
  <c r="H64" i="25"/>
  <c r="H65" i="25"/>
  <c r="H66" i="25"/>
  <c r="H67" i="25"/>
  <c r="H68" i="25"/>
  <c r="H69" i="25"/>
  <c r="H70" i="25"/>
  <c r="H71" i="25"/>
  <c r="H72" i="25"/>
  <c r="H73" i="25"/>
  <c r="H74" i="25"/>
  <c r="H75" i="25"/>
  <c r="H76" i="25"/>
  <c r="H77" i="25"/>
  <c r="H78" i="25"/>
  <c r="H79" i="25"/>
  <c r="H80" i="25"/>
  <c r="H81" i="25"/>
  <c r="H82" i="25"/>
  <c r="Q11" i="15"/>
  <c r="H39" i="3"/>
  <c r="Q14" i="37"/>
  <c r="Q13" i="15"/>
  <c r="S38" i="37"/>
  <c r="S35" i="37"/>
  <c r="Q38" i="37"/>
  <c r="Q39" i="37" s="1"/>
  <c r="Q36" i="37"/>
  <c r="Q35" i="37"/>
  <c r="Q29" i="37"/>
  <c r="Q9" i="37"/>
  <c r="Q10" i="37"/>
  <c r="P5" i="37"/>
  <c r="S33" i="37"/>
  <c r="Q33" i="37"/>
  <c r="O5" i="37" a="1"/>
  <c r="O5" i="37" s="1"/>
  <c r="N13" i="15" s="1"/>
  <c r="AB2" i="37"/>
  <c r="AB1" i="37"/>
  <c r="Q10" i="33"/>
  <c r="Q10" i="30"/>
  <c r="Q10" i="3"/>
  <c r="Q10" i="35"/>
  <c r="Q9" i="35"/>
  <c r="Q9" i="33"/>
  <c r="Q10" i="32"/>
  <c r="Q9" i="32"/>
  <c r="S38" i="27"/>
  <c r="Q38" i="27"/>
  <c r="S35" i="27"/>
  <c r="Q35" i="27"/>
  <c r="Q9" i="27"/>
  <c r="Q9" i="3"/>
  <c r="Q37" i="37" l="1"/>
  <c r="E11" i="2" s="1"/>
  <c r="I13" i="15" s="1"/>
  <c r="U35" i="37"/>
  <c r="Q8" i="37"/>
  <c r="Q11" i="37"/>
  <c r="O13" i="15"/>
  <c r="S39" i="37"/>
  <c r="U39" i="37" s="1"/>
  <c r="U38" i="37"/>
  <c r="Q5" i="37"/>
  <c r="Q40" i="37"/>
  <c r="S40" i="37"/>
  <c r="Q41" i="37"/>
  <c r="S41" i="37"/>
  <c r="Q9" i="30"/>
  <c r="Q13" i="37" l="1"/>
  <c r="Q15" i="37" s="1"/>
  <c r="O16" i="37" s="1"/>
  <c r="S9" i="37"/>
  <c r="U40" i="37"/>
  <c r="L13" i="15"/>
  <c r="U41" i="37"/>
  <c r="M13" i="15"/>
  <c r="O6" i="37"/>
  <c r="Q17" i="37"/>
  <c r="Q14" i="35"/>
  <c r="Q14" i="33"/>
  <c r="Q14" i="32"/>
  <c r="Q14" i="3"/>
  <c r="Q14" i="27"/>
  <c r="Q14" i="30"/>
  <c r="Q36" i="27"/>
  <c r="Q42" i="37" l="1"/>
  <c r="R5" i="37" s="1"/>
  <c r="Q10" i="27"/>
  <c r="S36" i="37" a="1"/>
  <c r="S36" i="37" l="1"/>
  <c r="G13" i="15" s="1"/>
  <c r="Q21" i="15"/>
  <c r="Q20" i="15"/>
  <c r="Q19" i="15"/>
  <c r="Q17" i="15"/>
  <c r="Q16" i="15"/>
  <c r="Q15" i="15"/>
  <c r="Q12" i="15"/>
  <c r="Q9" i="15"/>
  <c r="Q8" i="15"/>
  <c r="Q7" i="15"/>
  <c r="D21" i="15"/>
  <c r="D20" i="15"/>
  <c r="D19" i="15"/>
  <c r="D17" i="15"/>
  <c r="D16" i="15"/>
  <c r="D15" i="15"/>
  <c r="D13" i="15"/>
  <c r="D12" i="15"/>
  <c r="D11" i="15"/>
  <c r="D9" i="15"/>
  <c r="D8" i="15"/>
  <c r="D7" i="15"/>
  <c r="S38" i="35"/>
  <c r="S35" i="35"/>
  <c r="Q38" i="35"/>
  <c r="Q36" i="35"/>
  <c r="Q35" i="35"/>
  <c r="Q29" i="35"/>
  <c r="P5" i="35"/>
  <c r="Q11" i="35" s="1"/>
  <c r="S38" i="36"/>
  <c r="S35" i="36"/>
  <c r="Q38" i="36"/>
  <c r="Q36" i="36"/>
  <c r="Q35" i="36"/>
  <c r="Q29" i="36"/>
  <c r="Q13" i="36"/>
  <c r="Q10" i="36"/>
  <c r="Q9" i="36"/>
  <c r="P5" i="36"/>
  <c r="O20" i="15" s="1"/>
  <c r="S38" i="33"/>
  <c r="S35" i="33"/>
  <c r="Q38" i="33"/>
  <c r="Q36" i="33"/>
  <c r="Q35" i="33"/>
  <c r="Q29" i="33"/>
  <c r="P5" i="33"/>
  <c r="O5" i="32" a="1"/>
  <c r="O5" i="32" s="1"/>
  <c r="N17" i="15" s="1"/>
  <c r="S38" i="32"/>
  <c r="S35" i="32"/>
  <c r="Q38" i="32"/>
  <c r="Q36" i="32"/>
  <c r="Q35" i="32"/>
  <c r="Q29" i="32"/>
  <c r="P5" i="32"/>
  <c r="S38" i="31"/>
  <c r="S35" i="31"/>
  <c r="Q38" i="31"/>
  <c r="Q36" i="31"/>
  <c r="Q35" i="31"/>
  <c r="Q29" i="31"/>
  <c r="Q13" i="31"/>
  <c r="Q10" i="31"/>
  <c r="Q9" i="31"/>
  <c r="P5" i="31"/>
  <c r="Q11" i="31" s="1"/>
  <c r="S38" i="30"/>
  <c r="S35" i="30"/>
  <c r="Q38" i="30"/>
  <c r="Q36" i="30"/>
  <c r="Q35" i="30"/>
  <c r="U35" i="27"/>
  <c r="Q29" i="30"/>
  <c r="O5" i="25" a="1"/>
  <c r="O5" i="25" s="1"/>
  <c r="N8" i="15" s="1"/>
  <c r="P5" i="30"/>
  <c r="S38" i="28"/>
  <c r="S35" i="28"/>
  <c r="Q38" i="28"/>
  <c r="Q36" i="28"/>
  <c r="Q35" i="28"/>
  <c r="Q29" i="28"/>
  <c r="Q13" i="28"/>
  <c r="Q10" i="28"/>
  <c r="Q9" i="28"/>
  <c r="P5" i="28"/>
  <c r="O12" i="15" s="1"/>
  <c r="Q29" i="27"/>
  <c r="P5" i="27"/>
  <c r="S38" i="26"/>
  <c r="S35" i="26"/>
  <c r="Q38" i="26"/>
  <c r="Q36" i="26"/>
  <c r="Q35" i="26"/>
  <c r="Q29" i="26"/>
  <c r="Q14" i="26"/>
  <c r="Q10" i="26"/>
  <c r="Q9" i="26"/>
  <c r="P5" i="26"/>
  <c r="O9" i="15" s="1"/>
  <c r="S38" i="25"/>
  <c r="S35" i="25"/>
  <c r="Q38" i="25"/>
  <c r="Q36" i="25"/>
  <c r="Q35" i="25"/>
  <c r="Q29" i="25"/>
  <c r="Q13" i="25"/>
  <c r="Q10" i="25"/>
  <c r="Q9" i="25"/>
  <c r="P5" i="25"/>
  <c r="O8" i="15" s="1"/>
  <c r="S33" i="35"/>
  <c r="Q33" i="35"/>
  <c r="O5" i="35" a="1"/>
  <c r="O5" i="35" s="1"/>
  <c r="N21" i="15" s="1"/>
  <c r="S33" i="36"/>
  <c r="Q33" i="36"/>
  <c r="O5" i="36" a="1"/>
  <c r="O5" i="36" s="1"/>
  <c r="N20" i="15" s="1"/>
  <c r="S33" i="33"/>
  <c r="Q33" i="33"/>
  <c r="O5" i="33" a="1"/>
  <c r="O5" i="33" s="1"/>
  <c r="N19" i="15" s="1"/>
  <c r="S33" i="32"/>
  <c r="Q33" i="32"/>
  <c r="S33" i="31"/>
  <c r="Q33" i="31"/>
  <c r="O5" i="31" a="1"/>
  <c r="O5" i="31" s="1"/>
  <c r="N16" i="15" s="1"/>
  <c r="S33" i="30"/>
  <c r="Q33" i="30"/>
  <c r="O5" i="30" a="1"/>
  <c r="O5" i="30" s="1"/>
  <c r="N15" i="15" s="1"/>
  <c r="S33" i="28"/>
  <c r="Q33" i="28"/>
  <c r="O5" i="28" a="1"/>
  <c r="O5" i="28" s="1"/>
  <c r="N12" i="15" s="1"/>
  <c r="S33" i="27"/>
  <c r="Q33" i="27"/>
  <c r="O5" i="27" a="1"/>
  <c r="O5" i="27" s="1"/>
  <c r="N11" i="15" s="1"/>
  <c r="S33" i="26"/>
  <c r="Q33" i="26"/>
  <c r="O5" i="26" a="1"/>
  <c r="O5" i="26" s="1"/>
  <c r="N9" i="15" s="1"/>
  <c r="S37" i="37" l="1"/>
  <c r="E27" i="2" s="1"/>
  <c r="J13" i="15" s="1"/>
  <c r="U36" i="37"/>
  <c r="Q11" i="26"/>
  <c r="Q39" i="26"/>
  <c r="Q37" i="35"/>
  <c r="E17" i="2" s="1"/>
  <c r="U38" i="35"/>
  <c r="Q39" i="32"/>
  <c r="S39" i="28"/>
  <c r="Q37" i="31"/>
  <c r="E13" i="2" s="1"/>
  <c r="Q37" i="28"/>
  <c r="E10" i="2" s="1"/>
  <c r="O11" i="15"/>
  <c r="Q11" i="27"/>
  <c r="U38" i="33"/>
  <c r="U38" i="36"/>
  <c r="U38" i="31"/>
  <c r="U38" i="27"/>
  <c r="U38" i="25"/>
  <c r="Q39" i="28"/>
  <c r="U38" i="28"/>
  <c r="U38" i="30"/>
  <c r="U38" i="26"/>
  <c r="U35" i="25"/>
  <c r="Q37" i="36"/>
  <c r="E16" i="2" s="1"/>
  <c r="U38" i="32"/>
  <c r="Q37" i="32"/>
  <c r="E14" i="2" s="1"/>
  <c r="Q11" i="36"/>
  <c r="O19" i="15"/>
  <c r="Q11" i="33"/>
  <c r="O17" i="15"/>
  <c r="Q11" i="32"/>
  <c r="U35" i="36"/>
  <c r="U35" i="31"/>
  <c r="Q37" i="33"/>
  <c r="E15" i="2" s="1"/>
  <c r="U35" i="35"/>
  <c r="U35" i="33"/>
  <c r="U35" i="32"/>
  <c r="U35" i="28"/>
  <c r="Q37" i="26"/>
  <c r="E8" i="2" s="1"/>
  <c r="U35" i="26"/>
  <c r="U35" i="30"/>
  <c r="S39" i="25"/>
  <c r="O15" i="15"/>
  <c r="Q11" i="30"/>
  <c r="O21" i="15"/>
  <c r="O16" i="15"/>
  <c r="Q11" i="28"/>
  <c r="Q11" i="25"/>
  <c r="Q37" i="30"/>
  <c r="E12" i="2" s="1"/>
  <c r="Q37" i="27"/>
  <c r="E9" i="2" s="1"/>
  <c r="Q39" i="35"/>
  <c r="Q39" i="36"/>
  <c r="S39" i="36"/>
  <c r="Q39" i="33"/>
  <c r="Q39" i="31"/>
  <c r="Q39" i="30"/>
  <c r="Q39" i="27"/>
  <c r="S39" i="27"/>
  <c r="Q39" i="25"/>
  <c r="Q37" i="25"/>
  <c r="E7" i="2" s="1"/>
  <c r="Q5" i="35"/>
  <c r="S39" i="35"/>
  <c r="Q5" i="36"/>
  <c r="Q5" i="33"/>
  <c r="S39" i="33"/>
  <c r="Q5" i="32"/>
  <c r="S39" i="32"/>
  <c r="Q5" i="31"/>
  <c r="S39" i="31"/>
  <c r="Q5" i="30"/>
  <c r="S39" i="30"/>
  <c r="Q5" i="28"/>
  <c r="Q5" i="27"/>
  <c r="Q5" i="26"/>
  <c r="S39" i="26"/>
  <c r="Q5" i="25"/>
  <c r="U39" i="26" l="1"/>
  <c r="U37" i="37"/>
  <c r="U39" i="32"/>
  <c r="U39" i="28"/>
  <c r="U39" i="25"/>
  <c r="U39" i="35"/>
  <c r="U39" i="36"/>
  <c r="U39" i="33"/>
  <c r="U39" i="31"/>
  <c r="U39" i="27"/>
  <c r="U39" i="30"/>
  <c r="O6" i="35"/>
  <c r="O6" i="36"/>
  <c r="O6" i="33"/>
  <c r="O6" i="32"/>
  <c r="O6" i="31"/>
  <c r="O6" i="30"/>
  <c r="O6" i="28"/>
  <c r="O6" i="27"/>
  <c r="O6" i="26"/>
  <c r="O6" i="25"/>
  <c r="B2" i="15" l="1"/>
  <c r="S38" i="3" l="1"/>
  <c r="S35" i="3"/>
  <c r="Q38" i="3"/>
  <c r="Q36" i="3"/>
  <c r="Q35" i="3"/>
  <c r="U38" i="3" l="1"/>
  <c r="Q37" i="3"/>
  <c r="E6" i="2" s="1"/>
  <c r="U35" i="3"/>
  <c r="S39" i="3"/>
  <c r="Q39" i="3"/>
  <c r="Q29" i="3"/>
  <c r="H58" i="3"/>
  <c r="B23" i="15"/>
  <c r="AB2" i="36"/>
  <c r="AB1" i="36"/>
  <c r="AB2" i="35"/>
  <c r="AB1" i="35"/>
  <c r="AB2" i="33"/>
  <c r="AB1" i="33"/>
  <c r="AB2" i="32"/>
  <c r="AB1" i="32"/>
  <c r="AB2" i="31"/>
  <c r="AB1" i="31"/>
  <c r="AB2" i="30"/>
  <c r="AB1" i="30"/>
  <c r="AB2" i="28"/>
  <c r="AB1" i="28"/>
  <c r="AB2" i="27"/>
  <c r="AB1" i="27"/>
  <c r="AB2" i="26"/>
  <c r="AB1" i="26"/>
  <c r="AB2" i="25"/>
  <c r="AB1" i="25"/>
  <c r="AB2" i="3"/>
  <c r="AB1" i="3"/>
  <c r="H82" i="3"/>
  <c r="H81" i="3"/>
  <c r="H80" i="3"/>
  <c r="H79" i="3"/>
  <c r="H78" i="3"/>
  <c r="H77" i="3"/>
  <c r="H76" i="3"/>
  <c r="H75" i="3"/>
  <c r="H74" i="3"/>
  <c r="H73" i="3"/>
  <c r="H72" i="3"/>
  <c r="H71" i="3"/>
  <c r="H70" i="3"/>
  <c r="H69" i="3"/>
  <c r="H68" i="3"/>
  <c r="H67" i="3"/>
  <c r="H66" i="3"/>
  <c r="H65" i="3"/>
  <c r="H64" i="3"/>
  <c r="H63" i="3"/>
  <c r="H62" i="3"/>
  <c r="H61" i="3"/>
  <c r="H60" i="3"/>
  <c r="H59" i="3"/>
  <c r="H57" i="3"/>
  <c r="H56" i="3"/>
  <c r="H55" i="3"/>
  <c r="H54" i="3"/>
  <c r="H53" i="3"/>
  <c r="H52" i="3"/>
  <c r="H51" i="3"/>
  <c r="H50" i="3"/>
  <c r="H49" i="3"/>
  <c r="H48" i="3"/>
  <c r="H47" i="3"/>
  <c r="H46" i="3"/>
  <c r="H45" i="3"/>
  <c r="H44" i="3"/>
  <c r="H43" i="3"/>
  <c r="H42" i="3"/>
  <c r="H41" i="3"/>
  <c r="H40" i="3"/>
  <c r="H38" i="3"/>
  <c r="H37" i="3"/>
  <c r="H36" i="3"/>
  <c r="H35" i="3"/>
  <c r="H34" i="3"/>
  <c r="H33" i="3"/>
  <c r="H32" i="3"/>
  <c r="H31" i="3"/>
  <c r="H30" i="3"/>
  <c r="H29" i="3"/>
  <c r="H28" i="3"/>
  <c r="H27" i="3"/>
  <c r="H26" i="3"/>
  <c r="H25" i="3"/>
  <c r="H24" i="3"/>
  <c r="H23" i="3"/>
  <c r="H22" i="3"/>
  <c r="H21" i="3"/>
  <c r="H20" i="3"/>
  <c r="H19" i="3"/>
  <c r="H18" i="3"/>
  <c r="H17" i="3"/>
  <c r="H16" i="3"/>
  <c r="H15" i="3"/>
  <c r="H14" i="3"/>
  <c r="H13" i="3"/>
  <c r="H12" i="3"/>
  <c r="H11" i="3"/>
  <c r="H10" i="3"/>
  <c r="H9" i="3"/>
  <c r="H8" i="3"/>
  <c r="H7" i="3"/>
  <c r="H6" i="3"/>
  <c r="H5" i="3"/>
  <c r="H4" i="3"/>
  <c r="H3" i="3"/>
  <c r="U39" i="3" l="1"/>
  <c r="Q8" i="3"/>
  <c r="Q8" i="35"/>
  <c r="Q8" i="32"/>
  <c r="Q8" i="33"/>
  <c r="Q8" i="27"/>
  <c r="S9" i="27" s="1"/>
  <c r="Q8" i="30"/>
  <c r="S9" i="30" s="1"/>
  <c r="Q8" i="31"/>
  <c r="S9" i="31" s="1"/>
  <c r="Q8" i="25"/>
  <c r="Q12" i="25" s="1"/>
  <c r="Q8" i="36"/>
  <c r="Q8" i="28"/>
  <c r="Q8" i="26"/>
  <c r="Q13" i="26" s="1"/>
  <c r="D2" i="23"/>
  <c r="C2" i="23"/>
  <c r="Q15" i="26" l="1"/>
  <c r="Q41" i="26"/>
  <c r="S9" i="3"/>
  <c r="Q13" i="27"/>
  <c r="Q15" i="27" s="1"/>
  <c r="O16" i="27" s="1"/>
  <c r="Q13" i="30"/>
  <c r="S40" i="30" s="1"/>
  <c r="Q13" i="33"/>
  <c r="S9" i="33"/>
  <c r="S9" i="32"/>
  <c r="Q13" i="32"/>
  <c r="Q13" i="35"/>
  <c r="S9" i="35"/>
  <c r="Q12" i="31"/>
  <c r="Q17" i="25"/>
  <c r="Q17" i="27"/>
  <c r="Q17" i="26"/>
  <c r="S9" i="26"/>
  <c r="S9" i="36"/>
  <c r="Q12" i="36"/>
  <c r="Q12" i="28"/>
  <c r="S9" i="28"/>
  <c r="S9" i="25"/>
  <c r="S36" i="27" a="1"/>
  <c r="S36" i="25" a="1"/>
  <c r="S36" i="26" a="1"/>
  <c r="S40" i="27" l="1"/>
  <c r="Q41" i="27"/>
  <c r="S36" i="26"/>
  <c r="G9" i="15" s="1"/>
  <c r="D24" i="2" s="1"/>
  <c r="Q40" i="27"/>
  <c r="S41" i="27"/>
  <c r="S41" i="30"/>
  <c r="Q15" i="30"/>
  <c r="O16" i="30" s="1"/>
  <c r="S41" i="28"/>
  <c r="S40" i="28"/>
  <c r="Q41" i="28"/>
  <c r="Q40" i="28"/>
  <c r="Q40" i="30"/>
  <c r="Q15" i="35"/>
  <c r="O16" i="35" s="1"/>
  <c r="S40" i="35"/>
  <c r="Q41" i="35"/>
  <c r="S41" i="35"/>
  <c r="Q40" i="35"/>
  <c r="Q41" i="33"/>
  <c r="S40" i="33"/>
  <c r="S41" i="33"/>
  <c r="Q15" i="33"/>
  <c r="O16" i="33" s="1"/>
  <c r="Q40" i="33"/>
  <c r="Q41" i="30"/>
  <c r="S41" i="32"/>
  <c r="Q41" i="32"/>
  <c r="S40" i="32"/>
  <c r="Q15" i="32"/>
  <c r="O16" i="32" s="1"/>
  <c r="Q40" i="32"/>
  <c r="S36" i="27"/>
  <c r="G11" i="15" s="1"/>
  <c r="D25" i="2" s="1"/>
  <c r="Q42" i="27"/>
  <c r="R5" i="27" s="1"/>
  <c r="Q42" i="26"/>
  <c r="R5" i="26" s="1"/>
  <c r="S36" i="25"/>
  <c r="G8" i="15" s="1"/>
  <c r="D23" i="2" s="1"/>
  <c r="Q42" i="25"/>
  <c r="R5" i="25" s="1"/>
  <c r="Q41" i="31"/>
  <c r="Q14" i="31"/>
  <c r="O15" i="31" s="1"/>
  <c r="Q40" i="31"/>
  <c r="S40" i="31"/>
  <c r="S41" i="31"/>
  <c r="Q40" i="26"/>
  <c r="O16" i="26"/>
  <c r="S40" i="26"/>
  <c r="S41" i="26"/>
  <c r="Q14" i="36"/>
  <c r="O15" i="36" s="1"/>
  <c r="S40" i="36"/>
  <c r="S41" i="36"/>
  <c r="Q41" i="36"/>
  <c r="Q40" i="36"/>
  <c r="Q14" i="28"/>
  <c r="O15" i="28" s="1"/>
  <c r="S41" i="25"/>
  <c r="Q41" i="25"/>
  <c r="Q40" i="25"/>
  <c r="Q14" i="25"/>
  <c r="O15" i="25" s="1"/>
  <c r="S40" i="25"/>
  <c r="U40" i="31" l="1"/>
  <c r="U41" i="26"/>
  <c r="U40" i="26"/>
  <c r="L17" i="15"/>
  <c r="U40" i="32"/>
  <c r="M19" i="15"/>
  <c r="U41" i="33"/>
  <c r="L21" i="15"/>
  <c r="U40" i="35"/>
  <c r="M17" i="15"/>
  <c r="U41" i="32"/>
  <c r="L16" i="15"/>
  <c r="M12" i="15"/>
  <c r="U41" i="28"/>
  <c r="M21" i="15"/>
  <c r="U41" i="35"/>
  <c r="M16" i="15"/>
  <c r="U41" i="31"/>
  <c r="L20" i="15"/>
  <c r="U40" i="36"/>
  <c r="M20" i="15"/>
  <c r="U41" i="36"/>
  <c r="L12" i="15"/>
  <c r="U40" i="28"/>
  <c r="L15" i="15"/>
  <c r="U40" i="30"/>
  <c r="L11" i="15"/>
  <c r="U40" i="27"/>
  <c r="L19" i="15"/>
  <c r="U40" i="33"/>
  <c r="M11" i="15"/>
  <c r="U41" i="27"/>
  <c r="M15" i="15"/>
  <c r="U41" i="30"/>
  <c r="U36" i="27"/>
  <c r="S37" i="27"/>
  <c r="U36" i="26"/>
  <c r="S37" i="26"/>
  <c r="M8" i="15"/>
  <c r="U41" i="25"/>
  <c r="L8" i="15"/>
  <c r="U40" i="25"/>
  <c r="U36" i="25"/>
  <c r="S37" i="25"/>
  <c r="M9" i="15"/>
  <c r="L9" i="15"/>
  <c r="C20" i="15"/>
  <c r="C21" i="15"/>
  <c r="C19" i="15"/>
  <c r="C16" i="15"/>
  <c r="C17" i="15"/>
  <c r="C15" i="15"/>
  <c r="C12" i="15"/>
  <c r="C13" i="15"/>
  <c r="C11" i="15"/>
  <c r="C8" i="15"/>
  <c r="C9" i="15"/>
  <c r="C7" i="15"/>
  <c r="F7" i="15"/>
  <c r="F8" i="15"/>
  <c r="E25" i="2" l="1"/>
  <c r="J11" i="15" s="1"/>
  <c r="U37" i="27"/>
  <c r="U37" i="26"/>
  <c r="E24" i="2"/>
  <c r="J9" i="15" s="1"/>
  <c r="E23" i="2"/>
  <c r="J8" i="15" s="1"/>
  <c r="U37" i="25"/>
  <c r="E8" i="15"/>
  <c r="E11" i="15"/>
  <c r="E21" i="15"/>
  <c r="D22" i="15"/>
  <c r="E20" i="15"/>
  <c r="E17" i="15"/>
  <c r="D18" i="15"/>
  <c r="D14" i="15"/>
  <c r="C22" i="15"/>
  <c r="E19" i="15"/>
  <c r="C18" i="15"/>
  <c r="E16" i="15"/>
  <c r="E15" i="15"/>
  <c r="E13" i="15"/>
  <c r="E12" i="15"/>
  <c r="C14" i="15"/>
  <c r="E7" i="15"/>
  <c r="C10" i="15"/>
  <c r="E9" i="15"/>
  <c r="D10" i="15"/>
  <c r="Q17" i="36" l="1"/>
  <c r="Q17" i="31"/>
  <c r="Q17" i="30"/>
  <c r="Q17" i="33"/>
  <c r="Q17" i="32"/>
  <c r="Q17" i="28"/>
  <c r="Q17" i="35"/>
  <c r="E14" i="15"/>
  <c r="C23" i="15"/>
  <c r="E18" i="15"/>
  <c r="E22" i="15"/>
  <c r="E10" i="15"/>
  <c r="D23" i="15"/>
  <c r="S36" i="28" a="1"/>
  <c r="S36" i="32" a="1"/>
  <c r="S36" i="36" a="1"/>
  <c r="S36" i="31" a="1"/>
  <c r="S36" i="35" a="1"/>
  <c r="S36" i="33" a="1"/>
  <c r="S36" i="30" a="1"/>
  <c r="S36" i="35" l="1"/>
  <c r="G21" i="15" s="1"/>
  <c r="D33" i="2" s="1"/>
  <c r="Q42" i="35"/>
  <c r="R5" i="35" s="1"/>
  <c r="S36" i="36"/>
  <c r="G20" i="15" s="1"/>
  <c r="D32" i="2" s="1"/>
  <c r="Q42" i="36"/>
  <c r="R5" i="36" s="1"/>
  <c r="S36" i="33"/>
  <c r="G19" i="15" s="1"/>
  <c r="D31" i="2" s="1"/>
  <c r="Q42" i="33"/>
  <c r="R5" i="33" s="1"/>
  <c r="S36" i="32"/>
  <c r="G17" i="15" s="1"/>
  <c r="D30" i="2" s="1"/>
  <c r="Q42" i="32"/>
  <c r="R5" i="32" s="1"/>
  <c r="S36" i="31"/>
  <c r="G16" i="15" s="1"/>
  <c r="D29" i="2" s="1"/>
  <c r="Q42" i="31"/>
  <c r="R5" i="31" s="1"/>
  <c r="S36" i="30"/>
  <c r="G15" i="15" s="1"/>
  <c r="D28" i="2" s="1"/>
  <c r="Q42" i="30"/>
  <c r="R5" i="30" s="1"/>
  <c r="D27" i="2"/>
  <c r="S36" i="28"/>
  <c r="G12" i="15" s="1"/>
  <c r="D26" i="2" s="1"/>
  <c r="Q42" i="28"/>
  <c r="R5" i="28" s="1"/>
  <c r="E23" i="15"/>
  <c r="O5" i="3" a="1"/>
  <c r="O5" i="3" s="1"/>
  <c r="N7" i="15" s="1"/>
  <c r="N10" i="15" s="1"/>
  <c r="U36" i="35" l="1"/>
  <c r="S37" i="35"/>
  <c r="U36" i="36"/>
  <c r="S37" i="36"/>
  <c r="U36" i="33"/>
  <c r="S37" i="33"/>
  <c r="U36" i="32"/>
  <c r="S37" i="32"/>
  <c r="S37" i="31"/>
  <c r="U36" i="31"/>
  <c r="U36" i="30"/>
  <c r="S37" i="30"/>
  <c r="U36" i="28"/>
  <c r="S37" i="28"/>
  <c r="F21" i="15"/>
  <c r="F20" i="15"/>
  <c r="F19" i="15"/>
  <c r="F17" i="15"/>
  <c r="F16" i="15"/>
  <c r="F15" i="15"/>
  <c r="F13" i="15"/>
  <c r="F12" i="15"/>
  <c r="F11" i="15"/>
  <c r="F9" i="15"/>
  <c r="F10" i="15" s="1"/>
  <c r="K82" i="3"/>
  <c r="L82" i="3" s="1"/>
  <c r="K81" i="3"/>
  <c r="L81" i="3" s="1"/>
  <c r="K80" i="3"/>
  <c r="L80" i="3" s="1"/>
  <c r="K79" i="3"/>
  <c r="L79" i="3" s="1"/>
  <c r="K78" i="3"/>
  <c r="L78" i="3" s="1"/>
  <c r="K77" i="3"/>
  <c r="L77" i="3" s="1"/>
  <c r="K76" i="3"/>
  <c r="L76" i="3" s="1"/>
  <c r="K75" i="3"/>
  <c r="L75" i="3" s="1"/>
  <c r="K74" i="3"/>
  <c r="L74" i="3" s="1"/>
  <c r="K73" i="3"/>
  <c r="L73" i="3" s="1"/>
  <c r="K72" i="3"/>
  <c r="L72" i="3" s="1"/>
  <c r="K71" i="3"/>
  <c r="L71" i="3" s="1"/>
  <c r="K70" i="3"/>
  <c r="L70" i="3" s="1"/>
  <c r="K69" i="3"/>
  <c r="L69" i="3" s="1"/>
  <c r="K68" i="3"/>
  <c r="L68" i="3" s="1"/>
  <c r="K67" i="3"/>
  <c r="L67" i="3" s="1"/>
  <c r="K66" i="3"/>
  <c r="L66" i="3" s="1"/>
  <c r="K65" i="3"/>
  <c r="L65" i="3" s="1"/>
  <c r="K64" i="3"/>
  <c r="L64" i="3" s="1"/>
  <c r="K63" i="3"/>
  <c r="L63" i="3" s="1"/>
  <c r="K62" i="3"/>
  <c r="L62" i="3" s="1"/>
  <c r="K61" i="3"/>
  <c r="L61" i="3" s="1"/>
  <c r="K60" i="3"/>
  <c r="L60" i="3" s="1"/>
  <c r="K59" i="3"/>
  <c r="L59" i="3" s="1"/>
  <c r="K58" i="3"/>
  <c r="L58" i="3" s="1"/>
  <c r="K57" i="3"/>
  <c r="L57" i="3" s="1"/>
  <c r="K56" i="3"/>
  <c r="L56" i="3" s="1"/>
  <c r="K55" i="3"/>
  <c r="L55" i="3" s="1"/>
  <c r="K54" i="3"/>
  <c r="L54" i="3" s="1"/>
  <c r="K53" i="3"/>
  <c r="L53" i="3" s="1"/>
  <c r="K52" i="3"/>
  <c r="L52" i="3" s="1"/>
  <c r="K51" i="3"/>
  <c r="L51" i="3" s="1"/>
  <c r="K50" i="3"/>
  <c r="L50" i="3" s="1"/>
  <c r="K49" i="3"/>
  <c r="L49" i="3" s="1"/>
  <c r="K48" i="3"/>
  <c r="L48" i="3" s="1"/>
  <c r="K47" i="3"/>
  <c r="L47" i="3" s="1"/>
  <c r="K46" i="3"/>
  <c r="L46" i="3" s="1"/>
  <c r="K45" i="3"/>
  <c r="L45" i="3" s="1"/>
  <c r="K44" i="3"/>
  <c r="L44" i="3" s="1"/>
  <c r="K43" i="3"/>
  <c r="L43" i="3" s="1"/>
  <c r="K42" i="3"/>
  <c r="L42" i="3" s="1"/>
  <c r="K41" i="3"/>
  <c r="L41" i="3" s="1"/>
  <c r="K40" i="3"/>
  <c r="L40" i="3" s="1"/>
  <c r="K39" i="3"/>
  <c r="L39" i="3" s="1"/>
  <c r="K38" i="3"/>
  <c r="L38" i="3" s="1"/>
  <c r="K37" i="3"/>
  <c r="L37" i="3" s="1"/>
  <c r="K36" i="3"/>
  <c r="L36" i="3" s="1"/>
  <c r="K35" i="3"/>
  <c r="L35" i="3" s="1"/>
  <c r="K34" i="3"/>
  <c r="L34" i="3" s="1"/>
  <c r="K33" i="3"/>
  <c r="L33" i="3" s="1"/>
  <c r="K32" i="3"/>
  <c r="L32" i="3" s="1"/>
  <c r="K31" i="3"/>
  <c r="L31" i="3" s="1"/>
  <c r="K30" i="3"/>
  <c r="L30" i="3" s="1"/>
  <c r="K29" i="3"/>
  <c r="L29" i="3" s="1"/>
  <c r="K28" i="3"/>
  <c r="L28" i="3" s="1"/>
  <c r="K27" i="3"/>
  <c r="L27" i="3" s="1"/>
  <c r="K26" i="3"/>
  <c r="L26" i="3" s="1"/>
  <c r="K25" i="3"/>
  <c r="L25" i="3" s="1"/>
  <c r="K24" i="3"/>
  <c r="L24" i="3" s="1"/>
  <c r="K23" i="3"/>
  <c r="L23" i="3" s="1"/>
  <c r="K22" i="3"/>
  <c r="L22" i="3" s="1"/>
  <c r="K21" i="3"/>
  <c r="L21" i="3" s="1"/>
  <c r="K20" i="3"/>
  <c r="L20" i="3" s="1"/>
  <c r="K19" i="3"/>
  <c r="L19" i="3" s="1"/>
  <c r="K18" i="3"/>
  <c r="L18" i="3" s="1"/>
  <c r="K17" i="3"/>
  <c r="L17" i="3" s="1"/>
  <c r="K16" i="3"/>
  <c r="L16" i="3" s="1"/>
  <c r="K15" i="3"/>
  <c r="L15" i="3" s="1"/>
  <c r="K14" i="3"/>
  <c r="L14" i="3" s="1"/>
  <c r="K13" i="3"/>
  <c r="L13" i="3" s="1"/>
  <c r="K12" i="3"/>
  <c r="L12" i="3" s="1"/>
  <c r="K11" i="3"/>
  <c r="L11" i="3" s="1"/>
  <c r="K10" i="3"/>
  <c r="L10" i="3" s="1"/>
  <c r="K9" i="3"/>
  <c r="L9" i="3" s="1"/>
  <c r="K8" i="3"/>
  <c r="L8" i="3" s="1"/>
  <c r="K7" i="3"/>
  <c r="L7" i="3" s="1"/>
  <c r="K6" i="3"/>
  <c r="L6" i="3" s="1"/>
  <c r="K5" i="3"/>
  <c r="L5" i="3" s="1"/>
  <c r="K4" i="3"/>
  <c r="L4" i="3" s="1"/>
  <c r="P5" i="3"/>
  <c r="K3" i="3"/>
  <c r="L3" i="3" s="1"/>
  <c r="O7" i="15" l="1"/>
  <c r="P7" i="15" s="1"/>
  <c r="Q11" i="3"/>
  <c r="Q13" i="3" s="1"/>
  <c r="U37" i="35"/>
  <c r="E33" i="2"/>
  <c r="J21" i="15" s="1"/>
  <c r="U37" i="36"/>
  <c r="E32" i="2"/>
  <c r="J20" i="15" s="1"/>
  <c r="E31" i="2"/>
  <c r="J19" i="15" s="1"/>
  <c r="U37" i="33"/>
  <c r="U37" i="32"/>
  <c r="E30" i="2"/>
  <c r="J17" i="15" s="1"/>
  <c r="U37" i="31"/>
  <c r="E29" i="2"/>
  <c r="J16" i="15" s="1"/>
  <c r="E28" i="2"/>
  <c r="J15" i="15" s="1"/>
  <c r="U37" i="30"/>
  <c r="E26" i="2"/>
  <c r="J12" i="15" s="1"/>
  <c r="U37" i="28"/>
  <c r="Q17" i="3"/>
  <c r="O14" i="15"/>
  <c r="I9" i="15"/>
  <c r="I8" i="15"/>
  <c r="I11" i="15"/>
  <c r="I21" i="15"/>
  <c r="F22" i="15"/>
  <c r="F18" i="15"/>
  <c r="I20" i="15"/>
  <c r="I19" i="15"/>
  <c r="I16" i="15"/>
  <c r="I15" i="15"/>
  <c r="I17" i="15"/>
  <c r="F14" i="15"/>
  <c r="P12" i="15"/>
  <c r="I12" i="15"/>
  <c r="Q5" i="3"/>
  <c r="O6" i="3" s="1"/>
  <c r="P13" i="15"/>
  <c r="Q22" i="15"/>
  <c r="Q14" i="15"/>
  <c r="Q10" i="15"/>
  <c r="Q18" i="15"/>
  <c r="S36" i="3" a="1"/>
  <c r="Q15" i="3" l="1"/>
  <c r="O16" i="3" s="1"/>
  <c r="S41" i="3"/>
  <c r="Q41" i="3"/>
  <c r="Q40" i="3"/>
  <c r="S40" i="3"/>
  <c r="S36" i="3"/>
  <c r="G7" i="15" s="1"/>
  <c r="Q42" i="3"/>
  <c r="R5" i="3" s="1"/>
  <c r="I7" i="15"/>
  <c r="I10" i="15" s="1"/>
  <c r="P9" i="15"/>
  <c r="P20" i="15"/>
  <c r="P8" i="15"/>
  <c r="O10" i="15"/>
  <c r="P16" i="15"/>
  <c r="I22" i="15"/>
  <c r="F23" i="15"/>
  <c r="I14" i="15"/>
  <c r="I18" i="15"/>
  <c r="N22" i="15"/>
  <c r="N18" i="15"/>
  <c r="P17" i="15"/>
  <c r="P15" i="15"/>
  <c r="N14" i="15"/>
  <c r="P14" i="15" s="1"/>
  <c r="P11" i="15"/>
  <c r="Q23" i="15"/>
  <c r="O18" i="15"/>
  <c r="P19" i="15"/>
  <c r="O22" i="15"/>
  <c r="P21" i="15"/>
  <c r="D22" i="2" l="1"/>
  <c r="U36" i="3"/>
  <c r="S37" i="3"/>
  <c r="I23" i="15"/>
  <c r="L7" i="15"/>
  <c r="U40" i="3"/>
  <c r="M7" i="15"/>
  <c r="U41" i="3"/>
  <c r="P10" i="15"/>
  <c r="P18" i="15"/>
  <c r="N23" i="15"/>
  <c r="O23" i="15"/>
  <c r="P22" i="15"/>
  <c r="E22" i="2" l="1"/>
  <c r="J7" i="15" s="1"/>
  <c r="U37" i="3"/>
  <c r="H7" i="15"/>
  <c r="M18" i="15"/>
  <c r="M22" i="15"/>
  <c r="H19" i="15"/>
  <c r="M10" i="15"/>
  <c r="H11" i="15"/>
  <c r="L10" i="15"/>
  <c r="L18" i="15"/>
  <c r="H16" i="15"/>
  <c r="H12" i="15"/>
  <c r="H9" i="15"/>
  <c r="H17" i="15"/>
  <c r="H20" i="15"/>
  <c r="P23" i="15"/>
  <c r="L22" i="15"/>
  <c r="H15" i="15"/>
  <c r="L14" i="15" l="1"/>
  <c r="L23" i="15" s="1"/>
  <c r="K7" i="15"/>
  <c r="M14" i="15"/>
  <c r="M23" i="15" s="1"/>
  <c r="K15" i="15"/>
  <c r="K16" i="15"/>
  <c r="K17" i="15"/>
  <c r="K11" i="15"/>
  <c r="K12" i="15"/>
  <c r="H8" i="15"/>
  <c r="K20" i="15"/>
  <c r="K8" i="15"/>
  <c r="K13" i="15"/>
  <c r="K19" i="15"/>
  <c r="G18" i="15"/>
  <c r="H18" i="15" s="1"/>
  <c r="G14" i="15"/>
  <c r="H14" i="15" s="1"/>
  <c r="H21" i="15"/>
  <c r="H13" i="15"/>
  <c r="K21" i="15" l="1"/>
  <c r="J14" i="15"/>
  <c r="K14" i="15" s="1"/>
  <c r="J18" i="15"/>
  <c r="K18" i="15" s="1"/>
  <c r="K9" i="15"/>
  <c r="G22" i="15"/>
  <c r="H22" i="15" s="1"/>
  <c r="G10" i="15"/>
  <c r="H10" i="15" s="1"/>
  <c r="J22" i="15" l="1"/>
  <c r="K22" i="15" s="1"/>
  <c r="J10" i="15"/>
  <c r="K10" i="15" s="1"/>
  <c r="G23" i="15"/>
  <c r="H23" i="15" s="1"/>
  <c r="J23" i="15" l="1"/>
  <c r="K23" i="1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<sst xmlns="http://schemas.openxmlformats.org/spreadsheetml/2006/main" count="4129" uniqueCount="420">
  <si>
    <t>KV Gruppe</t>
  </si>
  <si>
    <t>Stunden pro Monat</t>
  </si>
  <si>
    <t>Monatslohn</t>
  </si>
  <si>
    <t>Erläuterungen</t>
  </si>
  <si>
    <t>BG1</t>
  </si>
  <si>
    <t>Aktuelles Jahr:</t>
  </si>
  <si>
    <t>Beschäftigungsgruppen</t>
  </si>
  <si>
    <t>BG1: Crew Mitarbeiter:innen!</t>
  </si>
  <si>
    <t>BG1_5</t>
  </si>
  <si>
    <t>BG2: Crew Trainer:innen!</t>
  </si>
  <si>
    <t>BG1_10</t>
  </si>
  <si>
    <t>BG3: Teilschichtführer:innen!</t>
  </si>
  <si>
    <t>BG1_15</t>
  </si>
  <si>
    <t>BG2</t>
  </si>
  <si>
    <t>Checkliste Bezeichnung</t>
  </si>
  <si>
    <t>BG2_5</t>
  </si>
  <si>
    <t>1/1. Die erste 1 steht für die KV-Gruppe, und die zweite 1 für das Dienstjahr → BG1.</t>
  </si>
  <si>
    <t>BG2_10</t>
  </si>
  <si>
    <t>1/6. bedeutet 1. Beschäftigungsgruppe und 6. Dienstjahr (über 5 Jahre → BG1_5).</t>
  </si>
  <si>
    <t>BG2_15</t>
  </si>
  <si>
    <t>2/11. bedeutet 2. Beschäftigungsgruppe und 11. Dienstjahr (über 10 Jahre → BG2_10).</t>
  </si>
  <si>
    <t>BG3</t>
  </si>
  <si>
    <t>BG3_5</t>
  </si>
  <si>
    <t>BG3_10</t>
  </si>
  <si>
    <t>BG3_15</t>
  </si>
  <si>
    <t>Alle weißen Zellen gehören zum Ausfüllen.</t>
  </si>
  <si>
    <t>Budget Zahlen</t>
  </si>
  <si>
    <t>URLAUB ABBAU</t>
  </si>
  <si>
    <t>MUSTERDIENSTPLAN STUNDEN</t>
  </si>
  <si>
    <t>NACHTZUSCHLÄGE</t>
  </si>
  <si>
    <t>SALES</t>
  </si>
  <si>
    <t>CREW LABOR</t>
  </si>
  <si>
    <t>CREW LABOR %</t>
  </si>
  <si>
    <t>GUEST COUNT</t>
  </si>
  <si>
    <t>monatlich/stunden</t>
  </si>
  <si>
    <t>monatlich/eurowert</t>
  </si>
  <si>
    <t>Jänner:</t>
  </si>
  <si>
    <t>Februar:</t>
  </si>
  <si>
    <t>Febuar:</t>
  </si>
  <si>
    <t>März:</t>
  </si>
  <si>
    <t>April:</t>
  </si>
  <si>
    <t>Mai:</t>
  </si>
  <si>
    <t>Juni:</t>
  </si>
  <si>
    <t>Juli:</t>
  </si>
  <si>
    <t>August:</t>
  </si>
  <si>
    <t>September:</t>
  </si>
  <si>
    <t>Oktober:</t>
  </si>
  <si>
    <t>November:</t>
  </si>
  <si>
    <t>Dezember:</t>
  </si>
  <si>
    <t>Projection/Aktuell Zahlen</t>
  </si>
  <si>
    <t>FEIERTAGSTUNDEN</t>
  </si>
  <si>
    <t>KRANKSTUNDEN</t>
  </si>
  <si>
    <t>Name</t>
  </si>
  <si>
    <t>Stunden</t>
  </si>
  <si>
    <t>Lohn</t>
  </si>
  <si>
    <t>Aktuelle Stunden</t>
  </si>
  <si>
    <t>Offene Urlaubstage</t>
  </si>
  <si>
    <t>Urlaub in €</t>
  </si>
  <si>
    <t>Letztes Gehalt</t>
  </si>
  <si>
    <t>Bemerkung</t>
  </si>
  <si>
    <t>1.</t>
  </si>
  <si>
    <t>U-Aufbau</t>
  </si>
  <si>
    <t>U-Abbau</t>
  </si>
  <si>
    <t>Diff.</t>
  </si>
  <si>
    <t>Diff. (€)</t>
  </si>
  <si>
    <t>2.</t>
  </si>
  <si>
    <t>3.</t>
  </si>
  <si>
    <t>4.</t>
  </si>
  <si>
    <t>5.</t>
  </si>
  <si>
    <t>6.</t>
  </si>
  <si>
    <t>Gesamt Crew Stunden:</t>
  </si>
  <si>
    <t>7.</t>
  </si>
  <si>
    <t>Krankstunden:</t>
  </si>
  <si>
    <t>8.</t>
  </si>
  <si>
    <t>Feiertagstunden:</t>
  </si>
  <si>
    <t>9.</t>
  </si>
  <si>
    <t>Urlaubsstunden:</t>
  </si>
  <si>
    <t>10.</t>
  </si>
  <si>
    <t>Vormonat +/- Stunden</t>
  </si>
  <si>
    <t>11.</t>
  </si>
  <si>
    <t>Verfügbare Stunden für DPL:</t>
  </si>
  <si>
    <t>12.</t>
  </si>
  <si>
    <t>Musterdienstplan Stunden:</t>
  </si>
  <si>
    <t>13.</t>
  </si>
  <si>
    <t>Stunden Differenz:</t>
  </si>
  <si>
    <t>14.</t>
  </si>
  <si>
    <t>15.</t>
  </si>
  <si>
    <t>Reine Laborcost:</t>
  </si>
  <si>
    <t>16.</t>
  </si>
  <si>
    <t>17.</t>
  </si>
  <si>
    <t>18.</t>
  </si>
  <si>
    <t>Jubileumsgeld:</t>
  </si>
  <si>
    <t>19.</t>
  </si>
  <si>
    <t>20.</t>
  </si>
  <si>
    <t>21.</t>
  </si>
  <si>
    <t>22.</t>
  </si>
  <si>
    <t>23.</t>
  </si>
  <si>
    <t>24.</t>
  </si>
  <si>
    <t>25.</t>
  </si>
  <si>
    <t>Die Zellen werden nicht mitkopiert.</t>
  </si>
  <si>
    <t>26.</t>
  </si>
  <si>
    <t>27.</t>
  </si>
  <si>
    <t>Nachtzuschlag:</t>
  </si>
  <si>
    <t>28.</t>
  </si>
  <si>
    <t>29.</t>
  </si>
  <si>
    <t>FLUKTUATION</t>
  </si>
  <si>
    <t>30.</t>
  </si>
  <si>
    <t>31.</t>
  </si>
  <si>
    <t>Budget</t>
  </si>
  <si>
    <t>Aktuell/Projection</t>
  </si>
  <si>
    <t>Differenz</t>
  </si>
  <si>
    <t>32.</t>
  </si>
  <si>
    <t>33.</t>
  </si>
  <si>
    <t>Sales</t>
  </si>
  <si>
    <t>34.</t>
  </si>
  <si>
    <t>Crew Labor Summe</t>
  </si>
  <si>
    <t>35.</t>
  </si>
  <si>
    <t>Crew Labor Prozent</t>
  </si>
  <si>
    <t>36.</t>
  </si>
  <si>
    <t>Guest Count (GC)</t>
  </si>
  <si>
    <t>37.</t>
  </si>
  <si>
    <t>Durchschnittverkauf (AVG)</t>
  </si>
  <si>
    <t>38.</t>
  </si>
  <si>
    <t>Sales Produktivität</t>
  </si>
  <si>
    <t>39.</t>
  </si>
  <si>
    <t>GC's Produktivität</t>
  </si>
  <si>
    <t>40.</t>
  </si>
  <si>
    <t>AVG Bruttolohn</t>
  </si>
  <si>
    <t>41.</t>
  </si>
  <si>
    <t>42.</t>
  </si>
  <si>
    <t>Wähle das Eintrittsdatum eines bestimmten Mitarbeiters aus, und du erfährst, seit wann er im Unternehmen tätig ist:</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</si>
  <si>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</si>
  <si>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</si>
  <si>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</si>
  <si>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</si>
  <si>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</si>
  <si>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</si>
  <si>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</si>
  <si>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</si>
  <si>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</si>
  <si>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</si>
  <si>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</si>
  <si>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</si>
  <si>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</si>
  <si>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</si>
  <si>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</si>
  <si>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</si>
  <si>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</si>
  <si>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</si>
  <si>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</si>
  <si>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</si>
  <si>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</si>
  <si>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</si>
  <si>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</si>
  <si>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</si>
  <si>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</si>
  <si>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</si>
  <si>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</si>
  <si>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</si>
  <si>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</si>
  <si>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</si>
  <si>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</si>
  <si>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</si>
  <si>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</si>
  <si>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</si>
  <si>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</si>
  <si>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</si>
  <si>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</si>
  <si>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</si>
  <si>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Durchrechnung:</t>
  </si>
  <si>
    <t>Austritte:</t>
  </si>
  <si>
    <t>Nachtzuschläge:</t>
  </si>
  <si>
    <t>RST ABFT Service Cost</t>
  </si>
  <si>
    <t>REST JUB Service Cost</t>
  </si>
  <si>
    <t>RST ABFT Interest Cost</t>
  </si>
  <si>
    <t>RST JUB Interest Cost</t>
  </si>
  <si>
    <t>CREW LABOR SUMME</t>
  </si>
  <si>
    <t>CREW LABOR PROZENT</t>
  </si>
  <si>
    <t>PRODUKTIVITÄT SALES</t>
  </si>
  <si>
    <t>PRODUKTIVITÄT GC`S</t>
  </si>
  <si>
    <t>URLAUB</t>
  </si>
  <si>
    <t>BUDGET</t>
  </si>
  <si>
    <t>IST</t>
  </si>
  <si>
    <t>DIFFERENZ</t>
  </si>
  <si>
    <t>AUFBAU</t>
  </si>
  <si>
    <t>ABBAU</t>
  </si>
  <si>
    <t>Jänner</t>
  </si>
  <si>
    <t>Febuar</t>
  </si>
  <si>
    <t>März</t>
  </si>
  <si>
    <t>Q1</t>
  </si>
  <si>
    <t>April</t>
  </si>
  <si>
    <t>Mai</t>
  </si>
  <si>
    <t>Juni</t>
  </si>
  <si>
    <t>Q2</t>
  </si>
  <si>
    <t>Juli</t>
  </si>
  <si>
    <t>August</t>
  </si>
  <si>
    <t>September</t>
  </si>
  <si>
    <t>Q3</t>
  </si>
  <si>
    <t>Oktober</t>
  </si>
  <si>
    <t>November</t>
  </si>
  <si>
    <t>Dezember</t>
  </si>
  <si>
    <t>Q4</t>
  </si>
  <si>
    <t>Diese Daten müssen jedes Jahr einmal, manuell aktualisiert werden, sobald wir etwa im Mai das neue KV-Schema erhalten.
Die linke Spalte mit weißem Hintergrund zeigt immer den Zeitraum bis Mai des aktuellen Jahres, die rechte Spalte daneben den Zeitraum ab Mai.
So ist sichergestellt, dass wir immer wirklich aktuelle Lohndaten für jede KV-Gruppe haben – detailliert auf Grundlage der tatsächlich geleisteten Dienstjahre!</t>
  </si>
  <si>
    <r>
      <t xml:space="preserve">Dieser Teil ist sozusagen einer der wichtigsten Bereiche der Excel-Datei. Diese Daten erfordern kontinuierliche Arbeit und laufende Aktualisierung.
</t>
    </r>
    <r>
      <rPr>
        <b/>
        <sz val="11"/>
        <color theme="5"/>
        <rFont val="Calibri"/>
        <family val="2"/>
        <scheme val="minor"/>
      </rPr>
      <t>Urlaub Abbau:</t>
    </r>
    <r>
      <rPr>
        <sz val="11"/>
        <color theme="5"/>
        <rFont val="Calibri"/>
        <family val="2"/>
        <scheme val="minor"/>
      </rPr>
      <t xml:space="preserve"> Basierend auf meiner monatlichen Urlaubsplanung – wie viele Crew-Urlaubsstunden ich im jeweiligen Monat abbauen werde.
</t>
    </r>
    <r>
      <rPr>
        <b/>
        <sz val="11"/>
        <color theme="5"/>
        <rFont val="Calibri"/>
        <family val="2"/>
        <scheme val="minor"/>
      </rPr>
      <t>Feiertagstunden:</t>
    </r>
    <r>
      <rPr>
        <sz val="11"/>
        <color theme="5"/>
        <rFont val="Calibri"/>
        <family val="2"/>
        <scheme val="minor"/>
      </rPr>
      <t xml:space="preserve"> Wie viele Feiertage enthält der jeweilige Monat? Der Musterdienstplan zeigt genau, wie viele Stunden an diesen Tagen geplant sind.
</t>
    </r>
    <r>
      <rPr>
        <b/>
        <sz val="11"/>
        <color theme="5"/>
        <rFont val="Calibri"/>
        <family val="2"/>
        <scheme val="minor"/>
      </rPr>
      <t>Krankstunden:</t>
    </r>
    <r>
      <rPr>
        <sz val="11"/>
        <color theme="5"/>
        <rFont val="Calibri"/>
        <family val="2"/>
        <scheme val="minor"/>
      </rPr>
      <t xml:space="preserve"> Durchschnittliche Krankheitsstunden basierend auf den Daten meines Restaurants.
</t>
    </r>
    <r>
      <rPr>
        <b/>
        <sz val="11"/>
        <color theme="5"/>
        <rFont val="Calibri"/>
        <family val="2"/>
        <scheme val="minor"/>
      </rPr>
      <t>Musterdienstplan Stunden:</t>
    </r>
    <r>
      <rPr>
        <sz val="11"/>
        <color theme="5"/>
        <rFont val="Calibri"/>
        <family val="2"/>
        <scheme val="minor"/>
      </rPr>
      <t xml:space="preserve"> Daten, die aus der Musterdienstplan-Excel-Datei entnommen werden und zeigen, wie viele Stunden im jeweiligen Monat benötigt werden, um den Dienstplan zu erstellen.
</t>
    </r>
    <r>
      <rPr>
        <b/>
        <sz val="11"/>
        <color theme="5"/>
        <rFont val="Calibri"/>
        <family val="2"/>
        <scheme val="minor"/>
      </rPr>
      <t xml:space="preserve">Nachtzuschläge: </t>
    </r>
    <r>
      <rPr>
        <sz val="11"/>
        <color theme="5"/>
        <rFont val="Calibri"/>
        <family val="2"/>
        <scheme val="minor"/>
      </rPr>
      <t xml:space="preserve">Diese können aus Meindienstplan → Monatsabschlüsse → Reports und Exports → PDF Nacht und Mehrarbeit entnommen werden. Wähle dabei Alle Mitarbeiter – Alle Schichten! Wichtig: Vorher im Filter-Menü alle Management-Mitglieder entfernen.
</t>
    </r>
    <r>
      <rPr>
        <b/>
        <sz val="11"/>
        <color theme="5"/>
        <rFont val="Calibri"/>
        <family val="2"/>
        <scheme val="minor"/>
      </rPr>
      <t>Budget Zahlen:</t>
    </r>
    <r>
      <rPr>
        <sz val="11"/>
        <color theme="5"/>
        <rFont val="Calibri"/>
        <family val="2"/>
        <scheme val="minor"/>
      </rPr>
      <t xml:space="preserve"> Die Zahlen aus dem Jahresbudget.
</t>
    </r>
    <r>
      <rPr>
        <b/>
        <sz val="11"/>
        <color theme="5"/>
        <rFont val="Calibri"/>
        <family val="2"/>
        <scheme val="minor"/>
      </rPr>
      <t>Projektion/Aktuell:</t>
    </r>
    <r>
      <rPr>
        <sz val="11"/>
        <color theme="5"/>
        <rFont val="Calibri"/>
        <family val="2"/>
        <scheme val="minor"/>
      </rPr>
      <t xml:space="preserve"> Solange der Monat noch nicht eingetreten ist, handelt es sich um eine Projektion. Sobald aktuelle Daten vorliegen, wird diese überschrieben und als „Aktuell“ geführt.
</t>
    </r>
    <r>
      <rPr>
        <b/>
        <sz val="11"/>
        <color theme="5"/>
        <rFont val="Calibri"/>
        <family val="2"/>
        <scheme val="minor"/>
      </rPr>
      <t>WICHTIG:</t>
    </r>
    <r>
      <rPr>
        <sz val="11"/>
        <color theme="5"/>
        <rFont val="Calibri"/>
        <family val="2"/>
        <scheme val="minor"/>
      </rPr>
      <t xml:space="preserve"> Alle hier eingetragenen Daten sind immer ohne Management!
Es handelt sich ausschließlich um CREW LABOR – also Crew, Crew Trainer und Teilschichtführer.</t>
    </r>
  </si>
  <si>
    <t>© 2025 Adam Nagy – McOpCo Austria  
Developed exclusively for internal operational use.</t>
  </si>
  <si>
    <t>Personal ID</t>
  </si>
  <si>
    <t>Eintritts-datum</t>
  </si>
  <si>
    <t>Austritts-datum</t>
  </si>
  <si>
    <t>Austrittsgrund</t>
  </si>
  <si>
    <t>Einvernehmliche Auflösung</t>
  </si>
  <si>
    <t>Karenz</t>
  </si>
  <si>
    <t>Dienstgeber Kündigung</t>
  </si>
  <si>
    <t>Gewicht</t>
  </si>
  <si>
    <t>Storetransfer</t>
  </si>
  <si>
    <t>Beförderung</t>
  </si>
  <si>
    <t>Nicht eingetreten</t>
  </si>
  <si>
    <t>Befristung Ende</t>
  </si>
  <si>
    <t>Probezeit beendet</t>
  </si>
  <si>
    <t>Berechtigter vorzeitiger Austritt</t>
  </si>
  <si>
    <t>Dienstnehmer Kündigung</t>
  </si>
  <si>
    <t>Unberechtigter vorzeitiger Austritt</t>
  </si>
  <si>
    <t>Sonstiges</t>
  </si>
  <si>
    <t>Betriebszugehörigkeit</t>
  </si>
  <si>
    <t>Faktor</t>
  </si>
  <si>
    <t>0-30 Tage</t>
  </si>
  <si>
    <t>31-90 Tage</t>
  </si>
  <si>
    <t>91-180 Tage</t>
  </si>
  <si>
    <t>181-365 Tage</t>
  </si>
  <si>
    <t>1-2 Jahre</t>
  </si>
  <si>
    <t>2-5 Jahre</t>
  </si>
  <si>
    <t>5+ Jahre</t>
  </si>
  <si>
    <t>Monat</t>
  </si>
  <si>
    <t>Eintrittsdatum</t>
  </si>
  <si>
    <t>Austrittsdatum</t>
  </si>
  <si>
    <t>Grund-Gewicht</t>
  </si>
  <si>
    <t>Zeit-Faktor</t>
  </si>
  <si>
    <t>Kategorie</t>
  </si>
  <si>
    <t>Fluktuation</t>
  </si>
  <si>
    <t>Jahresanalyse</t>
  </si>
  <si>
    <t>Kennzahl</t>
  </si>
  <si>
    <t>Wert</t>
  </si>
  <si>
    <t>Austritte gesamt</t>
  </si>
  <si>
    <t>Neutrale Bewegungen</t>
  </si>
  <si>
    <t>Tage im Unternehmen</t>
  </si>
  <si>
    <t>Verlust-Score</t>
  </si>
  <si>
    <t>Verlust erfahrener Mitarbeiter</t>
  </si>
  <si>
    <t>Was bedeutet diese Auswertung?</t>
  </si>
  <si>
    <t>Alle erfassten Austritte im Jahr.</t>
  </si>
  <si>
    <t>Durchschnittliche Schwere pro Austritt.</t>
  </si>
  <si>
    <t>Austritte in den ersten 90 Tagen</t>
  </si>
  <si>
    <t>Hinweis auf Recruiting, Onboarding oder Training.</t>
  </si>
  <si>
    <t>Erfahrene Mitarbeiter verlassen das Restaurant.</t>
  </si>
  <si>
    <t>Wichtige Austritte</t>
  </si>
  <si>
    <t>Empfehlung</t>
  </si>
  <si>
    <t>Neutrale Bewegung</t>
  </si>
  <si>
    <t>Austritte</t>
  </si>
  <si>
    <t>Austritt in den ersten 90 Tagen</t>
  </si>
  <si>
    <t>Wichtiger Austritt</t>
  </si>
  <si>
    <t>Aktuelle Jahresfluktuation</t>
  </si>
  <si>
    <t>Zeigt die bisherige Fluktuation im Jahr. Nicht auf das ganze Jahr hochgerechnet.</t>
  </si>
  <si>
    <t>Fluktuation %</t>
  </si>
  <si>
    <t>Zeigt die Fluktuation vom Jahresbeginn bis zum aktuellen Auswertungsmonat. Der Wert wird nicht auf das ganze Jahr hochgerechnet.</t>
  </si>
  <si>
    <t>DINDIC Vanja</t>
  </si>
  <si>
    <t>KNEISSL Erna</t>
  </si>
  <si>
    <t>SUN Sovanmealy</t>
  </si>
  <si>
    <t>PHOO-IN Sunari</t>
  </si>
  <si>
    <t>DELIC Snjezana</t>
  </si>
  <si>
    <t>NOU Satyaroth</t>
  </si>
  <si>
    <t>PRAHER Meraflor</t>
  </si>
  <si>
    <t>SAHBAZ Refika</t>
  </si>
  <si>
    <t>MINEVA Kremena</t>
  </si>
  <si>
    <t>MATEI Elena</t>
  </si>
  <si>
    <t>HEGEDUS Nikolett</t>
  </si>
  <si>
    <t>MOISA Marian</t>
  </si>
  <si>
    <t>SENG Dalin</t>
  </si>
  <si>
    <t>MILETIC Nikolina</t>
  </si>
  <si>
    <t>PAIOR Imre-Oliver</t>
  </si>
  <si>
    <t>DUCA Melinda</t>
  </si>
  <si>
    <t>DJEKANOVIC Obrenka</t>
  </si>
  <si>
    <t>SAFI Najeeb</t>
  </si>
  <si>
    <t>JUNDANG Akson</t>
  </si>
  <si>
    <t>TURSUNOVIC Dzemila</t>
  </si>
  <si>
    <t>AL ALI Yaser</t>
  </si>
  <si>
    <t>PATAKI Barbara</t>
  </si>
  <si>
    <t>CORIC Marko</t>
  </si>
  <si>
    <t>SALAMON Jozsefne</t>
  </si>
  <si>
    <t>DECSI Ferenc</t>
  </si>
  <si>
    <t>SALA Dorina-Daniela</t>
  </si>
  <si>
    <t>TINCA Alexandra</t>
  </si>
  <si>
    <t>SZABO Greta</t>
  </si>
  <si>
    <t>SAFI Fahim</t>
  </si>
  <si>
    <t>ALIPOUR Mohsen</t>
  </si>
  <si>
    <t>ZDRENDEA Mariana-Rodica</t>
  </si>
  <si>
    <t>SHEGIWAL Mosawir</t>
  </si>
  <si>
    <t>VOJNIKOVIC Alma</t>
  </si>
  <si>
    <t>ALALI ALSHEKH Jawad</t>
  </si>
  <si>
    <t>NIYAZI Faisal</t>
  </si>
  <si>
    <t>HOVHANNISYAN Tigran</t>
  </si>
  <si>
    <t>KHAN Imran</t>
  </si>
  <si>
    <t>JMO Mohammed</t>
  </si>
  <si>
    <t>PUTRO Arian</t>
  </si>
  <si>
    <t>PUTRO Majlinda</t>
  </si>
  <si>
    <t>VAJGEL Alexandra</t>
  </si>
  <si>
    <t>SAFI Sharafat</t>
  </si>
  <si>
    <t>KHALEQYAR Faisal</t>
  </si>
  <si>
    <t>ADAMEK Mischelle</t>
  </si>
  <si>
    <t>TURGUT Zehra</t>
  </si>
  <si>
    <t>SHAJU Aneeta</t>
  </si>
  <si>
    <t>PATTIKKADAN Swalih</t>
  </si>
  <si>
    <t>AHANIAN Taron</t>
  </si>
  <si>
    <t>YARI Rahmatullah</t>
  </si>
  <si>
    <t>RAUFI Saberullah</t>
  </si>
  <si>
    <t>SAFIZADEH Parwan</t>
  </si>
  <si>
    <t>PANAGIOTIDOU Sousanna</t>
  </si>
  <si>
    <t>Durchschnittlicher Verlust-Score</t>
  </si>
  <si>
    <t>Austritte mit fehlendem oder unbekanntem Austrittsgrund.</t>
  </si>
  <si>
    <t>Durchschnitt</t>
  </si>
  <si>
    <t>Januar</t>
  </si>
  <si>
    <t>Normaler Austritt</t>
  </si>
  <si>
    <t>Austritt vorhanden, aktuell nicht kritisch. Entwicklung beobachten.</t>
  </si>
  <si>
    <t>KV-SCHEMA PFLEGE</t>
  </si>
  <si>
    <t>Basis / bis 5 Jahre</t>
  </si>
  <si>
    <t>5 bis 10 Jahre</t>
  </si>
  <si>
    <t>10 bis 15 Jahre</t>
  </si>
  <si>
    <t>über 15 Jahre</t>
  </si>
  <si>
    <t>KV-Periode</t>
  </si>
  <si>
    <t>KV-Gruppe</t>
  </si>
  <si>
    <t>Monatsstunden</t>
  </si>
  <si>
    <t>Status</t>
  </si>
  <si>
    <t>KV-Code</t>
  </si>
  <si>
    <t>BG1_Basis</t>
  </si>
  <si>
    <t>BG2_Basis</t>
  </si>
  <si>
    <t>BG3_Basis</t>
  </si>
  <si>
    <t>KV 2025/2026</t>
  </si>
  <si>
    <t>Monats-Hinweis</t>
  </si>
  <si>
    <t>Dienstgeber Kuendigung</t>
  </si>
  <si>
    <t>Diese Auswertung bewertet Austritte nicht nur nach Anzahl, sondern auch nach Art des Austritts und Dauer der Betriebszugehoerigkeit. Ein Austritt eines langjaehrigen Mitarbeiters zaehlt staerker als ein Austritt in den ersten Wochen. Neutrale Bewegungen wie Storetransfer, Befoerderung, Karenz oder Nicht eingetreten werden nicht negativ bewertet.</t>
  </si>
  <si>
    <t>Einfache Erklaerung</t>
  </si>
  <si>
    <t>Bewertet, wie schwer die Austritte fuer das Restaurant sind.</t>
  </si>
  <si>
    <t>Austritte mit erhoehtem Risiko fuer den Betrieb.</t>
  </si>
  <si>
    <t>Storetransfer, Befoerderung, Karenz oder Nicht eingetreten.</t>
  </si>
  <si>
    <t>Unvollstaendige Austritte</t>
  </si>
  <si>
    <t>Risiko-Einschaetzung</t>
  </si>
  <si>
    <t>Monatsuebersicht</t>
  </si>
  <si>
    <t>Austrittsgruende</t>
  </si>
  <si>
    <t>Dienstgeber Kuendigung (1)</t>
  </si>
  <si>
    <t>Kurz erklaert</t>
  </si>
  <si>
    <t>Der Verlust-Score zeigt, wie schwer ein Austritt fuer das Restaurant bewertet wird. Er besteht aus Austrittsgrund und Dauer der Betriebszugehoerigkeit.</t>
  </si>
  <si>
    <t>Durchschnittlicher Verlust-Score pro Austritt. Je hoeher der Wert, desto schwerer wiegen die Austritte im Durchschnitt.</t>
  </si>
  <si>
    <t>Ein Austritt kurz nach Eintritt. Das kann auf Recruiting, Onboarding, Training oder erste Dienstplaene hinweisen.</t>
  </si>
  <si>
    <t>Ein erfahrener Mitarbeiter verlaesst das Restaurant. Das bedeutet meist Wissensverlust, Stabilitaetsverlust und hoeheren Nachbesetzungsaufwand.</t>
  </si>
  <si>
    <t>Ein Austritt mit erhoehtem Verlust-Score. Die Bewertung entsteht automatisch aus Austrittsgrund und Betriebszugehoerigkeit.</t>
  </si>
  <si>
    <t>Storetransfer, Befoerderung, Karenz oder Nicht eingetreten werden nicht negativ bewertet.</t>
  </si>
  <si>
    <t>Unvollstaendiger Austritt</t>
  </si>
  <si>
    <t>Der Austrittsgrund fehlt oder ist unbekannt. Diese Austritte muessen geprueft und ergaenzt werden.</t>
  </si>
  <si>
    <t>teszt karcsi</t>
  </si>
  <si>
    <t>asd</t>
  </si>
  <si>
    <t>Marz</t>
  </si>
  <si>
    <t>Dienstnehmer Kuendigung</t>
  </si>
  <si>
    <t>Erste 90 Tage</t>
  </si>
  <si>
    <t>Dienstnehmer Kuendigung (1)</t>
  </si>
  <si>
    <t>Austritt in den ersten 90 Tagen. Onboarding, Training und erste Dienstplaene pruefen.</t>
  </si>
  <si>
    <t>Rigo Janos</t>
  </si>
  <si>
    <t>Wichtiger Austritt. Arbeitsklima, Fuehrung und Kommunikation pruefen.</t>
  </si>
  <si>
    <t>Aprilisban Jottem</t>
  </si>
  <si>
    <t>Majus Mate</t>
  </si>
  <si>
    <t>Vadiuj Test</t>
  </si>
  <si>
    <t>vegso teszt</t>
  </si>
  <si>
    <t>Marika</t>
  </si>
  <si>
    <t>Janoska</t>
  </si>
  <si>
    <t>Ferike</t>
  </si>
  <si>
    <t>Janika</t>
  </si>
  <si>
    <t>GERGO</t>
  </si>
  <si>
    <t>Year</t>
  </si>
  <si>
    <t>Month</t>
  </si>
  <si>
    <t>EmployeeKey</t>
  </si>
  <si>
    <t>Field</t>
  </si>
  <si>
    <t>Value</t>
  </si>
  <si>
    <t>Test Case</t>
  </si>
  <si>
    <t>Details</t>
  </si>
  <si>
    <t>Checked At</t>
  </si>
  <si>
    <t>Manual Steps</t>
  </si>
  <si>
    <t>TEST 1 - Future Hour Change</t>
  </si>
  <si>
    <t>REVIEW</t>
  </si>
  <si>
    <t>Basisstruktur vorhanden. Verhaltenspruefung (Mai/Juni unveraendert, Juli+ angepasst) manuell ausfuehren.</t>
  </si>
  <si>
    <t>1) Im Blatt Juli Feld E oder F aendern. 2) CopyData ab Juli starten. 3) Pruefen: Mai/Juni unveraendert, ab Juli aktualisiert.</t>
  </si>
  <si>
    <t>TEST 2 - Exit Employee</t>
  </si>
  <si>
    <t>Austrittsfelder vorhanden. Sichtbarkeit im Austrittsmonat und Entfernung ab Folgemonat manuell pruefen.</t>
  </si>
  <si>
    <t>1) Im Blatt August ein Austrittsdatum in Spalte I setzen. 2) CopyData ab August starten. 3) Pruefen: In August sichtbar, ab September entfernt.</t>
  </si>
  <si>
    <t>TEST 3 - Future Employee Survival</t>
  </si>
  <si>
    <t>Monatskette vorhanden. Ueberleben kuenftiger MA nach Rueckwaertskopie manuell pruefen.</t>
  </si>
  <si>
    <t>1) Im Blatt Oktober neuen Mitarbeiter in B/C erfassen. 2) Rueckwaertskopie von frueherem Monat starten. 3) Pruefen: Oktober-Eintrag bleibt erhalten.</t>
  </si>
  <si>
    <t>TEST 4 - Override Survival</t>
  </si>
  <si>
    <t>Override-Bereiche vorhanden. Ueberlebenspruefung fuer D/E und Stabilitaet frueherer Monate manuell pruefen.</t>
  </si>
  <si>
    <t>1) In einem spaeteren Monat D/E-Werte manuell anpassen. 2) Propagation starten. 3) Pruefen: Overrides bleiben erhalten, fruehere Monate bleiben unveraendert.</t>
  </si>
  <si>
    <t>TEST 5 - O18:Q25 Propagation</t>
  </si>
  <si>
    <t>Bereich O18:Q25 in allen Monatsblaettern vorhanden. Propagationsverhalten manuell pruefen.</t>
  </si>
  <si>
    <t>1) Im Quellmonat O18:Q25 aendern. 2) CopyData starten. 3) In Zielmonaten pruefen: O18:Q25 wurde korrekt uebernommen.</t>
  </si>
  <si>
    <t>TEST 6 - Column L</t>
  </si>
  <si>
    <t>Info-Spalte L vorhanden. Sicherstellen, dass L nicht propagiert wird (manuelle Pruefung).</t>
  </si>
  <si>
    <t>1) In einem Zielmonat einen individuellen Wert in Spalte L setzen. 2) Propagation von anderem Monat starten. 3) Pruefen: Spalte L wird nicht ueberschrieben.</t>
  </si>
  <si>
    <t>TEST 7 - Excel 2016 Compatibility</t>
  </si>
  <si>
    <t>PASS</t>
  </si>
  <si>
    <t>Excel-Version &gt;= 16 und keine blockierten Funktionen gefunden.</t>
  </si>
  <si>
    <t>-</t>
  </si>
  <si>
    <t>TEST 8 - Mac Compatibility</t>
  </si>
  <si>
    <t>Makro auf Mac gestartet. Keine Windows-only API Muster gefunden.</t>
  </si>
  <si>
    <t>Austrittsgrund fehlt</t>
  </si>
  <si>
    <t>Daten pruefen</t>
  </si>
  <si>
    <t>Es gibt Austritte mit fehlendem oder unbekanntem Austrittsgrund. Bitte zuerst die Daten ergaenzen, damit die Analyse korrekt bewertet werden kann.</t>
  </si>
  <si>
    <t>Unvollstaendig</t>
  </si>
  <si>
    <t>Austrittsgrund fehlt (1)</t>
  </si>
  <si>
    <t>Mindestens ein Austritt hat keinen gueltigen Austrittsgrund. Bitte Daten pruefen und ergaenzen.</t>
  </si>
  <si>
    <t>Wichtig: Alte KV-Perioden niemals loeschen oder ueberschreiben. Wenn ab Mai neue Werte gueltig sind, immer eine neue KV-Periode hinzufuegen. In den Monatsblaettern wird spaeter nur der KV-Code ausgewaehlt. Nur Zeilen mit Status OK verwenden.</t>
  </si>
  <si>
    <t>OK</t>
  </si>
  <si>
    <t>Gueltig ab</t>
  </si>
  <si>
    <t>Gueltig bis</t>
  </si>
  <si>
    <t>Beschaeftigungsdauer</t>
  </si>
  <si>
    <t>Pruefung</t>
  </si>
  <si>
    <t>KV 2025/2026   |   gueltig von 01.05.2025 bis 30.04.2026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</si>
</sst>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_);_(* \(#,##0.00\);_(* &quot;-&quot;??_);_(@_)"/>
    <numFmt numFmtId="165" formatCode="_(&quot;€&quot;* #,##0.00_);_(&quot;€&quot;* \(#,##0.00\);_(&quot;€&quot;* &quot;-&quot;??_);_(@_)"/>
    <numFmt numFmtId="166" formatCode="&quot;€&quot;\ #,##0.00"/>
    <numFmt numFmtId="167" formatCode="#,##0.00\ &quot;€&quot;"/>
    <numFmt numFmtId="168" formatCode="dd/mm/yyyy;@"/>
    <numFmt numFmtId="169" formatCode="0.0"/>
    <numFmt numFmtId="170" formatCode="0.0000%"/>
    <numFmt numFmtId="171" formatCode="dd\.mm\.yyyy"/>
    <numFmt numFmtId="173" formatCode="dd\.mm\.yyyy\ hh:mm:ss"/>
  </numFmts>
  <fonts count="63">
    <font>
      <sz val="11"/>
      <color theme="1"/>
      <name val="Calibri"/>
      <family val="2"/>
      <scheme val="minor"/>
    </font>
    <font>
      <sz val="12"/>
      <color theme="1"/>
      <name val="Calibri"/>
      <family val="2"/>
      <scheme val="minor"/>
    </font>
    <font>
      <sz val="12"/>
      <color theme="1"/>
      <name val="Calibri"/>
      <family val="2"/>
      <scheme val="minor"/>
    </font>
    <font>
      <b/>
      <sz val="11"/>
      <color theme="1"/>
      <name val="Calibri"/>
      <family val="2"/>
      <scheme val="minor"/>
    </font>
    <font>
      <sz val="11"/>
      <color theme="1"/>
      <name val="Speedee"/>
      <family val="2"/>
    </font>
    <font>
      <b/>
      <sz val="11"/>
      <color theme="1"/>
      <name val="Speedee"/>
      <family val="2"/>
    </font>
    <font>
      <b/>
      <sz val="9"/>
      <color theme="1"/>
      <name val="Speedee"/>
      <family val="2"/>
    </font>
    <font>
      <b/>
      <sz val="12"/>
      <color theme="1"/>
      <name val="Speedee"/>
      <family val="2"/>
    </font>
    <font>
      <i/>
      <sz val="11"/>
      <color theme="1"/>
      <name val="Speedee"/>
      <family val="2"/>
    </font>
    <font>
      <b/>
      <sz val="11"/>
      <name val="Speedee"/>
      <family val="2"/>
    </font>
    <font>
      <b/>
      <sz val="18"/>
      <color theme="1"/>
      <name val="Calibri"/>
      <family val="2"/>
      <scheme val="minor"/>
    </font>
    <font>
      <b/>
      <sz val="11"/>
      <color theme="0"/>
      <name val="Speedee"/>
      <family val="2"/>
    </font>
    <font>
      <b/>
      <i/>
      <sz val="11"/>
      <color theme="1"/>
      <name val="Speedee"/>
      <family val="2"/>
    </font>
    <font>
      <b/>
      <sz val="20"/>
      <color theme="1"/>
      <name val="Speedee"/>
      <family val="2"/>
    </font>
    <font>
      <b/>
      <i/>
      <sz val="12"/>
      <color theme="1"/>
      <name val="Calibri"/>
      <family val="2"/>
      <scheme val="minor"/>
    </font>
    <font>
      <sz val="8"/>
      <name val="Calibri"/>
      <family val="2"/>
      <scheme val="minor"/>
    </font>
    <font>
      <b/>
      <sz val="14"/>
      <color theme="1"/>
      <name val="Calibri"/>
      <family val="2"/>
      <scheme val="minor"/>
    </font>
    <font>
      <b/>
      <i/>
      <sz val="11"/>
      <color rgb="FFFF0000"/>
      <name val="Calibri"/>
      <family val="2"/>
      <scheme val="minor"/>
    </font>
    <font>
      <i/>
      <sz val="10"/>
      <color theme="1"/>
      <name val="Calibri"/>
      <family val="2"/>
      <scheme val="minor"/>
    </font>
    <font>
      <sz val="10"/>
      <name val="Arial"/>
      <family val="2"/>
    </font>
    <font>
      <b/>
      <sz val="11"/>
      <color rgb="FF000000"/>
      <name val="Speedee"/>
      <family val="2"/>
    </font>
    <font>
      <b/>
      <sz val="11"/>
      <color rgb="FF000000"/>
      <name val="Calibri"/>
      <family val="2"/>
      <scheme val="minor"/>
    </font>
    <font>
      <b/>
      <sz val="12"/>
      <color theme="1"/>
      <name val="Calibri"/>
      <family val="2"/>
      <scheme val="minor"/>
    </font>
    <font>
      <sz val="12"/>
      <color theme="0"/>
      <name val="Calibri"/>
      <family val="2"/>
      <scheme val="minor"/>
    </font>
    <font>
      <i/>
      <sz val="10"/>
      <color theme="1" tint="0.499984740745262"/>
      <name val="Calibri"/>
      <family val="2"/>
      <scheme val="minor"/>
    </font>
    <font>
      <b/>
      <sz val="12"/>
      <color theme="1"/>
      <name val="Speedee"/>
      <family val="2"/>
    </font>
    <font>
      <b/>
      <sz val="12"/>
      <color theme="1" tint="0.499984740745262"/>
      <name val="Calibri"/>
      <family val="2"/>
      <scheme val="minor"/>
    </font>
    <font>
      <sz val="12"/>
      <color theme="1" tint="0.34998626667073579"/>
      <name val="Calibri"/>
      <family val="2"/>
      <scheme val="minor"/>
    </font>
    <font>
      <b/>
      <sz val="14"/>
      <color theme="1" tint="0.34998626667073579"/>
      <name val="Calibri"/>
      <family val="2"/>
      <scheme val="minor"/>
    </font>
    <font>
      <sz val="11"/>
      <color theme="0"/>
      <name val="Speedee"/>
      <family val="2"/>
    </font>
    <font>
      <b/>
      <i/>
      <sz val="11"/>
      <color theme="1"/>
      <name val="Speedee"/>
      <family val="2"/>
    </font>
    <font>
      <b/>
      <sz val="16"/>
      <color theme="1"/>
      <name val="Calibri"/>
      <family val="2"/>
      <scheme val="minor"/>
    </font>
    <font>
      <sz val="11"/>
      <color rgb="FF000000"/>
      <name val="Speedee"/>
      <family val="2"/>
    </font>
    <font>
      <b/>
      <sz val="11"/>
      <color theme="5" tint="-0.499984740745262"/>
      <name val="Speedee"/>
      <family val="2"/>
    </font>
    <font>
      <sz val="12"/>
      <color theme="1"/>
      <name val="Speedee"/>
      <family val="2"/>
    </font>
    <font>
      <b/>
      <sz val="18"/>
      <name val="Calibri"/>
      <family val="2"/>
      <scheme val="minor"/>
    </font>
    <font>
      <i/>
      <sz val="10"/>
      <color theme="1"/>
      <name val="Speedee"/>
      <family val="2"/>
    </font>
    <font>
      <b/>
      <sz val="11"/>
      <color theme="1"/>
      <name val="Speedee"/>
      <family val="2"/>
    </font>
    <font>
      <b/>
      <sz val="10"/>
      <color theme="5" tint="-0.499984740745262"/>
      <name val="Speedee"/>
      <family val="2"/>
    </font>
    <font>
      <b/>
      <sz val="11"/>
      <color rgb="FF000000"/>
      <name val="Helvetica Neue"/>
      <family val="2"/>
    </font>
    <font>
      <b/>
      <sz val="14"/>
      <color rgb="FF993300"/>
      <name val="Calibri"/>
      <family val="2"/>
    </font>
    <font>
      <sz val="12"/>
      <color theme="5"/>
      <name val="Calibri"/>
      <family val="2"/>
      <scheme val="minor"/>
    </font>
    <font>
      <sz val="11"/>
      <color theme="5"/>
      <name val="Calibri"/>
      <family val="2"/>
      <scheme val="minor"/>
    </font>
    <font>
      <b/>
      <sz val="11"/>
      <color theme="5"/>
      <name val="Calibri"/>
      <family val="2"/>
      <scheme val="minor"/>
    </font>
    <font>
      <sz val="8"/>
      <color theme="0" tint="-0.249977111117893"/>
      <name val="Calibri"/>
      <family val="2"/>
      <scheme val="minor"/>
    </font>
    <font>
      <sz val="8"/>
      <color theme="0" tint="-0.249977111117893"/>
      <name val="Speedee"/>
      <family val="2"/>
    </font>
    <font>
      <b/>
      <sz val="11"/>
      <color rgb="FF000000"/>
      <name val="Speedee"/>
    </font>
    <font>
      <sz val="12"/>
      <color theme="1"/>
      <name val="Speedee"/>
    </font>
    <font>
      <b/>
      <sz val="11"/>
      <name val="Speedee"/>
    </font>
    <font>
      <i/>
      <sz val="12"/>
      <color theme="1"/>
      <name val="Speedee"/>
    </font>
    <font>
      <b/>
      <sz val="11"/>
      <color rgb="FF595959"/>
      <name val="Speedee"/>
      <family val="2"/>
    </font>
    <font>
      <sz val="11"/>
      <color rgb="FF000000"/>
      <name val="Calibri"/>
      <family val="2"/>
      <scheme val="minor"/>
    </font>
    <font>
      <b/>
      <sz val="22"/>
      <color rgb="FF000000"/>
      <name val="Calibri"/>
      <family val="2"/>
      <scheme val="minor"/>
    </font>
    <font>
      <b/>
      <sz val="13"/>
      <color rgb="FF000000"/>
      <name val="Calibri"/>
      <family val="2"/>
      <scheme val="minor"/>
    </font>
    <font>
      <b/>
      <sz val="16"/>
      <color rgb="FF000000"/>
      <name val="Calibri"/>
      <family val="2"/>
      <scheme val="minor"/>
    </font>
    <font>
      <sz val="10"/>
      <color theme="1"/>
      <name val="Arial"/>
      <family val="2"/>
    </font>
    <font>
      <b/>
      <sz val="10"/>
      <color theme="1"/>
      <name val="Arial"/>
      <family val="2"/>
    </font>
    <font>
      <b/>
      <sz val="20"/>
      <color theme="1"/>
      <name val="Arial"/>
      <family val="2"/>
    </font>
    <font>
      <b/>
      <sz val="20"/>
      <color rgb="FFC0504D"/>
      <name val="Aptos Narrow"/>
    </font>
    <font>
      <sz val="11"/>
      <color rgb="FF9C6500"/>
      <name val="Calibri"/>
      <family val="2"/>
      <scheme val="minor"/>
    </font>
    <font>
      <sz val="11"/>
      <color rgb="FF006100"/>
      <name val="Calibri"/>
      <family val="2"/>
      <scheme val="minor"/>
    </font>
    <font>
      <b/>
      <sz val="13"/>
      <color rgb="FF1F4E79"/>
      <name val="Calibri"/>
      <family val="2"/>
      <scheme val="minor"/>
    </font>
    <font>
      <b/>
      <sz val="11"/>
      <color theme="1"/>
      <name val="Arial"/>
      <family val="2"/>
    </font>
  </fonts>
  <fills count="28">
    <fill>
      <patternFill patternType="none"/>
    </fill>
    <fill>
      <patternFill patternType="gray125"/>
    </fill>
    <fill>
      <patternFill patternType="solid">
        <fgColor theme="5" tint="0.79998168889431442"/>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E9EFB3"/>
        <bgColor indexed="64"/>
      </patternFill>
    </fill>
    <fill>
      <patternFill patternType="solid">
        <fgColor rgb="FFE4DFEC"/>
        <bgColor indexed="64"/>
      </patternFill>
    </fill>
    <fill>
      <patternFill patternType="solid">
        <fgColor rgb="FFFFFFFF"/>
        <bgColor indexed="64"/>
      </patternFill>
    </fill>
    <fill>
      <patternFill patternType="solid">
        <fgColor theme="0"/>
        <bgColor indexed="64"/>
      </patternFill>
    </fill>
    <fill>
      <patternFill patternType="solid">
        <fgColor rgb="FFD6D6D6"/>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rgb="FFEBF1DE"/>
        <bgColor indexed="64"/>
      </patternFill>
    </fill>
    <fill>
      <patternFill patternType="solid">
        <fgColor rgb="FFF2DDDC"/>
        <bgColor indexed="64"/>
      </patternFill>
    </fill>
    <fill>
      <patternFill patternType="solid">
        <fgColor rgb="FFECF1E0"/>
        <bgColor indexed="64"/>
      </patternFill>
    </fill>
    <fill>
      <patternFill patternType="solid">
        <fgColor rgb="FFFAEADB"/>
        <bgColor indexed="64"/>
      </patternFill>
    </fill>
    <fill>
      <patternFill patternType="solid">
        <fgColor rgb="FFFFEB9C"/>
        <bgColor indexed="64"/>
      </patternFill>
    </fill>
    <fill>
      <patternFill patternType="solid">
        <fgColor rgb="FFC6EFCE"/>
        <bgColor indexed="64"/>
      </patternFill>
    </fill>
    <fill>
      <patternFill patternType="solid">
        <fgColor rgb="FFDDEBF7"/>
        <bgColor indexed="64"/>
      </patternFill>
    </fill>
    <fill>
      <patternFill patternType="solid">
        <fgColor rgb="FFF2F8FF"/>
        <bgColor indexed="64"/>
      </patternFill>
    </fill>
    <fill>
      <patternFill patternType="solid">
        <fgColor rgb="FFF1FAF1"/>
        <bgColor indexed="64"/>
      </patternFill>
    </fill>
    <fill>
      <patternFill patternType="solid">
        <fgColor rgb="FFFFF6ED"/>
        <bgColor indexed="64"/>
      </patternFill>
    </fill>
  </fills>
  <borders count="8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double">
        <color indexed="64"/>
      </left>
      <right style="double">
        <color indexed="64"/>
      </right>
      <top style="thin">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double">
        <color auto="1"/>
      </top>
      <bottom style="thin">
        <color indexed="64"/>
      </bottom>
      <diagonal/>
    </border>
    <border>
      <left style="medium">
        <color indexed="64"/>
      </left>
      <right style="thin">
        <color indexed="64"/>
      </right>
      <top style="thin">
        <color indexed="64"/>
      </top>
      <bottom style="double">
        <color indexed="64"/>
      </bottom>
      <diagonal/>
    </border>
    <border>
      <left style="medium">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top/>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top style="thin">
        <color rgb="FFFFFF00"/>
      </top>
      <bottom/>
      <diagonal/>
    </border>
    <border>
      <left/>
      <right/>
      <top/>
      <bottom style="thin">
        <color indexed="64"/>
      </bottom>
      <diagonal/>
    </border>
    <border>
      <left style="thin">
        <color indexed="64"/>
      </left>
      <right/>
      <top/>
      <bottom style="thin">
        <color indexed="64"/>
      </bottom>
      <diagonal/>
    </border>
    <border>
      <left style="thin">
        <color indexed="64"/>
      </left>
      <right style="thin">
        <color indexed="64"/>
      </right>
      <top/>
      <bottom/>
      <diagonal/>
    </border>
    <border>
      <left/>
      <right/>
      <top style="thin">
        <color indexed="64"/>
      </top>
      <bottom/>
      <diagonal/>
    </border>
    <border>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diagonal/>
    </border>
    <border>
      <left style="thin">
        <color auto="1"/>
      </left>
      <right style="thin">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style="medium">
        <color auto="1"/>
      </top>
      <bottom style="thin">
        <color auto="1"/>
      </bottom>
      <diagonal/>
    </border>
    <border>
      <left style="thin">
        <color auto="1"/>
      </left>
      <right/>
      <top style="thin">
        <color auto="1"/>
      </top>
      <bottom style="thin">
        <color auto="1"/>
      </bottom>
      <diagonal/>
    </border>
    <border>
      <left style="thin">
        <color auto="1"/>
      </left>
      <right/>
      <top style="thin">
        <color auto="1"/>
      </top>
      <bottom style="medium">
        <color auto="1"/>
      </bottom>
      <diagonal/>
    </border>
    <border>
      <left/>
      <right style="thin">
        <color auto="1"/>
      </right>
      <top style="medium">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style="double">
        <color auto="1"/>
      </left>
      <right style="double">
        <color auto="1"/>
      </right>
      <top style="thin">
        <color indexed="64"/>
      </top>
      <bottom/>
      <diagonal/>
    </border>
    <border>
      <left style="double">
        <color auto="1"/>
      </left>
      <right style="double">
        <color auto="1"/>
      </right>
      <top/>
      <bottom/>
      <diagonal/>
    </border>
    <border>
      <left style="double">
        <color auto="1"/>
      </left>
      <right style="double">
        <color auto="1"/>
      </right>
      <top style="medium">
        <color auto="1"/>
      </top>
      <bottom style="thin">
        <color auto="1"/>
      </bottom>
      <diagonal/>
    </border>
    <border>
      <left style="double">
        <color auto="1"/>
      </left>
      <right style="double">
        <color auto="1"/>
      </right>
      <top style="thin">
        <color auto="1"/>
      </top>
      <bottom style="thin">
        <color auto="1"/>
      </bottom>
      <diagonal/>
    </border>
    <border>
      <left style="double">
        <color auto="1"/>
      </left>
      <right style="double">
        <color auto="1"/>
      </right>
      <top style="thin">
        <color auto="1"/>
      </top>
      <bottom style="medium">
        <color auto="1"/>
      </bottom>
      <diagonal/>
    </border>
    <border>
      <left/>
      <right/>
      <top style="medium">
        <color indexed="64"/>
      </top>
      <bottom style="thin">
        <color indexed="64"/>
      </bottom>
      <diagonal/>
    </border>
    <border>
      <left/>
      <right/>
      <top style="thin">
        <color indexed="64"/>
      </top>
      <bottom style="medium">
        <color indexed="64"/>
      </bottom>
      <diagonal/>
    </border>
    <border>
      <left/>
      <right/>
      <top/>
      <bottom style="medium">
        <color indexed="64"/>
      </bottom>
      <diagonal/>
    </border>
    <border>
      <left style="double">
        <color indexed="64"/>
      </left>
      <right style="double">
        <color indexed="64"/>
      </right>
      <top style="medium">
        <color indexed="64"/>
      </top>
      <bottom style="thin">
        <color indexed="64"/>
      </bottom>
      <diagonal/>
    </border>
    <border>
      <left style="double">
        <color indexed="64"/>
      </left>
      <right style="double">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style="thin">
        <color auto="1"/>
      </top>
      <bottom style="thin">
        <color auto="1"/>
      </bottom>
      <diagonal/>
    </border>
    <border>
      <left style="thin">
        <color rgb="FF969696"/>
      </left>
      <right style="thin">
        <color rgb="FF969696"/>
      </right>
      <top style="medium">
        <color rgb="FF5A5A5A"/>
      </top>
      <bottom/>
      <diagonal/>
    </border>
    <border>
      <left style="thin">
        <color rgb="FF969696"/>
      </left>
      <right style="thin">
        <color rgb="FF969696"/>
      </right>
      <top style="thin">
        <color rgb="FFB4B4B4"/>
      </top>
      <bottom/>
      <diagonal/>
    </border>
    <border>
      <left style="medium">
        <color rgb="FF5A5A5A"/>
      </left>
      <right style="thin">
        <color rgb="FF969696"/>
      </right>
      <top style="medium">
        <color rgb="FF5A5A5A"/>
      </top>
      <bottom/>
      <diagonal/>
    </border>
    <border>
      <left style="medium">
        <color rgb="FF5A5A5A"/>
      </left>
      <right style="thin">
        <color rgb="FF969696"/>
      </right>
      <top style="thin">
        <color rgb="FFB4B4B4"/>
      </top>
      <bottom/>
      <diagonal/>
    </border>
    <border>
      <left style="thin">
        <color rgb="FF969696"/>
      </left>
      <right style="medium">
        <color rgb="FF5A5A5A"/>
      </right>
      <top style="medium">
        <color rgb="FF5A5A5A"/>
      </top>
      <bottom/>
      <diagonal/>
    </border>
    <border>
      <left style="thin">
        <color rgb="FF969696"/>
      </left>
      <right style="medium">
        <color rgb="FF5A5A5A"/>
      </right>
      <top style="thin">
        <color rgb="FFB4B4B4"/>
      </top>
      <bottom/>
      <diagonal/>
    </border>
    <border>
      <left style="medium">
        <color rgb="FF5A5A5A"/>
      </left>
      <right style="thin">
        <color rgb="FF969696"/>
      </right>
      <top style="thin">
        <color rgb="FFB4B4B4"/>
      </top>
      <bottom style="medium">
        <color rgb="FF5A5A5A"/>
      </bottom>
      <diagonal/>
    </border>
    <border>
      <left style="thin">
        <color rgb="FF969696"/>
      </left>
      <right style="thin">
        <color rgb="FF969696"/>
      </right>
      <top style="thin">
        <color rgb="FFB4B4B4"/>
      </top>
      <bottom style="medium">
        <color rgb="FF5A5A5A"/>
      </bottom>
      <diagonal/>
    </border>
    <border>
      <left style="thin">
        <color rgb="FF969696"/>
      </left>
      <right style="medium">
        <color rgb="FF5A5A5A"/>
      </right>
      <top style="thin">
        <color rgb="FFB4B4B4"/>
      </top>
      <bottom style="medium">
        <color rgb="FF5A5A5A"/>
      </bottom>
      <diagonal/>
    </border>
    <border>
      <left style="thin">
        <color rgb="FF969696"/>
      </left>
      <right style="thin">
        <color rgb="FF969696"/>
      </right>
      <top style="medium">
        <color rgb="FF787878"/>
      </top>
      <bottom/>
      <diagonal/>
    </border>
    <border>
      <left style="medium">
        <color rgb="FF5A5A5A"/>
      </left>
      <right style="thin">
        <color rgb="FF969696"/>
      </right>
      <top style="medium">
        <color rgb="FF787878"/>
      </top>
      <bottom/>
      <diagonal/>
    </border>
    <border>
      <left style="thin">
        <color rgb="FF969696"/>
      </left>
      <right style="medium">
        <color rgb="FF5A5A5A"/>
      </right>
      <top style="medium">
        <color rgb="FF787878"/>
      </top>
      <bottom/>
      <diagonal/>
    </border>
  </borders>
  <cellStyleXfs count="6">
    <xf numFmtId="0" fontId="0" fillId="0" borderId="0"/>
    <xf numFmtId="0" fontId="19" fillId="0" borderId="0"/>
    <xf numFmtId="164" fontId="19" fillId="0" borderId="0" applyFont="0" applyFill="0" applyBorder="0" applyAlignment="0" applyProtection="0"/>
    <xf numFmtId="9" fontId="19" fillId="0" borderId="0" applyFont="0" applyFill="0" applyBorder="0" applyAlignment="0" applyProtection="0"/>
    <xf numFmtId="165" fontId="19" fillId="0" borderId="0" applyFont="0" applyFill="0" applyBorder="0" applyAlignment="0" applyProtection="0"/>
    <xf numFmtId="0" fontId="2" fillId="0" borderId="0"/>
  </cellStyleXfs>
  <cellXfs count="448">
    <xf numFmtId="0" fontId="0" fillId="0" borderId="0" xfId="0"/>
    <xf numFmtId="0" fontId="4" fillId="0" borderId="0" xfId="0" applyFont="1"/>
    <xf numFmtId="0" fontId="13" fillId="0" borderId="0" xfId="0" applyFont="1" applyAlignment="1">
      <alignment vertical="center"/>
    </xf>
    <xf numFmtId="166" fontId="0" fillId="0" borderId="1" xfId="0" applyNumberFormat="1" applyBorder="1" applyAlignment="1" applyProtection="1">
      <alignment horizontal="center"/>
      <protection locked="0"/>
    </xf>
    <xf numFmtId="0" fontId="20" fillId="11" borderId="0" xfId="0" applyFont="1" applyFill="1"/>
    <xf numFmtId="0" fontId="21" fillId="10" borderId="0" xfId="0" applyFont="1" applyFill="1"/>
    <xf numFmtId="0" fontId="21" fillId="11" borderId="0" xfId="0" applyFont="1" applyFill="1"/>
    <xf numFmtId="166" fontId="2" fillId="0" borderId="0" xfId="5" applyNumberFormat="1" applyAlignment="1">
      <alignment horizontal="center"/>
    </xf>
    <xf numFmtId="0" fontId="2" fillId="0" borderId="0" xfId="5" applyAlignment="1">
      <alignment horizontal="center" vertical="center"/>
    </xf>
    <xf numFmtId="0" fontId="2" fillId="0" borderId="0" xfId="5"/>
    <xf numFmtId="0" fontId="2" fillId="0" borderId="0" xfId="5" applyAlignment="1">
      <alignment horizontal="center"/>
    </xf>
    <xf numFmtId="0" fontId="2" fillId="0" borderId="0" xfId="5" applyAlignment="1">
      <alignment horizontal="left"/>
    </xf>
    <xf numFmtId="2" fontId="2" fillId="0" borderId="0" xfId="5" applyNumberFormat="1" applyAlignment="1">
      <alignment horizontal="center"/>
    </xf>
    <xf numFmtId="0" fontId="23" fillId="0" borderId="0" xfId="5" applyFont="1"/>
    <xf numFmtId="0" fontId="2" fillId="0" borderId="24" xfId="5" applyBorder="1" applyAlignment="1">
      <alignment horizontal="center" vertical="center"/>
    </xf>
    <xf numFmtId="0" fontId="24" fillId="0" borderId="24" xfId="5" applyFont="1" applyBorder="1" applyAlignment="1">
      <alignment horizontal="left" vertical="center"/>
    </xf>
    <xf numFmtId="0" fontId="26" fillId="0" borderId="24" xfId="5" applyFont="1" applyBorder="1" applyAlignment="1">
      <alignment horizontal="left" vertical="center"/>
    </xf>
    <xf numFmtId="0" fontId="27" fillId="0" borderId="24" xfId="5" applyFont="1" applyBorder="1" applyAlignment="1">
      <alignment horizontal="left" vertical="center"/>
    </xf>
    <xf numFmtId="0" fontId="28" fillId="0" borderId="24" xfId="5" applyFont="1" applyBorder="1" applyAlignment="1">
      <alignment horizontal="left" vertical="center"/>
    </xf>
    <xf numFmtId="0" fontId="2" fillId="14" borderId="9" xfId="5" applyFill="1" applyBorder="1" applyAlignment="1">
      <alignment horizontal="left"/>
    </xf>
    <xf numFmtId="2" fontId="2" fillId="14" borderId="13" xfId="5" applyNumberFormat="1" applyFill="1" applyBorder="1" applyAlignment="1">
      <alignment horizontal="center"/>
    </xf>
    <xf numFmtId="0" fontId="2" fillId="14" borderId="3" xfId="5" applyFill="1" applyBorder="1" applyAlignment="1">
      <alignment horizontal="left"/>
    </xf>
    <xf numFmtId="2" fontId="2" fillId="14" borderId="1" xfId="5" applyNumberFormat="1" applyFill="1" applyBorder="1" applyAlignment="1">
      <alignment horizontal="center"/>
    </xf>
    <xf numFmtId="0" fontId="2" fillId="14" borderId="21" xfId="5" applyFill="1" applyBorder="1" applyAlignment="1">
      <alignment horizontal="left"/>
    </xf>
    <xf numFmtId="2" fontId="2" fillId="14" borderId="16" xfId="5" applyNumberFormat="1" applyFill="1" applyBorder="1" applyAlignment="1">
      <alignment horizontal="center"/>
    </xf>
    <xf numFmtId="0" fontId="2" fillId="14" borderId="22" xfId="5" applyFill="1" applyBorder="1" applyAlignment="1">
      <alignment horizontal="left"/>
    </xf>
    <xf numFmtId="0" fontId="2" fillId="15" borderId="9" xfId="5" applyFill="1" applyBorder="1" applyAlignment="1">
      <alignment horizontal="left"/>
    </xf>
    <xf numFmtId="2" fontId="2" fillId="15" borderId="13" xfId="5" applyNumberFormat="1" applyFill="1" applyBorder="1" applyAlignment="1">
      <alignment horizontal="center"/>
    </xf>
    <xf numFmtId="0" fontId="2" fillId="15" borderId="3" xfId="5" applyFill="1" applyBorder="1" applyAlignment="1">
      <alignment horizontal="left"/>
    </xf>
    <xf numFmtId="2" fontId="2" fillId="15" borderId="1" xfId="5" applyNumberFormat="1" applyFill="1" applyBorder="1" applyAlignment="1">
      <alignment horizontal="center"/>
    </xf>
    <xf numFmtId="0" fontId="2" fillId="15" borderId="21" xfId="5" applyFill="1" applyBorder="1" applyAlignment="1">
      <alignment horizontal="left"/>
    </xf>
    <xf numFmtId="2" fontId="2" fillId="15" borderId="16" xfId="5" applyNumberFormat="1" applyFill="1" applyBorder="1" applyAlignment="1">
      <alignment horizontal="center"/>
    </xf>
    <xf numFmtId="0" fontId="2" fillId="16" borderId="9" xfId="5" applyFill="1" applyBorder="1" applyAlignment="1">
      <alignment horizontal="left"/>
    </xf>
    <xf numFmtId="2" fontId="2" fillId="16" borderId="13" xfId="5" applyNumberFormat="1" applyFill="1" applyBorder="1" applyAlignment="1">
      <alignment horizontal="center"/>
    </xf>
    <xf numFmtId="0" fontId="2" fillId="16" borderId="3" xfId="5" applyFill="1" applyBorder="1" applyAlignment="1">
      <alignment horizontal="left"/>
    </xf>
    <xf numFmtId="2" fontId="2" fillId="16" borderId="1" xfId="5" applyNumberFormat="1" applyFill="1" applyBorder="1" applyAlignment="1">
      <alignment horizontal="center"/>
    </xf>
    <xf numFmtId="0" fontId="2" fillId="16" borderId="21" xfId="5" applyFill="1" applyBorder="1" applyAlignment="1">
      <alignment horizontal="left"/>
    </xf>
    <xf numFmtId="2" fontId="2" fillId="16" borderId="16" xfId="5" applyNumberFormat="1" applyFill="1" applyBorder="1" applyAlignment="1">
      <alignment horizontal="center"/>
    </xf>
    <xf numFmtId="0" fontId="2" fillId="16" borderId="5" xfId="5" applyFill="1" applyBorder="1" applyAlignment="1">
      <alignment horizontal="left"/>
    </xf>
    <xf numFmtId="2" fontId="2" fillId="16" borderId="6" xfId="5" applyNumberFormat="1" applyFill="1" applyBorder="1" applyAlignment="1">
      <alignment horizontal="center"/>
    </xf>
    <xf numFmtId="0" fontId="2" fillId="0" borderId="8" xfId="5" applyBorder="1" applyAlignment="1">
      <alignment vertical="center" textRotation="90"/>
    </xf>
    <xf numFmtId="168" fontId="29" fillId="0" borderId="0" xfId="0" applyNumberFormat="1" applyFont="1"/>
    <xf numFmtId="0" fontId="5" fillId="0" borderId="0" xfId="0" applyFont="1" applyAlignment="1">
      <alignment horizontal="right"/>
    </xf>
    <xf numFmtId="0" fontId="29" fillId="0" borderId="0" xfId="0" applyFont="1"/>
    <xf numFmtId="16" fontId="5" fillId="0" borderId="0" xfId="0" applyNumberFormat="1" applyFont="1" applyAlignment="1">
      <alignment horizontal="right"/>
    </xf>
    <xf numFmtId="0" fontId="5" fillId="0" borderId="0" xfId="0" applyFont="1"/>
    <xf numFmtId="0" fontId="8" fillId="0" borderId="0" xfId="0" applyFont="1"/>
    <xf numFmtId="0" fontId="2" fillId="0" borderId="31" xfId="5" applyBorder="1" applyAlignment="1">
      <alignment horizontal="center" vertical="center"/>
    </xf>
    <xf numFmtId="2" fontId="5" fillId="3" borderId="1" xfId="0" applyNumberFormat="1" applyFont="1" applyFill="1" applyBorder="1" applyAlignment="1">
      <alignment horizontal="center"/>
    </xf>
    <xf numFmtId="2" fontId="5" fillId="3" borderId="1" xfId="0" applyNumberFormat="1" applyFont="1" applyFill="1" applyBorder="1" applyAlignment="1">
      <alignment horizontal="center" vertical="center"/>
    </xf>
    <xf numFmtId="1" fontId="0" fillId="0" borderId="1" xfId="0" applyNumberFormat="1" applyBorder="1" applyAlignment="1" applyProtection="1">
      <alignment horizontal="center"/>
      <protection locked="0"/>
    </xf>
    <xf numFmtId="169" fontId="0" fillId="0" borderId="1" xfId="0" applyNumberFormat="1" applyBorder="1" applyAlignment="1" applyProtection="1">
      <alignment horizontal="center"/>
      <protection locked="0"/>
    </xf>
    <xf numFmtId="167" fontId="5" fillId="3" borderId="1" xfId="0" applyNumberFormat="1" applyFont="1" applyFill="1" applyBorder="1" applyAlignment="1">
      <alignment horizontal="center"/>
    </xf>
    <xf numFmtId="10" fontId="5" fillId="6" borderId="1" xfId="0" applyNumberFormat="1" applyFont="1" applyFill="1" applyBorder="1" applyAlignment="1">
      <alignment horizontal="center"/>
    </xf>
    <xf numFmtId="0" fontId="31" fillId="0" borderId="16" xfId="5" applyFont="1" applyBorder="1" applyAlignment="1">
      <alignment horizontal="center"/>
    </xf>
    <xf numFmtId="0" fontId="4" fillId="12" borderId="0" xfId="0" applyFont="1" applyFill="1"/>
    <xf numFmtId="0" fontId="3" fillId="13" borderId="1" xfId="0" applyFont="1" applyFill="1" applyBorder="1" applyAlignment="1">
      <alignment horizontal="center"/>
    </xf>
    <xf numFmtId="0" fontId="3" fillId="13" borderId="1" xfId="0" applyFont="1" applyFill="1" applyBorder="1"/>
    <xf numFmtId="10" fontId="0" fillId="13" borderId="1" xfId="0" applyNumberFormat="1" applyFill="1" applyBorder="1" applyAlignment="1">
      <alignment horizontal="center"/>
    </xf>
    <xf numFmtId="0" fontId="0" fillId="13" borderId="1" xfId="0" applyFill="1" applyBorder="1"/>
    <xf numFmtId="0" fontId="5" fillId="0" borderId="1" xfId="0" applyFont="1" applyBorder="1" applyAlignment="1">
      <alignment horizontal="center"/>
    </xf>
    <xf numFmtId="0" fontId="6" fillId="0" borderId="1" xfId="0" applyFont="1" applyBorder="1" applyAlignment="1">
      <alignment horizontal="center"/>
    </xf>
    <xf numFmtId="2" fontId="4" fillId="0" borderId="1" xfId="0" applyNumberFormat="1" applyFont="1" applyBorder="1" applyAlignment="1">
      <alignment horizontal="center" vertical="center"/>
    </xf>
    <xf numFmtId="0" fontId="4" fillId="0" borderId="1" xfId="0" applyFont="1" applyBorder="1" applyAlignment="1">
      <alignment horizontal="left"/>
    </xf>
    <xf numFmtId="2" fontId="5" fillId="14" borderId="1" xfId="0" applyNumberFormat="1" applyFont="1" applyFill="1" applyBorder="1" applyAlignment="1">
      <alignment horizontal="center" vertical="center"/>
    </xf>
    <xf numFmtId="166" fontId="4" fillId="0" borderId="1" xfId="0" applyNumberFormat="1" applyFont="1" applyBorder="1" applyAlignment="1">
      <alignment horizontal="center" vertical="center"/>
    </xf>
    <xf numFmtId="10" fontId="4" fillId="0" borderId="1" xfId="0" applyNumberFormat="1" applyFont="1" applyBorder="1" applyAlignment="1">
      <alignment horizontal="center" vertical="center"/>
    </xf>
    <xf numFmtId="10" fontId="33" fillId="0" borderId="1" xfId="0" applyNumberFormat="1" applyFont="1" applyBorder="1" applyAlignment="1">
      <alignment horizontal="center" vertical="center"/>
    </xf>
    <xf numFmtId="0" fontId="5" fillId="14" borderId="1" xfId="0" applyFont="1" applyFill="1" applyBorder="1" applyAlignment="1">
      <alignment horizontal="center"/>
    </xf>
    <xf numFmtId="166" fontId="5" fillId="14" borderId="1" xfId="0" applyNumberFormat="1" applyFont="1" applyFill="1" applyBorder="1" applyAlignment="1">
      <alignment horizontal="center" vertical="center"/>
    </xf>
    <xf numFmtId="10" fontId="5" fillId="14" borderId="1" xfId="0" applyNumberFormat="1" applyFont="1" applyFill="1" applyBorder="1" applyAlignment="1">
      <alignment horizontal="center" vertical="center"/>
    </xf>
    <xf numFmtId="10" fontId="33" fillId="14" borderId="1" xfId="0" applyNumberFormat="1" applyFont="1" applyFill="1" applyBorder="1" applyAlignment="1">
      <alignment horizontal="center" vertical="center"/>
    </xf>
    <xf numFmtId="2" fontId="20" fillId="11" borderId="1" xfId="0" applyNumberFormat="1" applyFont="1" applyFill="1" applyBorder="1" applyAlignment="1">
      <alignment horizontal="center" vertical="center"/>
    </xf>
    <xf numFmtId="0" fontId="7" fillId="14" borderId="1" xfId="0" applyFont="1" applyFill="1" applyBorder="1" applyAlignment="1">
      <alignment horizontal="center"/>
    </xf>
    <xf numFmtId="166" fontId="7" fillId="14" borderId="1" xfId="0" applyNumberFormat="1" applyFont="1" applyFill="1" applyBorder="1" applyAlignment="1">
      <alignment horizontal="center" vertical="center"/>
    </xf>
    <xf numFmtId="10" fontId="7" fillId="14" borderId="1" xfId="0" applyNumberFormat="1" applyFont="1" applyFill="1" applyBorder="1" applyAlignment="1">
      <alignment horizontal="center" vertical="center"/>
    </xf>
    <xf numFmtId="2" fontId="7" fillId="14" borderId="1" xfId="0" applyNumberFormat="1" applyFont="1" applyFill="1" applyBorder="1" applyAlignment="1">
      <alignment horizontal="center" vertical="center"/>
    </xf>
    <xf numFmtId="0" fontId="17" fillId="0" borderId="0" xfId="0" applyFont="1" applyAlignment="1">
      <alignment vertical="center" wrapText="1"/>
    </xf>
    <xf numFmtId="166" fontId="5" fillId="0" borderId="0" xfId="0" applyNumberFormat="1" applyFont="1" applyAlignment="1">
      <alignment horizontal="center"/>
    </xf>
    <xf numFmtId="10" fontId="5" fillId="0" borderId="0" xfId="0" applyNumberFormat="1" applyFont="1" applyAlignment="1">
      <alignment horizontal="center"/>
    </xf>
    <xf numFmtId="2" fontId="5" fillId="0" borderId="0" xfId="0" applyNumberFormat="1" applyFont="1" applyAlignment="1">
      <alignment horizontal="center"/>
    </xf>
    <xf numFmtId="166" fontId="5" fillId="0" borderId="0" xfId="0" applyNumberFormat="1" applyFont="1"/>
    <xf numFmtId="0" fontId="37" fillId="0" borderId="0" xfId="0" applyFont="1"/>
    <xf numFmtId="166" fontId="38" fillId="0" borderId="1" xfId="0" applyNumberFormat="1" applyFont="1" applyBorder="1" applyAlignment="1">
      <alignment horizontal="center" vertical="center"/>
    </xf>
    <xf numFmtId="166" fontId="38" fillId="14" borderId="1" xfId="0" applyNumberFormat="1" applyFont="1" applyFill="1" applyBorder="1" applyAlignment="1">
      <alignment horizontal="center" vertical="center"/>
    </xf>
    <xf numFmtId="2" fontId="38" fillId="0" borderId="1" xfId="0" applyNumberFormat="1" applyFont="1" applyBorder="1" applyAlignment="1">
      <alignment horizontal="center" vertical="center"/>
    </xf>
    <xf numFmtId="2" fontId="38" fillId="14" borderId="1" xfId="0" applyNumberFormat="1" applyFont="1" applyFill="1" applyBorder="1" applyAlignment="1">
      <alignment horizontal="center" vertical="center"/>
    </xf>
    <xf numFmtId="166" fontId="0" fillId="14" borderId="1" xfId="0" applyNumberFormat="1" applyFill="1" applyBorder="1" applyAlignment="1">
      <alignment horizontal="center"/>
    </xf>
    <xf numFmtId="2" fontId="2" fillId="14" borderId="28" xfId="5" applyNumberFormat="1" applyFill="1" applyBorder="1" applyAlignment="1">
      <alignment horizontal="center"/>
    </xf>
    <xf numFmtId="0" fontId="1" fillId="14" borderId="45" xfId="5" applyFont="1" applyFill="1" applyBorder="1" applyAlignment="1">
      <alignment horizontal="left"/>
    </xf>
    <xf numFmtId="2" fontId="2" fillId="15" borderId="28" xfId="5" applyNumberFormat="1" applyFill="1" applyBorder="1" applyAlignment="1">
      <alignment horizontal="center"/>
    </xf>
    <xf numFmtId="0" fontId="1" fillId="15" borderId="45" xfId="5" applyFont="1" applyFill="1" applyBorder="1" applyAlignment="1">
      <alignment horizontal="left"/>
    </xf>
    <xf numFmtId="2" fontId="2" fillId="16" borderId="28" xfId="5" applyNumberFormat="1" applyFill="1" applyBorder="1" applyAlignment="1">
      <alignment horizontal="center"/>
    </xf>
    <xf numFmtId="0" fontId="1" fillId="16" borderId="9" xfId="5" applyFont="1" applyFill="1" applyBorder="1" applyAlignment="1">
      <alignment horizontal="left"/>
    </xf>
    <xf numFmtId="0" fontId="1" fillId="16" borderId="3" xfId="5" applyFont="1" applyFill="1" applyBorder="1" applyAlignment="1">
      <alignment horizontal="left"/>
    </xf>
    <xf numFmtId="0" fontId="1" fillId="16" borderId="21" xfId="5" applyFont="1" applyFill="1" applyBorder="1" applyAlignment="1">
      <alignment horizontal="left"/>
    </xf>
    <xf numFmtId="0" fontId="37" fillId="4" borderId="36" xfId="0" applyFont="1" applyFill="1" applyBorder="1"/>
    <xf numFmtId="0" fontId="4" fillId="4" borderId="36" xfId="0" applyFont="1" applyFill="1" applyBorder="1"/>
    <xf numFmtId="0" fontId="4" fillId="4" borderId="14" xfId="0" applyFont="1" applyFill="1" applyBorder="1"/>
    <xf numFmtId="0" fontId="1" fillId="0" borderId="8" xfId="5" applyFont="1" applyBorder="1" applyAlignment="1">
      <alignment vertical="center" textRotation="90"/>
    </xf>
    <xf numFmtId="0" fontId="12" fillId="0" borderId="0" xfId="0" applyFont="1"/>
    <xf numFmtId="166" fontId="2" fillId="12" borderId="13" xfId="5" applyNumberFormat="1" applyFill="1" applyBorder="1" applyAlignment="1" applyProtection="1">
      <alignment horizontal="center"/>
      <protection locked="0"/>
    </xf>
    <xf numFmtId="166" fontId="2" fillId="14" borderId="10" xfId="5" applyNumberFormat="1" applyFill="1" applyBorder="1" applyAlignment="1" applyProtection="1">
      <alignment horizontal="center"/>
      <protection locked="0"/>
    </xf>
    <xf numFmtId="166" fontId="2" fillId="12" borderId="1" xfId="5" applyNumberFormat="1" applyFill="1" applyBorder="1" applyAlignment="1" applyProtection="1">
      <alignment horizontal="center"/>
      <protection locked="0"/>
    </xf>
    <xf numFmtId="166" fontId="2" fillId="14" borderId="4" xfId="5" applyNumberFormat="1" applyFill="1" applyBorder="1" applyAlignment="1" applyProtection="1">
      <alignment horizontal="center"/>
      <protection locked="0"/>
    </xf>
    <xf numFmtId="166" fontId="2" fillId="12" borderId="28" xfId="5" applyNumberFormat="1" applyFill="1" applyBorder="1" applyAlignment="1" applyProtection="1">
      <alignment horizontal="center"/>
      <protection locked="0"/>
    </xf>
    <xf numFmtId="166" fontId="2" fillId="14" borderId="46" xfId="5" applyNumberFormat="1" applyFill="1" applyBorder="1" applyAlignment="1" applyProtection="1">
      <alignment horizontal="center"/>
      <protection locked="0"/>
    </xf>
    <xf numFmtId="166" fontId="2" fillId="12" borderId="16" xfId="5" applyNumberFormat="1" applyFill="1" applyBorder="1" applyAlignment="1" applyProtection="1">
      <alignment horizontal="center"/>
      <protection locked="0"/>
    </xf>
    <xf numFmtId="166" fontId="2" fillId="14" borderId="17" xfId="5" applyNumberFormat="1" applyFill="1" applyBorder="1" applyAlignment="1" applyProtection="1">
      <alignment horizontal="center"/>
      <protection locked="0"/>
    </xf>
    <xf numFmtId="166" fontId="2" fillId="12" borderId="23" xfId="5" applyNumberFormat="1" applyFill="1" applyBorder="1" applyAlignment="1" applyProtection="1">
      <alignment horizontal="center"/>
      <protection locked="0"/>
    </xf>
    <xf numFmtId="166" fontId="2" fillId="14" borderId="20" xfId="5" applyNumberFormat="1" applyFill="1" applyBorder="1" applyAlignment="1" applyProtection="1">
      <alignment horizontal="center"/>
      <protection locked="0"/>
    </xf>
    <xf numFmtId="166" fontId="2" fillId="15" borderId="10" xfId="5" applyNumberFormat="1" applyFill="1" applyBorder="1" applyAlignment="1" applyProtection="1">
      <alignment horizontal="center"/>
      <protection locked="0"/>
    </xf>
    <xf numFmtId="166" fontId="2" fillId="15" borderId="4" xfId="5" applyNumberFormat="1" applyFill="1" applyBorder="1" applyAlignment="1" applyProtection="1">
      <alignment horizontal="center"/>
      <protection locked="0"/>
    </xf>
    <xf numFmtId="166" fontId="2" fillId="15" borderId="46" xfId="5" applyNumberFormat="1" applyFill="1" applyBorder="1" applyAlignment="1" applyProtection="1">
      <alignment horizontal="center"/>
      <protection locked="0"/>
    </xf>
    <xf numFmtId="166" fontId="2" fillId="15" borderId="17" xfId="5" applyNumberFormat="1" applyFill="1" applyBorder="1" applyAlignment="1" applyProtection="1">
      <alignment horizontal="center"/>
      <protection locked="0"/>
    </xf>
    <xf numFmtId="166" fontId="2" fillId="16" borderId="10" xfId="5" applyNumberFormat="1" applyFill="1" applyBorder="1" applyAlignment="1" applyProtection="1">
      <alignment horizontal="center"/>
      <protection locked="0"/>
    </xf>
    <xf numFmtId="166" fontId="2" fillId="16" borderId="4" xfId="5" applyNumberFormat="1" applyFill="1" applyBorder="1" applyAlignment="1" applyProtection="1">
      <alignment horizontal="center"/>
      <protection locked="0"/>
    </xf>
    <xf numFmtId="166" fontId="2" fillId="16" borderId="46" xfId="5" applyNumberFormat="1" applyFill="1" applyBorder="1" applyAlignment="1" applyProtection="1">
      <alignment horizontal="center"/>
      <protection locked="0"/>
    </xf>
    <xf numFmtId="166" fontId="2" fillId="16" borderId="17" xfId="5" applyNumberFormat="1" applyFill="1" applyBorder="1" applyAlignment="1" applyProtection="1">
      <alignment horizontal="center"/>
      <protection locked="0"/>
    </xf>
    <xf numFmtId="166" fontId="2" fillId="12" borderId="6" xfId="5" applyNumberFormat="1" applyFill="1" applyBorder="1" applyAlignment="1" applyProtection="1">
      <alignment horizontal="center"/>
      <protection locked="0"/>
    </xf>
    <xf numFmtId="166" fontId="2" fillId="16" borderId="7" xfId="5" applyNumberFormat="1" applyFill="1" applyBorder="1" applyAlignment="1" applyProtection="1">
      <alignment horizontal="center"/>
      <protection locked="0"/>
    </xf>
    <xf numFmtId="0" fontId="22" fillId="0" borderId="0" xfId="5" applyFont="1" applyAlignment="1">
      <alignment horizontal="left" vertical="center"/>
    </xf>
    <xf numFmtId="170" fontId="22" fillId="0" borderId="0" xfId="5" applyNumberFormat="1" applyFont="1" applyAlignment="1">
      <alignment horizontal="center" vertical="center"/>
    </xf>
    <xf numFmtId="2" fontId="22" fillId="14" borderId="47" xfId="5" applyNumberFormat="1" applyFont="1" applyFill="1" applyBorder="1" applyAlignment="1">
      <alignment horizontal="left" vertical="center"/>
    </xf>
    <xf numFmtId="0" fontId="41" fillId="0" borderId="0" xfId="5" applyFont="1" applyAlignment="1">
      <alignment vertical="top" wrapText="1"/>
    </xf>
    <xf numFmtId="0" fontId="22" fillId="0" borderId="48" xfId="5" applyFont="1" applyBorder="1" applyAlignment="1" applyProtection="1">
      <alignment horizontal="center" vertical="center"/>
      <protection locked="0"/>
    </xf>
    <xf numFmtId="0" fontId="44" fillId="0" borderId="0" xfId="5" applyFont="1" applyAlignment="1">
      <alignment vertical="center" wrapText="1"/>
    </xf>
    <xf numFmtId="0" fontId="7" fillId="0" borderId="0" xfId="0" applyFont="1" applyAlignment="1">
      <alignment horizontal="center" wrapText="1"/>
    </xf>
    <xf numFmtId="1" fontId="11" fillId="0" borderId="0" xfId="0" applyNumberFormat="1" applyFont="1" applyAlignment="1">
      <alignment horizontal="right" wrapText="1"/>
    </xf>
    <xf numFmtId="0" fontId="5" fillId="0" borderId="0" xfId="0" applyFont="1" applyAlignment="1">
      <alignment horizontal="right" wrapText="1"/>
    </xf>
    <xf numFmtId="0" fontId="50" fillId="0" borderId="0" xfId="0" applyFont="1" applyAlignment="1">
      <alignment horizontal="right"/>
    </xf>
    <xf numFmtId="16" fontId="50" fillId="0" borderId="0" xfId="0" applyNumberFormat="1" applyFont="1" applyAlignment="1">
      <alignment horizontal="right"/>
    </xf>
    <xf numFmtId="0" fontId="20" fillId="18" borderId="50" xfId="0" applyFont="1" applyFill="1" applyBorder="1" applyProtection="1">
      <protection locked="0"/>
    </xf>
    <xf numFmtId="14" fontId="32" fillId="18" borderId="50" xfId="0" applyNumberFormat="1" applyFont="1" applyFill="1" applyBorder="1" applyAlignment="1" applyProtection="1">
      <alignment horizontal="center"/>
      <protection locked="0"/>
    </xf>
    <xf numFmtId="0" fontId="4" fillId="3" borderId="50" xfId="0" applyFont="1" applyFill="1" applyBorder="1" applyAlignment="1" applyProtection="1">
      <alignment horizontal="center"/>
      <protection locked="0"/>
    </xf>
    <xf numFmtId="2" fontId="4" fillId="2" borderId="50" xfId="0" applyNumberFormat="1" applyFont="1" applyFill="1" applyBorder="1" applyAlignment="1" applyProtection="1">
      <alignment horizontal="center"/>
      <protection locked="0"/>
    </xf>
    <xf numFmtId="2" fontId="4" fillId="3" borderId="50" xfId="0" applyNumberFormat="1" applyFont="1" applyFill="1" applyBorder="1" applyAlignment="1" applyProtection="1">
      <alignment horizontal="center"/>
      <protection locked="0"/>
    </xf>
    <xf numFmtId="0" fontId="5" fillId="3" borderId="50" xfId="0" applyFont="1" applyFill="1" applyBorder="1" applyProtection="1">
      <protection locked="0"/>
    </xf>
    <xf numFmtId="168" fontId="4" fillId="3" borderId="50" xfId="0" applyNumberFormat="1" applyFont="1" applyFill="1" applyBorder="1" applyAlignment="1" applyProtection="1">
      <alignment horizontal="center"/>
      <protection locked="0"/>
    </xf>
    <xf numFmtId="11" fontId="5" fillId="3" borderId="50" xfId="0" applyNumberFormat="1" applyFont="1" applyFill="1" applyBorder="1" applyProtection="1">
      <protection locked="0"/>
    </xf>
    <xf numFmtId="0" fontId="20" fillId="18" borderId="53" xfId="0" applyFont="1" applyFill="1" applyBorder="1" applyProtection="1">
      <protection locked="0"/>
    </xf>
    <xf numFmtId="14" fontId="32" fillId="18" borderId="53" xfId="0" applyNumberFormat="1" applyFont="1" applyFill="1" applyBorder="1" applyAlignment="1" applyProtection="1">
      <alignment horizontal="center"/>
      <protection locked="0"/>
    </xf>
    <xf numFmtId="0" fontId="4" fillId="3" borderId="53" xfId="0" applyFont="1" applyFill="1" applyBorder="1" applyAlignment="1" applyProtection="1">
      <alignment horizontal="center"/>
      <protection locked="0"/>
    </xf>
    <xf numFmtId="2" fontId="34" fillId="3" borderId="53" xfId="0" applyNumberFormat="1" applyFont="1" applyFill="1" applyBorder="1" applyAlignment="1" applyProtection="1">
      <alignment horizontal="center"/>
      <protection locked="0"/>
    </xf>
    <xf numFmtId="2" fontId="4" fillId="2" borderId="53" xfId="0" applyNumberFormat="1" applyFont="1" applyFill="1" applyBorder="1" applyAlignment="1" applyProtection="1">
      <alignment horizontal="center"/>
      <protection locked="0"/>
    </xf>
    <xf numFmtId="2" fontId="5" fillId="3" borderId="14" xfId="0" applyNumberFormat="1" applyFont="1" applyFill="1" applyBorder="1" applyAlignment="1">
      <alignment horizontal="center"/>
    </xf>
    <xf numFmtId="49" fontId="49" fillId="21" borderId="54" xfId="0" applyNumberFormat="1" applyFont="1" applyFill="1" applyBorder="1" applyAlignment="1" applyProtection="1">
      <alignment horizontal="left" vertical="center"/>
      <protection locked="0"/>
    </xf>
    <xf numFmtId="49" fontId="49" fillId="21" borderId="55" xfId="0" applyNumberFormat="1" applyFont="1" applyFill="1" applyBorder="1" applyAlignment="1" applyProtection="1">
      <alignment horizontal="left" vertical="center"/>
      <protection locked="0"/>
    </xf>
    <xf numFmtId="0" fontId="5" fillId="3" borderId="57" xfId="0" applyFont="1" applyFill="1" applyBorder="1" applyProtection="1">
      <protection locked="0"/>
    </xf>
    <xf numFmtId="168" fontId="4" fillId="3" borderId="57" xfId="0" applyNumberFormat="1" applyFont="1" applyFill="1" applyBorder="1" applyAlignment="1" applyProtection="1">
      <alignment horizontal="center"/>
      <protection locked="0"/>
    </xf>
    <xf numFmtId="0" fontId="4" fillId="3" borderId="57" xfId="0" applyFont="1" applyFill="1" applyBorder="1" applyAlignment="1" applyProtection="1">
      <alignment horizontal="center"/>
      <protection locked="0"/>
    </xf>
    <xf numFmtId="2" fontId="4" fillId="3" borderId="57" xfId="0" applyNumberFormat="1" applyFont="1" applyFill="1" applyBorder="1" applyAlignment="1" applyProtection="1">
      <alignment horizontal="center"/>
      <protection locked="0"/>
    </xf>
    <xf numFmtId="2" fontId="4" fillId="2" borderId="57" xfId="0" applyNumberFormat="1" applyFont="1" applyFill="1" applyBorder="1" applyAlignment="1" applyProtection="1">
      <alignment horizontal="center"/>
      <protection locked="0"/>
    </xf>
    <xf numFmtId="49" fontId="49" fillId="21" borderId="58" xfId="0" applyNumberFormat="1" applyFont="1" applyFill="1" applyBorder="1" applyAlignment="1" applyProtection="1">
      <alignment horizontal="left" vertical="center"/>
      <protection locked="0"/>
    </xf>
    <xf numFmtId="168" fontId="4" fillId="2" borderId="62" xfId="0" applyNumberFormat="1" applyFont="1" applyFill="1" applyBorder="1" applyAlignment="1" applyProtection="1">
      <alignment horizontal="center"/>
      <protection locked="0"/>
    </xf>
    <xf numFmtId="168" fontId="4" fillId="2" borderId="63" xfId="0" applyNumberFormat="1" applyFont="1" applyFill="1" applyBorder="1" applyAlignment="1" applyProtection="1">
      <alignment horizontal="center"/>
      <protection locked="0"/>
    </xf>
    <xf numFmtId="168" fontId="4" fillId="2" borderId="64" xfId="0" applyNumberFormat="1" applyFont="1" applyFill="1" applyBorder="1" applyAlignment="1" applyProtection="1">
      <alignment horizontal="center"/>
      <protection locked="0"/>
    </xf>
    <xf numFmtId="2" fontId="4" fillId="9" borderId="67" xfId="0" applyNumberFormat="1" applyFont="1" applyFill="1" applyBorder="1" applyAlignment="1">
      <alignment horizontal="center"/>
    </xf>
    <xf numFmtId="2" fontId="4" fillId="9" borderId="68" xfId="0" applyNumberFormat="1" applyFont="1" applyFill="1" applyBorder="1" applyAlignment="1">
      <alignment horizontal="center"/>
    </xf>
    <xf numFmtId="2" fontId="4" fillId="9" borderId="69" xfId="0" applyNumberFormat="1" applyFont="1" applyFill="1" applyBorder="1" applyAlignment="1">
      <alignment horizontal="center"/>
    </xf>
    <xf numFmtId="166" fontId="4" fillId="2" borderId="59" xfId="0" applyNumberFormat="1" applyFont="1" applyFill="1" applyBorder="1" applyAlignment="1">
      <alignment horizontal="center"/>
    </xf>
    <xf numFmtId="166" fontId="4" fillId="2" borderId="60" xfId="0" applyNumberFormat="1" applyFont="1" applyFill="1" applyBorder="1" applyAlignment="1">
      <alignment horizontal="center"/>
    </xf>
    <xf numFmtId="166" fontId="4" fillId="2" borderId="61" xfId="0" applyNumberFormat="1" applyFont="1" applyFill="1" applyBorder="1" applyAlignment="1">
      <alignment horizontal="center"/>
    </xf>
    <xf numFmtId="49" fontId="8" fillId="4" borderId="62" xfId="0" applyNumberFormat="1" applyFont="1" applyFill="1" applyBorder="1" applyAlignment="1" applyProtection="1">
      <alignment horizontal="left"/>
      <protection locked="0"/>
    </xf>
    <xf numFmtId="49" fontId="8" fillId="4" borderId="63" xfId="0" applyNumberFormat="1" applyFont="1" applyFill="1" applyBorder="1" applyAlignment="1" applyProtection="1">
      <alignment horizontal="left"/>
      <protection locked="0"/>
    </xf>
    <xf numFmtId="49" fontId="8" fillId="4" borderId="64" xfId="0" applyNumberFormat="1" applyFont="1" applyFill="1" applyBorder="1" applyAlignment="1" applyProtection="1">
      <alignment horizontal="left"/>
      <protection locked="0"/>
    </xf>
    <xf numFmtId="0" fontId="5" fillId="3" borderId="53" xfId="0" applyFont="1" applyFill="1" applyBorder="1" applyProtection="1">
      <protection locked="0"/>
    </xf>
    <xf numFmtId="2" fontId="4" fillId="3" borderId="53" xfId="0" applyNumberFormat="1" applyFont="1" applyFill="1" applyBorder="1" applyAlignment="1" applyProtection="1">
      <alignment horizontal="center"/>
      <protection locked="0"/>
    </xf>
    <xf numFmtId="0" fontId="39" fillId="3" borderId="50" xfId="0" applyFont="1" applyFill="1" applyBorder="1" applyProtection="1">
      <protection locked="0"/>
    </xf>
    <xf numFmtId="0" fontId="47" fillId="20" borderId="52" xfId="0" applyFont="1" applyFill="1" applyBorder="1" applyAlignment="1" applyProtection="1">
      <alignment horizontal="center"/>
      <protection locked="0"/>
    </xf>
    <xf numFmtId="0" fontId="47" fillId="20" borderId="51" xfId="0" applyFont="1" applyFill="1" applyBorder="1" applyAlignment="1" applyProtection="1">
      <alignment horizontal="center"/>
      <protection locked="0"/>
    </xf>
    <xf numFmtId="0" fontId="47" fillId="20" borderId="56" xfId="0" applyFont="1" applyFill="1" applyBorder="1" applyAlignment="1" applyProtection="1">
      <alignment horizontal="center"/>
      <protection locked="0"/>
    </xf>
    <xf numFmtId="166" fontId="5" fillId="5" borderId="18" xfId="0" applyNumberFormat="1" applyFont="1" applyFill="1" applyBorder="1" applyAlignment="1">
      <alignment horizontal="center"/>
    </xf>
    <xf numFmtId="166" fontId="5" fillId="5" borderId="73" xfId="0" applyNumberFormat="1" applyFont="1" applyFill="1" applyBorder="1" applyAlignment="1">
      <alignment horizontal="center"/>
    </xf>
    <xf numFmtId="166" fontId="5" fillId="5" borderId="74" xfId="0" applyNumberFormat="1" applyFont="1" applyFill="1" applyBorder="1" applyAlignment="1">
      <alignment horizontal="center"/>
    </xf>
    <xf numFmtId="0" fontId="2" fillId="0" borderId="50" xfId="5" applyBorder="1" applyAlignment="1">
      <alignment horizontal="left"/>
    </xf>
    <xf numFmtId="0" fontId="41" fillId="0" borderId="50" xfId="5" applyFont="1" applyBorder="1" applyAlignment="1">
      <alignment horizontal="left" vertical="top" wrapText="1"/>
    </xf>
    <xf numFmtId="0" fontId="22" fillId="0" borderId="0" xfId="5" applyFont="1"/>
    <xf numFmtId="0" fontId="3" fillId="0" borderId="0" xfId="0" applyFont="1" applyAlignment="1">
      <alignment horizontal="center" vertical="center"/>
    </xf>
    <xf numFmtId="171" fontId="3" fillId="0" borderId="0" xfId="0" applyNumberFormat="1" applyFont="1" applyAlignment="1">
      <alignment horizontal="center" vertical="center"/>
    </xf>
    <xf numFmtId="171" fontId="0" fillId="0" borderId="0" xfId="0" applyNumberFormat="1"/>
    <xf numFmtId="2" fontId="3" fillId="0" borderId="0" xfId="0" applyNumberFormat="1" applyFont="1" applyAlignment="1">
      <alignment horizontal="center" vertical="center"/>
    </xf>
    <xf numFmtId="2" fontId="0" fillId="0" borderId="0" xfId="0" applyNumberFormat="1"/>
    <xf numFmtId="0" fontId="55" fillId="0" borderId="0" xfId="0" applyFont="1"/>
    <xf numFmtId="166" fontId="4" fillId="3" borderId="59" xfId="0" applyNumberFormat="1" applyFont="1" applyFill="1" applyBorder="1" applyAlignment="1">
      <alignment horizontal="center"/>
    </xf>
    <xf numFmtId="166" fontId="4" fillId="3" borderId="60" xfId="0" applyNumberFormat="1" applyFont="1" applyFill="1" applyBorder="1" applyAlignment="1">
      <alignment horizontal="center"/>
    </xf>
    <xf numFmtId="166" fontId="4" fillId="3" borderId="61" xfId="0" applyNumberFormat="1" applyFont="1" applyFill="1" applyBorder="1" applyAlignment="1">
      <alignment horizontal="center"/>
    </xf>
    <xf numFmtId="166" fontId="4" fillId="2" borderId="53" xfId="0" applyNumberFormat="1" applyFont="1" applyFill="1" applyBorder="1" applyAlignment="1" applyProtection="1">
      <alignment horizontal="center"/>
      <protection locked="0"/>
    </xf>
    <xf numFmtId="166" fontId="4" fillId="2" borderId="50" xfId="0" applyNumberFormat="1" applyFont="1" applyFill="1" applyBorder="1" applyAlignment="1" applyProtection="1">
      <alignment horizontal="center"/>
      <protection locked="0"/>
    </xf>
    <xf numFmtId="166" fontId="4" fillId="2" borderId="57" xfId="0" applyNumberFormat="1" applyFont="1" applyFill="1" applyBorder="1" applyAlignment="1" applyProtection="1">
      <alignment horizontal="center"/>
      <protection locked="0"/>
    </xf>
    <xf numFmtId="166" fontId="55" fillId="0" borderId="0" xfId="0" applyNumberFormat="1" applyFont="1"/>
    <xf numFmtId="166" fontId="2" fillId="0" borderId="0" xfId="5" applyNumberFormat="1" applyAlignment="1">
      <alignment horizontal="center" vertical="center"/>
    </xf>
    <xf numFmtId="171" fontId="4" fillId="3" borderId="53" xfId="0" applyNumberFormat="1" applyFont="1" applyFill="1" applyBorder="1" applyAlignment="1" applyProtection="1">
      <alignment horizontal="center"/>
      <protection locked="0"/>
    </xf>
    <xf numFmtId="171" fontId="4" fillId="3" borderId="50" xfId="0" applyNumberFormat="1" applyFont="1" applyFill="1" applyBorder="1" applyAlignment="1" applyProtection="1">
      <alignment horizontal="center"/>
      <protection locked="0"/>
    </xf>
    <xf numFmtId="171" fontId="4" fillId="3" borderId="57" xfId="0" applyNumberFormat="1" applyFont="1" applyFill="1" applyBorder="1" applyAlignment="1" applyProtection="1">
      <alignment horizontal="center"/>
      <protection locked="0"/>
    </xf>
    <xf numFmtId="171" fontId="4" fillId="2" borderId="62" xfId="0" applyNumberFormat="1" applyFont="1" applyFill="1" applyBorder="1" applyAlignment="1" applyProtection="1">
      <alignment horizontal="center"/>
      <protection locked="0"/>
    </xf>
    <xf numFmtId="171" fontId="4" fillId="2" borderId="63" xfId="0" applyNumberFormat="1" applyFont="1" applyFill="1" applyBorder="1" applyAlignment="1" applyProtection="1">
      <alignment horizontal="center"/>
      <protection locked="0"/>
    </xf>
    <xf numFmtId="171" fontId="4" fillId="2" borderId="64" xfId="0" applyNumberFormat="1" applyFont="1" applyFill="1" applyBorder="1" applyAlignment="1" applyProtection="1">
      <alignment horizontal="center"/>
      <protection locked="0"/>
    </xf>
    <xf numFmtId="0" fontId="3" fillId="0" borderId="76" xfId="0" applyFont="1" applyBorder="1" applyAlignment="1">
      <alignment horizontal="center" vertical="center"/>
    </xf>
    <xf numFmtId="0" fontId="0" fillId="0" borderId="76" xfId="0" applyBorder="1" applyAlignment="1">
      <alignment vertical="center"/>
    </xf>
    <xf numFmtId="0" fontId="59" fillId="22" borderId="76" xfId="0" applyFont="1" applyFill="1" applyBorder="1" applyAlignment="1">
      <alignment vertical="center"/>
    </xf>
    <xf numFmtId="0" fontId="60" fillId="23" borderId="76" xfId="0" applyFont="1" applyFill="1" applyBorder="1" applyAlignment="1">
      <alignment vertical="center"/>
    </xf>
    <xf numFmtId="0" fontId="0" fillId="0" borderId="76" xfId="0" applyBorder="1" applyAlignment="1">
      <alignment vertical="top" wrapText="1"/>
    </xf>
    <xf numFmtId="173" fontId="0" fillId="0" borderId="76" xfId="0" applyNumberFormat="1" applyBorder="1" applyAlignment="1">
      <alignment horizontal="center"/>
    </xf>
    <xf numFmtId="0" fontId="51" fillId="0" borderId="0" xfId="0" applyFont="1"/>
    <xf numFmtId="0" fontId="51" fillId="0" borderId="76" xfId="0" applyFont="1" applyBorder="1" applyAlignment="1">
      <alignment horizontal="center" vertical="center"/>
    </xf>
    <xf numFmtId="0" fontId="51" fillId="0" borderId="76" xfId="0" applyFont="1" applyBorder="1" applyAlignment="1">
      <alignment horizontal="left" vertical="center" wrapText="1"/>
    </xf>
    <xf numFmtId="0" fontId="53" fillId="0" borderId="75" xfId="0" applyFont="1" applyBorder="1" applyAlignment="1">
      <alignment horizontal="center" vertical="center"/>
    </xf>
    <xf numFmtId="0" fontId="61" fillId="24" borderId="75" xfId="0" applyFont="1" applyFill="1" applyBorder="1" applyAlignment="1">
      <alignment horizontal="center" vertical="center"/>
    </xf>
    <xf numFmtId="0" fontId="21" fillId="0" borderId="76" xfId="0" applyFont="1" applyBorder="1" applyAlignment="1">
      <alignment horizontal="center" vertical="center"/>
    </xf>
    <xf numFmtId="0" fontId="51" fillId="0" borderId="76" xfId="0" applyFont="1" applyBorder="1" applyAlignment="1">
      <alignment horizontal="center" vertical="center" wrapText="1"/>
    </xf>
    <xf numFmtId="10" fontId="51" fillId="0" borderId="76" xfId="0" applyNumberFormat="1" applyFont="1" applyBorder="1" applyAlignment="1">
      <alignment horizontal="center" vertical="center" wrapText="1"/>
    </xf>
    <xf numFmtId="2" fontId="51" fillId="0" borderId="76" xfId="0" applyNumberFormat="1" applyFont="1" applyBorder="1" applyAlignment="1">
      <alignment horizontal="center" vertical="center" wrapText="1"/>
    </xf>
    <xf numFmtId="10" fontId="51" fillId="0" borderId="76" xfId="0" applyNumberFormat="1" applyFont="1" applyBorder="1" applyAlignment="1">
      <alignment horizontal="center" vertical="center"/>
    </xf>
    <xf numFmtId="2" fontId="51" fillId="0" borderId="76" xfId="0" applyNumberFormat="1" applyFont="1" applyBorder="1" applyAlignment="1">
      <alignment horizontal="center" vertical="center"/>
    </xf>
    <xf numFmtId="0" fontId="51" fillId="0" borderId="0" xfId="0" applyFont="1" applyAlignment="1">
      <alignment vertical="center"/>
    </xf>
    <xf numFmtId="0" fontId="21" fillId="0" borderId="0" xfId="0" applyFont="1" applyAlignment="1">
      <alignment vertical="center"/>
    </xf>
    <xf numFmtId="0" fontId="21" fillId="0" borderId="76" xfId="0" applyFont="1" applyBorder="1" applyAlignment="1">
      <alignment vertical="center"/>
    </xf>
    <xf numFmtId="0" fontId="51" fillId="0" borderId="76" xfId="0" applyFont="1" applyBorder="1" applyAlignment="1">
      <alignment vertical="center"/>
    </xf>
    <xf numFmtId="0" fontId="57" fillId="0" borderId="0" xfId="0" applyFont="1" applyAlignment="1">
      <alignment horizontal="center" vertical="center"/>
    </xf>
    <xf numFmtId="0" fontId="55" fillId="0" borderId="0" xfId="0" applyFont="1" applyAlignment="1">
      <alignment horizontal="center" vertical="center"/>
    </xf>
    <xf numFmtId="0" fontId="31" fillId="0" borderId="1" xfId="5" applyFont="1" applyBorder="1" applyAlignment="1">
      <alignment horizontal="center" wrapText="1"/>
    </xf>
    <xf numFmtId="0" fontId="31" fillId="0" borderId="16" xfId="5" applyFont="1" applyBorder="1" applyAlignment="1">
      <alignment horizontal="center" wrapText="1"/>
    </xf>
    <xf numFmtId="2" fontId="31" fillId="0" borderId="1" xfId="5" applyNumberFormat="1" applyFont="1" applyBorder="1" applyAlignment="1">
      <alignment horizontal="center" wrapText="1"/>
    </xf>
    <xf numFmtId="2" fontId="31" fillId="0" borderId="16" xfId="5" applyNumberFormat="1" applyFont="1" applyBorder="1" applyAlignment="1">
      <alignment horizontal="center" wrapText="1"/>
    </xf>
    <xf numFmtId="166" fontId="31" fillId="0" borderId="1" xfId="5" applyNumberFormat="1" applyFont="1" applyBorder="1" applyAlignment="1">
      <alignment horizontal="center"/>
    </xf>
    <xf numFmtId="0" fontId="41" fillId="0" borderId="24" xfId="5" applyFont="1" applyBorder="1" applyAlignment="1">
      <alignment horizontal="left" vertical="top" wrapText="1"/>
    </xf>
    <xf numFmtId="0" fontId="41" fillId="0" borderId="0" xfId="5" applyFont="1" applyAlignment="1">
      <alignment horizontal="left" vertical="top" wrapText="1"/>
    </xf>
    <xf numFmtId="0" fontId="44" fillId="0" borderId="0" xfId="5" applyFont="1" applyAlignment="1">
      <alignment horizontal="center" wrapText="1"/>
    </xf>
    <xf numFmtId="0" fontId="44" fillId="0" borderId="0" xfId="5" applyFont="1" applyAlignment="1">
      <alignment horizontal="center" vertical="center" wrapText="1"/>
    </xf>
    <xf numFmtId="0" fontId="14" fillId="0" borderId="0" xfId="0" applyFont="1" applyAlignment="1">
      <alignment horizontal="center" vertical="center"/>
    </xf>
    <xf numFmtId="0" fontId="10" fillId="13" borderId="1" xfId="0" applyFont="1" applyFill="1" applyBorder="1" applyAlignment="1">
      <alignment horizontal="center"/>
    </xf>
    <xf numFmtId="0" fontId="16" fillId="13" borderId="1" xfId="0" applyFont="1" applyFill="1" applyBorder="1" applyAlignment="1">
      <alignment horizontal="center"/>
    </xf>
    <xf numFmtId="0" fontId="18" fillId="13" borderId="1" xfId="0" applyFont="1" applyFill="1" applyBorder="1" applyAlignment="1">
      <alignment horizontal="center"/>
    </xf>
    <xf numFmtId="0" fontId="22" fillId="13" borderId="1" xfId="0" applyFont="1" applyFill="1" applyBorder="1" applyAlignment="1">
      <alignment horizontal="center" vertical="center" wrapText="1"/>
    </xf>
    <xf numFmtId="0" fontId="35" fillId="14" borderId="1" xfId="0" applyFont="1" applyFill="1" applyBorder="1" applyAlignment="1">
      <alignment horizontal="center"/>
    </xf>
    <xf numFmtId="0" fontId="42" fillId="0" borderId="0" xfId="0" applyFont="1" applyAlignment="1">
      <alignment horizontal="left" vertical="top" wrapText="1"/>
    </xf>
    <xf numFmtId="0" fontId="12" fillId="12" borderId="29" xfId="0" applyFont="1" applyFill="1" applyBorder="1" applyAlignment="1">
      <alignment horizontal="center"/>
    </xf>
    <xf numFmtId="0" fontId="12" fillId="12" borderId="28" xfId="0" applyFont="1" applyFill="1" applyBorder="1" applyAlignment="1">
      <alignment horizontal="center"/>
    </xf>
    <xf numFmtId="0" fontId="12" fillId="12" borderId="30" xfId="0" applyFont="1" applyFill="1" applyBorder="1" applyAlignment="1">
      <alignment horizontal="center"/>
    </xf>
    <xf numFmtId="0" fontId="25" fillId="3" borderId="35" xfId="0" applyFont="1" applyFill="1" applyBorder="1" applyAlignment="1">
      <alignment horizontal="center" vertical="center"/>
    </xf>
    <xf numFmtId="0" fontId="25" fillId="3" borderId="32" xfId="0" applyFont="1" applyFill="1" applyBorder="1" applyAlignment="1">
      <alignment horizontal="center" vertical="center"/>
    </xf>
    <xf numFmtId="0" fontId="25" fillId="3" borderId="35" xfId="0" applyFont="1" applyFill="1" applyBorder="1" applyAlignment="1">
      <alignment horizontal="center" vertical="center" wrapText="1"/>
    </xf>
    <xf numFmtId="0" fontId="25" fillId="3" borderId="32" xfId="0" applyFont="1" applyFill="1" applyBorder="1" applyAlignment="1">
      <alignment horizontal="center" vertical="center" wrapText="1"/>
    </xf>
    <xf numFmtId="166" fontId="5" fillId="0" borderId="1" xfId="0" applyNumberFormat="1" applyFont="1" applyBorder="1" applyAlignment="1" applyProtection="1">
      <alignment horizontal="center"/>
      <protection locked="0"/>
    </xf>
    <xf numFmtId="0" fontId="5" fillId="6" borderId="14" xfId="0" applyFont="1" applyFill="1" applyBorder="1" applyAlignment="1">
      <alignment horizontal="left"/>
    </xf>
    <xf numFmtId="0" fontId="5" fillId="6" borderId="1" xfId="0" applyFont="1" applyFill="1" applyBorder="1" applyAlignment="1">
      <alignment horizontal="left"/>
    </xf>
    <xf numFmtId="2" fontId="5" fillId="6" borderId="1" xfId="0" applyNumberFormat="1" applyFont="1" applyFill="1" applyBorder="1" applyAlignment="1">
      <alignment horizontal="center"/>
    </xf>
    <xf numFmtId="0" fontId="30" fillId="0" borderId="36" xfId="0" applyFont="1" applyBorder="1" applyAlignment="1">
      <alignment horizontal="center"/>
    </xf>
    <xf numFmtId="0" fontId="36" fillId="0" borderId="8" xfId="0" applyFont="1" applyBorder="1" applyAlignment="1">
      <alignment horizontal="center"/>
    </xf>
    <xf numFmtId="0" fontId="36" fillId="0" borderId="0" xfId="0" applyFont="1" applyAlignment="1">
      <alignment horizontal="center"/>
    </xf>
    <xf numFmtId="0" fontId="5" fillId="7" borderId="14" xfId="0" applyFont="1" applyFill="1" applyBorder="1" applyAlignment="1" applyProtection="1">
      <alignment horizontal="left"/>
      <protection locked="0"/>
    </xf>
    <xf numFmtId="0" fontId="5" fillId="7" borderId="1" xfId="0" applyFont="1" applyFill="1" applyBorder="1" applyAlignment="1" applyProtection="1">
      <alignment horizontal="left"/>
      <protection locked="0"/>
    </xf>
    <xf numFmtId="0" fontId="5" fillId="7" borderId="14" xfId="0" applyFont="1" applyFill="1" applyBorder="1" applyAlignment="1">
      <alignment horizontal="left"/>
    </xf>
    <xf numFmtId="0" fontId="5" fillId="7" borderId="1" xfId="0" applyFont="1" applyFill="1" applyBorder="1" applyAlignment="1">
      <alignment horizontal="left"/>
    </xf>
    <xf numFmtId="0" fontId="5" fillId="4" borderId="14" xfId="0" applyFont="1" applyFill="1" applyBorder="1" applyAlignment="1">
      <alignment horizontal="left"/>
    </xf>
    <xf numFmtId="0" fontId="5" fillId="4" borderId="1" xfId="0" applyFont="1" applyFill="1" applyBorder="1" applyAlignment="1">
      <alignment horizontal="left"/>
    </xf>
    <xf numFmtId="166" fontId="5" fillId="4" borderId="1" xfId="0" applyNumberFormat="1" applyFont="1" applyFill="1" applyBorder="1" applyAlignment="1">
      <alignment horizontal="center"/>
    </xf>
    <xf numFmtId="166" fontId="5" fillId="17" borderId="1" xfId="0" applyNumberFormat="1" applyFont="1" applyFill="1" applyBorder="1" applyAlignment="1">
      <alignment horizontal="center"/>
    </xf>
    <xf numFmtId="2" fontId="5" fillId="4" borderId="1" xfId="0" applyNumberFormat="1" applyFont="1" applyFill="1" applyBorder="1" applyAlignment="1">
      <alignment horizontal="center"/>
    </xf>
    <xf numFmtId="2" fontId="5" fillId="17" borderId="1" xfId="0" applyNumberFormat="1" applyFont="1" applyFill="1" applyBorder="1" applyAlignment="1">
      <alignment horizontal="center"/>
    </xf>
    <xf numFmtId="166" fontId="5" fillId="4" borderId="12" xfId="0" applyNumberFormat="1" applyFont="1" applyFill="1" applyBorder="1" applyAlignment="1">
      <alignment horizontal="center"/>
    </xf>
    <xf numFmtId="166" fontId="5" fillId="4" borderId="36" xfId="0" applyNumberFormat="1" applyFont="1" applyFill="1" applyBorder="1" applyAlignment="1">
      <alignment horizontal="center"/>
    </xf>
    <xf numFmtId="166" fontId="5" fillId="4" borderId="14" xfId="0" applyNumberFormat="1" applyFont="1" applyFill="1" applyBorder="1" applyAlignment="1">
      <alignment horizontal="center"/>
    </xf>
    <xf numFmtId="10" fontId="5" fillId="4" borderId="1" xfId="0" applyNumberFormat="1" applyFont="1" applyFill="1" applyBorder="1" applyAlignment="1">
      <alignment horizontal="center"/>
    </xf>
    <xf numFmtId="10" fontId="5" fillId="17" borderId="1" xfId="0" applyNumberFormat="1" applyFont="1" applyFill="1" applyBorder="1" applyAlignment="1">
      <alignment horizontal="center"/>
    </xf>
    <xf numFmtId="0" fontId="4" fillId="4" borderId="14" xfId="0" applyFont="1" applyFill="1" applyBorder="1" applyAlignment="1">
      <alignment horizontal="center"/>
    </xf>
    <xf numFmtId="0" fontId="4" fillId="4" borderId="1" xfId="0" applyFont="1" applyFill="1" applyBorder="1" applyAlignment="1">
      <alignment horizontal="center"/>
    </xf>
    <xf numFmtId="0" fontId="7" fillId="4" borderId="30" xfId="0" applyFont="1" applyFill="1" applyBorder="1" applyAlignment="1">
      <alignment horizontal="center"/>
    </xf>
    <xf numFmtId="0" fontId="7" fillId="4" borderId="29" xfId="0" applyFont="1" applyFill="1" applyBorder="1" applyAlignment="1">
      <alignment horizontal="center"/>
    </xf>
    <xf numFmtId="0" fontId="7" fillId="4" borderId="33" xfId="0" applyFont="1" applyFill="1" applyBorder="1" applyAlignment="1">
      <alignment horizontal="center"/>
    </xf>
    <xf numFmtId="0" fontId="7" fillId="4" borderId="15" xfId="0" applyFont="1" applyFill="1" applyBorder="1" applyAlignment="1">
      <alignment horizontal="center"/>
    </xf>
    <xf numFmtId="0" fontId="7" fillId="4" borderId="30" xfId="0" applyFont="1" applyFill="1" applyBorder="1" applyAlignment="1">
      <alignment horizontal="center" wrapText="1"/>
    </xf>
    <xf numFmtId="0" fontId="7" fillId="4" borderId="29" xfId="0" applyFont="1" applyFill="1" applyBorder="1" applyAlignment="1">
      <alignment horizontal="center" wrapText="1"/>
    </xf>
    <xf numFmtId="0" fontId="7" fillId="4" borderId="33" xfId="0" applyFont="1" applyFill="1" applyBorder="1" applyAlignment="1">
      <alignment horizontal="center" wrapText="1"/>
    </xf>
    <xf numFmtId="0" fontId="7" fillId="4" borderId="15" xfId="0" applyFont="1" applyFill="1" applyBorder="1" applyAlignment="1">
      <alignment horizontal="center" wrapText="1"/>
    </xf>
    <xf numFmtId="2" fontId="5" fillId="12" borderId="1" xfId="0" applyNumberFormat="1" applyFont="1" applyFill="1" applyBorder="1" applyAlignment="1" applyProtection="1">
      <alignment horizontal="center"/>
      <protection locked="0"/>
    </xf>
    <xf numFmtId="166" fontId="5" fillId="7" borderId="1" xfId="0" applyNumberFormat="1" applyFont="1" applyFill="1" applyBorder="1" applyAlignment="1">
      <alignment horizontal="center"/>
    </xf>
    <xf numFmtId="166" fontId="5" fillId="0" borderId="0" xfId="0" applyNumberFormat="1" applyFont="1" applyAlignment="1">
      <alignment horizontal="center"/>
    </xf>
    <xf numFmtId="2" fontId="5" fillId="0" borderId="0" xfId="0" applyNumberFormat="1" applyFont="1" applyAlignment="1">
      <alignment horizontal="center"/>
    </xf>
    <xf numFmtId="0" fontId="25" fillId="3" borderId="29" xfId="0" applyFont="1" applyFill="1" applyBorder="1" applyAlignment="1">
      <alignment horizontal="center" vertical="center"/>
    </xf>
    <xf numFmtId="0" fontId="25" fillId="3" borderId="15" xfId="0" applyFont="1" applyFill="1" applyBorder="1" applyAlignment="1">
      <alignment horizontal="center" vertical="center"/>
    </xf>
    <xf numFmtId="0" fontId="5" fillId="7" borderId="26" xfId="0" applyFont="1" applyFill="1" applyBorder="1" applyAlignment="1">
      <alignment horizontal="left"/>
    </xf>
    <xf numFmtId="0" fontId="5" fillId="7" borderId="25" xfId="0" applyFont="1" applyFill="1" applyBorder="1" applyAlignment="1">
      <alignment horizontal="left"/>
    </xf>
    <xf numFmtId="166" fontId="5" fillId="7" borderId="25" xfId="0" applyNumberFormat="1" applyFont="1" applyFill="1" applyBorder="1" applyAlignment="1">
      <alignment horizontal="center"/>
    </xf>
    <xf numFmtId="166" fontId="5" fillId="7" borderId="43" xfId="0" applyNumberFormat="1" applyFont="1" applyFill="1" applyBorder="1" applyAlignment="1">
      <alignment horizontal="center"/>
    </xf>
    <xf numFmtId="166" fontId="5" fillId="0" borderId="28" xfId="0" applyNumberFormat="1" applyFont="1" applyBorder="1" applyAlignment="1" applyProtection="1">
      <alignment horizontal="center"/>
      <protection locked="0"/>
    </xf>
    <xf numFmtId="166" fontId="5" fillId="0" borderId="2" xfId="0" applyNumberFormat="1" applyFont="1" applyBorder="1" applyAlignment="1" applyProtection="1">
      <alignment horizontal="center"/>
      <protection locked="0"/>
    </xf>
    <xf numFmtId="166" fontId="5" fillId="0" borderId="37" xfId="0" applyNumberFormat="1" applyFont="1" applyBorder="1" applyAlignment="1" applyProtection="1">
      <alignment horizontal="center"/>
      <protection locked="0"/>
    </xf>
    <xf numFmtId="166" fontId="5" fillId="0" borderId="4" xfId="0" applyNumberFormat="1" applyFont="1" applyBorder="1" applyAlignment="1" applyProtection="1">
      <alignment horizontal="center"/>
      <protection locked="0"/>
    </xf>
    <xf numFmtId="0" fontId="5" fillId="7" borderId="40" xfId="0" applyFont="1" applyFill="1" applyBorder="1" applyAlignment="1" applyProtection="1">
      <alignment horizontal="left"/>
      <protection locked="0"/>
    </xf>
    <xf numFmtId="0" fontId="5" fillId="7" borderId="6" xfId="0" applyFont="1" applyFill="1" applyBorder="1" applyAlignment="1" applyProtection="1">
      <alignment horizontal="left"/>
      <protection locked="0"/>
    </xf>
    <xf numFmtId="166" fontId="5" fillId="0" borderId="6" xfId="0" applyNumberFormat="1" applyFont="1" applyBorder="1" applyAlignment="1" applyProtection="1">
      <alignment horizontal="center"/>
      <protection locked="0"/>
    </xf>
    <xf numFmtId="166" fontId="5" fillId="0" borderId="7" xfId="0" applyNumberFormat="1" applyFont="1" applyBorder="1" applyAlignment="1" applyProtection="1">
      <alignment horizontal="center"/>
      <protection locked="0"/>
    </xf>
    <xf numFmtId="0" fontId="5" fillId="7" borderId="29" xfId="0" applyFont="1" applyFill="1" applyBorder="1" applyAlignment="1" applyProtection="1">
      <alignment horizontal="left"/>
      <protection locked="0"/>
    </xf>
    <xf numFmtId="0" fontId="5" fillId="7" borderId="28" xfId="0" applyFont="1" applyFill="1" applyBorder="1" applyAlignment="1" applyProtection="1">
      <alignment horizontal="left"/>
      <protection locked="0"/>
    </xf>
    <xf numFmtId="0" fontId="5" fillId="7" borderId="19" xfId="0" applyFont="1" applyFill="1" applyBorder="1" applyAlignment="1" applyProtection="1">
      <alignment horizontal="left"/>
      <protection locked="0"/>
    </xf>
    <xf numFmtId="0" fontId="5" fillId="7" borderId="2" xfId="0" applyFont="1" applyFill="1" applyBorder="1" applyAlignment="1" applyProtection="1">
      <alignment horizontal="left"/>
      <protection locked="0"/>
    </xf>
    <xf numFmtId="10" fontId="5" fillId="8" borderId="14" xfId="0" applyNumberFormat="1" applyFont="1" applyFill="1" applyBorder="1" applyAlignment="1">
      <alignment horizontal="center"/>
    </xf>
    <xf numFmtId="0" fontId="5" fillId="8" borderId="1" xfId="0" applyFont="1" applyFill="1" applyBorder="1" applyAlignment="1">
      <alignment horizontal="center"/>
    </xf>
    <xf numFmtId="10" fontId="5" fillId="8" borderId="1" xfId="0" applyNumberFormat="1" applyFont="1" applyFill="1" applyBorder="1" applyAlignment="1">
      <alignment horizontal="center"/>
    </xf>
    <xf numFmtId="2" fontId="5" fillId="8" borderId="1" xfId="0" applyNumberFormat="1" applyFont="1" applyFill="1" applyBorder="1" applyAlignment="1">
      <alignment horizontal="center"/>
    </xf>
    <xf numFmtId="1" fontId="46" fillId="20" borderId="49" xfId="0" applyNumberFormat="1" applyFont="1" applyFill="1" applyBorder="1" applyAlignment="1">
      <alignment horizontal="center" vertical="center" wrapText="1"/>
    </xf>
    <xf numFmtId="0" fontId="48" fillId="21" borderId="24" xfId="0" applyFont="1" applyFill="1" applyBorder="1" applyAlignment="1">
      <alignment horizontal="center" wrapText="1"/>
    </xf>
    <xf numFmtId="0" fontId="7" fillId="0" borderId="0" xfId="0" applyFont="1" applyAlignment="1">
      <alignment horizontal="center" wrapText="1"/>
    </xf>
    <xf numFmtId="10" fontId="5" fillId="0" borderId="0" xfId="0" applyNumberFormat="1" applyFont="1" applyAlignment="1">
      <alignment horizontal="center"/>
    </xf>
    <xf numFmtId="0" fontId="9" fillId="4" borderId="29" xfId="0" applyFont="1" applyFill="1" applyBorder="1" applyAlignment="1">
      <alignment horizontal="center"/>
    </xf>
    <xf numFmtId="0" fontId="9" fillId="4" borderId="49" xfId="0" applyFont="1" applyFill="1" applyBorder="1" applyAlignment="1">
      <alignment horizontal="center"/>
    </xf>
    <xf numFmtId="0" fontId="5" fillId="3" borderId="28" xfId="0" applyFont="1" applyFill="1" applyBorder="1" applyAlignment="1">
      <alignment horizontal="center" wrapText="1"/>
    </xf>
    <xf numFmtId="0" fontId="5" fillId="3" borderId="34" xfId="0" applyFont="1" applyFill="1" applyBorder="1" applyAlignment="1">
      <alignment horizontal="center" wrapText="1"/>
    </xf>
    <xf numFmtId="0" fontId="5" fillId="3" borderId="28" xfId="0" applyFont="1" applyFill="1" applyBorder="1" applyAlignment="1">
      <alignment horizontal="center"/>
    </xf>
    <xf numFmtId="0" fontId="5" fillId="3" borderId="34" xfId="0" applyFont="1" applyFill="1" applyBorder="1" applyAlignment="1">
      <alignment horizontal="center"/>
    </xf>
    <xf numFmtId="0" fontId="5" fillId="3" borderId="30" xfId="0" applyFont="1" applyFill="1" applyBorder="1" applyAlignment="1">
      <alignment horizontal="center"/>
    </xf>
    <xf numFmtId="0" fontId="5" fillId="3" borderId="24" xfId="0" applyFont="1" applyFill="1" applyBorder="1" applyAlignment="1">
      <alignment horizontal="center"/>
    </xf>
    <xf numFmtId="0" fontId="5" fillId="9" borderId="65" xfId="0" applyFont="1" applyFill="1" applyBorder="1" applyAlignment="1">
      <alignment horizontal="center" wrapText="1"/>
    </xf>
    <xf numFmtId="0" fontId="5" fillId="9" borderId="66" xfId="0" applyFont="1" applyFill="1" applyBorder="1" applyAlignment="1">
      <alignment horizontal="center" wrapText="1"/>
    </xf>
    <xf numFmtId="0" fontId="5" fillId="2" borderId="29" xfId="0" applyFont="1" applyFill="1" applyBorder="1" applyAlignment="1">
      <alignment horizontal="center" wrapText="1"/>
    </xf>
    <xf numFmtId="0" fontId="5" fillId="2" borderId="49" xfId="0" applyFont="1" applyFill="1" applyBorder="1" applyAlignment="1">
      <alignment horizontal="center" wrapText="1"/>
    </xf>
    <xf numFmtId="0" fontId="5" fillId="2" borderId="28" xfId="0" applyFont="1" applyFill="1" applyBorder="1" applyAlignment="1">
      <alignment horizontal="center" wrapText="1"/>
    </xf>
    <xf numFmtId="0" fontId="5" fillId="2" borderId="34" xfId="0" applyFont="1" applyFill="1" applyBorder="1" applyAlignment="1">
      <alignment horizontal="center" wrapText="1"/>
    </xf>
    <xf numFmtId="0" fontId="5" fillId="2" borderId="30" xfId="0" applyFont="1" applyFill="1" applyBorder="1" applyAlignment="1">
      <alignment horizontal="center" wrapText="1"/>
    </xf>
    <xf numFmtId="0" fontId="5" fillId="2" borderId="24" xfId="0" applyFont="1" applyFill="1" applyBorder="1" applyAlignment="1">
      <alignment horizontal="center" wrapText="1"/>
    </xf>
    <xf numFmtId="0" fontId="9" fillId="5" borderId="65" xfId="0" applyFont="1" applyFill="1" applyBorder="1" applyAlignment="1">
      <alignment horizontal="center" wrapText="1"/>
    </xf>
    <xf numFmtId="0" fontId="9" fillId="5" borderId="66" xfId="0" applyFont="1" applyFill="1" applyBorder="1" applyAlignment="1">
      <alignment horizontal="center" wrapText="1"/>
    </xf>
    <xf numFmtId="2" fontId="5" fillId="4" borderId="12" xfId="0" applyNumberFormat="1" applyFont="1" applyFill="1" applyBorder="1" applyAlignment="1">
      <alignment horizontal="center"/>
    </xf>
    <xf numFmtId="2" fontId="5" fillId="4" borderId="14" xfId="0" applyNumberFormat="1" applyFont="1" applyFill="1" applyBorder="1" applyAlignment="1">
      <alignment horizontal="center"/>
    </xf>
    <xf numFmtId="10" fontId="5" fillId="4" borderId="12" xfId="0" applyNumberFormat="1" applyFont="1" applyFill="1" applyBorder="1" applyAlignment="1">
      <alignment horizontal="center"/>
    </xf>
    <xf numFmtId="10" fontId="5" fillId="4" borderId="14" xfId="0" applyNumberFormat="1" applyFont="1" applyFill="1" applyBorder="1" applyAlignment="1">
      <alignment horizontal="center"/>
    </xf>
    <xf numFmtId="166" fontId="5" fillId="0" borderId="41" xfId="0" applyNumberFormat="1" applyFont="1" applyBorder="1" applyAlignment="1" applyProtection="1">
      <alignment horizontal="center"/>
      <protection locked="0"/>
    </xf>
    <xf numFmtId="166" fontId="5" fillId="0" borderId="42" xfId="0" applyNumberFormat="1" applyFont="1" applyBorder="1" applyAlignment="1" applyProtection="1">
      <alignment horizontal="center"/>
      <protection locked="0"/>
    </xf>
    <xf numFmtId="0" fontId="5" fillId="7" borderId="72" xfId="0" applyFont="1" applyFill="1" applyBorder="1" applyAlignment="1">
      <alignment horizontal="left"/>
    </xf>
    <xf numFmtId="166" fontId="5" fillId="7" borderId="27" xfId="0" applyNumberFormat="1" applyFont="1" applyFill="1" applyBorder="1" applyAlignment="1">
      <alignment horizontal="center"/>
    </xf>
    <xf numFmtId="166" fontId="5" fillId="7" borderId="44" xfId="0" applyNumberFormat="1" applyFont="1" applyFill="1" applyBorder="1" applyAlignment="1">
      <alignment horizontal="center"/>
    </xf>
    <xf numFmtId="0" fontId="5" fillId="4" borderId="36" xfId="0" applyFont="1" applyFill="1" applyBorder="1" applyAlignment="1">
      <alignment horizontal="left"/>
    </xf>
    <xf numFmtId="0" fontId="46" fillId="10" borderId="36" xfId="0" applyFont="1" applyFill="1" applyBorder="1" applyAlignment="1" applyProtection="1">
      <alignment horizontal="left"/>
      <protection locked="0"/>
    </xf>
    <xf numFmtId="0" fontId="46" fillId="10" borderId="14" xfId="0" applyFont="1" applyFill="1" applyBorder="1" applyAlignment="1" applyProtection="1">
      <alignment horizontal="left"/>
      <protection locked="0"/>
    </xf>
    <xf numFmtId="166" fontId="46" fillId="11" borderId="12" xfId="0" applyNumberFormat="1" applyFont="1" applyFill="1" applyBorder="1" applyAlignment="1" applyProtection="1">
      <alignment horizontal="center"/>
      <protection locked="0"/>
    </xf>
    <xf numFmtId="166" fontId="5" fillId="0" borderId="14" xfId="0" applyNumberFormat="1" applyFont="1" applyBorder="1" applyAlignment="1" applyProtection="1">
      <alignment horizontal="center"/>
      <protection locked="0"/>
    </xf>
    <xf numFmtId="10" fontId="5" fillId="8" borderId="36" xfId="0" applyNumberFormat="1" applyFont="1" applyFill="1" applyBorder="1" applyAlignment="1">
      <alignment horizontal="center"/>
    </xf>
    <xf numFmtId="0" fontId="5" fillId="8" borderId="14" xfId="0" applyFont="1" applyFill="1" applyBorder="1" applyAlignment="1">
      <alignment horizontal="center"/>
    </xf>
    <xf numFmtId="10" fontId="5" fillId="8" borderId="12" xfId="0" applyNumberFormat="1" applyFont="1" applyFill="1" applyBorder="1" applyAlignment="1">
      <alignment horizontal="center"/>
    </xf>
    <xf numFmtId="0" fontId="4" fillId="4" borderId="35" xfId="0" applyFont="1" applyFill="1" applyBorder="1" applyAlignment="1">
      <alignment horizontal="center"/>
    </xf>
    <xf numFmtId="0" fontId="4" fillId="4" borderId="29" xfId="0" applyFont="1" applyFill="1" applyBorder="1" applyAlignment="1">
      <alignment horizontal="center"/>
    </xf>
    <xf numFmtId="0" fontId="4" fillId="4" borderId="32" xfId="0" applyFont="1" applyFill="1" applyBorder="1" applyAlignment="1">
      <alignment horizontal="center"/>
    </xf>
    <xf numFmtId="0" fontId="4" fillId="4" borderId="15" xfId="0" applyFont="1" applyFill="1" applyBorder="1" applyAlignment="1">
      <alignment horizontal="center"/>
    </xf>
    <xf numFmtId="0" fontId="5" fillId="7" borderId="36" xfId="0" applyFont="1" applyFill="1" applyBorder="1" applyAlignment="1" applyProtection="1">
      <alignment horizontal="left"/>
      <protection locked="0"/>
    </xf>
    <xf numFmtId="166" fontId="5" fillId="0" borderId="12" xfId="0" applyNumberFormat="1" applyFont="1" applyBorder="1" applyAlignment="1" applyProtection="1">
      <alignment horizontal="center"/>
      <protection locked="0"/>
    </xf>
    <xf numFmtId="166" fontId="5" fillId="0" borderId="39" xfId="0" applyNumberFormat="1" applyFont="1" applyBorder="1" applyAlignment="1" applyProtection="1">
      <alignment horizontal="center"/>
      <protection locked="0"/>
    </xf>
    <xf numFmtId="0" fontId="5" fillId="7" borderId="71" xfId="0" applyFont="1" applyFill="1" applyBorder="1" applyAlignment="1" applyProtection="1">
      <alignment horizontal="left"/>
      <protection locked="0"/>
    </xf>
    <xf numFmtId="0" fontId="46" fillId="10" borderId="35" xfId="0" applyFont="1" applyFill="1" applyBorder="1" applyAlignment="1" applyProtection="1">
      <alignment horizontal="left"/>
      <protection locked="0"/>
    </xf>
    <xf numFmtId="0" fontId="46" fillId="10" borderId="29" xfId="0" applyFont="1" applyFill="1" applyBorder="1" applyAlignment="1" applyProtection="1">
      <alignment horizontal="left"/>
      <protection locked="0"/>
    </xf>
    <xf numFmtId="166" fontId="46" fillId="11" borderId="30" xfId="0" applyNumberFormat="1" applyFont="1" applyFill="1" applyBorder="1" applyAlignment="1" applyProtection="1">
      <alignment horizontal="center"/>
      <protection locked="0"/>
    </xf>
    <xf numFmtId="166" fontId="5" fillId="0" borderId="29" xfId="0" applyNumberFormat="1" applyFont="1" applyBorder="1" applyAlignment="1" applyProtection="1">
      <alignment horizontal="center"/>
      <protection locked="0"/>
    </xf>
    <xf numFmtId="0" fontId="5" fillId="7" borderId="70" xfId="0" applyFont="1" applyFill="1" applyBorder="1" applyAlignment="1" applyProtection="1">
      <alignment horizontal="left"/>
      <protection locked="0"/>
    </xf>
    <xf numFmtId="166" fontId="5" fillId="0" borderId="11" xfId="0" applyNumberFormat="1" applyFont="1" applyBorder="1" applyAlignment="1" applyProtection="1">
      <alignment horizontal="center"/>
      <protection locked="0"/>
    </xf>
    <xf numFmtId="166" fontId="5" fillId="0" borderId="38" xfId="0" applyNumberFormat="1" applyFont="1" applyBorder="1" applyAlignment="1" applyProtection="1">
      <alignment horizontal="center"/>
      <protection locked="0"/>
    </xf>
    <xf numFmtId="0" fontId="5" fillId="7" borderId="36" xfId="0" applyFont="1" applyFill="1" applyBorder="1" applyAlignment="1">
      <alignment horizontal="left"/>
    </xf>
    <xf numFmtId="166" fontId="5" fillId="7" borderId="12" xfId="0" applyNumberFormat="1" applyFont="1" applyFill="1" applyBorder="1" applyAlignment="1">
      <alignment horizontal="center"/>
    </xf>
    <xf numFmtId="166" fontId="5" fillId="7" borderId="14" xfId="0" applyNumberFormat="1" applyFont="1" applyFill="1" applyBorder="1" applyAlignment="1">
      <alignment horizontal="center"/>
    </xf>
    <xf numFmtId="2" fontId="5" fillId="6" borderId="12" xfId="0" applyNumberFormat="1" applyFont="1" applyFill="1" applyBorder="1" applyAlignment="1">
      <alignment horizontal="center"/>
    </xf>
    <xf numFmtId="2" fontId="5" fillId="6" borderId="14" xfId="0" applyNumberFormat="1" applyFont="1" applyFill="1" applyBorder="1" applyAlignment="1">
      <alignment horizontal="center"/>
    </xf>
    <xf numFmtId="0" fontId="5" fillId="6" borderId="36" xfId="0" applyFont="1" applyFill="1" applyBorder="1" applyAlignment="1">
      <alignment horizontal="left"/>
    </xf>
    <xf numFmtId="0" fontId="30" fillId="0" borderId="35" xfId="0" applyFont="1" applyBorder="1" applyAlignment="1">
      <alignment horizontal="center"/>
    </xf>
    <xf numFmtId="0" fontId="12" fillId="12" borderId="35" xfId="0" applyFont="1" applyFill="1" applyBorder="1" applyAlignment="1">
      <alignment horizontal="center"/>
    </xf>
    <xf numFmtId="0" fontId="7" fillId="4" borderId="1" xfId="0" applyFont="1" applyFill="1" applyBorder="1" applyAlignment="1">
      <alignment horizontal="center"/>
    </xf>
    <xf numFmtId="0" fontId="7" fillId="4" borderId="1" xfId="0" applyFont="1" applyFill="1" applyBorder="1" applyAlignment="1">
      <alignment horizontal="center" wrapText="1"/>
    </xf>
    <xf numFmtId="0" fontId="46" fillId="10" borderId="1" xfId="0" applyFont="1" applyFill="1" applyBorder="1" applyAlignment="1" applyProtection="1">
      <alignment horizontal="left"/>
      <protection locked="0"/>
    </xf>
    <xf numFmtId="166" fontId="46" fillId="11" borderId="1" xfId="0" applyNumberFormat="1" applyFont="1" applyFill="1" applyBorder="1" applyAlignment="1" applyProtection="1">
      <alignment horizontal="center"/>
      <protection locked="0"/>
    </xf>
    <xf numFmtId="0" fontId="46" fillId="10" borderId="28" xfId="0" applyFont="1" applyFill="1" applyBorder="1" applyAlignment="1" applyProtection="1">
      <alignment horizontal="left"/>
      <protection locked="0"/>
    </xf>
    <xf numFmtId="166" fontId="46" fillId="11" borderId="28" xfId="0" applyNumberFormat="1" applyFont="1" applyFill="1" applyBorder="1" applyAlignment="1" applyProtection="1">
      <alignment horizontal="center"/>
      <protection locked="0"/>
    </xf>
    <xf numFmtId="0" fontId="30" fillId="0" borderId="0" xfId="0" applyFont="1" applyAlignment="1">
      <alignment horizontal="center"/>
    </xf>
    <xf numFmtId="0" fontId="5" fillId="7" borderId="40" xfId="0" applyFont="1" applyFill="1" applyBorder="1" applyAlignment="1">
      <alignment horizontal="left"/>
    </xf>
    <xf numFmtId="0" fontId="5" fillId="7" borderId="6" xfId="0" applyFont="1" applyFill="1" applyBorder="1" applyAlignment="1">
      <alignment horizontal="left"/>
    </xf>
    <xf numFmtId="166" fontId="5" fillId="7" borderId="6" xfId="0" applyNumberFormat="1" applyFont="1" applyFill="1" applyBorder="1" applyAlignment="1">
      <alignment horizontal="center"/>
    </xf>
    <xf numFmtId="166" fontId="5" fillId="7" borderId="7" xfId="0" applyNumberFormat="1" applyFont="1" applyFill="1" applyBorder="1" applyAlignment="1">
      <alignment horizontal="center"/>
    </xf>
    <xf numFmtId="0" fontId="45" fillId="0" borderId="0" xfId="0" applyFont="1" applyAlignment="1">
      <alignment horizontal="center" vertical="center" wrapText="1"/>
    </xf>
    <xf numFmtId="0" fontId="13" fillId="19" borderId="1" xfId="0" applyFont="1" applyFill="1" applyBorder="1" applyAlignment="1">
      <alignment horizontal="center" vertical="center"/>
    </xf>
    <xf numFmtId="0" fontId="7" fillId="2" borderId="1" xfId="0" applyFont="1" applyFill="1" applyBorder="1" applyAlignment="1">
      <alignment horizontal="center" wrapText="1"/>
    </xf>
    <xf numFmtId="0" fontId="4" fillId="19" borderId="1" xfId="0" applyFont="1" applyFill="1" applyBorder="1" applyAlignment="1">
      <alignment horizontal="center"/>
    </xf>
    <xf numFmtId="0" fontId="7" fillId="2" borderId="1" xfId="0" applyFont="1" applyFill="1" applyBorder="1" applyAlignment="1">
      <alignment horizontal="center"/>
    </xf>
    <xf numFmtId="0" fontId="51" fillId="0" borderId="76" xfId="0" applyFont="1" applyBorder="1" applyAlignment="1">
      <alignment horizontal="left" vertical="center" wrapText="1"/>
    </xf>
    <xf numFmtId="0" fontId="51" fillId="0" borderId="76" xfId="0" applyFont="1" applyBorder="1" applyAlignment="1">
      <alignment vertical="center" wrapText="1"/>
    </xf>
    <xf numFmtId="0" fontId="54" fillId="0" borderId="0" xfId="0" applyFont="1" applyAlignment="1">
      <alignment horizontal="center" vertical="center"/>
    </xf>
    <xf numFmtId="0" fontId="51" fillId="0" borderId="0" xfId="0" applyFont="1" applyAlignment="1">
      <alignment horizontal="center" vertical="center"/>
    </xf>
    <xf numFmtId="0" fontId="53" fillId="0" borderId="76" xfId="0" applyFont="1" applyBorder="1" applyAlignment="1">
      <alignment vertical="center"/>
    </xf>
    <xf numFmtId="0" fontId="51" fillId="0" borderId="76" xfId="0" applyFont="1" applyBorder="1" applyAlignment="1">
      <alignment vertical="center"/>
    </xf>
    <xf numFmtId="0" fontId="21" fillId="0" borderId="76" xfId="0" applyFont="1" applyBorder="1" applyAlignment="1">
      <alignment vertical="center"/>
    </xf>
    <xf numFmtId="0" fontId="52" fillId="0" borderId="0" xfId="0" applyFont="1" applyAlignment="1">
      <alignment horizontal="center" vertical="center"/>
    </xf>
    <xf numFmtId="0" fontId="53" fillId="0" borderId="0" xfId="0" applyFont="1" applyAlignment="1">
      <alignment vertical="center"/>
    </xf>
    <xf numFmtId="0" fontId="51" fillId="0" borderId="0" xfId="0" applyFont="1" applyAlignment="1">
      <alignment vertical="center"/>
    </xf>
    <xf numFmtId="0" fontId="51" fillId="0" borderId="0" xfId="0" applyFont="1" applyAlignment="1">
      <alignment vertical="center" wrapText="1"/>
    </xf>
    <xf numFmtId="0" fontId="55" fillId="0" borderId="32" xfId="0" applyFont="1" applyBorder="1" applyAlignment="1">
      <alignment horizontal="left" vertical="center" wrapText="1"/>
    </xf>
    <xf numFmtId="0" fontId="56" fillId="0" borderId="28" xfId="0" applyFont="1" applyBorder="1" applyAlignment="1">
      <alignment horizontal="center" vertical="center"/>
    </xf>
    <xf numFmtId="166" fontId="56" fillId="0" borderId="28" xfId="0" applyNumberFormat="1" applyFont="1" applyBorder="1" applyAlignment="1">
      <alignment horizontal="center" vertical="center"/>
    </xf>
    <xf numFmtId="49" fontId="62" fillId="0" borderId="77" xfId="0" applyNumberFormat="1" applyFont="1" applyFill="1" applyBorder="1" applyAlignment="1" applyProtection="1">
      <alignment horizontal="center" vertical="center"/>
    </xf>
    <xf numFmtId="171" fontId="62" fillId="0" borderId="77" xfId="0" applyNumberFormat="1" applyFont="1" applyFill="1" applyBorder="1" applyAlignment="1" applyProtection="1">
      <alignment horizontal="center" vertical="center"/>
    </xf>
    <xf numFmtId="2" fontId="62" fillId="0" borderId="77" xfId="0" applyNumberFormat="1" applyFont="1" applyFill="1" applyBorder="1" applyAlignment="1" applyProtection="1">
      <alignment horizontal="center" vertical="center"/>
    </xf>
    <xf numFmtId="166" fontId="62" fillId="0" borderId="77" xfId="0" applyNumberFormat="1" applyFont="1" applyFill="1" applyBorder="1" applyAlignment="1" applyProtection="1">
      <alignment horizontal="center" vertical="center"/>
    </xf>
    <xf numFmtId="171" fontId="56" fillId="25" borderId="77" xfId="0" applyNumberFormat="1" applyFont="1" applyFill="1" applyBorder="1" applyAlignment="1" applyProtection="1">
      <alignment horizontal="center" vertical="center"/>
    </xf>
    <xf numFmtId="0" fontId="56" fillId="25" borderId="77" xfId="0" applyFont="1" applyFill="1" applyBorder="1" applyAlignment="1" applyProtection="1">
      <alignment horizontal="center" vertical="center"/>
    </xf>
    <xf numFmtId="2" fontId="56" fillId="25" borderId="77" xfId="0" applyNumberFormat="1" applyFont="1" applyFill="1" applyBorder="1" applyAlignment="1" applyProtection="1">
      <alignment horizontal="center" vertical="center"/>
      <protection locked="0"/>
    </xf>
    <xf numFmtId="166" fontId="56" fillId="25" borderId="77" xfId="0" applyNumberFormat="1" applyFont="1" applyFill="1" applyBorder="1" applyAlignment="1" applyProtection="1">
      <alignment horizontal="center" vertical="center"/>
      <protection locked="0"/>
    </xf>
    <xf numFmtId="171" fontId="56" fillId="25" borderId="78" xfId="0" applyNumberFormat="1" applyFont="1" applyFill="1" applyBorder="1" applyAlignment="1" applyProtection="1">
      <alignment horizontal="center" vertical="center"/>
    </xf>
    <xf numFmtId="0" fontId="56" fillId="25" borderId="78" xfId="0" applyFont="1" applyFill="1" applyBorder="1" applyAlignment="1" applyProtection="1">
      <alignment horizontal="center" vertical="center"/>
    </xf>
    <xf numFmtId="2" fontId="56" fillId="25" borderId="78" xfId="0" applyNumberFormat="1" applyFont="1" applyFill="1" applyBorder="1" applyAlignment="1" applyProtection="1">
      <alignment horizontal="center" vertical="center"/>
      <protection locked="0"/>
    </xf>
    <xf numFmtId="166" fontId="56" fillId="25" borderId="78" xfId="0" applyNumberFormat="1" applyFont="1" applyFill="1" applyBorder="1" applyAlignment="1" applyProtection="1">
      <alignment horizontal="center" vertical="center"/>
      <protection locked="0"/>
    </xf>
    <xf numFmtId="171" fontId="56" fillId="26" borderId="78" xfId="0" applyNumberFormat="1" applyFont="1" applyFill="1" applyBorder="1" applyAlignment="1" applyProtection="1">
      <alignment horizontal="center" vertical="center"/>
    </xf>
    <xf numFmtId="0" fontId="56" fillId="26" borderId="78" xfId="0" applyFont="1" applyFill="1" applyBorder="1" applyAlignment="1" applyProtection="1">
      <alignment horizontal="center" vertical="center"/>
    </xf>
    <xf numFmtId="2" fontId="56" fillId="26" borderId="78" xfId="0" applyNumberFormat="1" applyFont="1" applyFill="1" applyBorder="1" applyAlignment="1" applyProtection="1">
      <alignment horizontal="center" vertical="center"/>
      <protection locked="0"/>
    </xf>
    <xf numFmtId="166" fontId="56" fillId="26" borderId="78" xfId="0" applyNumberFormat="1" applyFont="1" applyFill="1" applyBorder="1" applyAlignment="1" applyProtection="1">
      <alignment horizontal="center" vertical="center"/>
      <protection locked="0"/>
    </xf>
    <xf numFmtId="171" fontId="56" fillId="27" borderId="78" xfId="0" applyNumberFormat="1" applyFont="1" applyFill="1" applyBorder="1" applyAlignment="1" applyProtection="1">
      <alignment horizontal="center" vertical="center"/>
    </xf>
    <xf numFmtId="0" fontId="56" fillId="27" borderId="78" xfId="0" applyFont="1" applyFill="1" applyBorder="1" applyAlignment="1" applyProtection="1">
      <alignment horizontal="center" vertical="center"/>
    </xf>
    <xf numFmtId="2" fontId="56" fillId="27" borderId="78" xfId="0" applyNumberFormat="1" applyFont="1" applyFill="1" applyBorder="1" applyAlignment="1" applyProtection="1">
      <alignment horizontal="center" vertical="center"/>
      <protection locked="0"/>
    </xf>
    <xf numFmtId="166" fontId="56" fillId="27" borderId="78" xfId="0" applyNumberFormat="1" applyFont="1" applyFill="1" applyBorder="1" applyAlignment="1" applyProtection="1">
      <alignment horizontal="center" vertical="center"/>
      <protection locked="0"/>
    </xf>
    <xf numFmtId="49" fontId="62" fillId="0" borderId="79" xfId="0" applyNumberFormat="1" applyFont="1" applyFill="1" applyBorder="1" applyAlignment="1" applyProtection="1">
      <alignment horizontal="center" vertical="center"/>
    </xf>
    <xf numFmtId="49" fontId="56" fillId="25" borderId="79" xfId="0" applyNumberFormat="1" applyFont="1" applyFill="1" applyBorder="1" applyAlignment="1" applyProtection="1">
      <alignment horizontal="center" vertical="center"/>
    </xf>
    <xf numFmtId="49" fontId="56" fillId="25" borderId="80" xfId="0" applyNumberFormat="1" applyFont="1" applyFill="1" applyBorder="1" applyAlignment="1" applyProtection="1">
      <alignment horizontal="center" vertical="center"/>
    </xf>
    <xf numFmtId="49" fontId="56" fillId="26" borderId="80" xfId="0" applyNumberFormat="1" applyFont="1" applyFill="1" applyBorder="1" applyAlignment="1" applyProtection="1">
      <alignment horizontal="center" vertical="center"/>
    </xf>
    <xf numFmtId="49" fontId="56" fillId="27" borderId="80" xfId="0" applyNumberFormat="1" applyFont="1" applyFill="1" applyBorder="1" applyAlignment="1" applyProtection="1">
      <alignment horizontal="center" vertical="center"/>
    </xf>
    <xf numFmtId="49" fontId="62" fillId="0" borderId="81" xfId="0" applyNumberFormat="1" applyFont="1" applyFill="1" applyBorder="1" applyAlignment="1" applyProtection="1">
      <alignment horizontal="center" vertical="center"/>
    </xf>
    <xf numFmtId="0" fontId="56" fillId="25" borderId="81" xfId="0" applyFont="1" applyFill="1" applyBorder="1" applyAlignment="1" applyProtection="1">
      <alignment horizontal="center" vertical="center"/>
    </xf>
    <xf numFmtId="0" fontId="56" fillId="25" borderId="82" xfId="0" applyFont="1" applyFill="1" applyBorder="1" applyAlignment="1" applyProtection="1">
      <alignment horizontal="center" vertical="center"/>
    </xf>
    <xf numFmtId="0" fontId="56" fillId="26" borderId="82" xfId="0" applyFont="1" applyFill="1" applyBorder="1" applyAlignment="1" applyProtection="1">
      <alignment horizontal="center" vertical="center"/>
    </xf>
    <xf numFmtId="0" fontId="56" fillId="27" borderId="82" xfId="0" applyFont="1" applyFill="1" applyBorder="1" applyAlignment="1" applyProtection="1">
      <alignment horizontal="center" vertical="center"/>
    </xf>
    <xf numFmtId="49" fontId="3" fillId="27" borderId="83" xfId="0" applyNumberFormat="1" applyFont="1" applyFill="1" applyBorder="1" applyAlignment="1" applyProtection="1">
      <alignment horizontal="center" vertical="center"/>
    </xf>
    <xf numFmtId="171" fontId="3" fillId="27" borderId="84" xfId="0" applyNumberFormat="1" applyFont="1" applyFill="1" applyBorder="1" applyAlignment="1" applyProtection="1">
      <alignment horizontal="center" vertical="center"/>
    </xf>
    <xf numFmtId="0" fontId="3" fillId="27" borderId="84" xfId="0" applyFont="1" applyFill="1" applyBorder="1" applyAlignment="1" applyProtection="1">
      <alignment horizontal="center" vertical="center"/>
    </xf>
    <xf numFmtId="2" fontId="3" fillId="27" borderId="84" xfId="0" applyNumberFormat="1" applyFont="1" applyFill="1" applyBorder="1" applyAlignment="1" applyProtection="1">
      <alignment horizontal="center" vertical="center"/>
      <protection locked="0"/>
    </xf>
    <xf numFmtId="166" fontId="3" fillId="27" borderId="84" xfId="0" applyNumberFormat="1" applyFont="1" applyFill="1" applyBorder="1" applyAlignment="1" applyProtection="1">
      <alignment horizontal="center" vertical="center"/>
      <protection locked="0"/>
    </xf>
    <xf numFmtId="0" fontId="3" fillId="27" borderId="85" xfId="0" applyFont="1" applyFill="1" applyBorder="1" applyProtection="1"/>
    <xf numFmtId="171" fontId="56" fillId="25" borderId="86" xfId="0" applyNumberFormat="1" applyFont="1" applyFill="1" applyBorder="1" applyAlignment="1" applyProtection="1">
      <alignment horizontal="center" vertical="center"/>
    </xf>
    <xf numFmtId="0" fontId="56" fillId="25" borderId="86" xfId="0" applyFont="1" applyFill="1" applyBorder="1" applyAlignment="1" applyProtection="1">
      <alignment horizontal="center" vertical="center"/>
    </xf>
    <xf numFmtId="2" fontId="56" fillId="25" borderId="86" xfId="0" applyNumberFormat="1" applyFont="1" applyFill="1" applyBorder="1" applyAlignment="1" applyProtection="1">
      <alignment horizontal="center" vertical="center"/>
      <protection locked="0"/>
    </xf>
    <xf numFmtId="166" fontId="56" fillId="25" borderId="86" xfId="0" applyNumberFormat="1" applyFont="1" applyFill="1" applyBorder="1" applyAlignment="1" applyProtection="1">
      <alignment horizontal="center" vertical="center"/>
      <protection locked="0"/>
    </xf>
    <xf numFmtId="171" fontId="56" fillId="26" borderId="86" xfId="0" applyNumberFormat="1" applyFont="1" applyFill="1" applyBorder="1" applyAlignment="1" applyProtection="1">
      <alignment horizontal="center" vertical="center"/>
    </xf>
    <xf numFmtId="0" fontId="56" fillId="26" borderId="86" xfId="0" applyFont="1" applyFill="1" applyBorder="1" applyAlignment="1" applyProtection="1">
      <alignment horizontal="center" vertical="center"/>
    </xf>
    <xf numFmtId="2" fontId="56" fillId="26" borderId="86" xfId="0" applyNumberFormat="1" applyFont="1" applyFill="1" applyBorder="1" applyAlignment="1" applyProtection="1">
      <alignment horizontal="center" vertical="center"/>
      <protection locked="0"/>
    </xf>
    <xf numFmtId="166" fontId="56" fillId="26" borderId="86" xfId="0" applyNumberFormat="1" applyFont="1" applyFill="1" applyBorder="1" applyAlignment="1" applyProtection="1">
      <alignment horizontal="center" vertical="center"/>
      <protection locked="0"/>
    </xf>
    <xf numFmtId="171" fontId="56" fillId="27" borderId="86" xfId="0" applyNumberFormat="1" applyFont="1" applyFill="1" applyBorder="1" applyAlignment="1" applyProtection="1">
      <alignment horizontal="center" vertical="center"/>
    </xf>
    <xf numFmtId="0" fontId="56" fillId="27" borderId="86" xfId="0" applyFont="1" applyFill="1" applyBorder="1" applyAlignment="1" applyProtection="1">
      <alignment horizontal="center" vertical="center"/>
    </xf>
    <xf numFmtId="2" fontId="56" fillId="27" borderId="86" xfId="0" applyNumberFormat="1" applyFont="1" applyFill="1" applyBorder="1" applyAlignment="1" applyProtection="1">
      <alignment horizontal="center" vertical="center"/>
      <protection locked="0"/>
    </xf>
    <xf numFmtId="166" fontId="56" fillId="27" borderId="86" xfId="0" applyNumberFormat="1" applyFont="1" applyFill="1" applyBorder="1" applyAlignment="1" applyProtection="1">
      <alignment horizontal="center" vertical="center"/>
      <protection locked="0"/>
    </xf>
    <xf numFmtId="49" fontId="56" fillId="25" borderId="87" xfId="0" applyNumberFormat="1" applyFont="1" applyFill="1" applyBorder="1" applyAlignment="1" applyProtection="1">
      <alignment horizontal="center" vertical="center"/>
    </xf>
    <xf numFmtId="49" fontId="56" fillId="26" borderId="87" xfId="0" applyNumberFormat="1" applyFont="1" applyFill="1" applyBorder="1" applyAlignment="1" applyProtection="1">
      <alignment horizontal="center" vertical="center"/>
    </xf>
    <xf numFmtId="49" fontId="56" fillId="27" borderId="87" xfId="0" applyNumberFormat="1" applyFont="1" applyFill="1" applyBorder="1" applyAlignment="1" applyProtection="1">
      <alignment horizontal="center" vertical="center"/>
    </xf>
    <xf numFmtId="0" fontId="56" fillId="25" borderId="88" xfId="0" applyFont="1" applyFill="1" applyBorder="1" applyAlignment="1" applyProtection="1">
      <alignment horizontal="center" vertical="center"/>
    </xf>
    <xf numFmtId="0" fontId="56" fillId="26" borderId="88" xfId="0" applyFont="1" applyFill="1" applyBorder="1" applyAlignment="1" applyProtection="1">
      <alignment horizontal="center" vertical="center"/>
    </xf>
    <xf numFmtId="0" fontId="56" fillId="27" borderId="88" xfId="0" applyFont="1" applyFill="1" applyBorder="1" applyAlignment="1" applyProtection="1">
      <alignment horizontal="center" vertical="center"/>
    </xf>
  </cellXfs>
  <cellStyles count="6">
    <cellStyle name="Komma 2" xfId="2" xr:uid="{9A15DB16-AC56-4B1C-B1FA-109392DA5A8C}"/>
    <cellStyle name="Prozent 2" xfId="3" xr:uid="{C99D48E9-F77D-4B3C-B4F4-10BC43930501}"/>
    <cellStyle name="Standard" xfId="0" builtinId="0"/>
    <cellStyle name="Standard 2" xfId="1" xr:uid="{BD246245-DCE4-4353-B148-E05A0212ECE0}"/>
    <cellStyle name="Standard 3" xfId="5" xr:uid="{09EAA06B-F081-E740-9498-6059285E22C5}"/>
    <cellStyle name="Währung 2" xfId="4" xr:uid="{D1EEB12E-973F-4E9B-93F6-7C6840E4AB66}"/>
  </cellStyles>
  <dxfs count="3">
    <dxf>
      <font>
        <color rgb="FF9C0006"/>
      </font>
      <fill>
        <patternFill>
          <bgColor rgb="FFFFC7CE"/>
        </patternFill>
      </fill>
    </dxf>
    <dxf>
      <font>
        <color rgb="FF9C6500"/>
      </font>
      <fill>
        <patternFill>
          <bgColor rgb="FFFFEB9C"/>
        </patternFill>
      </fill>
    </dxf>
    <dxf>
      <font>
        <color rgb="FF006100"/>
      </font>
      <fill>
        <patternFill>
          <bgColor rgb="FFC6EFCE"/>
        </patternFill>
      </fill>
    </dxf>
  </dxfs>
  <tableStyles count="0" defaultTableStyle="TableStyleMedium9" defaultPivotStyle="PivotStyleLight16"/>
  <colors>
    <mruColors>
      <color rgb="FFF2DDDC"/>
      <color rgb="FFE9EFB3"/>
      <color rgb="FFA3B7CC"/>
      <color rgb="FFE3C567"/>
      <color rgb="FFFFFF00"/>
      <color rgb="FFD6D6D6"/>
      <color rgb="FFD1BFA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12700</xdr:colOff>
          <xdr:row>26</xdr:row>
          <xdr:rowOff>127000</xdr:rowOff>
        </xdr:from>
        <xdr:to>
          <xdr:col>11</xdr:col>
          <xdr:colOff>342900</xdr:colOff>
          <xdr:row>29</xdr:row>
          <xdr:rowOff>76200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000-000001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2000" b="1" i="0" u="none" strike="noStrike" baseline="0">
                  <a:solidFill>
                    <a:srgbClr val="C0504D"/>
                  </a:solidFill>
                  <a:latin typeface="Aptos Narrow" charset="0"/>
                </a:rPr>
                <a:t>JAHRESRESET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0</xdr:colOff>
      <xdr:row>0</xdr:row>
      <xdr:rowOff>25400</xdr:rowOff>
    </xdr:from>
    <xdr:to>
      <xdr:col>11</xdr:col>
      <xdr:colOff>635000</xdr:colOff>
      <xdr:row>0</xdr:row>
      <xdr:rowOff>304800</xdr:rowOff>
    </xdr:to>
    <xdr:sp macro="AddNewKVPeriodOnTop" textlink="">
      <xdr:nvSpPr>
        <xdr:cNvPr id="19" name="btn_AddNewKVPeriodOnTop">
          <a:extLst>
            <a:ext uri="{FF2B5EF4-FFF2-40B4-BE49-F238E27FC236}">
              <a16:creationId xmlns:a16="http://schemas.microsoft.com/office/drawing/2014/main" id="{175674F3-62B4-8153-E3E4-649A53DAED14}"/>
            </a:ext>
          </a:extLst>
        </xdr:cNvPr>
        <xdr:cNvSpPr/>
      </xdr:nvSpPr>
      <xdr:spPr>
        <a:xfrm>
          <a:off x="10350500" y="25400"/>
          <a:ext cx="2794000" cy="279400"/>
        </a:xfrm>
        <a:prstGeom prst="roundRect">
          <a:avLst/>
        </a:prstGeom>
        <a:solidFill>
          <a:srgbClr val="366092"/>
        </a:solidFill>
        <a:ln>
          <a:solidFill>
            <a:srgbClr val="2140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b="1">
              <a:solidFill>
                <a:srgbClr val="FFFFFF"/>
              </a:solidFill>
            </a:rPr>
            <a:t>Neuen KV-Zeitraum oben einfuegen</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17</xdr:col>
          <xdr:colOff>457200</xdr:colOff>
          <xdr:row>1</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25400</xdr:colOff>
      <xdr:row>25</xdr:row>
      <xdr:rowOff>12700</xdr:rowOff>
    </xdr:from>
    <xdr:to>
      <xdr:col>18</xdr:col>
      <xdr:colOff>152400</xdr:colOff>
      <xdr:row>28</xdr:row>
      <xdr:rowOff>6350</xdr:rowOff>
    </xdr:to>
    <xdr:sp macro="" textlink="">
      <xdr:nvSpPr>
        <xdr:cNvPr id="2" name="Geschweifte Klammer rechts 1">
          <a:extLst>
            <a:ext uri="{FF2B5EF4-FFF2-40B4-BE49-F238E27FC236}">
              <a16:creationId xmlns:a16="http://schemas.microsoft.com/office/drawing/2014/main" id="{FC57DD53-6D32-3318-484A-ED4D6DFBD72B}"/>
            </a:ext>
          </a:extLst>
        </xdr:cNvPr>
        <xdr:cNvSpPr/>
      </xdr:nvSpPr>
      <xdr:spPr>
        <a:xfrm>
          <a:off x="16922750" y="50927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19</xdr:col>
          <xdr:colOff>114300</xdr:colOff>
          <xdr:row>1</xdr:row>
          <xdr:rowOff>165100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500-000002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CBD84E76-9592-4B2E-A72B-780142AFAA1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571500</xdr:colOff>
          <xdr:row>1</xdr:row>
          <xdr:rowOff>165100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600-000002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965E14F4-42E5-443E-BE9E-32D5BE75956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76200</xdr:rowOff>
        </xdr:from>
        <xdr:to>
          <xdr:col>18</xdr:col>
          <xdr:colOff>571500</xdr:colOff>
          <xdr:row>1</xdr:row>
          <xdr:rowOff>152400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7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DB19571-57EA-46CD-A333-A38D408950D4}"/>
            </a:ext>
          </a:extLst>
        </xdr:cNvPr>
        <xdr:cNvSpPr/>
      </xdr:nvSpPr>
      <xdr:spPr>
        <a:xfrm>
          <a:off x="190500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647700</xdr:colOff>
          <xdr:row>1</xdr:row>
          <xdr:rowOff>114300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8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EFEC6BD-B8D6-40AB-A5C4-0CEFE39E0E27}"/>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647700</xdr:colOff>
          <xdr:row>1</xdr:row>
          <xdr:rowOff>114300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900-0000018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34F42C4E-3211-C149-83A2-6E9C8B6712F0}"/>
            </a:ext>
          </a:extLst>
        </xdr:cNvPr>
        <xdr:cNvSpPr/>
      </xdr:nvSpPr>
      <xdr:spPr>
        <a:xfrm>
          <a:off x="188531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18</xdr:col>
          <xdr:colOff>609600</xdr:colOff>
          <xdr:row>1</xdr:row>
          <xdr:rowOff>152400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A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8AAF8835-C08B-4BEC-B025-348B6E52485D}"/>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18</xdr:col>
          <xdr:colOff>698500</xdr:colOff>
          <xdr:row>1</xdr:row>
          <xdr:rowOff>152400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B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1817145-B0AC-4265-85C7-5E9D9C29F707}"/>
            </a:ext>
          </a:extLst>
        </xdr:cNvPr>
        <xdr:cNvSpPr/>
      </xdr:nvSpPr>
      <xdr:spPr>
        <a:xfrm>
          <a:off x="189992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685800</xdr:colOff>
          <xdr:row>1</xdr:row>
          <xdr:rowOff>165100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C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25B27030-DD97-4D72-9458-0299F688273A}"/>
            </a:ext>
          </a:extLst>
        </xdr:cNvPr>
        <xdr:cNvSpPr/>
      </xdr:nvSpPr>
      <xdr:spPr>
        <a:xfrm>
          <a:off x="18910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571500</xdr:colOff>
          <xdr:row>1</xdr:row>
          <xdr:rowOff>165100</xdr:rowOff>
        </xdr:to>
        <xdr:sp macro="" textlink="">
          <xdr:nvSpPr>
            <xdr:cNvPr id="24578" name="Button 2" hidden="1">
              <a:extLst>
                <a:ext uri="{63B3BB69-23CF-44E3-9099-C40C66FF867C}">
                  <a14:compatExt spid="_x0000_s24578"/>
                </a:ext>
                <a:ext uri="{FF2B5EF4-FFF2-40B4-BE49-F238E27FC236}">
                  <a16:creationId xmlns:a16="http://schemas.microsoft.com/office/drawing/2014/main" id="{00000000-0008-0000-0D00-000002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42F424AA-DF50-45B3-AE82-AD894B46ABBD}"/>
            </a:ext>
          </a:extLst>
        </xdr:cNvPr>
        <xdr:cNvSpPr/>
      </xdr:nvSpPr>
      <xdr:spPr>
        <a:xfrm>
          <a:off x="189293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18</xdr:col>
          <xdr:colOff>609600</xdr:colOff>
          <xdr:row>1</xdr:row>
          <xdr:rowOff>152400</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E00-000002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E0AD477-D6CF-42DF-AF13-33A5F85CE1EF}"/>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152854</xdr:colOff>
      <xdr:row>3</xdr:row>
      <xdr:rowOff>352713</xdr:rowOff>
    </xdr:from>
    <xdr:to>
      <xdr:col>1</xdr:col>
      <xdr:colOff>708025</xdr:colOff>
      <xdr:row>5</xdr:row>
      <xdr:rowOff>66963</xdr:rowOff>
    </xdr:to>
    <xdr:pic>
      <xdr:nvPicPr>
        <xdr:cNvPr id="3" name="Grafik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499218" y="941531"/>
          <a:ext cx="555171" cy="4762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trlProp" Target="../ctrlProps/ctrlProp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8.bin"/><Relationship Id="rId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0.bin"/><Relationship Id="rId4" Type="http://schemas.openxmlformats.org/officeDocument/2006/relationships/ctrlProp" Target="../ctrlProps/ctrlProp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1.bin"/><Relationship Id="rId4" Type="http://schemas.openxmlformats.org/officeDocument/2006/relationships/ctrlProp" Target="../ctrlProps/ctrlProp11.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2.bin"/><Relationship Id="rId4" Type="http://schemas.openxmlformats.org/officeDocument/2006/relationships/ctrlProp" Target="../ctrlProps/ctrlProp12.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4D813E-35BD-6F43-8E82-56723E64F59D}">
  <sheetPr codeName="Tabelle18"/>
  <dimension ref="A1:R158"/>
  <sheetViews>
    <sheetView showGridLines="0" zoomScaleNormal="100" workbookViewId="0">
      <selection activeCell="C29" sqref="C29"/>
    </sheetView>
  </sheetViews>
  <sheetFormatPr baseColWidth="10" defaultColWidth="10.83203125" defaultRowHeight="16"/>
  <cols>
    <col min="1" max="1" width="10.83203125" style="11" customWidth="1"/>
    <col min="2" max="2" width="18.5" style="12" customWidth="1"/>
    <col min="3" max="3" width="19.5" style="7" customWidth="1"/>
    <col min="4" max="4" width="22.1640625" style="10" customWidth="1"/>
    <col min="5" max="5" width="2.1640625" style="8" customWidth="1"/>
    <col min="6" max="6" width="22" style="8" customWidth="1"/>
    <col min="7" max="7" width="10.83203125" style="8"/>
    <col min="8" max="8" width="14.6640625" style="191" customWidth="1"/>
    <col min="9" max="9" width="39.6640625" style="8" customWidth="1"/>
    <col min="10" max="14" width="10.83203125" style="9"/>
    <col min="15" max="15" width="35.5" style="9" customWidth="1"/>
    <col min="16" max="16" width="10.83203125" style="9" customWidth="1"/>
    <col min="17" max="16384" width="10.83203125" style="9"/>
  </cols>
  <sheetData>
    <row r="1" spans="1:18" ht="21">
      <c r="A1" s="221" t="s">
        <v>0</v>
      </c>
      <c r="B1" s="223" t="s">
        <v>1</v>
      </c>
      <c r="C1" s="225" t="s">
        <v>2</v>
      </c>
      <c r="D1" s="225"/>
      <c r="I1" s="18" t="s">
        <v>3</v>
      </c>
      <c r="J1" s="228"/>
      <c r="K1" s="228"/>
      <c r="L1" s="228"/>
      <c r="M1" s="228"/>
      <c r="O1" s="177" t="s">
        <v>208</v>
      </c>
      <c r="P1" s="177" t="s">
        <v>212</v>
      </c>
    </row>
    <row r="2" spans="1:18" ht="22" thickBot="1">
      <c r="A2" s="222"/>
      <c r="B2" s="224"/>
      <c r="C2" s="54" t="str">
        <f>G3-1&amp;"/"&amp;G3</f>
        <v>2025/2026</v>
      </c>
      <c r="D2" s="54" t="str">
        <f>G3 &amp; "/" &amp; G3+1</f>
        <v>2026/2027</v>
      </c>
      <c r="I2" s="14"/>
      <c r="J2" s="229" t="s">
        <v>204</v>
      </c>
      <c r="K2" s="229"/>
      <c r="L2" s="229"/>
      <c r="M2" s="229"/>
      <c r="O2" s="175" t="s">
        <v>213</v>
      </c>
      <c r="P2" s="175">
        <v>0</v>
      </c>
    </row>
    <row r="3" spans="1:18" ht="18" thickTop="1" thickBot="1">
      <c r="A3" s="19" t="s">
        <v>4</v>
      </c>
      <c r="B3" s="20">
        <v>173</v>
      </c>
      <c r="C3" s="101">
        <v>2021</v>
      </c>
      <c r="D3" s="102">
        <v>2021</v>
      </c>
      <c r="E3" s="99"/>
      <c r="F3" s="123" t="s">
        <v>5</v>
      </c>
      <c r="G3" s="125">
        <v>2026</v>
      </c>
      <c r="I3" s="14"/>
      <c r="O3" s="175" t="s">
        <v>214</v>
      </c>
      <c r="P3" s="175">
        <v>0</v>
      </c>
      <c r="Q3" s="13"/>
      <c r="R3" s="13"/>
    </row>
    <row r="4" spans="1:18">
      <c r="A4" s="21" t="s">
        <v>4</v>
      </c>
      <c r="B4" s="22">
        <v>151.38</v>
      </c>
      <c r="C4" s="103">
        <v>1768.38</v>
      </c>
      <c r="D4" s="104">
        <v>1768.38</v>
      </c>
      <c r="E4" s="40"/>
      <c r="F4" s="121"/>
      <c r="G4" s="122"/>
      <c r="I4" s="16" t="s">
        <v>6</v>
      </c>
      <c r="O4" s="175" t="s">
        <v>210</v>
      </c>
      <c r="P4" s="175">
        <v>0</v>
      </c>
      <c r="Q4" s="13" t="s">
        <v>4</v>
      </c>
      <c r="R4" s="13">
        <v>173</v>
      </c>
    </row>
    <row r="5" spans="1:18">
      <c r="A5" s="21" t="s">
        <v>4</v>
      </c>
      <c r="B5" s="22">
        <v>138.4</v>
      </c>
      <c r="C5" s="103">
        <v>1616.8</v>
      </c>
      <c r="D5" s="104">
        <v>1616.8</v>
      </c>
      <c r="E5" s="40"/>
      <c r="I5" s="15" t="s">
        <v>7</v>
      </c>
      <c r="O5" s="175" t="s">
        <v>215</v>
      </c>
      <c r="P5" s="175">
        <v>0</v>
      </c>
      <c r="Q5" s="13" t="s">
        <v>8</v>
      </c>
      <c r="R5" s="13">
        <v>151.38</v>
      </c>
    </row>
    <row r="6" spans="1:18">
      <c r="A6" s="21" t="s">
        <v>4</v>
      </c>
      <c r="B6" s="22">
        <v>129.75</v>
      </c>
      <c r="C6" s="103">
        <v>1515.75</v>
      </c>
      <c r="D6" s="104">
        <v>1515.75</v>
      </c>
      <c r="E6" s="40"/>
      <c r="I6" s="15" t="s">
        <v>9</v>
      </c>
      <c r="O6" s="175" t="s">
        <v>216</v>
      </c>
      <c r="P6" s="175">
        <v>0.2</v>
      </c>
      <c r="Q6" s="13" t="s">
        <v>10</v>
      </c>
      <c r="R6" s="13">
        <v>138.4</v>
      </c>
    </row>
    <row r="7" spans="1:18">
      <c r="A7" s="21" t="s">
        <v>4</v>
      </c>
      <c r="B7" s="22">
        <v>108.13</v>
      </c>
      <c r="C7" s="103">
        <v>1263.1300000000001</v>
      </c>
      <c r="D7" s="104">
        <v>1263.1300000000001</v>
      </c>
      <c r="E7" s="40"/>
      <c r="I7" s="15" t="s">
        <v>11</v>
      </c>
      <c r="O7" s="175" t="s">
        <v>217</v>
      </c>
      <c r="P7" s="175">
        <v>0.35</v>
      </c>
      <c r="Q7" s="13" t="s">
        <v>12</v>
      </c>
      <c r="R7" s="13">
        <v>129.75</v>
      </c>
    </row>
    <row r="8" spans="1:18">
      <c r="A8" s="21" t="s">
        <v>4</v>
      </c>
      <c r="B8" s="22">
        <v>103.8</v>
      </c>
      <c r="C8" s="103">
        <v>1212.5999999999999</v>
      </c>
      <c r="D8" s="104">
        <v>1212.5999999999999</v>
      </c>
      <c r="E8" s="40"/>
      <c r="I8" s="14"/>
      <c r="O8" s="175" t="s">
        <v>211</v>
      </c>
      <c r="P8" s="175">
        <v>0.5</v>
      </c>
      <c r="Q8" s="13" t="s">
        <v>13</v>
      </c>
      <c r="R8" s="13">
        <v>108.13</v>
      </c>
    </row>
    <row r="9" spans="1:18">
      <c r="A9" s="21" t="s">
        <v>4</v>
      </c>
      <c r="B9" s="22">
        <v>86.5</v>
      </c>
      <c r="C9" s="103">
        <v>1010.5</v>
      </c>
      <c r="D9" s="104">
        <v>1010.5</v>
      </c>
      <c r="E9" s="40"/>
      <c r="I9" s="16" t="s">
        <v>14</v>
      </c>
      <c r="O9" s="175" t="s">
        <v>218</v>
      </c>
      <c r="P9" s="175">
        <v>0.6</v>
      </c>
      <c r="Q9" s="13" t="s">
        <v>15</v>
      </c>
      <c r="R9" s="13">
        <v>103.8</v>
      </c>
    </row>
    <row r="10" spans="1:18">
      <c r="A10" s="21" t="s">
        <v>4</v>
      </c>
      <c r="B10" s="22">
        <v>69.2</v>
      </c>
      <c r="C10" s="103">
        <v>808.4</v>
      </c>
      <c r="D10" s="104">
        <v>808.4</v>
      </c>
      <c r="E10" s="40"/>
      <c r="I10" s="17" t="s">
        <v>16</v>
      </c>
      <c r="O10" s="175" t="s">
        <v>209</v>
      </c>
      <c r="P10" s="175">
        <v>0.75</v>
      </c>
      <c r="Q10" s="13" t="s">
        <v>17</v>
      </c>
      <c r="R10" s="13">
        <v>86.5</v>
      </c>
    </row>
    <row r="11" spans="1:18">
      <c r="A11" s="21" t="s">
        <v>4</v>
      </c>
      <c r="B11" s="22">
        <v>51.9</v>
      </c>
      <c r="C11" s="103">
        <v>606.29999999999995</v>
      </c>
      <c r="D11" s="104">
        <v>606.29999999999995</v>
      </c>
      <c r="E11" s="40"/>
      <c r="I11" s="17" t="s">
        <v>18</v>
      </c>
      <c r="O11" s="175" t="s">
        <v>219</v>
      </c>
      <c r="P11" s="175">
        <v>1</v>
      </c>
      <c r="Q11" s="13" t="s">
        <v>19</v>
      </c>
      <c r="R11" s="13">
        <v>56.23</v>
      </c>
    </row>
    <row r="12" spans="1:18">
      <c r="A12" s="21" t="s">
        <v>4</v>
      </c>
      <c r="B12" s="22">
        <v>47.58</v>
      </c>
      <c r="C12" s="103">
        <v>555.78</v>
      </c>
      <c r="D12" s="104">
        <v>555.78</v>
      </c>
      <c r="E12" s="40"/>
      <c r="I12" s="17" t="s">
        <v>20</v>
      </c>
      <c r="O12" s="175" t="s">
        <v>220</v>
      </c>
      <c r="P12" s="175">
        <v>1.1000000000000001</v>
      </c>
      <c r="Q12" s="13" t="s">
        <v>21</v>
      </c>
      <c r="R12" s="13">
        <v>51.9</v>
      </c>
    </row>
    <row r="13" spans="1:18">
      <c r="A13" s="89" t="s">
        <v>4</v>
      </c>
      <c r="B13" s="88">
        <v>43.25</v>
      </c>
      <c r="C13" s="105">
        <v>505.25</v>
      </c>
      <c r="D13" s="106">
        <v>505.25</v>
      </c>
      <c r="E13" s="40"/>
      <c r="I13" s="17"/>
      <c r="O13" s="175" t="s">
        <v>221</v>
      </c>
      <c r="P13" s="175">
        <v>0.7</v>
      </c>
      <c r="Q13" s="13"/>
      <c r="R13" s="13"/>
    </row>
    <row r="14" spans="1:18">
      <c r="A14" s="89" t="s">
        <v>4</v>
      </c>
      <c r="B14" s="88">
        <v>34.6</v>
      </c>
      <c r="C14" s="105">
        <v>404.2</v>
      </c>
      <c r="D14" s="106">
        <v>404.2</v>
      </c>
      <c r="E14" s="40"/>
      <c r="I14" s="17"/>
      <c r="Q14" s="13"/>
      <c r="R14" s="13"/>
    </row>
    <row r="15" spans="1:18" ht="17" thickBot="1">
      <c r="A15" s="23" t="s">
        <v>4</v>
      </c>
      <c r="B15" s="24">
        <v>32.01</v>
      </c>
      <c r="C15" s="107">
        <v>373.89</v>
      </c>
      <c r="D15" s="108">
        <v>373.89</v>
      </c>
      <c r="E15" s="40"/>
      <c r="I15" s="17"/>
      <c r="Q15" s="13" t="s">
        <v>22</v>
      </c>
      <c r="R15" s="13">
        <v>47.58</v>
      </c>
    </row>
    <row r="16" spans="1:18" ht="17" thickTop="1">
      <c r="A16" s="25" t="s">
        <v>8</v>
      </c>
      <c r="B16" s="20">
        <v>173</v>
      </c>
      <c r="C16" s="109">
        <v>2082</v>
      </c>
      <c r="D16" s="110">
        <v>2082</v>
      </c>
      <c r="O16" s="177" t="s">
        <v>222</v>
      </c>
      <c r="P16" s="177" t="s">
        <v>223</v>
      </c>
      <c r="Q16" s="13" t="s">
        <v>23</v>
      </c>
      <c r="R16" s="13">
        <v>32.01</v>
      </c>
    </row>
    <row r="17" spans="1:18" ht="15.5" customHeight="1">
      <c r="A17" s="21" t="s">
        <v>8</v>
      </c>
      <c r="B17" s="22">
        <v>151.38</v>
      </c>
      <c r="C17" s="103">
        <v>1821.75</v>
      </c>
      <c r="D17" s="104">
        <v>1821.75</v>
      </c>
      <c r="I17" s="226" t="s">
        <v>202</v>
      </c>
      <c r="J17" s="227"/>
      <c r="K17" s="227"/>
      <c r="L17" s="227"/>
      <c r="M17" s="227"/>
      <c r="N17" s="124"/>
      <c r="O17" s="176" t="s">
        <v>224</v>
      </c>
      <c r="P17" s="175">
        <v>0.3</v>
      </c>
      <c r="Q17" s="13" t="s">
        <v>24</v>
      </c>
      <c r="R17" s="13"/>
    </row>
    <row r="18" spans="1:18" ht="17">
      <c r="A18" s="21" t="s">
        <v>8</v>
      </c>
      <c r="B18" s="22">
        <v>138.4</v>
      </c>
      <c r="C18" s="103">
        <v>1665.6</v>
      </c>
      <c r="D18" s="104">
        <v>1665.6</v>
      </c>
      <c r="I18" s="226"/>
      <c r="J18" s="227"/>
      <c r="K18" s="227"/>
      <c r="L18" s="227"/>
      <c r="M18" s="227"/>
      <c r="N18" s="124"/>
      <c r="O18" s="176" t="s">
        <v>225</v>
      </c>
      <c r="P18" s="175">
        <v>0.5</v>
      </c>
      <c r="Q18" s="13"/>
      <c r="R18" s="13"/>
    </row>
    <row r="19" spans="1:18" ht="17">
      <c r="A19" s="21" t="s">
        <v>8</v>
      </c>
      <c r="B19" s="22">
        <v>129.75</v>
      </c>
      <c r="C19" s="103">
        <v>1561.5</v>
      </c>
      <c r="D19" s="104">
        <v>1561.5</v>
      </c>
      <c r="I19" s="226"/>
      <c r="J19" s="227"/>
      <c r="K19" s="227"/>
      <c r="L19" s="227"/>
      <c r="M19" s="227"/>
      <c r="N19" s="124"/>
      <c r="O19" s="176" t="s">
        <v>226</v>
      </c>
      <c r="P19" s="175">
        <v>0.75</v>
      </c>
      <c r="Q19" s="13"/>
      <c r="R19" s="13"/>
    </row>
    <row r="20" spans="1:18" ht="17">
      <c r="A20" s="21" t="s">
        <v>8</v>
      </c>
      <c r="B20" s="22">
        <v>108.13</v>
      </c>
      <c r="C20" s="103">
        <v>1301.25</v>
      </c>
      <c r="D20" s="104">
        <v>1301.25</v>
      </c>
      <c r="I20" s="226"/>
      <c r="J20" s="227"/>
      <c r="K20" s="227"/>
      <c r="L20" s="227"/>
      <c r="M20" s="227"/>
      <c r="N20" s="124"/>
      <c r="O20" s="176" t="s">
        <v>227</v>
      </c>
      <c r="P20" s="175">
        <v>1</v>
      </c>
    </row>
    <row r="21" spans="1:18" ht="17">
      <c r="A21" s="21" t="s">
        <v>8</v>
      </c>
      <c r="B21" s="22">
        <v>103.8</v>
      </c>
      <c r="C21" s="103">
        <v>1249.2</v>
      </c>
      <c r="D21" s="104">
        <v>1249.2</v>
      </c>
      <c r="I21" s="226"/>
      <c r="J21" s="227"/>
      <c r="K21" s="227"/>
      <c r="L21" s="227"/>
      <c r="M21" s="227"/>
      <c r="N21" s="124"/>
      <c r="O21" s="176" t="s">
        <v>228</v>
      </c>
      <c r="P21" s="175">
        <v>1.25</v>
      </c>
    </row>
    <row r="22" spans="1:18" ht="17">
      <c r="A22" s="21" t="s">
        <v>8</v>
      </c>
      <c r="B22" s="22">
        <v>86.5</v>
      </c>
      <c r="C22" s="103">
        <v>1041.2</v>
      </c>
      <c r="D22" s="104">
        <v>1041.2</v>
      </c>
      <c r="I22" s="226"/>
      <c r="J22" s="227"/>
      <c r="K22" s="227"/>
      <c r="L22" s="227"/>
      <c r="M22" s="227"/>
      <c r="N22" s="124"/>
      <c r="O22" s="176" t="s">
        <v>229</v>
      </c>
      <c r="P22" s="175">
        <v>1.5</v>
      </c>
    </row>
    <row r="23" spans="1:18" ht="17">
      <c r="A23" s="21" t="s">
        <v>8</v>
      </c>
      <c r="B23" s="22">
        <v>69.2</v>
      </c>
      <c r="C23" s="103">
        <v>832.8</v>
      </c>
      <c r="D23" s="104">
        <v>832.8</v>
      </c>
      <c r="I23" s="226"/>
      <c r="J23" s="227"/>
      <c r="K23" s="227"/>
      <c r="L23" s="227"/>
      <c r="M23" s="227"/>
      <c r="N23" s="124"/>
      <c r="O23" s="176" t="s">
        <v>230</v>
      </c>
      <c r="P23" s="175">
        <v>2</v>
      </c>
    </row>
    <row r="24" spans="1:18">
      <c r="A24" s="21" t="s">
        <v>8</v>
      </c>
      <c r="B24" s="22">
        <v>51.9</v>
      </c>
      <c r="C24" s="103">
        <v>624.6</v>
      </c>
      <c r="D24" s="104">
        <v>624.6</v>
      </c>
      <c r="I24" s="226"/>
      <c r="J24" s="227"/>
      <c r="K24" s="227"/>
      <c r="L24" s="227"/>
      <c r="M24" s="227"/>
      <c r="N24" s="124"/>
      <c r="O24" s="124"/>
    </row>
    <row r="25" spans="1:18">
      <c r="A25" s="21" t="s">
        <v>8</v>
      </c>
      <c r="B25" s="22">
        <v>47.58</v>
      </c>
      <c r="C25" s="103">
        <v>575.54999999999995</v>
      </c>
      <c r="D25" s="104">
        <v>575.54999999999995</v>
      </c>
      <c r="I25" s="226"/>
      <c r="J25" s="227"/>
      <c r="K25" s="227"/>
      <c r="L25" s="227"/>
      <c r="M25" s="227"/>
      <c r="N25" s="124"/>
      <c r="O25" s="124"/>
    </row>
    <row r="26" spans="1:18">
      <c r="A26" s="89" t="s">
        <v>8</v>
      </c>
      <c r="B26" s="88">
        <v>43.25</v>
      </c>
      <c r="C26" s="105">
        <v>520.5</v>
      </c>
      <c r="D26" s="106">
        <v>520.5</v>
      </c>
      <c r="I26" s="124"/>
      <c r="J26" s="124"/>
      <c r="K26" s="124"/>
      <c r="L26" s="124"/>
      <c r="M26" s="124"/>
      <c r="N26" s="124"/>
      <c r="O26" s="124"/>
    </row>
    <row r="27" spans="1:18">
      <c r="A27" s="89" t="s">
        <v>8</v>
      </c>
      <c r="B27" s="88">
        <v>34.6</v>
      </c>
      <c r="C27" s="105">
        <v>416.4</v>
      </c>
      <c r="D27" s="106">
        <v>416.4</v>
      </c>
      <c r="J27" s="124"/>
      <c r="K27" s="124"/>
      <c r="L27" s="124"/>
      <c r="M27" s="124"/>
      <c r="N27" s="124"/>
      <c r="O27" s="124"/>
    </row>
    <row r="28" spans="1:18" ht="17" thickBot="1">
      <c r="A28" s="23" t="s">
        <v>8</v>
      </c>
      <c r="B28" s="24">
        <v>32.01</v>
      </c>
      <c r="C28" s="107">
        <v>385.17</v>
      </c>
      <c r="D28" s="108">
        <v>385.17</v>
      </c>
    </row>
    <row r="29" spans="1:18" ht="17" thickTop="1">
      <c r="A29" s="19" t="s">
        <v>10</v>
      </c>
      <c r="B29" s="20">
        <v>173</v>
      </c>
      <c r="C29" s="101">
        <v>2123</v>
      </c>
      <c r="D29" s="102">
        <v>2123</v>
      </c>
    </row>
    <row r="30" spans="1:18">
      <c r="A30" s="21" t="s">
        <v>10</v>
      </c>
      <c r="B30" s="22">
        <v>151.38</v>
      </c>
      <c r="C30" s="103">
        <v>1857.63</v>
      </c>
      <c r="D30" s="104">
        <v>1857.63</v>
      </c>
    </row>
    <row r="31" spans="1:18">
      <c r="A31" s="21" t="s">
        <v>10</v>
      </c>
      <c r="B31" s="22">
        <v>138.4</v>
      </c>
      <c r="C31" s="103">
        <v>1698.4</v>
      </c>
      <c r="D31" s="104">
        <v>1698.4</v>
      </c>
    </row>
    <row r="32" spans="1:18">
      <c r="A32" s="21" t="s">
        <v>10</v>
      </c>
      <c r="B32" s="22">
        <v>129.75</v>
      </c>
      <c r="C32" s="103">
        <v>1592.25</v>
      </c>
      <c r="D32" s="104">
        <v>1592.25</v>
      </c>
    </row>
    <row r="33" spans="1:9">
      <c r="A33" s="21" t="s">
        <v>10</v>
      </c>
      <c r="B33" s="22">
        <v>108.13</v>
      </c>
      <c r="C33" s="103">
        <v>1326.88</v>
      </c>
      <c r="D33" s="104">
        <v>1326.88</v>
      </c>
    </row>
    <row r="34" spans="1:9">
      <c r="A34" s="21" t="s">
        <v>10</v>
      </c>
      <c r="B34" s="22">
        <v>103.8</v>
      </c>
      <c r="C34" s="103">
        <v>1273.8</v>
      </c>
      <c r="D34" s="104">
        <v>1273.8</v>
      </c>
    </row>
    <row r="35" spans="1:9">
      <c r="A35" s="21" t="s">
        <v>10</v>
      </c>
      <c r="B35" s="22">
        <v>86.5</v>
      </c>
      <c r="C35" s="103">
        <v>1061.5</v>
      </c>
      <c r="D35" s="104">
        <v>1061.5</v>
      </c>
    </row>
    <row r="36" spans="1:9">
      <c r="A36" s="21" t="s">
        <v>10</v>
      </c>
      <c r="B36" s="22">
        <v>69.2</v>
      </c>
      <c r="C36" s="103">
        <v>849.2</v>
      </c>
      <c r="D36" s="104">
        <v>849.2</v>
      </c>
    </row>
    <row r="37" spans="1:9">
      <c r="A37" s="21" t="s">
        <v>10</v>
      </c>
      <c r="B37" s="22">
        <v>51.9</v>
      </c>
      <c r="C37" s="103">
        <v>636.9</v>
      </c>
      <c r="D37" s="104">
        <v>636.9</v>
      </c>
    </row>
    <row r="38" spans="1:9">
      <c r="A38" s="21" t="s">
        <v>10</v>
      </c>
      <c r="B38" s="22">
        <v>47.58</v>
      </c>
      <c r="C38" s="103">
        <v>583.83000000000004</v>
      </c>
      <c r="D38" s="104">
        <v>583.83000000000004</v>
      </c>
    </row>
    <row r="39" spans="1:9">
      <c r="A39" s="89" t="s">
        <v>10</v>
      </c>
      <c r="B39" s="88">
        <v>43.25</v>
      </c>
      <c r="C39" s="105">
        <v>530.75</v>
      </c>
      <c r="D39" s="106">
        <v>530.75</v>
      </c>
    </row>
    <row r="40" spans="1:9">
      <c r="A40" s="89" t="s">
        <v>10</v>
      </c>
      <c r="B40" s="88">
        <v>34.6</v>
      </c>
      <c r="C40" s="105">
        <v>424.6</v>
      </c>
      <c r="D40" s="106">
        <v>424.6</v>
      </c>
    </row>
    <row r="41" spans="1:9" ht="17" thickBot="1">
      <c r="A41" s="23" t="s">
        <v>10</v>
      </c>
      <c r="B41" s="24">
        <v>32.01</v>
      </c>
      <c r="C41" s="107">
        <v>392.76</v>
      </c>
      <c r="D41" s="108">
        <v>392.76</v>
      </c>
    </row>
    <row r="42" spans="1:9" ht="17" thickTop="1">
      <c r="A42" s="19" t="s">
        <v>12</v>
      </c>
      <c r="B42" s="20">
        <v>173</v>
      </c>
      <c r="C42" s="101">
        <v>2183</v>
      </c>
      <c r="D42" s="102">
        <v>2183</v>
      </c>
    </row>
    <row r="43" spans="1:9">
      <c r="A43" s="21" t="s">
        <v>12</v>
      </c>
      <c r="B43" s="22">
        <v>151.38</v>
      </c>
      <c r="C43" s="103">
        <v>1910.13</v>
      </c>
      <c r="D43" s="104">
        <v>1910.13</v>
      </c>
    </row>
    <row r="44" spans="1:9">
      <c r="A44" s="21" t="s">
        <v>12</v>
      </c>
      <c r="B44" s="22">
        <v>138.4</v>
      </c>
      <c r="C44" s="103">
        <v>1746.4</v>
      </c>
      <c r="D44" s="104">
        <v>1746.4</v>
      </c>
    </row>
    <row r="45" spans="1:9">
      <c r="A45" s="21" t="s">
        <v>12</v>
      </c>
      <c r="B45" s="22">
        <v>129.75</v>
      </c>
      <c r="C45" s="103">
        <v>1637.25</v>
      </c>
      <c r="D45" s="104">
        <v>1637.25</v>
      </c>
    </row>
    <row r="46" spans="1:9">
      <c r="A46" s="21" t="s">
        <v>12</v>
      </c>
      <c r="B46" s="22">
        <v>108.13</v>
      </c>
      <c r="C46" s="103">
        <v>1364.38</v>
      </c>
      <c r="D46" s="104">
        <v>1364.38</v>
      </c>
      <c r="I46" s="47"/>
    </row>
    <row r="47" spans="1:9">
      <c r="A47" s="21" t="s">
        <v>12</v>
      </c>
      <c r="B47" s="22">
        <v>103.8</v>
      </c>
      <c r="C47" s="103">
        <v>1309.8</v>
      </c>
      <c r="D47" s="104">
        <v>1309.8</v>
      </c>
    </row>
    <row r="48" spans="1:9">
      <c r="A48" s="21" t="s">
        <v>12</v>
      </c>
      <c r="B48" s="22">
        <v>86.5</v>
      </c>
      <c r="C48" s="103">
        <v>1091.5</v>
      </c>
      <c r="D48" s="104">
        <v>1091.5</v>
      </c>
    </row>
    <row r="49" spans="1:4">
      <c r="A49" s="21" t="s">
        <v>12</v>
      </c>
      <c r="B49" s="22">
        <v>69.2</v>
      </c>
      <c r="C49" s="103">
        <v>873.2</v>
      </c>
      <c r="D49" s="104">
        <v>873.2</v>
      </c>
    </row>
    <row r="50" spans="1:4">
      <c r="A50" s="21" t="s">
        <v>12</v>
      </c>
      <c r="B50" s="22">
        <v>51.9</v>
      </c>
      <c r="C50" s="103">
        <v>654.9</v>
      </c>
      <c r="D50" s="104">
        <v>654.9</v>
      </c>
    </row>
    <row r="51" spans="1:4">
      <c r="A51" s="21" t="s">
        <v>12</v>
      </c>
      <c r="B51" s="22">
        <v>47.58</v>
      </c>
      <c r="C51" s="103">
        <v>600.33000000000004</v>
      </c>
      <c r="D51" s="104">
        <v>600.33000000000004</v>
      </c>
    </row>
    <row r="52" spans="1:4">
      <c r="A52" s="89" t="s">
        <v>12</v>
      </c>
      <c r="B52" s="88">
        <v>43.25</v>
      </c>
      <c r="C52" s="105">
        <v>545.75</v>
      </c>
      <c r="D52" s="106">
        <v>545.75</v>
      </c>
    </row>
    <row r="53" spans="1:4">
      <c r="A53" s="89" t="s">
        <v>12</v>
      </c>
      <c r="B53" s="88">
        <v>34.6</v>
      </c>
      <c r="C53" s="105">
        <v>436.6</v>
      </c>
      <c r="D53" s="106">
        <v>436.6</v>
      </c>
    </row>
    <row r="54" spans="1:4" ht="17" thickBot="1">
      <c r="A54" s="23" t="s">
        <v>12</v>
      </c>
      <c r="B54" s="24">
        <v>32.01</v>
      </c>
      <c r="C54" s="107">
        <v>403.86</v>
      </c>
      <c r="D54" s="108">
        <v>403.86</v>
      </c>
    </row>
    <row r="55" spans="1:4" ht="17" thickTop="1">
      <c r="A55" s="26" t="s">
        <v>13</v>
      </c>
      <c r="B55" s="27">
        <v>173</v>
      </c>
      <c r="C55" s="101">
        <v>2160</v>
      </c>
      <c r="D55" s="111">
        <v>2160</v>
      </c>
    </row>
    <row r="56" spans="1:4">
      <c r="A56" s="28" t="s">
        <v>13</v>
      </c>
      <c r="B56" s="29">
        <v>151.38</v>
      </c>
      <c r="C56" s="103">
        <v>1890</v>
      </c>
      <c r="D56" s="112">
        <v>1890</v>
      </c>
    </row>
    <row r="57" spans="1:4">
      <c r="A57" s="28" t="s">
        <v>13</v>
      </c>
      <c r="B57" s="29">
        <v>138.4</v>
      </c>
      <c r="C57" s="103">
        <v>1728</v>
      </c>
      <c r="D57" s="112">
        <v>1728</v>
      </c>
    </row>
    <row r="58" spans="1:4">
      <c r="A58" s="28" t="s">
        <v>13</v>
      </c>
      <c r="B58" s="29">
        <v>129.75</v>
      </c>
      <c r="C58" s="103">
        <v>1620</v>
      </c>
      <c r="D58" s="112">
        <v>1620</v>
      </c>
    </row>
    <row r="59" spans="1:4">
      <c r="A59" s="28" t="s">
        <v>13</v>
      </c>
      <c r="B59" s="29">
        <v>108.13</v>
      </c>
      <c r="C59" s="103">
        <v>1350</v>
      </c>
      <c r="D59" s="112">
        <v>1350</v>
      </c>
    </row>
    <row r="60" spans="1:4">
      <c r="A60" s="28" t="s">
        <v>13</v>
      </c>
      <c r="B60" s="29">
        <v>103.8</v>
      </c>
      <c r="C60" s="103">
        <v>1296</v>
      </c>
      <c r="D60" s="112">
        <v>1296</v>
      </c>
    </row>
    <row r="61" spans="1:4">
      <c r="A61" s="28" t="s">
        <v>13</v>
      </c>
      <c r="B61" s="29">
        <v>86.5</v>
      </c>
      <c r="C61" s="103">
        <v>1080</v>
      </c>
      <c r="D61" s="112">
        <v>1080</v>
      </c>
    </row>
    <row r="62" spans="1:4">
      <c r="A62" s="28" t="s">
        <v>13</v>
      </c>
      <c r="B62" s="29">
        <v>69.2</v>
      </c>
      <c r="C62" s="103">
        <v>864</v>
      </c>
      <c r="D62" s="112">
        <v>864</v>
      </c>
    </row>
    <row r="63" spans="1:4">
      <c r="A63" s="28" t="s">
        <v>13</v>
      </c>
      <c r="B63" s="29">
        <v>51.9</v>
      </c>
      <c r="C63" s="103">
        <v>648</v>
      </c>
      <c r="D63" s="112">
        <v>648</v>
      </c>
    </row>
    <row r="64" spans="1:4">
      <c r="A64" s="28" t="s">
        <v>13</v>
      </c>
      <c r="B64" s="29">
        <v>47.58</v>
      </c>
      <c r="C64" s="103">
        <v>594</v>
      </c>
      <c r="D64" s="112">
        <v>594</v>
      </c>
    </row>
    <row r="65" spans="1:4">
      <c r="A65" s="91" t="s">
        <v>13</v>
      </c>
      <c r="B65" s="90">
        <v>43.25</v>
      </c>
      <c r="C65" s="105">
        <v>540</v>
      </c>
      <c r="D65" s="113">
        <v>540</v>
      </c>
    </row>
    <row r="66" spans="1:4">
      <c r="A66" s="91" t="s">
        <v>13</v>
      </c>
      <c r="B66" s="90">
        <v>34.6</v>
      </c>
      <c r="C66" s="105">
        <v>432</v>
      </c>
      <c r="D66" s="113">
        <v>432</v>
      </c>
    </row>
    <row r="67" spans="1:4" ht="17" thickBot="1">
      <c r="A67" s="30" t="s">
        <v>13</v>
      </c>
      <c r="B67" s="31">
        <v>32.01</v>
      </c>
      <c r="C67" s="107">
        <v>399.6</v>
      </c>
      <c r="D67" s="114">
        <v>399.6</v>
      </c>
    </row>
    <row r="68" spans="1:4" ht="17" thickTop="1">
      <c r="A68" s="26" t="s">
        <v>15</v>
      </c>
      <c r="B68" s="27">
        <v>173</v>
      </c>
      <c r="C68" s="101">
        <v>2160</v>
      </c>
      <c r="D68" s="111">
        <v>2160</v>
      </c>
    </row>
    <row r="69" spans="1:4">
      <c r="A69" s="28" t="s">
        <v>15</v>
      </c>
      <c r="B69" s="29">
        <v>151.38</v>
      </c>
      <c r="C69" s="103">
        <v>1890</v>
      </c>
      <c r="D69" s="112">
        <v>1890</v>
      </c>
    </row>
    <row r="70" spans="1:4">
      <c r="A70" s="28" t="s">
        <v>15</v>
      </c>
      <c r="B70" s="29">
        <v>138.4</v>
      </c>
      <c r="C70" s="103">
        <v>1728</v>
      </c>
      <c r="D70" s="112">
        <v>1728</v>
      </c>
    </row>
    <row r="71" spans="1:4">
      <c r="A71" s="28" t="s">
        <v>15</v>
      </c>
      <c r="B71" s="29">
        <v>129.75</v>
      </c>
      <c r="C71" s="103">
        <v>1620</v>
      </c>
      <c r="D71" s="112">
        <v>1620</v>
      </c>
    </row>
    <row r="72" spans="1:4">
      <c r="A72" s="28" t="s">
        <v>15</v>
      </c>
      <c r="B72" s="29">
        <v>108.13</v>
      </c>
      <c r="C72" s="103">
        <v>1350</v>
      </c>
      <c r="D72" s="112">
        <v>1350</v>
      </c>
    </row>
    <row r="73" spans="1:4">
      <c r="A73" s="28" t="s">
        <v>15</v>
      </c>
      <c r="B73" s="29">
        <v>103.8</v>
      </c>
      <c r="C73" s="103">
        <v>1296</v>
      </c>
      <c r="D73" s="112">
        <v>1296</v>
      </c>
    </row>
    <row r="74" spans="1:4">
      <c r="A74" s="28" t="s">
        <v>15</v>
      </c>
      <c r="B74" s="29">
        <v>86.5</v>
      </c>
      <c r="C74" s="103">
        <v>1080</v>
      </c>
      <c r="D74" s="112">
        <v>1080</v>
      </c>
    </row>
    <row r="75" spans="1:4">
      <c r="A75" s="28" t="s">
        <v>15</v>
      </c>
      <c r="B75" s="29">
        <v>69.2</v>
      </c>
      <c r="C75" s="103">
        <v>864</v>
      </c>
      <c r="D75" s="112">
        <v>864</v>
      </c>
    </row>
    <row r="76" spans="1:4">
      <c r="A76" s="28" t="s">
        <v>15</v>
      </c>
      <c r="B76" s="29">
        <v>51.9</v>
      </c>
      <c r="C76" s="103">
        <v>648</v>
      </c>
      <c r="D76" s="112">
        <v>648</v>
      </c>
    </row>
    <row r="77" spans="1:4">
      <c r="A77" s="28" t="s">
        <v>15</v>
      </c>
      <c r="B77" s="29">
        <v>47.58</v>
      </c>
      <c r="C77" s="103">
        <v>594</v>
      </c>
      <c r="D77" s="112">
        <v>594</v>
      </c>
    </row>
    <row r="78" spans="1:4">
      <c r="A78" s="91" t="s">
        <v>15</v>
      </c>
      <c r="B78" s="90">
        <v>43.25</v>
      </c>
      <c r="C78" s="105">
        <v>540</v>
      </c>
      <c r="D78" s="113">
        <v>540</v>
      </c>
    </row>
    <row r="79" spans="1:4">
      <c r="A79" s="91" t="s">
        <v>8</v>
      </c>
      <c r="B79" s="90">
        <v>34.6</v>
      </c>
      <c r="C79" s="105">
        <v>432</v>
      </c>
      <c r="D79" s="113">
        <v>432</v>
      </c>
    </row>
    <row r="80" spans="1:4" ht="17" thickBot="1">
      <c r="A80" s="30" t="s">
        <v>15</v>
      </c>
      <c r="B80" s="31">
        <v>32.01</v>
      </c>
      <c r="C80" s="107">
        <v>399.6</v>
      </c>
      <c r="D80" s="114">
        <v>399.6</v>
      </c>
    </row>
    <row r="81" spans="1:4" ht="17" thickTop="1">
      <c r="A81" s="26" t="s">
        <v>17</v>
      </c>
      <c r="B81" s="27">
        <v>173</v>
      </c>
      <c r="C81" s="101">
        <v>2163</v>
      </c>
      <c r="D81" s="111">
        <v>2163</v>
      </c>
    </row>
    <row r="82" spans="1:4">
      <c r="A82" s="28" t="s">
        <v>17</v>
      </c>
      <c r="B82" s="29">
        <v>151.38</v>
      </c>
      <c r="C82" s="103">
        <v>1892.63</v>
      </c>
      <c r="D82" s="112">
        <v>1892.63</v>
      </c>
    </row>
    <row r="83" spans="1:4">
      <c r="A83" s="28" t="s">
        <v>17</v>
      </c>
      <c r="B83" s="29">
        <v>138.4</v>
      </c>
      <c r="C83" s="103">
        <v>1730.4</v>
      </c>
      <c r="D83" s="112">
        <v>1730.4</v>
      </c>
    </row>
    <row r="84" spans="1:4">
      <c r="A84" s="28" t="s">
        <v>17</v>
      </c>
      <c r="B84" s="29">
        <v>129.75</v>
      </c>
      <c r="C84" s="103">
        <v>1622.25</v>
      </c>
      <c r="D84" s="112">
        <v>1622.25</v>
      </c>
    </row>
    <row r="85" spans="1:4">
      <c r="A85" s="28" t="s">
        <v>17</v>
      </c>
      <c r="B85" s="29">
        <v>108.13</v>
      </c>
      <c r="C85" s="103">
        <v>1351.88</v>
      </c>
      <c r="D85" s="112">
        <v>1351.88</v>
      </c>
    </row>
    <row r="86" spans="1:4">
      <c r="A86" s="28" t="s">
        <v>17</v>
      </c>
      <c r="B86" s="29">
        <v>103.8</v>
      </c>
      <c r="C86" s="103">
        <v>1297.8</v>
      </c>
      <c r="D86" s="112">
        <v>1297.8</v>
      </c>
    </row>
    <row r="87" spans="1:4">
      <c r="A87" s="28" t="s">
        <v>17</v>
      </c>
      <c r="B87" s="29">
        <v>86.5</v>
      </c>
      <c r="C87" s="103">
        <v>1081.5</v>
      </c>
      <c r="D87" s="112">
        <v>1081.5</v>
      </c>
    </row>
    <row r="88" spans="1:4">
      <c r="A88" s="28" t="s">
        <v>17</v>
      </c>
      <c r="B88" s="29">
        <v>69.2</v>
      </c>
      <c r="C88" s="103">
        <v>865.2</v>
      </c>
      <c r="D88" s="112">
        <v>865.2</v>
      </c>
    </row>
    <row r="89" spans="1:4">
      <c r="A89" s="28" t="s">
        <v>17</v>
      </c>
      <c r="B89" s="29">
        <v>51.9</v>
      </c>
      <c r="C89" s="103">
        <v>648.9</v>
      </c>
      <c r="D89" s="112">
        <v>648.9</v>
      </c>
    </row>
    <row r="90" spans="1:4">
      <c r="A90" s="28" t="s">
        <v>17</v>
      </c>
      <c r="B90" s="29">
        <v>47.58</v>
      </c>
      <c r="C90" s="103">
        <v>594.83000000000004</v>
      </c>
      <c r="D90" s="112">
        <v>594.83000000000004</v>
      </c>
    </row>
    <row r="91" spans="1:4">
      <c r="A91" s="91" t="s">
        <v>17</v>
      </c>
      <c r="B91" s="90">
        <v>43.25</v>
      </c>
      <c r="C91" s="105">
        <v>540.75</v>
      </c>
      <c r="D91" s="113">
        <v>540.75</v>
      </c>
    </row>
    <row r="92" spans="1:4">
      <c r="A92" s="91" t="s">
        <v>17</v>
      </c>
      <c r="B92" s="90">
        <v>34.6</v>
      </c>
      <c r="C92" s="105">
        <v>432.6</v>
      </c>
      <c r="D92" s="113">
        <v>432.6</v>
      </c>
    </row>
    <row r="93" spans="1:4" ht="17" thickBot="1">
      <c r="A93" s="30" t="s">
        <v>17</v>
      </c>
      <c r="B93" s="31">
        <v>32.01</v>
      </c>
      <c r="C93" s="107">
        <v>400.16</v>
      </c>
      <c r="D93" s="114">
        <v>400.16</v>
      </c>
    </row>
    <row r="94" spans="1:4" ht="17" thickTop="1">
      <c r="A94" s="26" t="s">
        <v>19</v>
      </c>
      <c r="B94" s="27">
        <v>173</v>
      </c>
      <c r="C94" s="101">
        <v>2225</v>
      </c>
      <c r="D94" s="111">
        <v>2225</v>
      </c>
    </row>
    <row r="95" spans="1:4">
      <c r="A95" s="28" t="s">
        <v>19</v>
      </c>
      <c r="B95" s="29">
        <v>151.38</v>
      </c>
      <c r="C95" s="103">
        <v>1946.88</v>
      </c>
      <c r="D95" s="112">
        <v>1946.88</v>
      </c>
    </row>
    <row r="96" spans="1:4">
      <c r="A96" s="28" t="s">
        <v>19</v>
      </c>
      <c r="B96" s="29">
        <v>138.4</v>
      </c>
      <c r="C96" s="103">
        <v>1780</v>
      </c>
      <c r="D96" s="112">
        <v>1780</v>
      </c>
    </row>
    <row r="97" spans="1:4">
      <c r="A97" s="28" t="s">
        <v>19</v>
      </c>
      <c r="B97" s="29">
        <v>129.75</v>
      </c>
      <c r="C97" s="103">
        <v>1668.75</v>
      </c>
      <c r="D97" s="112">
        <v>1668.75</v>
      </c>
    </row>
    <row r="98" spans="1:4">
      <c r="A98" s="28" t="s">
        <v>19</v>
      </c>
      <c r="B98" s="29">
        <v>108.13</v>
      </c>
      <c r="C98" s="103">
        <v>1390.63</v>
      </c>
      <c r="D98" s="112">
        <v>1390.63</v>
      </c>
    </row>
    <row r="99" spans="1:4">
      <c r="A99" s="28" t="s">
        <v>19</v>
      </c>
      <c r="B99" s="29">
        <v>103.8</v>
      </c>
      <c r="C99" s="103">
        <v>1335</v>
      </c>
      <c r="D99" s="112">
        <v>1335</v>
      </c>
    </row>
    <row r="100" spans="1:4">
      <c r="A100" s="28" t="s">
        <v>19</v>
      </c>
      <c r="B100" s="29">
        <v>86.5</v>
      </c>
      <c r="C100" s="103">
        <v>1112.5</v>
      </c>
      <c r="D100" s="112">
        <v>1112.5</v>
      </c>
    </row>
    <row r="101" spans="1:4">
      <c r="A101" s="28" t="s">
        <v>19</v>
      </c>
      <c r="B101" s="29">
        <v>69.2</v>
      </c>
      <c r="C101" s="103">
        <v>890</v>
      </c>
      <c r="D101" s="112">
        <v>890</v>
      </c>
    </row>
    <row r="102" spans="1:4">
      <c r="A102" s="28" t="s">
        <v>19</v>
      </c>
      <c r="B102" s="29">
        <v>51.9</v>
      </c>
      <c r="C102" s="103">
        <v>667.5</v>
      </c>
      <c r="D102" s="112">
        <v>667.5</v>
      </c>
    </row>
    <row r="103" spans="1:4">
      <c r="A103" s="28" t="s">
        <v>19</v>
      </c>
      <c r="B103" s="29">
        <v>47.58</v>
      </c>
      <c r="C103" s="103">
        <v>611.88</v>
      </c>
      <c r="D103" s="112">
        <v>611.88</v>
      </c>
    </row>
    <row r="104" spans="1:4">
      <c r="A104" s="28" t="s">
        <v>19</v>
      </c>
      <c r="B104" s="90">
        <v>43.25</v>
      </c>
      <c r="C104" s="105">
        <v>556.25</v>
      </c>
      <c r="D104" s="113">
        <v>556.25</v>
      </c>
    </row>
    <row r="105" spans="1:4">
      <c r="A105" s="28" t="s">
        <v>19</v>
      </c>
      <c r="B105" s="90">
        <v>34.6</v>
      </c>
      <c r="C105" s="105">
        <v>445</v>
      </c>
      <c r="D105" s="113">
        <v>445</v>
      </c>
    </row>
    <row r="106" spans="1:4" ht="17" thickBot="1">
      <c r="A106" s="30" t="s">
        <v>19</v>
      </c>
      <c r="B106" s="31">
        <v>32.01</v>
      </c>
      <c r="C106" s="107">
        <v>411.63</v>
      </c>
      <c r="D106" s="114">
        <v>411.63</v>
      </c>
    </row>
    <row r="107" spans="1:4" ht="17" thickTop="1">
      <c r="A107" s="32" t="s">
        <v>21</v>
      </c>
      <c r="B107" s="33">
        <v>173</v>
      </c>
      <c r="C107" s="101">
        <v>2300</v>
      </c>
      <c r="D107" s="115">
        <v>2300</v>
      </c>
    </row>
    <row r="108" spans="1:4">
      <c r="A108" s="34" t="s">
        <v>21</v>
      </c>
      <c r="B108" s="35">
        <v>151.38</v>
      </c>
      <c r="C108" s="103">
        <v>2012.5</v>
      </c>
      <c r="D108" s="116">
        <v>2012.5</v>
      </c>
    </row>
    <row r="109" spans="1:4">
      <c r="A109" s="34" t="s">
        <v>21</v>
      </c>
      <c r="B109" s="35">
        <v>138.4</v>
      </c>
      <c r="C109" s="103">
        <v>1840</v>
      </c>
      <c r="D109" s="116">
        <v>1840</v>
      </c>
    </row>
    <row r="110" spans="1:4">
      <c r="A110" s="34" t="s">
        <v>21</v>
      </c>
      <c r="B110" s="35">
        <v>129.75</v>
      </c>
      <c r="C110" s="103">
        <v>1725</v>
      </c>
      <c r="D110" s="116">
        <v>1725</v>
      </c>
    </row>
    <row r="111" spans="1:4">
      <c r="A111" s="34" t="s">
        <v>21</v>
      </c>
      <c r="B111" s="35">
        <v>108.13</v>
      </c>
      <c r="C111" s="103">
        <v>1437.5</v>
      </c>
      <c r="D111" s="116">
        <v>1437.5</v>
      </c>
    </row>
    <row r="112" spans="1:4">
      <c r="A112" s="34" t="s">
        <v>21</v>
      </c>
      <c r="B112" s="35">
        <v>103.8</v>
      </c>
      <c r="C112" s="103">
        <v>1380</v>
      </c>
      <c r="D112" s="116">
        <v>1380</v>
      </c>
    </row>
    <row r="113" spans="1:4">
      <c r="A113" s="34" t="s">
        <v>21</v>
      </c>
      <c r="B113" s="35">
        <v>86.5</v>
      </c>
      <c r="C113" s="103">
        <v>1150</v>
      </c>
      <c r="D113" s="116">
        <v>1150</v>
      </c>
    </row>
    <row r="114" spans="1:4">
      <c r="A114" s="34" t="s">
        <v>21</v>
      </c>
      <c r="B114" s="35">
        <v>69.2</v>
      </c>
      <c r="C114" s="103">
        <v>920</v>
      </c>
      <c r="D114" s="116">
        <v>920</v>
      </c>
    </row>
    <row r="115" spans="1:4">
      <c r="A115" s="34" t="s">
        <v>21</v>
      </c>
      <c r="B115" s="35">
        <v>51.9</v>
      </c>
      <c r="C115" s="103">
        <v>690</v>
      </c>
      <c r="D115" s="116">
        <v>690</v>
      </c>
    </row>
    <row r="116" spans="1:4">
      <c r="A116" s="34" t="s">
        <v>21</v>
      </c>
      <c r="B116" s="35">
        <v>47.58</v>
      </c>
      <c r="C116" s="103">
        <v>632.5</v>
      </c>
      <c r="D116" s="116">
        <v>632.5</v>
      </c>
    </row>
    <row r="117" spans="1:4">
      <c r="A117" s="34" t="s">
        <v>21</v>
      </c>
      <c r="B117" s="92">
        <v>43.25</v>
      </c>
      <c r="C117" s="105">
        <v>575</v>
      </c>
      <c r="D117" s="117">
        <v>575</v>
      </c>
    </row>
    <row r="118" spans="1:4">
      <c r="A118" s="34" t="s">
        <v>21</v>
      </c>
      <c r="B118" s="92">
        <v>34.6</v>
      </c>
      <c r="C118" s="105">
        <v>460</v>
      </c>
      <c r="D118" s="117">
        <v>460</v>
      </c>
    </row>
    <row r="119" spans="1:4" ht="17" thickBot="1">
      <c r="A119" s="36" t="s">
        <v>21</v>
      </c>
      <c r="B119" s="37">
        <v>32.01</v>
      </c>
      <c r="C119" s="107">
        <v>425.5</v>
      </c>
      <c r="D119" s="118">
        <v>425.5</v>
      </c>
    </row>
    <row r="120" spans="1:4" ht="17" thickTop="1">
      <c r="A120" s="93" t="s">
        <v>22</v>
      </c>
      <c r="B120" s="33">
        <v>173</v>
      </c>
      <c r="C120" s="101">
        <v>2300</v>
      </c>
      <c r="D120" s="115">
        <v>2300</v>
      </c>
    </row>
    <row r="121" spans="1:4">
      <c r="A121" s="94" t="s">
        <v>22</v>
      </c>
      <c r="B121" s="35">
        <v>151.38</v>
      </c>
      <c r="C121" s="103">
        <v>2012.5</v>
      </c>
      <c r="D121" s="116">
        <v>2012.5</v>
      </c>
    </row>
    <row r="122" spans="1:4">
      <c r="A122" s="94" t="s">
        <v>22</v>
      </c>
      <c r="B122" s="35">
        <v>138.4</v>
      </c>
      <c r="C122" s="103">
        <v>1840</v>
      </c>
      <c r="D122" s="116">
        <v>1840</v>
      </c>
    </row>
    <row r="123" spans="1:4">
      <c r="A123" s="94" t="s">
        <v>22</v>
      </c>
      <c r="B123" s="35">
        <v>129.75</v>
      </c>
      <c r="C123" s="103">
        <v>1725</v>
      </c>
      <c r="D123" s="116">
        <v>1725</v>
      </c>
    </row>
    <row r="124" spans="1:4">
      <c r="A124" s="94" t="s">
        <v>22</v>
      </c>
      <c r="B124" s="35">
        <v>108.13</v>
      </c>
      <c r="C124" s="103">
        <v>1437.5</v>
      </c>
      <c r="D124" s="116">
        <v>1437.5</v>
      </c>
    </row>
    <row r="125" spans="1:4">
      <c r="A125" s="94" t="s">
        <v>22</v>
      </c>
      <c r="B125" s="35">
        <v>103.8</v>
      </c>
      <c r="C125" s="103">
        <v>1380</v>
      </c>
      <c r="D125" s="116">
        <v>1380</v>
      </c>
    </row>
    <row r="126" spans="1:4">
      <c r="A126" s="94" t="s">
        <v>22</v>
      </c>
      <c r="B126" s="35">
        <v>86.5</v>
      </c>
      <c r="C126" s="103">
        <v>1150</v>
      </c>
      <c r="D126" s="116">
        <v>1150</v>
      </c>
    </row>
    <row r="127" spans="1:4">
      <c r="A127" s="94" t="s">
        <v>22</v>
      </c>
      <c r="B127" s="35">
        <v>69.2</v>
      </c>
      <c r="C127" s="103">
        <v>920</v>
      </c>
      <c r="D127" s="116">
        <v>920</v>
      </c>
    </row>
    <row r="128" spans="1:4">
      <c r="A128" s="94" t="s">
        <v>22</v>
      </c>
      <c r="B128" s="35">
        <v>51.9</v>
      </c>
      <c r="C128" s="103">
        <v>690</v>
      </c>
      <c r="D128" s="116">
        <v>690</v>
      </c>
    </row>
    <row r="129" spans="1:4">
      <c r="A129" s="94" t="s">
        <v>22</v>
      </c>
      <c r="B129" s="35">
        <v>47.58</v>
      </c>
      <c r="C129" s="103">
        <v>632.5</v>
      </c>
      <c r="D129" s="116">
        <v>632.5</v>
      </c>
    </row>
    <row r="130" spans="1:4">
      <c r="A130" s="94" t="s">
        <v>22</v>
      </c>
      <c r="B130" s="92">
        <v>43.25</v>
      </c>
      <c r="C130" s="105">
        <v>575</v>
      </c>
      <c r="D130" s="117">
        <v>575</v>
      </c>
    </row>
    <row r="131" spans="1:4">
      <c r="A131" s="94" t="s">
        <v>22</v>
      </c>
      <c r="B131" s="92">
        <v>34.6</v>
      </c>
      <c r="C131" s="105">
        <v>460</v>
      </c>
      <c r="D131" s="117">
        <v>460</v>
      </c>
    </row>
    <row r="132" spans="1:4" ht="17" thickBot="1">
      <c r="A132" s="95" t="s">
        <v>22</v>
      </c>
      <c r="B132" s="37">
        <v>32.01</v>
      </c>
      <c r="C132" s="107">
        <v>425.5</v>
      </c>
      <c r="D132" s="118">
        <v>425.5</v>
      </c>
    </row>
    <row r="133" spans="1:4" ht="17" thickTop="1">
      <c r="A133" s="93" t="s">
        <v>23</v>
      </c>
      <c r="B133" s="33">
        <v>173</v>
      </c>
      <c r="C133" s="101">
        <v>2300</v>
      </c>
      <c r="D133" s="115">
        <v>2300</v>
      </c>
    </row>
    <row r="134" spans="1:4">
      <c r="A134" s="94" t="s">
        <v>23</v>
      </c>
      <c r="B134" s="35">
        <v>151.38</v>
      </c>
      <c r="C134" s="103">
        <v>2012.5</v>
      </c>
      <c r="D134" s="116">
        <v>2012.5</v>
      </c>
    </row>
    <row r="135" spans="1:4">
      <c r="A135" s="94" t="s">
        <v>23</v>
      </c>
      <c r="B135" s="35">
        <v>138.4</v>
      </c>
      <c r="C135" s="103">
        <v>1840</v>
      </c>
      <c r="D135" s="116">
        <v>1840</v>
      </c>
    </row>
    <row r="136" spans="1:4">
      <c r="A136" s="94" t="s">
        <v>23</v>
      </c>
      <c r="B136" s="35">
        <v>129.75</v>
      </c>
      <c r="C136" s="103">
        <v>1725</v>
      </c>
      <c r="D136" s="116">
        <v>1725</v>
      </c>
    </row>
    <row r="137" spans="1:4">
      <c r="A137" s="94" t="s">
        <v>23</v>
      </c>
      <c r="B137" s="35">
        <v>108.13</v>
      </c>
      <c r="C137" s="103">
        <v>1437.5</v>
      </c>
      <c r="D137" s="116">
        <v>1437.5</v>
      </c>
    </row>
    <row r="138" spans="1:4">
      <c r="A138" s="94" t="s">
        <v>23</v>
      </c>
      <c r="B138" s="35">
        <v>103.8</v>
      </c>
      <c r="C138" s="103">
        <v>1380</v>
      </c>
      <c r="D138" s="116">
        <v>1380</v>
      </c>
    </row>
    <row r="139" spans="1:4">
      <c r="A139" s="94" t="s">
        <v>23</v>
      </c>
      <c r="B139" s="35">
        <v>86.5</v>
      </c>
      <c r="C139" s="103">
        <v>1150</v>
      </c>
      <c r="D139" s="116">
        <v>1150</v>
      </c>
    </row>
    <row r="140" spans="1:4">
      <c r="A140" s="94" t="s">
        <v>23</v>
      </c>
      <c r="B140" s="35">
        <v>69.2</v>
      </c>
      <c r="C140" s="103">
        <v>920</v>
      </c>
      <c r="D140" s="116">
        <v>920</v>
      </c>
    </row>
    <row r="141" spans="1:4">
      <c r="A141" s="94" t="s">
        <v>23</v>
      </c>
      <c r="B141" s="35">
        <v>51.9</v>
      </c>
      <c r="C141" s="103">
        <v>690</v>
      </c>
      <c r="D141" s="116">
        <v>690</v>
      </c>
    </row>
    <row r="142" spans="1:4">
      <c r="A142" s="94" t="s">
        <v>23</v>
      </c>
      <c r="B142" s="35">
        <v>47.58</v>
      </c>
      <c r="C142" s="103">
        <v>632.5</v>
      </c>
      <c r="D142" s="116">
        <v>632.5</v>
      </c>
    </row>
    <row r="143" spans="1:4">
      <c r="A143" s="94" t="s">
        <v>23</v>
      </c>
      <c r="B143" s="92">
        <v>43.25</v>
      </c>
      <c r="C143" s="105">
        <v>575</v>
      </c>
      <c r="D143" s="117">
        <v>575</v>
      </c>
    </row>
    <row r="144" spans="1:4">
      <c r="A144" s="94" t="s">
        <v>23</v>
      </c>
      <c r="B144" s="92">
        <v>34.6</v>
      </c>
      <c r="C144" s="105">
        <v>460</v>
      </c>
      <c r="D144" s="117">
        <v>460</v>
      </c>
    </row>
    <row r="145" spans="1:4" ht="17" thickBot="1">
      <c r="A145" s="95" t="s">
        <v>23</v>
      </c>
      <c r="B145" s="37">
        <v>32.01</v>
      </c>
      <c r="C145" s="107">
        <v>425.5</v>
      </c>
      <c r="D145" s="118">
        <v>425.5</v>
      </c>
    </row>
    <row r="146" spans="1:4" ht="17" thickTop="1">
      <c r="A146" s="32" t="s">
        <v>24</v>
      </c>
      <c r="B146" s="33">
        <v>173</v>
      </c>
      <c r="C146" s="101">
        <v>2328</v>
      </c>
      <c r="D146" s="115">
        <v>2328</v>
      </c>
    </row>
    <row r="147" spans="1:4">
      <c r="A147" s="34" t="s">
        <v>24</v>
      </c>
      <c r="B147" s="35">
        <v>151.38</v>
      </c>
      <c r="C147" s="103">
        <v>2037</v>
      </c>
      <c r="D147" s="116">
        <v>2037</v>
      </c>
    </row>
    <row r="148" spans="1:4">
      <c r="A148" s="34" t="s">
        <v>24</v>
      </c>
      <c r="B148" s="35">
        <v>138.4</v>
      </c>
      <c r="C148" s="103">
        <v>1862.4</v>
      </c>
      <c r="D148" s="116">
        <v>1862.4</v>
      </c>
    </row>
    <row r="149" spans="1:4">
      <c r="A149" s="34" t="s">
        <v>24</v>
      </c>
      <c r="B149" s="35">
        <v>129.75</v>
      </c>
      <c r="C149" s="103">
        <v>1476</v>
      </c>
      <c r="D149" s="116">
        <v>1476</v>
      </c>
    </row>
    <row r="150" spans="1:4">
      <c r="A150" s="34" t="s">
        <v>24</v>
      </c>
      <c r="B150" s="35">
        <v>108.13</v>
      </c>
      <c r="C150" s="103">
        <v>1455</v>
      </c>
      <c r="D150" s="116">
        <v>1455</v>
      </c>
    </row>
    <row r="151" spans="1:4">
      <c r="A151" s="34" t="s">
        <v>24</v>
      </c>
      <c r="B151" s="35">
        <v>103.8</v>
      </c>
      <c r="C151" s="103">
        <v>1396.8</v>
      </c>
      <c r="D151" s="116">
        <v>1396.8</v>
      </c>
    </row>
    <row r="152" spans="1:4">
      <c r="A152" s="34" t="s">
        <v>24</v>
      </c>
      <c r="B152" s="35">
        <v>86.5</v>
      </c>
      <c r="C152" s="103">
        <v>1164</v>
      </c>
      <c r="D152" s="116">
        <v>1164</v>
      </c>
    </row>
    <row r="153" spans="1:4">
      <c r="A153" s="34" t="s">
        <v>24</v>
      </c>
      <c r="B153" s="35">
        <v>69.2</v>
      </c>
      <c r="C153" s="103">
        <v>931.2</v>
      </c>
      <c r="D153" s="116">
        <v>931.2</v>
      </c>
    </row>
    <row r="154" spans="1:4">
      <c r="A154" s="34" t="s">
        <v>24</v>
      </c>
      <c r="B154" s="35">
        <v>51.9</v>
      </c>
      <c r="C154" s="103">
        <v>698.4</v>
      </c>
      <c r="D154" s="116">
        <v>698.4</v>
      </c>
    </row>
    <row r="155" spans="1:4">
      <c r="A155" s="34" t="s">
        <v>24</v>
      </c>
      <c r="B155" s="35">
        <v>47.58</v>
      </c>
      <c r="C155" s="103">
        <v>640</v>
      </c>
      <c r="D155" s="116">
        <v>640</v>
      </c>
    </row>
    <row r="156" spans="1:4">
      <c r="A156" s="34" t="s">
        <v>24</v>
      </c>
      <c r="B156" s="92">
        <v>43.25</v>
      </c>
      <c r="C156" s="105">
        <v>582</v>
      </c>
      <c r="D156" s="117">
        <v>582</v>
      </c>
    </row>
    <row r="157" spans="1:4">
      <c r="A157" s="34" t="s">
        <v>24</v>
      </c>
      <c r="B157" s="92">
        <v>34.6</v>
      </c>
      <c r="C157" s="105">
        <v>465.6</v>
      </c>
      <c r="D157" s="117">
        <v>465.6</v>
      </c>
    </row>
    <row r="158" spans="1:4" ht="17" thickBot="1">
      <c r="A158" s="38" t="s">
        <v>24</v>
      </c>
      <c r="B158" s="39">
        <v>32.01</v>
      </c>
      <c r="C158" s="119">
        <v>430.68</v>
      </c>
      <c r="D158" s="120">
        <v>430.68</v>
      </c>
    </row>
  </sheetData>
  <sheetProtection algorithmName="SHA-512" hashValue="tajodUWUR0IGEPg9LWQ4BwXReBXXgGGdro7AtxSjLxsmTUCVMUUr150b10+QL6Jj0lzv6ILtQZd8Bd5WsLCBnw==" saltValue="WhCiYauW18pr37YC/6+jBg==" spinCount="100000" sheet="1" objects="1" scenarios="1" selectLockedCells="1" sort="0" autoFilter="0"/>
  <mergeCells count="6">
    <mergeCell ref="A1:A2"/>
    <mergeCell ref="B1:B2"/>
    <mergeCell ref="C1:D1"/>
    <mergeCell ref="I17:M25"/>
    <mergeCell ref="J1:M1"/>
    <mergeCell ref="J2:M2"/>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985" r:id="rId3" name="Button 1">
              <controlPr defaultSize="0" print="0" autoFill="0" autoPict="0" macro="[0]!ClearEmployeeDataAllMonths_FAST">
                <anchor moveWithCells="1" sizeWithCells="1">
                  <from>
                    <xdr:col>8</xdr:col>
                    <xdr:colOff>12700</xdr:colOff>
                    <xdr:row>26</xdr:row>
                    <xdr:rowOff>127000</xdr:rowOff>
                  </from>
                  <to>
                    <xdr:col>11</xdr:col>
                    <xdr:colOff>342900</xdr:colOff>
                    <xdr:row>29</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E50DC-6A2C-6747-BC8B-D9AA73B73494}">
  <sheetPr codeName="Tabelle20"/>
  <dimension ref="A1:J957"/>
  <sheetViews>
    <sheetView showGridLines="0" tabSelected="1" workbookViewId="0">
      <pane ySplit="3" topLeftCell="A4" activePane="bottomLeft" state="frozen"/>
      <selection pane="bottomLeft" activeCell="N9" sqref="N9"/>
    </sheetView>
  </sheetViews>
  <sheetFormatPr baseColWidth="10" defaultRowHeight="18" customHeight="1"/>
  <cols>
    <col min="1" max="1" width="16.83203125" style="183" customWidth="1"/>
    <col min="2" max="3" width="13.6640625" style="183" customWidth="1"/>
    <col min="4" max="4" width="14.83203125" style="183" customWidth="1"/>
    <col min="5" max="5" width="12.6640625" style="183" customWidth="1"/>
    <col min="6" max="6" width="24.6640625" style="183" customWidth="1"/>
    <col min="7" max="7" width="13.83203125" style="183" customWidth="1"/>
    <col min="8" max="8" width="14.83203125" style="190" customWidth="1"/>
    <col min="9" max="9" width="10.83203125" style="183" customWidth="1"/>
    <col min="10" max="10" width="24.6640625" style="183" customWidth="1"/>
    <col min="11" max="11" width="3.6640625" customWidth="1"/>
    <col min="12" max="14" width="18.83203125" customWidth="1"/>
    <col min="27" max="29" width="0" hidden="1" customWidth="1"/>
  </cols>
  <sheetData>
    <row r="1" spans="1:10" ht="28" customHeight="1">
      <c r="A1" s="219" t="s">
        <v>320</v>
      </c>
      <c r="B1" s="220"/>
      <c r="C1" s="220"/>
      <c r="D1" s="220"/>
      <c r="E1" s="220"/>
      <c r="F1" s="220"/>
      <c r="G1" s="220"/>
      <c r="H1" s="220"/>
      <c r="I1" s="220"/>
      <c r="J1" s="220"/>
    </row>
    <row r="2" spans="1:10" ht="36" customHeight="1">
      <c r="A2" s="391" t="s">
        <v>413</v>
      </c>
      <c r="B2" s="391"/>
      <c r="C2" s="391"/>
      <c r="D2" s="391"/>
      <c r="E2" s="391"/>
      <c r="F2" s="391"/>
      <c r="G2" s="391"/>
      <c r="H2" s="391"/>
      <c r="I2" s="391"/>
      <c r="J2" s="391"/>
    </row>
    <row r="3" spans="1:10" ht="24" customHeight="1" thickBot="1">
      <c r="A3" s="392" t="s">
        <v>325</v>
      </c>
      <c r="B3" s="392" t="s">
        <v>415</v>
      </c>
      <c r="C3" s="392" t="s">
        <v>416</v>
      </c>
      <c r="D3" s="392" t="s">
        <v>329</v>
      </c>
      <c r="E3" s="392" t="s">
        <v>326</v>
      </c>
      <c r="F3" s="392" t="s">
        <v>417</v>
      </c>
      <c r="G3" s="392" t="s">
        <v>327</v>
      </c>
      <c r="H3" s="393" t="s">
        <v>2</v>
      </c>
      <c r="I3" s="392" t="s">
        <v>328</v>
      </c>
      <c r="J3" s="392" t="s">
        <v>418</v>
      </c>
    </row>
    <row r="4" spans="1:10" ht="24" customHeight="1" thickBot="1">
      <c r="A4" s="414" t="s">
        <v>419</v>
      </c>
      <c r="B4" s="395"/>
      <c r="C4" s="395"/>
      <c r="D4" s="394"/>
      <c r="E4" s="394"/>
      <c r="F4" s="394"/>
      <c r="G4" s="396"/>
      <c r="H4" s="397"/>
      <c r="I4" s="394"/>
      <c r="J4" s="419"/>
    </row>
    <row r="5" spans="1:10" ht="24" customHeight="1">
      <c r="A5" s="415" t="s">
        <v>333</v>
      </c>
      <c r="B5" s="398">
        <v>45778</v>
      </c>
      <c r="C5" s="398">
        <v>46142</v>
      </c>
      <c r="D5" s="399" t="s">
        <v>330</v>
      </c>
      <c r="E5" s="399" t="s">
        <v>4</v>
      </c>
      <c r="F5" s="399" t="s">
        <v>321</v>
      </c>
      <c r="G5" s="400">
        <v>173</v>
      </c>
      <c r="H5" s="401">
        <v>2021</v>
      </c>
      <c r="I5" s="399" t="s">
        <v>414</v>
      </c>
      <c r="J5" s="420"/>
    </row>
    <row r="6" spans="1:10" ht="24" customHeight="1">
      <c r="A6" s="416" t="s">
        <v>333</v>
      </c>
      <c r="B6" s="402">
        <v>45778</v>
      </c>
      <c r="C6" s="402">
        <v>46142</v>
      </c>
      <c r="D6" s="403" t="s">
        <v>330</v>
      </c>
      <c r="E6" s="403" t="s">
        <v>4</v>
      </c>
      <c r="F6" s="403" t="s">
        <v>321</v>
      </c>
      <c r="G6" s="404">
        <v>151.38</v>
      </c>
      <c r="H6" s="405">
        <v>1768.38</v>
      </c>
      <c r="I6" s="403" t="s">
        <v>414</v>
      </c>
      <c r="J6" s="421"/>
    </row>
    <row r="7" spans="1:10" ht="24" customHeight="1">
      <c r="A7" s="416" t="s">
        <v>333</v>
      </c>
      <c r="B7" s="402">
        <v>45778</v>
      </c>
      <c r="C7" s="402">
        <v>46142</v>
      </c>
      <c r="D7" s="403" t="s">
        <v>330</v>
      </c>
      <c r="E7" s="403" t="s">
        <v>4</v>
      </c>
      <c r="F7" s="403" t="s">
        <v>321</v>
      </c>
      <c r="G7" s="404">
        <v>138.4</v>
      </c>
      <c r="H7" s="405">
        <v>1616.8</v>
      </c>
      <c r="I7" s="403" t="s">
        <v>414</v>
      </c>
      <c r="J7" s="421"/>
    </row>
    <row r="8" spans="1:10" ht="24" customHeight="1">
      <c r="A8" s="416" t="s">
        <v>333</v>
      </c>
      <c r="B8" s="402">
        <v>45778</v>
      </c>
      <c r="C8" s="402">
        <v>46142</v>
      </c>
      <c r="D8" s="403" t="s">
        <v>330</v>
      </c>
      <c r="E8" s="403" t="s">
        <v>4</v>
      </c>
      <c r="F8" s="403" t="s">
        <v>321</v>
      </c>
      <c r="G8" s="404">
        <v>129.75</v>
      </c>
      <c r="H8" s="405">
        <v>1515.75</v>
      </c>
      <c r="I8" s="403" t="s">
        <v>414</v>
      </c>
      <c r="J8" s="421"/>
    </row>
    <row r="9" spans="1:10" ht="24" customHeight="1">
      <c r="A9" s="416" t="s">
        <v>333</v>
      </c>
      <c r="B9" s="402">
        <v>45778</v>
      </c>
      <c r="C9" s="402">
        <v>46142</v>
      </c>
      <c r="D9" s="403" t="s">
        <v>330</v>
      </c>
      <c r="E9" s="403" t="s">
        <v>4</v>
      </c>
      <c r="F9" s="403" t="s">
        <v>321</v>
      </c>
      <c r="G9" s="404">
        <v>108.13</v>
      </c>
      <c r="H9" s="405">
        <v>1263.1300000000001</v>
      </c>
      <c r="I9" s="403" t="s">
        <v>414</v>
      </c>
      <c r="J9" s="421"/>
    </row>
    <row r="10" spans="1:10" ht="24" customHeight="1">
      <c r="A10" s="416" t="s">
        <v>333</v>
      </c>
      <c r="B10" s="402">
        <v>45778</v>
      </c>
      <c r="C10" s="402">
        <v>46142</v>
      </c>
      <c r="D10" s="403" t="s">
        <v>330</v>
      </c>
      <c r="E10" s="403" t="s">
        <v>4</v>
      </c>
      <c r="F10" s="403" t="s">
        <v>321</v>
      </c>
      <c r="G10" s="404">
        <v>103.8</v>
      </c>
      <c r="H10" s="405">
        <v>1212.5999999999999</v>
      </c>
      <c r="I10" s="403" t="s">
        <v>414</v>
      </c>
      <c r="J10" s="421"/>
    </row>
    <row r="11" spans="1:10" ht="24" customHeight="1">
      <c r="A11" s="416" t="s">
        <v>333</v>
      </c>
      <c r="B11" s="402">
        <v>45778</v>
      </c>
      <c r="C11" s="402">
        <v>46142</v>
      </c>
      <c r="D11" s="403" t="s">
        <v>330</v>
      </c>
      <c r="E11" s="403" t="s">
        <v>4</v>
      </c>
      <c r="F11" s="403" t="s">
        <v>321</v>
      </c>
      <c r="G11" s="404">
        <v>86.5</v>
      </c>
      <c r="H11" s="405">
        <v>1010.5</v>
      </c>
      <c r="I11" s="403" t="s">
        <v>414</v>
      </c>
      <c r="J11" s="421"/>
    </row>
    <row r="12" spans="1:10" ht="24" customHeight="1">
      <c r="A12" s="416" t="s">
        <v>333</v>
      </c>
      <c r="B12" s="402">
        <v>45778</v>
      </c>
      <c r="C12" s="402">
        <v>46142</v>
      </c>
      <c r="D12" s="403" t="s">
        <v>330</v>
      </c>
      <c r="E12" s="403" t="s">
        <v>4</v>
      </c>
      <c r="F12" s="403" t="s">
        <v>321</v>
      </c>
      <c r="G12" s="404">
        <v>69.2</v>
      </c>
      <c r="H12" s="405">
        <v>808.4</v>
      </c>
      <c r="I12" s="403" t="s">
        <v>414</v>
      </c>
      <c r="J12" s="421"/>
    </row>
    <row r="13" spans="1:10" ht="24" customHeight="1">
      <c r="A13" s="416" t="s">
        <v>333</v>
      </c>
      <c r="B13" s="402">
        <v>45778</v>
      </c>
      <c r="C13" s="402">
        <v>46142</v>
      </c>
      <c r="D13" s="403" t="s">
        <v>330</v>
      </c>
      <c r="E13" s="403" t="s">
        <v>4</v>
      </c>
      <c r="F13" s="403" t="s">
        <v>321</v>
      </c>
      <c r="G13" s="404">
        <v>51.9</v>
      </c>
      <c r="H13" s="405">
        <v>606.29999999999995</v>
      </c>
      <c r="I13" s="403" t="s">
        <v>414</v>
      </c>
      <c r="J13" s="421"/>
    </row>
    <row r="14" spans="1:10" ht="24" customHeight="1">
      <c r="A14" s="416" t="s">
        <v>333</v>
      </c>
      <c r="B14" s="402">
        <v>45778</v>
      </c>
      <c r="C14" s="402">
        <v>46142</v>
      </c>
      <c r="D14" s="403" t="s">
        <v>330</v>
      </c>
      <c r="E14" s="403" t="s">
        <v>4</v>
      </c>
      <c r="F14" s="403" t="s">
        <v>321</v>
      </c>
      <c r="G14" s="404">
        <v>47.58</v>
      </c>
      <c r="H14" s="405">
        <v>555.78</v>
      </c>
      <c r="I14" s="403" t="s">
        <v>414</v>
      </c>
      <c r="J14" s="421"/>
    </row>
    <row r="15" spans="1:10" ht="24" customHeight="1">
      <c r="A15" s="416" t="s">
        <v>333</v>
      </c>
      <c r="B15" s="402">
        <v>45778</v>
      </c>
      <c r="C15" s="402">
        <v>46142</v>
      </c>
      <c r="D15" s="403" t="s">
        <v>330</v>
      </c>
      <c r="E15" s="403" t="s">
        <v>4</v>
      </c>
      <c r="F15" s="403" t="s">
        <v>321</v>
      </c>
      <c r="G15" s="404">
        <v>43.25</v>
      </c>
      <c r="H15" s="405">
        <v>505.25</v>
      </c>
      <c r="I15" s="403" t="s">
        <v>414</v>
      </c>
      <c r="J15" s="421"/>
    </row>
    <row r="16" spans="1:10" ht="24" customHeight="1">
      <c r="A16" s="416" t="s">
        <v>333</v>
      </c>
      <c r="B16" s="402">
        <v>45778</v>
      </c>
      <c r="C16" s="402">
        <v>46142</v>
      </c>
      <c r="D16" s="403" t="s">
        <v>330</v>
      </c>
      <c r="E16" s="403" t="s">
        <v>4</v>
      </c>
      <c r="F16" s="403" t="s">
        <v>321</v>
      </c>
      <c r="G16" s="404">
        <v>34.6</v>
      </c>
      <c r="H16" s="405">
        <v>404.2</v>
      </c>
      <c r="I16" s="403" t="s">
        <v>414</v>
      </c>
      <c r="J16" s="421"/>
    </row>
    <row r="17" spans="1:10" ht="24" customHeight="1" thickBot="1">
      <c r="A17" s="416" t="s">
        <v>333</v>
      </c>
      <c r="B17" s="402">
        <v>45778</v>
      </c>
      <c r="C17" s="402">
        <v>46142</v>
      </c>
      <c r="D17" s="403" t="s">
        <v>330</v>
      </c>
      <c r="E17" s="403" t="s">
        <v>4</v>
      </c>
      <c r="F17" s="403" t="s">
        <v>321</v>
      </c>
      <c r="G17" s="404">
        <v>32.01</v>
      </c>
      <c r="H17" s="405">
        <v>373.89</v>
      </c>
      <c r="I17" s="403" t="s">
        <v>414</v>
      </c>
      <c r="J17" s="421"/>
    </row>
    <row r="18" spans="1:10" ht="24" customHeight="1">
      <c r="A18" s="442" t="s">
        <v>333</v>
      </c>
      <c r="B18" s="430">
        <v>45778</v>
      </c>
      <c r="C18" s="430">
        <v>46142</v>
      </c>
      <c r="D18" s="431" t="s">
        <v>8</v>
      </c>
      <c r="E18" s="431" t="s">
        <v>4</v>
      </c>
      <c r="F18" s="431" t="s">
        <v>322</v>
      </c>
      <c r="G18" s="432">
        <v>173</v>
      </c>
      <c r="H18" s="433">
        <v>2082</v>
      </c>
      <c r="I18" s="431" t="s">
        <v>414</v>
      </c>
      <c r="J18" s="445"/>
    </row>
    <row r="19" spans="1:10" ht="24" customHeight="1">
      <c r="A19" s="416" t="s">
        <v>333</v>
      </c>
      <c r="B19" s="402">
        <v>45778</v>
      </c>
      <c r="C19" s="402">
        <v>46142</v>
      </c>
      <c r="D19" s="403" t="s">
        <v>8</v>
      </c>
      <c r="E19" s="403" t="s">
        <v>4</v>
      </c>
      <c r="F19" s="403" t="s">
        <v>322</v>
      </c>
      <c r="G19" s="404">
        <v>151.38</v>
      </c>
      <c r="H19" s="405">
        <v>1821.75</v>
      </c>
      <c r="I19" s="403" t="s">
        <v>414</v>
      </c>
      <c r="J19" s="421"/>
    </row>
    <row r="20" spans="1:10" ht="24" customHeight="1">
      <c r="A20" s="416" t="s">
        <v>333</v>
      </c>
      <c r="B20" s="402">
        <v>45778</v>
      </c>
      <c r="C20" s="402">
        <v>46142</v>
      </c>
      <c r="D20" s="403" t="s">
        <v>8</v>
      </c>
      <c r="E20" s="403" t="s">
        <v>4</v>
      </c>
      <c r="F20" s="403" t="s">
        <v>322</v>
      </c>
      <c r="G20" s="404">
        <v>138.4</v>
      </c>
      <c r="H20" s="405">
        <v>1665.6</v>
      </c>
      <c r="I20" s="403" t="s">
        <v>414</v>
      </c>
      <c r="J20" s="421"/>
    </row>
    <row r="21" spans="1:10" ht="24" customHeight="1">
      <c r="A21" s="416" t="s">
        <v>333</v>
      </c>
      <c r="B21" s="402">
        <v>45778</v>
      </c>
      <c r="C21" s="402">
        <v>46142</v>
      </c>
      <c r="D21" s="403" t="s">
        <v>8</v>
      </c>
      <c r="E21" s="403" t="s">
        <v>4</v>
      </c>
      <c r="F21" s="403" t="s">
        <v>322</v>
      </c>
      <c r="G21" s="404">
        <v>129.75</v>
      </c>
      <c r="H21" s="405">
        <v>1561.5</v>
      </c>
      <c r="I21" s="403" t="s">
        <v>414</v>
      </c>
      <c r="J21" s="421"/>
    </row>
    <row r="22" spans="1:10" ht="24" customHeight="1">
      <c r="A22" s="416" t="s">
        <v>333</v>
      </c>
      <c r="B22" s="402">
        <v>45778</v>
      </c>
      <c r="C22" s="402">
        <v>46142</v>
      </c>
      <c r="D22" s="403" t="s">
        <v>8</v>
      </c>
      <c r="E22" s="403" t="s">
        <v>4</v>
      </c>
      <c r="F22" s="403" t="s">
        <v>322</v>
      </c>
      <c r="G22" s="404">
        <v>108.13</v>
      </c>
      <c r="H22" s="405">
        <v>1301.25</v>
      </c>
      <c r="I22" s="403" t="s">
        <v>414</v>
      </c>
      <c r="J22" s="421"/>
    </row>
    <row r="23" spans="1:10" ht="24" customHeight="1">
      <c r="A23" s="416" t="s">
        <v>333</v>
      </c>
      <c r="B23" s="402">
        <v>45778</v>
      </c>
      <c r="C23" s="402">
        <v>46142</v>
      </c>
      <c r="D23" s="403" t="s">
        <v>8</v>
      </c>
      <c r="E23" s="403" t="s">
        <v>4</v>
      </c>
      <c r="F23" s="403" t="s">
        <v>322</v>
      </c>
      <c r="G23" s="404">
        <v>103.8</v>
      </c>
      <c r="H23" s="405">
        <v>1249.2</v>
      </c>
      <c r="I23" s="403" t="s">
        <v>414</v>
      </c>
      <c r="J23" s="421"/>
    </row>
    <row r="24" spans="1:10" ht="24" customHeight="1">
      <c r="A24" s="416" t="s">
        <v>333</v>
      </c>
      <c r="B24" s="402">
        <v>45778</v>
      </c>
      <c r="C24" s="402">
        <v>46142</v>
      </c>
      <c r="D24" s="403" t="s">
        <v>8</v>
      </c>
      <c r="E24" s="403" t="s">
        <v>4</v>
      </c>
      <c r="F24" s="403" t="s">
        <v>322</v>
      </c>
      <c r="G24" s="404">
        <v>86.5</v>
      </c>
      <c r="H24" s="405">
        <v>1041.2</v>
      </c>
      <c r="I24" s="403" t="s">
        <v>414</v>
      </c>
      <c r="J24" s="421"/>
    </row>
    <row r="25" spans="1:10" ht="24" customHeight="1">
      <c r="A25" s="416" t="s">
        <v>333</v>
      </c>
      <c r="B25" s="402">
        <v>45778</v>
      </c>
      <c r="C25" s="402">
        <v>46142</v>
      </c>
      <c r="D25" s="403" t="s">
        <v>8</v>
      </c>
      <c r="E25" s="403" t="s">
        <v>4</v>
      </c>
      <c r="F25" s="403" t="s">
        <v>322</v>
      </c>
      <c r="G25" s="404">
        <v>69.2</v>
      </c>
      <c r="H25" s="405">
        <v>832.8</v>
      </c>
      <c r="I25" s="403" t="s">
        <v>414</v>
      </c>
      <c r="J25" s="421"/>
    </row>
    <row r="26" spans="1:10" ht="24" customHeight="1">
      <c r="A26" s="416" t="s">
        <v>333</v>
      </c>
      <c r="B26" s="402">
        <v>45778</v>
      </c>
      <c r="C26" s="402">
        <v>46142</v>
      </c>
      <c r="D26" s="403" t="s">
        <v>8</v>
      </c>
      <c r="E26" s="403" t="s">
        <v>4</v>
      </c>
      <c r="F26" s="403" t="s">
        <v>322</v>
      </c>
      <c r="G26" s="404">
        <v>51.9</v>
      </c>
      <c r="H26" s="405">
        <v>624.6</v>
      </c>
      <c r="I26" s="403" t="s">
        <v>414</v>
      </c>
      <c r="J26" s="421"/>
    </row>
    <row r="27" spans="1:10" ht="24" customHeight="1">
      <c r="A27" s="416" t="s">
        <v>333</v>
      </c>
      <c r="B27" s="402">
        <v>45778</v>
      </c>
      <c r="C27" s="402">
        <v>46142</v>
      </c>
      <c r="D27" s="403" t="s">
        <v>8</v>
      </c>
      <c r="E27" s="403" t="s">
        <v>4</v>
      </c>
      <c r="F27" s="403" t="s">
        <v>322</v>
      </c>
      <c r="G27" s="404">
        <v>47.58</v>
      </c>
      <c r="H27" s="405">
        <v>575.54999999999995</v>
      </c>
      <c r="I27" s="403" t="s">
        <v>414</v>
      </c>
      <c r="J27" s="421"/>
    </row>
    <row r="28" spans="1:10" ht="24" customHeight="1">
      <c r="A28" s="416" t="s">
        <v>333</v>
      </c>
      <c r="B28" s="402">
        <v>45778</v>
      </c>
      <c r="C28" s="402">
        <v>46142</v>
      </c>
      <c r="D28" s="403" t="s">
        <v>8</v>
      </c>
      <c r="E28" s="403" t="s">
        <v>4</v>
      </c>
      <c r="F28" s="403" t="s">
        <v>322</v>
      </c>
      <c r="G28" s="404">
        <v>43.25</v>
      </c>
      <c r="H28" s="405">
        <v>520.5</v>
      </c>
      <c r="I28" s="403" t="s">
        <v>414</v>
      </c>
      <c r="J28" s="421"/>
    </row>
    <row r="29" spans="1:10" ht="24" customHeight="1">
      <c r="A29" s="416" t="s">
        <v>333</v>
      </c>
      <c r="B29" s="402">
        <v>45778</v>
      </c>
      <c r="C29" s="402">
        <v>46142</v>
      </c>
      <c r="D29" s="403" t="s">
        <v>8</v>
      </c>
      <c r="E29" s="403" t="s">
        <v>4</v>
      </c>
      <c r="F29" s="403" t="s">
        <v>322</v>
      </c>
      <c r="G29" s="404">
        <v>34.6</v>
      </c>
      <c r="H29" s="405">
        <v>416.4</v>
      </c>
      <c r="I29" s="403" t="s">
        <v>414</v>
      </c>
      <c r="J29" s="421"/>
    </row>
    <row r="30" spans="1:10" ht="24" customHeight="1" thickBot="1">
      <c r="A30" s="416" t="s">
        <v>333</v>
      </c>
      <c r="B30" s="402">
        <v>45778</v>
      </c>
      <c r="C30" s="402">
        <v>46142</v>
      </c>
      <c r="D30" s="403" t="s">
        <v>8</v>
      </c>
      <c r="E30" s="403" t="s">
        <v>4</v>
      </c>
      <c r="F30" s="403" t="s">
        <v>322</v>
      </c>
      <c r="G30" s="404">
        <v>32.01</v>
      </c>
      <c r="H30" s="405">
        <v>385.17</v>
      </c>
      <c r="I30" s="403" t="s">
        <v>414</v>
      </c>
      <c r="J30" s="421"/>
    </row>
    <row r="31" spans="1:10" ht="24" customHeight="1">
      <c r="A31" s="442" t="s">
        <v>333</v>
      </c>
      <c r="B31" s="430">
        <v>45778</v>
      </c>
      <c r="C31" s="430">
        <v>46142</v>
      </c>
      <c r="D31" s="431" t="s">
        <v>10</v>
      </c>
      <c r="E31" s="431" t="s">
        <v>4</v>
      </c>
      <c r="F31" s="431" t="s">
        <v>323</v>
      </c>
      <c r="G31" s="432">
        <v>173</v>
      </c>
      <c r="H31" s="433">
        <v>2123</v>
      </c>
      <c r="I31" s="431" t="s">
        <v>414</v>
      </c>
      <c r="J31" s="445"/>
    </row>
    <row r="32" spans="1:10" ht="24" customHeight="1">
      <c r="A32" s="416" t="s">
        <v>333</v>
      </c>
      <c r="B32" s="402">
        <v>45778</v>
      </c>
      <c r="C32" s="402">
        <v>46142</v>
      </c>
      <c r="D32" s="403" t="s">
        <v>10</v>
      </c>
      <c r="E32" s="403" t="s">
        <v>4</v>
      </c>
      <c r="F32" s="403" t="s">
        <v>323</v>
      </c>
      <c r="G32" s="404">
        <v>151.38</v>
      </c>
      <c r="H32" s="405">
        <v>1857.63</v>
      </c>
      <c r="I32" s="403" t="s">
        <v>414</v>
      </c>
      <c r="J32" s="421"/>
    </row>
    <row r="33" spans="1:10" ht="24" customHeight="1">
      <c r="A33" s="416" t="s">
        <v>333</v>
      </c>
      <c r="B33" s="402">
        <v>45778</v>
      </c>
      <c r="C33" s="402">
        <v>46142</v>
      </c>
      <c r="D33" s="403" t="s">
        <v>10</v>
      </c>
      <c r="E33" s="403" t="s">
        <v>4</v>
      </c>
      <c r="F33" s="403" t="s">
        <v>323</v>
      </c>
      <c r="G33" s="404">
        <v>138.4</v>
      </c>
      <c r="H33" s="405">
        <v>1698.4</v>
      </c>
      <c r="I33" s="403" t="s">
        <v>414</v>
      </c>
      <c r="J33" s="421"/>
    </row>
    <row r="34" spans="1:10" ht="24" customHeight="1">
      <c r="A34" s="416" t="s">
        <v>333</v>
      </c>
      <c r="B34" s="402">
        <v>45778</v>
      </c>
      <c r="C34" s="402">
        <v>46142</v>
      </c>
      <c r="D34" s="403" t="s">
        <v>10</v>
      </c>
      <c r="E34" s="403" t="s">
        <v>4</v>
      </c>
      <c r="F34" s="403" t="s">
        <v>323</v>
      </c>
      <c r="G34" s="404">
        <v>129.75</v>
      </c>
      <c r="H34" s="405">
        <v>1592.25</v>
      </c>
      <c r="I34" s="403" t="s">
        <v>414</v>
      </c>
      <c r="J34" s="421"/>
    </row>
    <row r="35" spans="1:10" ht="24" customHeight="1">
      <c r="A35" s="416" t="s">
        <v>333</v>
      </c>
      <c r="B35" s="402">
        <v>45778</v>
      </c>
      <c r="C35" s="402">
        <v>46142</v>
      </c>
      <c r="D35" s="403" t="s">
        <v>10</v>
      </c>
      <c r="E35" s="403" t="s">
        <v>4</v>
      </c>
      <c r="F35" s="403" t="s">
        <v>323</v>
      </c>
      <c r="G35" s="404">
        <v>108.13</v>
      </c>
      <c r="H35" s="405">
        <v>1326.88</v>
      </c>
      <c r="I35" s="403" t="s">
        <v>414</v>
      </c>
      <c r="J35" s="421"/>
    </row>
    <row r="36" spans="1:10" ht="24" customHeight="1">
      <c r="A36" s="416" t="s">
        <v>333</v>
      </c>
      <c r="B36" s="402">
        <v>45778</v>
      </c>
      <c r="C36" s="402">
        <v>46142</v>
      </c>
      <c r="D36" s="403" t="s">
        <v>10</v>
      </c>
      <c r="E36" s="403" t="s">
        <v>4</v>
      </c>
      <c r="F36" s="403" t="s">
        <v>323</v>
      </c>
      <c r="G36" s="404">
        <v>103.8</v>
      </c>
      <c r="H36" s="405">
        <v>1273.8</v>
      </c>
      <c r="I36" s="403" t="s">
        <v>414</v>
      </c>
      <c r="J36" s="421"/>
    </row>
    <row r="37" spans="1:10" ht="24" customHeight="1">
      <c r="A37" s="416" t="s">
        <v>333</v>
      </c>
      <c r="B37" s="402">
        <v>45778</v>
      </c>
      <c r="C37" s="402">
        <v>46142</v>
      </c>
      <c r="D37" s="403" t="s">
        <v>10</v>
      </c>
      <c r="E37" s="403" t="s">
        <v>4</v>
      </c>
      <c r="F37" s="403" t="s">
        <v>323</v>
      </c>
      <c r="G37" s="404">
        <v>86.5</v>
      </c>
      <c r="H37" s="405">
        <v>1061.5</v>
      </c>
      <c r="I37" s="403" t="s">
        <v>414</v>
      </c>
      <c r="J37" s="421"/>
    </row>
    <row r="38" spans="1:10" ht="24" customHeight="1">
      <c r="A38" s="416" t="s">
        <v>333</v>
      </c>
      <c r="B38" s="402">
        <v>45778</v>
      </c>
      <c r="C38" s="402">
        <v>46142</v>
      </c>
      <c r="D38" s="403" t="s">
        <v>10</v>
      </c>
      <c r="E38" s="403" t="s">
        <v>4</v>
      </c>
      <c r="F38" s="403" t="s">
        <v>323</v>
      </c>
      <c r="G38" s="404">
        <v>69.2</v>
      </c>
      <c r="H38" s="405">
        <v>849.2</v>
      </c>
      <c r="I38" s="403" t="s">
        <v>414</v>
      </c>
      <c r="J38" s="421"/>
    </row>
    <row r="39" spans="1:10" ht="24" customHeight="1">
      <c r="A39" s="416" t="s">
        <v>333</v>
      </c>
      <c r="B39" s="402">
        <v>45778</v>
      </c>
      <c r="C39" s="402">
        <v>46142</v>
      </c>
      <c r="D39" s="403" t="s">
        <v>10</v>
      </c>
      <c r="E39" s="403" t="s">
        <v>4</v>
      </c>
      <c r="F39" s="403" t="s">
        <v>323</v>
      </c>
      <c r="G39" s="404">
        <v>51.9</v>
      </c>
      <c r="H39" s="405">
        <v>636.9</v>
      </c>
      <c r="I39" s="403" t="s">
        <v>414</v>
      </c>
      <c r="J39" s="421"/>
    </row>
    <row r="40" spans="1:10" ht="24" customHeight="1">
      <c r="A40" s="416" t="s">
        <v>333</v>
      </c>
      <c r="B40" s="402">
        <v>45778</v>
      </c>
      <c r="C40" s="402">
        <v>46142</v>
      </c>
      <c r="D40" s="403" t="s">
        <v>10</v>
      </c>
      <c r="E40" s="403" t="s">
        <v>4</v>
      </c>
      <c r="F40" s="403" t="s">
        <v>323</v>
      </c>
      <c r="G40" s="404">
        <v>47.58</v>
      </c>
      <c r="H40" s="405">
        <v>583.83000000000004</v>
      </c>
      <c r="I40" s="403" t="s">
        <v>414</v>
      </c>
      <c r="J40" s="421"/>
    </row>
    <row r="41" spans="1:10" ht="24" customHeight="1">
      <c r="A41" s="416" t="s">
        <v>333</v>
      </c>
      <c r="B41" s="402">
        <v>45778</v>
      </c>
      <c r="C41" s="402">
        <v>46142</v>
      </c>
      <c r="D41" s="403" t="s">
        <v>10</v>
      </c>
      <c r="E41" s="403" t="s">
        <v>4</v>
      </c>
      <c r="F41" s="403" t="s">
        <v>323</v>
      </c>
      <c r="G41" s="404">
        <v>43.25</v>
      </c>
      <c r="H41" s="405">
        <v>530.75</v>
      </c>
      <c r="I41" s="403" t="s">
        <v>414</v>
      </c>
      <c r="J41" s="421"/>
    </row>
    <row r="42" spans="1:10" ht="24" customHeight="1">
      <c r="A42" s="416" t="s">
        <v>333</v>
      </c>
      <c r="B42" s="402">
        <v>45778</v>
      </c>
      <c r="C42" s="402">
        <v>46142</v>
      </c>
      <c r="D42" s="403" t="s">
        <v>10</v>
      </c>
      <c r="E42" s="403" t="s">
        <v>4</v>
      </c>
      <c r="F42" s="403" t="s">
        <v>323</v>
      </c>
      <c r="G42" s="404">
        <v>34.6</v>
      </c>
      <c r="H42" s="405">
        <v>424.6</v>
      </c>
      <c r="I42" s="403" t="s">
        <v>414</v>
      </c>
      <c r="J42" s="421"/>
    </row>
    <row r="43" spans="1:10" ht="24" customHeight="1" thickBot="1">
      <c r="A43" s="416" t="s">
        <v>333</v>
      </c>
      <c r="B43" s="402">
        <v>45778</v>
      </c>
      <c r="C43" s="402">
        <v>46142</v>
      </c>
      <c r="D43" s="403" t="s">
        <v>10</v>
      </c>
      <c r="E43" s="403" t="s">
        <v>4</v>
      </c>
      <c r="F43" s="403" t="s">
        <v>323</v>
      </c>
      <c r="G43" s="404">
        <v>32.01</v>
      </c>
      <c r="H43" s="405">
        <v>392.76</v>
      </c>
      <c r="I43" s="403" t="s">
        <v>414</v>
      </c>
      <c r="J43" s="421"/>
    </row>
    <row r="44" spans="1:10" ht="24" customHeight="1">
      <c r="A44" s="442" t="s">
        <v>333</v>
      </c>
      <c r="B44" s="430">
        <v>45778</v>
      </c>
      <c r="C44" s="430">
        <v>46142</v>
      </c>
      <c r="D44" s="431" t="s">
        <v>12</v>
      </c>
      <c r="E44" s="431" t="s">
        <v>4</v>
      </c>
      <c r="F44" s="431" t="s">
        <v>324</v>
      </c>
      <c r="G44" s="432">
        <v>173</v>
      </c>
      <c r="H44" s="433">
        <v>2183</v>
      </c>
      <c r="I44" s="431" t="s">
        <v>414</v>
      </c>
      <c r="J44" s="445"/>
    </row>
    <row r="45" spans="1:10" ht="24" customHeight="1">
      <c r="A45" s="416" t="s">
        <v>333</v>
      </c>
      <c r="B45" s="402">
        <v>45778</v>
      </c>
      <c r="C45" s="402">
        <v>46142</v>
      </c>
      <c r="D45" s="403" t="s">
        <v>12</v>
      </c>
      <c r="E45" s="403" t="s">
        <v>4</v>
      </c>
      <c r="F45" s="403" t="s">
        <v>324</v>
      </c>
      <c r="G45" s="404">
        <v>151.38</v>
      </c>
      <c r="H45" s="405">
        <v>1910.13</v>
      </c>
      <c r="I45" s="403" t="s">
        <v>414</v>
      </c>
      <c r="J45" s="421"/>
    </row>
    <row r="46" spans="1:10" ht="24" customHeight="1">
      <c r="A46" s="416" t="s">
        <v>333</v>
      </c>
      <c r="B46" s="402">
        <v>45778</v>
      </c>
      <c r="C46" s="402">
        <v>46142</v>
      </c>
      <c r="D46" s="403" t="s">
        <v>12</v>
      </c>
      <c r="E46" s="403" t="s">
        <v>4</v>
      </c>
      <c r="F46" s="403" t="s">
        <v>324</v>
      </c>
      <c r="G46" s="404">
        <v>138.4</v>
      </c>
      <c r="H46" s="405">
        <v>1746.4</v>
      </c>
      <c r="I46" s="403" t="s">
        <v>414</v>
      </c>
      <c r="J46" s="421"/>
    </row>
    <row r="47" spans="1:10" ht="24" customHeight="1">
      <c r="A47" s="416" t="s">
        <v>333</v>
      </c>
      <c r="B47" s="402">
        <v>45778</v>
      </c>
      <c r="C47" s="402">
        <v>46142</v>
      </c>
      <c r="D47" s="403" t="s">
        <v>12</v>
      </c>
      <c r="E47" s="403" t="s">
        <v>4</v>
      </c>
      <c r="F47" s="403" t="s">
        <v>324</v>
      </c>
      <c r="G47" s="404">
        <v>129.75</v>
      </c>
      <c r="H47" s="405">
        <v>1637.25</v>
      </c>
      <c r="I47" s="403" t="s">
        <v>414</v>
      </c>
      <c r="J47" s="421"/>
    </row>
    <row r="48" spans="1:10" ht="24" customHeight="1">
      <c r="A48" s="416" t="s">
        <v>333</v>
      </c>
      <c r="B48" s="402">
        <v>45778</v>
      </c>
      <c r="C48" s="402">
        <v>46142</v>
      </c>
      <c r="D48" s="403" t="s">
        <v>12</v>
      </c>
      <c r="E48" s="403" t="s">
        <v>4</v>
      </c>
      <c r="F48" s="403" t="s">
        <v>324</v>
      </c>
      <c r="G48" s="404">
        <v>108.13</v>
      </c>
      <c r="H48" s="405">
        <v>1364.38</v>
      </c>
      <c r="I48" s="403" t="s">
        <v>414</v>
      </c>
      <c r="J48" s="421"/>
    </row>
    <row r="49" spans="1:10" ht="24" customHeight="1">
      <c r="A49" s="416" t="s">
        <v>333</v>
      </c>
      <c r="B49" s="402">
        <v>45778</v>
      </c>
      <c r="C49" s="402">
        <v>46142</v>
      </c>
      <c r="D49" s="403" t="s">
        <v>12</v>
      </c>
      <c r="E49" s="403" t="s">
        <v>4</v>
      </c>
      <c r="F49" s="403" t="s">
        <v>324</v>
      </c>
      <c r="G49" s="404">
        <v>103.8</v>
      </c>
      <c r="H49" s="405">
        <v>1309.8</v>
      </c>
      <c r="I49" s="403" t="s">
        <v>414</v>
      </c>
      <c r="J49" s="421"/>
    </row>
    <row r="50" spans="1:10" ht="24" customHeight="1">
      <c r="A50" s="416" t="s">
        <v>333</v>
      </c>
      <c r="B50" s="402">
        <v>45778</v>
      </c>
      <c r="C50" s="402">
        <v>46142</v>
      </c>
      <c r="D50" s="403" t="s">
        <v>12</v>
      </c>
      <c r="E50" s="403" t="s">
        <v>4</v>
      </c>
      <c r="F50" s="403" t="s">
        <v>324</v>
      </c>
      <c r="G50" s="404">
        <v>86.5</v>
      </c>
      <c r="H50" s="405">
        <v>1091.5</v>
      </c>
      <c r="I50" s="403" t="s">
        <v>414</v>
      </c>
      <c r="J50" s="421"/>
    </row>
    <row r="51" spans="1:10" ht="24" customHeight="1">
      <c r="A51" s="416" t="s">
        <v>333</v>
      </c>
      <c r="B51" s="402">
        <v>45778</v>
      </c>
      <c r="C51" s="402">
        <v>46142</v>
      </c>
      <c r="D51" s="403" t="s">
        <v>12</v>
      </c>
      <c r="E51" s="403" t="s">
        <v>4</v>
      </c>
      <c r="F51" s="403" t="s">
        <v>324</v>
      </c>
      <c r="G51" s="404">
        <v>69.2</v>
      </c>
      <c r="H51" s="405">
        <v>873.2</v>
      </c>
      <c r="I51" s="403" t="s">
        <v>414</v>
      </c>
      <c r="J51" s="421"/>
    </row>
    <row r="52" spans="1:10" ht="24" customHeight="1">
      <c r="A52" s="416" t="s">
        <v>333</v>
      </c>
      <c r="B52" s="402">
        <v>45778</v>
      </c>
      <c r="C52" s="402">
        <v>46142</v>
      </c>
      <c r="D52" s="403" t="s">
        <v>12</v>
      </c>
      <c r="E52" s="403" t="s">
        <v>4</v>
      </c>
      <c r="F52" s="403" t="s">
        <v>324</v>
      </c>
      <c r="G52" s="404">
        <v>51.9</v>
      </c>
      <c r="H52" s="405">
        <v>654.9</v>
      </c>
      <c r="I52" s="403" t="s">
        <v>414</v>
      </c>
      <c r="J52" s="421"/>
    </row>
    <row r="53" spans="1:10" ht="24" customHeight="1">
      <c r="A53" s="416" t="s">
        <v>333</v>
      </c>
      <c r="B53" s="402">
        <v>45778</v>
      </c>
      <c r="C53" s="402">
        <v>46142</v>
      </c>
      <c r="D53" s="403" t="s">
        <v>12</v>
      </c>
      <c r="E53" s="403" t="s">
        <v>4</v>
      </c>
      <c r="F53" s="403" t="s">
        <v>324</v>
      </c>
      <c r="G53" s="404">
        <v>47.58</v>
      </c>
      <c r="H53" s="405">
        <v>600.33000000000004</v>
      </c>
      <c r="I53" s="403" t="s">
        <v>414</v>
      </c>
      <c r="J53" s="421"/>
    </row>
    <row r="54" spans="1:10" ht="24" customHeight="1">
      <c r="A54" s="416" t="s">
        <v>333</v>
      </c>
      <c r="B54" s="402">
        <v>45778</v>
      </c>
      <c r="C54" s="402">
        <v>46142</v>
      </c>
      <c r="D54" s="403" t="s">
        <v>12</v>
      </c>
      <c r="E54" s="403" t="s">
        <v>4</v>
      </c>
      <c r="F54" s="403" t="s">
        <v>324</v>
      </c>
      <c r="G54" s="404">
        <v>43.25</v>
      </c>
      <c r="H54" s="405">
        <v>545.75</v>
      </c>
      <c r="I54" s="403" t="s">
        <v>414</v>
      </c>
      <c r="J54" s="421"/>
    </row>
    <row r="55" spans="1:10" ht="24" customHeight="1">
      <c r="A55" s="416" t="s">
        <v>333</v>
      </c>
      <c r="B55" s="402">
        <v>45778</v>
      </c>
      <c r="C55" s="402">
        <v>46142</v>
      </c>
      <c r="D55" s="403" t="s">
        <v>12</v>
      </c>
      <c r="E55" s="403" t="s">
        <v>4</v>
      </c>
      <c r="F55" s="403" t="s">
        <v>324</v>
      </c>
      <c r="G55" s="404">
        <v>34.6</v>
      </c>
      <c r="H55" s="405">
        <v>436.6</v>
      </c>
      <c r="I55" s="403" t="s">
        <v>414</v>
      </c>
      <c r="J55" s="421"/>
    </row>
    <row r="56" spans="1:10" ht="24" customHeight="1" thickBot="1">
      <c r="A56" s="416" t="s">
        <v>333</v>
      </c>
      <c r="B56" s="402">
        <v>45778</v>
      </c>
      <c r="C56" s="402">
        <v>46142</v>
      </c>
      <c r="D56" s="403" t="s">
        <v>12</v>
      </c>
      <c r="E56" s="403" t="s">
        <v>4</v>
      </c>
      <c r="F56" s="403" t="s">
        <v>324</v>
      </c>
      <c r="G56" s="404">
        <v>32.01</v>
      </c>
      <c r="H56" s="405">
        <v>403.86</v>
      </c>
      <c r="I56" s="403" t="s">
        <v>414</v>
      </c>
      <c r="J56" s="421"/>
    </row>
    <row r="57" spans="1:10" ht="24" customHeight="1">
      <c r="A57" s="443" t="s">
        <v>333</v>
      </c>
      <c r="B57" s="434">
        <v>45778</v>
      </c>
      <c r="C57" s="434">
        <v>46142</v>
      </c>
      <c r="D57" s="435" t="s">
        <v>331</v>
      </c>
      <c r="E57" s="435" t="s">
        <v>13</v>
      </c>
      <c r="F57" s="435" t="s">
        <v>321</v>
      </c>
      <c r="G57" s="436">
        <v>173</v>
      </c>
      <c r="H57" s="437">
        <v>2160</v>
      </c>
      <c r="I57" s="435" t="s">
        <v>414</v>
      </c>
      <c r="J57" s="446"/>
    </row>
    <row r="58" spans="1:10" ht="24" customHeight="1">
      <c r="A58" s="417" t="s">
        <v>333</v>
      </c>
      <c r="B58" s="406">
        <v>45778</v>
      </c>
      <c r="C58" s="406">
        <v>46142</v>
      </c>
      <c r="D58" s="407" t="s">
        <v>331</v>
      </c>
      <c r="E58" s="407" t="s">
        <v>13</v>
      </c>
      <c r="F58" s="407" t="s">
        <v>321</v>
      </c>
      <c r="G58" s="408">
        <v>151.38</v>
      </c>
      <c r="H58" s="409">
        <v>1890</v>
      </c>
      <c r="I58" s="407" t="s">
        <v>414</v>
      </c>
      <c r="J58" s="422"/>
    </row>
    <row r="59" spans="1:10" ht="24" customHeight="1">
      <c r="A59" s="417" t="s">
        <v>333</v>
      </c>
      <c r="B59" s="406">
        <v>45778</v>
      </c>
      <c r="C59" s="406">
        <v>46142</v>
      </c>
      <c r="D59" s="407" t="s">
        <v>331</v>
      </c>
      <c r="E59" s="407" t="s">
        <v>13</v>
      </c>
      <c r="F59" s="407" t="s">
        <v>321</v>
      </c>
      <c r="G59" s="408">
        <v>138.4</v>
      </c>
      <c r="H59" s="409">
        <v>1728</v>
      </c>
      <c r="I59" s="407" t="s">
        <v>414</v>
      </c>
      <c r="J59" s="422"/>
    </row>
    <row r="60" spans="1:10" ht="24" customHeight="1">
      <c r="A60" s="417" t="s">
        <v>333</v>
      </c>
      <c r="B60" s="406">
        <v>45778</v>
      </c>
      <c r="C60" s="406">
        <v>46142</v>
      </c>
      <c r="D60" s="407" t="s">
        <v>331</v>
      </c>
      <c r="E60" s="407" t="s">
        <v>13</v>
      </c>
      <c r="F60" s="407" t="s">
        <v>321</v>
      </c>
      <c r="G60" s="408">
        <v>129.75</v>
      </c>
      <c r="H60" s="409">
        <v>1620</v>
      </c>
      <c r="I60" s="407" t="s">
        <v>414</v>
      </c>
      <c r="J60" s="422"/>
    </row>
    <row r="61" spans="1:10" ht="24" customHeight="1">
      <c r="A61" s="417" t="s">
        <v>333</v>
      </c>
      <c r="B61" s="406">
        <v>45778</v>
      </c>
      <c r="C61" s="406">
        <v>46142</v>
      </c>
      <c r="D61" s="407" t="s">
        <v>331</v>
      </c>
      <c r="E61" s="407" t="s">
        <v>13</v>
      </c>
      <c r="F61" s="407" t="s">
        <v>321</v>
      </c>
      <c r="G61" s="408">
        <v>108.13</v>
      </c>
      <c r="H61" s="409">
        <v>1350</v>
      </c>
      <c r="I61" s="407" t="s">
        <v>414</v>
      </c>
      <c r="J61" s="422"/>
    </row>
    <row r="62" spans="1:10" ht="24" customHeight="1">
      <c r="A62" s="417" t="s">
        <v>333</v>
      </c>
      <c r="B62" s="406">
        <v>45778</v>
      </c>
      <c r="C62" s="406">
        <v>46142</v>
      </c>
      <c r="D62" s="407" t="s">
        <v>331</v>
      </c>
      <c r="E62" s="407" t="s">
        <v>13</v>
      </c>
      <c r="F62" s="407" t="s">
        <v>321</v>
      </c>
      <c r="G62" s="408">
        <v>103.8</v>
      </c>
      <c r="H62" s="409">
        <v>1296</v>
      </c>
      <c r="I62" s="407" t="s">
        <v>414</v>
      </c>
      <c r="J62" s="422"/>
    </row>
    <row r="63" spans="1:10" ht="24" customHeight="1">
      <c r="A63" s="417" t="s">
        <v>333</v>
      </c>
      <c r="B63" s="406">
        <v>45778</v>
      </c>
      <c r="C63" s="406">
        <v>46142</v>
      </c>
      <c r="D63" s="407" t="s">
        <v>331</v>
      </c>
      <c r="E63" s="407" t="s">
        <v>13</v>
      </c>
      <c r="F63" s="407" t="s">
        <v>321</v>
      </c>
      <c r="G63" s="408">
        <v>86.5</v>
      </c>
      <c r="H63" s="409">
        <v>1080</v>
      </c>
      <c r="I63" s="407" t="s">
        <v>414</v>
      </c>
      <c r="J63" s="422"/>
    </row>
    <row r="64" spans="1:10" ht="24" customHeight="1">
      <c r="A64" s="417" t="s">
        <v>333</v>
      </c>
      <c r="B64" s="406">
        <v>45778</v>
      </c>
      <c r="C64" s="406">
        <v>46142</v>
      </c>
      <c r="D64" s="407" t="s">
        <v>331</v>
      </c>
      <c r="E64" s="407" t="s">
        <v>13</v>
      </c>
      <c r="F64" s="407" t="s">
        <v>321</v>
      </c>
      <c r="G64" s="408">
        <v>69.2</v>
      </c>
      <c r="H64" s="409">
        <v>864</v>
      </c>
      <c r="I64" s="407" t="s">
        <v>414</v>
      </c>
      <c r="J64" s="422"/>
    </row>
    <row r="65" spans="1:10" ht="24" customHeight="1">
      <c r="A65" s="417" t="s">
        <v>333</v>
      </c>
      <c r="B65" s="406">
        <v>45778</v>
      </c>
      <c r="C65" s="406">
        <v>46142</v>
      </c>
      <c r="D65" s="407" t="s">
        <v>331</v>
      </c>
      <c r="E65" s="407" t="s">
        <v>13</v>
      </c>
      <c r="F65" s="407" t="s">
        <v>321</v>
      </c>
      <c r="G65" s="408">
        <v>51.9</v>
      </c>
      <c r="H65" s="409">
        <v>648</v>
      </c>
      <c r="I65" s="407" t="s">
        <v>414</v>
      </c>
      <c r="J65" s="422"/>
    </row>
    <row r="66" spans="1:10" ht="24" customHeight="1">
      <c r="A66" s="417" t="s">
        <v>333</v>
      </c>
      <c r="B66" s="406">
        <v>45778</v>
      </c>
      <c r="C66" s="406">
        <v>46142</v>
      </c>
      <c r="D66" s="407" t="s">
        <v>331</v>
      </c>
      <c r="E66" s="407" t="s">
        <v>13</v>
      </c>
      <c r="F66" s="407" t="s">
        <v>321</v>
      </c>
      <c r="G66" s="408">
        <v>47.58</v>
      </c>
      <c r="H66" s="409">
        <v>594</v>
      </c>
      <c r="I66" s="407" t="s">
        <v>414</v>
      </c>
      <c r="J66" s="422"/>
    </row>
    <row r="67" spans="1:10" ht="24" customHeight="1">
      <c r="A67" s="417" t="s">
        <v>333</v>
      </c>
      <c r="B67" s="406">
        <v>45778</v>
      </c>
      <c r="C67" s="406">
        <v>46142</v>
      </c>
      <c r="D67" s="407" t="s">
        <v>331</v>
      </c>
      <c r="E67" s="407" t="s">
        <v>13</v>
      </c>
      <c r="F67" s="407" t="s">
        <v>321</v>
      </c>
      <c r="G67" s="408">
        <v>43.25</v>
      </c>
      <c r="H67" s="409">
        <v>540</v>
      </c>
      <c r="I67" s="407" t="s">
        <v>414</v>
      </c>
      <c r="J67" s="422"/>
    </row>
    <row r="68" spans="1:10" ht="24" customHeight="1">
      <c r="A68" s="417" t="s">
        <v>333</v>
      </c>
      <c r="B68" s="406">
        <v>45778</v>
      </c>
      <c r="C68" s="406">
        <v>46142</v>
      </c>
      <c r="D68" s="407" t="s">
        <v>331</v>
      </c>
      <c r="E68" s="407" t="s">
        <v>13</v>
      </c>
      <c r="F68" s="407" t="s">
        <v>321</v>
      </c>
      <c r="G68" s="408">
        <v>34.6</v>
      </c>
      <c r="H68" s="409">
        <v>432</v>
      </c>
      <c r="I68" s="407" t="s">
        <v>414</v>
      </c>
      <c r="J68" s="422"/>
    </row>
    <row r="69" spans="1:10" ht="24" customHeight="1" thickBot="1">
      <c r="A69" s="417" t="s">
        <v>333</v>
      </c>
      <c r="B69" s="406">
        <v>45778</v>
      </c>
      <c r="C69" s="406">
        <v>46142</v>
      </c>
      <c r="D69" s="407" t="s">
        <v>331</v>
      </c>
      <c r="E69" s="407" t="s">
        <v>13</v>
      </c>
      <c r="F69" s="407" t="s">
        <v>321</v>
      </c>
      <c r="G69" s="408">
        <v>32.01</v>
      </c>
      <c r="H69" s="409">
        <v>399.6</v>
      </c>
      <c r="I69" s="407" t="s">
        <v>414</v>
      </c>
      <c r="J69" s="422"/>
    </row>
    <row r="70" spans="1:10" ht="24" customHeight="1">
      <c r="A70" s="443" t="s">
        <v>333</v>
      </c>
      <c r="B70" s="434">
        <v>45778</v>
      </c>
      <c r="C70" s="434">
        <v>46142</v>
      </c>
      <c r="D70" s="435" t="s">
        <v>15</v>
      </c>
      <c r="E70" s="435" t="s">
        <v>13</v>
      </c>
      <c r="F70" s="435" t="s">
        <v>322</v>
      </c>
      <c r="G70" s="436">
        <v>173</v>
      </c>
      <c r="H70" s="437">
        <v>2160</v>
      </c>
      <c r="I70" s="435" t="s">
        <v>414</v>
      </c>
      <c r="J70" s="446"/>
    </row>
    <row r="71" spans="1:10" ht="24" customHeight="1">
      <c r="A71" s="417" t="s">
        <v>333</v>
      </c>
      <c r="B71" s="406">
        <v>45778</v>
      </c>
      <c r="C71" s="406">
        <v>46142</v>
      </c>
      <c r="D71" s="407" t="s">
        <v>15</v>
      </c>
      <c r="E71" s="407" t="s">
        <v>13</v>
      </c>
      <c r="F71" s="407" t="s">
        <v>322</v>
      </c>
      <c r="G71" s="408">
        <v>151.38</v>
      </c>
      <c r="H71" s="409">
        <v>1890</v>
      </c>
      <c r="I71" s="407" t="s">
        <v>414</v>
      </c>
      <c r="J71" s="422"/>
    </row>
    <row r="72" spans="1:10" ht="24" customHeight="1">
      <c r="A72" s="417" t="s">
        <v>333</v>
      </c>
      <c r="B72" s="406">
        <v>45778</v>
      </c>
      <c r="C72" s="406">
        <v>46142</v>
      </c>
      <c r="D72" s="407" t="s">
        <v>15</v>
      </c>
      <c r="E72" s="407" t="s">
        <v>13</v>
      </c>
      <c r="F72" s="407" t="s">
        <v>322</v>
      </c>
      <c r="G72" s="408">
        <v>138.4</v>
      </c>
      <c r="H72" s="409">
        <v>1728</v>
      </c>
      <c r="I72" s="407" t="s">
        <v>414</v>
      </c>
      <c r="J72" s="422"/>
    </row>
    <row r="73" spans="1:10" ht="24" customHeight="1">
      <c r="A73" s="417" t="s">
        <v>333</v>
      </c>
      <c r="B73" s="406">
        <v>45778</v>
      </c>
      <c r="C73" s="406">
        <v>46142</v>
      </c>
      <c r="D73" s="407" t="s">
        <v>15</v>
      </c>
      <c r="E73" s="407" t="s">
        <v>13</v>
      </c>
      <c r="F73" s="407" t="s">
        <v>322</v>
      </c>
      <c r="G73" s="408">
        <v>129.75</v>
      </c>
      <c r="H73" s="409">
        <v>1620</v>
      </c>
      <c r="I73" s="407" t="s">
        <v>414</v>
      </c>
      <c r="J73" s="422"/>
    </row>
    <row r="74" spans="1:10" ht="24" customHeight="1">
      <c r="A74" s="417" t="s">
        <v>333</v>
      </c>
      <c r="B74" s="406">
        <v>45778</v>
      </c>
      <c r="C74" s="406">
        <v>46142</v>
      </c>
      <c r="D74" s="407" t="s">
        <v>15</v>
      </c>
      <c r="E74" s="407" t="s">
        <v>13</v>
      </c>
      <c r="F74" s="407" t="s">
        <v>322</v>
      </c>
      <c r="G74" s="408">
        <v>108.13</v>
      </c>
      <c r="H74" s="409">
        <v>1350</v>
      </c>
      <c r="I74" s="407" t="s">
        <v>414</v>
      </c>
      <c r="J74" s="422"/>
    </row>
    <row r="75" spans="1:10" ht="24" customHeight="1">
      <c r="A75" s="417" t="s">
        <v>333</v>
      </c>
      <c r="B75" s="406">
        <v>45778</v>
      </c>
      <c r="C75" s="406">
        <v>46142</v>
      </c>
      <c r="D75" s="407" t="s">
        <v>15</v>
      </c>
      <c r="E75" s="407" t="s">
        <v>13</v>
      </c>
      <c r="F75" s="407" t="s">
        <v>322</v>
      </c>
      <c r="G75" s="408">
        <v>103.8</v>
      </c>
      <c r="H75" s="409">
        <v>1296</v>
      </c>
      <c r="I75" s="407" t="s">
        <v>414</v>
      </c>
      <c r="J75" s="422"/>
    </row>
    <row r="76" spans="1:10" ht="24" customHeight="1">
      <c r="A76" s="417" t="s">
        <v>333</v>
      </c>
      <c r="B76" s="406">
        <v>45778</v>
      </c>
      <c r="C76" s="406">
        <v>46142</v>
      </c>
      <c r="D76" s="407" t="s">
        <v>15</v>
      </c>
      <c r="E76" s="407" t="s">
        <v>13</v>
      </c>
      <c r="F76" s="407" t="s">
        <v>322</v>
      </c>
      <c r="G76" s="408">
        <v>86.5</v>
      </c>
      <c r="H76" s="409">
        <v>1080</v>
      </c>
      <c r="I76" s="407" t="s">
        <v>414</v>
      </c>
      <c r="J76" s="422"/>
    </row>
    <row r="77" spans="1:10" ht="24" customHeight="1">
      <c r="A77" s="417" t="s">
        <v>333</v>
      </c>
      <c r="B77" s="406">
        <v>45778</v>
      </c>
      <c r="C77" s="406">
        <v>46142</v>
      </c>
      <c r="D77" s="407" t="s">
        <v>15</v>
      </c>
      <c r="E77" s="407" t="s">
        <v>13</v>
      </c>
      <c r="F77" s="407" t="s">
        <v>322</v>
      </c>
      <c r="G77" s="408">
        <v>69.2</v>
      </c>
      <c r="H77" s="409">
        <v>864</v>
      </c>
      <c r="I77" s="407" t="s">
        <v>414</v>
      </c>
      <c r="J77" s="422"/>
    </row>
    <row r="78" spans="1:10" ht="24" customHeight="1">
      <c r="A78" s="417" t="s">
        <v>333</v>
      </c>
      <c r="B78" s="406">
        <v>45778</v>
      </c>
      <c r="C78" s="406">
        <v>46142</v>
      </c>
      <c r="D78" s="407" t="s">
        <v>15</v>
      </c>
      <c r="E78" s="407" t="s">
        <v>13</v>
      </c>
      <c r="F78" s="407" t="s">
        <v>322</v>
      </c>
      <c r="G78" s="408">
        <v>51.9</v>
      </c>
      <c r="H78" s="409">
        <v>648</v>
      </c>
      <c r="I78" s="407" t="s">
        <v>414</v>
      </c>
      <c r="J78" s="422"/>
    </row>
    <row r="79" spans="1:10" ht="24" customHeight="1">
      <c r="A79" s="417" t="s">
        <v>333</v>
      </c>
      <c r="B79" s="406">
        <v>45778</v>
      </c>
      <c r="C79" s="406">
        <v>46142</v>
      </c>
      <c r="D79" s="407" t="s">
        <v>15</v>
      </c>
      <c r="E79" s="407" t="s">
        <v>13</v>
      </c>
      <c r="F79" s="407" t="s">
        <v>322</v>
      </c>
      <c r="G79" s="408">
        <v>47.58</v>
      </c>
      <c r="H79" s="409">
        <v>594</v>
      </c>
      <c r="I79" s="407" t="s">
        <v>414</v>
      </c>
      <c r="J79" s="422"/>
    </row>
    <row r="80" spans="1:10" ht="24" customHeight="1">
      <c r="A80" s="417" t="s">
        <v>333</v>
      </c>
      <c r="B80" s="406">
        <v>45778</v>
      </c>
      <c r="C80" s="406">
        <v>46142</v>
      </c>
      <c r="D80" s="407" t="s">
        <v>15</v>
      </c>
      <c r="E80" s="407" t="s">
        <v>13</v>
      </c>
      <c r="F80" s="407" t="s">
        <v>322</v>
      </c>
      <c r="G80" s="408">
        <v>43.25</v>
      </c>
      <c r="H80" s="409">
        <v>540</v>
      </c>
      <c r="I80" s="407" t="s">
        <v>414</v>
      </c>
      <c r="J80" s="422"/>
    </row>
    <row r="81" spans="1:10" ht="24" customHeight="1">
      <c r="A81" s="417" t="s">
        <v>333</v>
      </c>
      <c r="B81" s="406">
        <v>45778</v>
      </c>
      <c r="C81" s="406">
        <v>46142</v>
      </c>
      <c r="D81" s="407" t="s">
        <v>15</v>
      </c>
      <c r="E81" s="407" t="s">
        <v>13</v>
      </c>
      <c r="F81" s="407" t="s">
        <v>322</v>
      </c>
      <c r="G81" s="408">
        <v>34.6</v>
      </c>
      <c r="H81" s="409">
        <v>432</v>
      </c>
      <c r="I81" s="407" t="s">
        <v>414</v>
      </c>
      <c r="J81" s="422"/>
    </row>
    <row r="82" spans="1:10" ht="24" customHeight="1" thickBot="1">
      <c r="A82" s="417" t="s">
        <v>333</v>
      </c>
      <c r="B82" s="406">
        <v>45778</v>
      </c>
      <c r="C82" s="406">
        <v>46142</v>
      </c>
      <c r="D82" s="407" t="s">
        <v>15</v>
      </c>
      <c r="E82" s="407" t="s">
        <v>13</v>
      </c>
      <c r="F82" s="407" t="s">
        <v>322</v>
      </c>
      <c r="G82" s="408">
        <v>32.01</v>
      </c>
      <c r="H82" s="409">
        <v>399.6</v>
      </c>
      <c r="I82" s="407" t="s">
        <v>414</v>
      </c>
      <c r="J82" s="422"/>
    </row>
    <row r="83" spans="1:10" ht="24" customHeight="1">
      <c r="A83" s="443" t="s">
        <v>333</v>
      </c>
      <c r="B83" s="434">
        <v>45778</v>
      </c>
      <c r="C83" s="434">
        <v>46142</v>
      </c>
      <c r="D83" s="435" t="s">
        <v>17</v>
      </c>
      <c r="E83" s="435" t="s">
        <v>13</v>
      </c>
      <c r="F83" s="435" t="s">
        <v>323</v>
      </c>
      <c r="G83" s="436">
        <v>173</v>
      </c>
      <c r="H83" s="437">
        <v>2163</v>
      </c>
      <c r="I83" s="435" t="s">
        <v>414</v>
      </c>
      <c r="J83" s="446"/>
    </row>
    <row r="84" spans="1:10" ht="24" customHeight="1">
      <c r="A84" s="417" t="s">
        <v>333</v>
      </c>
      <c r="B84" s="406">
        <v>45778</v>
      </c>
      <c r="C84" s="406">
        <v>46142</v>
      </c>
      <c r="D84" s="407" t="s">
        <v>17</v>
      </c>
      <c r="E84" s="407" t="s">
        <v>13</v>
      </c>
      <c r="F84" s="407" t="s">
        <v>323</v>
      </c>
      <c r="G84" s="408">
        <v>151.38</v>
      </c>
      <c r="H84" s="409">
        <v>1892.63</v>
      </c>
      <c r="I84" s="407" t="s">
        <v>414</v>
      </c>
      <c r="J84" s="422"/>
    </row>
    <row r="85" spans="1:10" ht="24" customHeight="1">
      <c r="A85" s="417" t="s">
        <v>333</v>
      </c>
      <c r="B85" s="406">
        <v>45778</v>
      </c>
      <c r="C85" s="406">
        <v>46142</v>
      </c>
      <c r="D85" s="407" t="s">
        <v>17</v>
      </c>
      <c r="E85" s="407" t="s">
        <v>13</v>
      </c>
      <c r="F85" s="407" t="s">
        <v>323</v>
      </c>
      <c r="G85" s="408">
        <v>138.4</v>
      </c>
      <c r="H85" s="409">
        <v>1730.4</v>
      </c>
      <c r="I85" s="407" t="s">
        <v>414</v>
      </c>
      <c r="J85" s="422"/>
    </row>
    <row r="86" spans="1:10" ht="24" customHeight="1">
      <c r="A86" s="417" t="s">
        <v>333</v>
      </c>
      <c r="B86" s="406">
        <v>45778</v>
      </c>
      <c r="C86" s="406">
        <v>46142</v>
      </c>
      <c r="D86" s="407" t="s">
        <v>17</v>
      </c>
      <c r="E86" s="407" t="s">
        <v>13</v>
      </c>
      <c r="F86" s="407" t="s">
        <v>323</v>
      </c>
      <c r="G86" s="408">
        <v>129.75</v>
      </c>
      <c r="H86" s="409">
        <v>1622.25</v>
      </c>
      <c r="I86" s="407" t="s">
        <v>414</v>
      </c>
      <c r="J86" s="422"/>
    </row>
    <row r="87" spans="1:10" ht="24" customHeight="1">
      <c r="A87" s="417" t="s">
        <v>333</v>
      </c>
      <c r="B87" s="406">
        <v>45778</v>
      </c>
      <c r="C87" s="406">
        <v>46142</v>
      </c>
      <c r="D87" s="407" t="s">
        <v>17</v>
      </c>
      <c r="E87" s="407" t="s">
        <v>13</v>
      </c>
      <c r="F87" s="407" t="s">
        <v>323</v>
      </c>
      <c r="G87" s="408">
        <v>108.13</v>
      </c>
      <c r="H87" s="409">
        <v>1351.88</v>
      </c>
      <c r="I87" s="407" t="s">
        <v>414</v>
      </c>
      <c r="J87" s="422"/>
    </row>
    <row r="88" spans="1:10" ht="24" customHeight="1">
      <c r="A88" s="417" t="s">
        <v>333</v>
      </c>
      <c r="B88" s="406">
        <v>45778</v>
      </c>
      <c r="C88" s="406">
        <v>46142</v>
      </c>
      <c r="D88" s="407" t="s">
        <v>17</v>
      </c>
      <c r="E88" s="407" t="s">
        <v>13</v>
      </c>
      <c r="F88" s="407" t="s">
        <v>323</v>
      </c>
      <c r="G88" s="408">
        <v>103.8</v>
      </c>
      <c r="H88" s="409">
        <v>1297.8</v>
      </c>
      <c r="I88" s="407" t="s">
        <v>414</v>
      </c>
      <c r="J88" s="422"/>
    </row>
    <row r="89" spans="1:10" ht="24" customHeight="1">
      <c r="A89" s="417" t="s">
        <v>333</v>
      </c>
      <c r="B89" s="406">
        <v>45778</v>
      </c>
      <c r="C89" s="406">
        <v>46142</v>
      </c>
      <c r="D89" s="407" t="s">
        <v>17</v>
      </c>
      <c r="E89" s="407" t="s">
        <v>13</v>
      </c>
      <c r="F89" s="407" t="s">
        <v>323</v>
      </c>
      <c r="G89" s="408">
        <v>86.5</v>
      </c>
      <c r="H89" s="409">
        <v>1081.5</v>
      </c>
      <c r="I89" s="407" t="s">
        <v>414</v>
      </c>
      <c r="J89" s="422"/>
    </row>
    <row r="90" spans="1:10" ht="24" customHeight="1">
      <c r="A90" s="417" t="s">
        <v>333</v>
      </c>
      <c r="B90" s="406">
        <v>45778</v>
      </c>
      <c r="C90" s="406">
        <v>46142</v>
      </c>
      <c r="D90" s="407" t="s">
        <v>17</v>
      </c>
      <c r="E90" s="407" t="s">
        <v>13</v>
      </c>
      <c r="F90" s="407" t="s">
        <v>323</v>
      </c>
      <c r="G90" s="408">
        <v>69.2</v>
      </c>
      <c r="H90" s="409">
        <v>865.2</v>
      </c>
      <c r="I90" s="407" t="s">
        <v>414</v>
      </c>
      <c r="J90" s="422"/>
    </row>
    <row r="91" spans="1:10" ht="24" customHeight="1">
      <c r="A91" s="417" t="s">
        <v>333</v>
      </c>
      <c r="B91" s="406">
        <v>45778</v>
      </c>
      <c r="C91" s="406">
        <v>46142</v>
      </c>
      <c r="D91" s="407" t="s">
        <v>17</v>
      </c>
      <c r="E91" s="407" t="s">
        <v>13</v>
      </c>
      <c r="F91" s="407" t="s">
        <v>323</v>
      </c>
      <c r="G91" s="408">
        <v>51.9</v>
      </c>
      <c r="H91" s="409">
        <v>648.9</v>
      </c>
      <c r="I91" s="407" t="s">
        <v>414</v>
      </c>
      <c r="J91" s="422"/>
    </row>
    <row r="92" spans="1:10" ht="24" customHeight="1">
      <c r="A92" s="417" t="s">
        <v>333</v>
      </c>
      <c r="B92" s="406">
        <v>45778</v>
      </c>
      <c r="C92" s="406">
        <v>46142</v>
      </c>
      <c r="D92" s="407" t="s">
        <v>17</v>
      </c>
      <c r="E92" s="407" t="s">
        <v>13</v>
      </c>
      <c r="F92" s="407" t="s">
        <v>323</v>
      </c>
      <c r="G92" s="408">
        <v>47.58</v>
      </c>
      <c r="H92" s="409">
        <v>594.83000000000004</v>
      </c>
      <c r="I92" s="407" t="s">
        <v>414</v>
      </c>
      <c r="J92" s="422"/>
    </row>
    <row r="93" spans="1:10" ht="24" customHeight="1">
      <c r="A93" s="417" t="s">
        <v>333</v>
      </c>
      <c r="B93" s="406">
        <v>45778</v>
      </c>
      <c r="C93" s="406">
        <v>46142</v>
      </c>
      <c r="D93" s="407" t="s">
        <v>17</v>
      </c>
      <c r="E93" s="407" t="s">
        <v>13</v>
      </c>
      <c r="F93" s="407" t="s">
        <v>323</v>
      </c>
      <c r="G93" s="408">
        <v>43.25</v>
      </c>
      <c r="H93" s="409">
        <v>540.75</v>
      </c>
      <c r="I93" s="407" t="s">
        <v>414</v>
      </c>
      <c r="J93" s="422"/>
    </row>
    <row r="94" spans="1:10" ht="24" customHeight="1">
      <c r="A94" s="417" t="s">
        <v>333</v>
      </c>
      <c r="B94" s="406">
        <v>45778</v>
      </c>
      <c r="C94" s="406">
        <v>46142</v>
      </c>
      <c r="D94" s="407" t="s">
        <v>17</v>
      </c>
      <c r="E94" s="407" t="s">
        <v>13</v>
      </c>
      <c r="F94" s="407" t="s">
        <v>323</v>
      </c>
      <c r="G94" s="408">
        <v>34.6</v>
      </c>
      <c r="H94" s="409">
        <v>432.6</v>
      </c>
      <c r="I94" s="407" t="s">
        <v>414</v>
      </c>
      <c r="J94" s="422"/>
    </row>
    <row r="95" spans="1:10" ht="24" customHeight="1" thickBot="1">
      <c r="A95" s="417" t="s">
        <v>333</v>
      </c>
      <c r="B95" s="406">
        <v>45778</v>
      </c>
      <c r="C95" s="406">
        <v>46142</v>
      </c>
      <c r="D95" s="407" t="s">
        <v>17</v>
      </c>
      <c r="E95" s="407" t="s">
        <v>13</v>
      </c>
      <c r="F95" s="407" t="s">
        <v>323</v>
      </c>
      <c r="G95" s="408">
        <v>32.01</v>
      </c>
      <c r="H95" s="409">
        <v>400.16</v>
      </c>
      <c r="I95" s="407" t="s">
        <v>414</v>
      </c>
      <c r="J95" s="422"/>
    </row>
    <row r="96" spans="1:10" ht="24" customHeight="1">
      <c r="A96" s="443" t="s">
        <v>333</v>
      </c>
      <c r="B96" s="434">
        <v>45778</v>
      </c>
      <c r="C96" s="434">
        <v>46142</v>
      </c>
      <c r="D96" s="435" t="s">
        <v>19</v>
      </c>
      <c r="E96" s="435" t="s">
        <v>13</v>
      </c>
      <c r="F96" s="435" t="s">
        <v>324</v>
      </c>
      <c r="G96" s="436">
        <v>173</v>
      </c>
      <c r="H96" s="437">
        <v>2225</v>
      </c>
      <c r="I96" s="435" t="s">
        <v>414</v>
      </c>
      <c r="J96" s="446"/>
    </row>
    <row r="97" spans="1:10" ht="24" customHeight="1">
      <c r="A97" s="417" t="s">
        <v>333</v>
      </c>
      <c r="B97" s="406">
        <v>45778</v>
      </c>
      <c r="C97" s="406">
        <v>46142</v>
      </c>
      <c r="D97" s="407" t="s">
        <v>19</v>
      </c>
      <c r="E97" s="407" t="s">
        <v>13</v>
      </c>
      <c r="F97" s="407" t="s">
        <v>324</v>
      </c>
      <c r="G97" s="408">
        <v>151.38</v>
      </c>
      <c r="H97" s="409">
        <v>1946.88</v>
      </c>
      <c r="I97" s="407" t="s">
        <v>414</v>
      </c>
      <c r="J97" s="422"/>
    </row>
    <row r="98" spans="1:10" ht="24" customHeight="1">
      <c r="A98" s="417" t="s">
        <v>333</v>
      </c>
      <c r="B98" s="406">
        <v>45778</v>
      </c>
      <c r="C98" s="406">
        <v>46142</v>
      </c>
      <c r="D98" s="407" t="s">
        <v>19</v>
      </c>
      <c r="E98" s="407" t="s">
        <v>13</v>
      </c>
      <c r="F98" s="407" t="s">
        <v>324</v>
      </c>
      <c r="G98" s="408">
        <v>138.4</v>
      </c>
      <c r="H98" s="409">
        <v>1780</v>
      </c>
      <c r="I98" s="407" t="s">
        <v>414</v>
      </c>
      <c r="J98" s="422"/>
    </row>
    <row r="99" spans="1:10" ht="24" customHeight="1">
      <c r="A99" s="417" t="s">
        <v>333</v>
      </c>
      <c r="B99" s="406">
        <v>45778</v>
      </c>
      <c r="C99" s="406">
        <v>46142</v>
      </c>
      <c r="D99" s="407" t="s">
        <v>19</v>
      </c>
      <c r="E99" s="407" t="s">
        <v>13</v>
      </c>
      <c r="F99" s="407" t="s">
        <v>324</v>
      </c>
      <c r="G99" s="408">
        <v>129.75</v>
      </c>
      <c r="H99" s="409">
        <v>1668.75</v>
      </c>
      <c r="I99" s="407" t="s">
        <v>414</v>
      </c>
      <c r="J99" s="422"/>
    </row>
    <row r="100" spans="1:10" ht="24" customHeight="1">
      <c r="A100" s="417" t="s">
        <v>333</v>
      </c>
      <c r="B100" s="406">
        <v>45778</v>
      </c>
      <c r="C100" s="406">
        <v>46142</v>
      </c>
      <c r="D100" s="407" t="s">
        <v>19</v>
      </c>
      <c r="E100" s="407" t="s">
        <v>13</v>
      </c>
      <c r="F100" s="407" t="s">
        <v>324</v>
      </c>
      <c r="G100" s="408">
        <v>108.13</v>
      </c>
      <c r="H100" s="409">
        <v>1390.63</v>
      </c>
      <c r="I100" s="407" t="s">
        <v>414</v>
      </c>
      <c r="J100" s="422"/>
    </row>
    <row r="101" spans="1:10" ht="24" customHeight="1">
      <c r="A101" s="417" t="s">
        <v>333</v>
      </c>
      <c r="B101" s="406">
        <v>45778</v>
      </c>
      <c r="C101" s="406">
        <v>46142</v>
      </c>
      <c r="D101" s="407" t="s">
        <v>19</v>
      </c>
      <c r="E101" s="407" t="s">
        <v>13</v>
      </c>
      <c r="F101" s="407" t="s">
        <v>324</v>
      </c>
      <c r="G101" s="408">
        <v>103.8</v>
      </c>
      <c r="H101" s="409">
        <v>1335</v>
      </c>
      <c r="I101" s="407" t="s">
        <v>414</v>
      </c>
      <c r="J101" s="422"/>
    </row>
    <row r="102" spans="1:10" ht="24" customHeight="1">
      <c r="A102" s="417" t="s">
        <v>333</v>
      </c>
      <c r="B102" s="406">
        <v>45778</v>
      </c>
      <c r="C102" s="406">
        <v>46142</v>
      </c>
      <c r="D102" s="407" t="s">
        <v>19</v>
      </c>
      <c r="E102" s="407" t="s">
        <v>13</v>
      </c>
      <c r="F102" s="407" t="s">
        <v>324</v>
      </c>
      <c r="G102" s="408">
        <v>86.5</v>
      </c>
      <c r="H102" s="409">
        <v>1112.5</v>
      </c>
      <c r="I102" s="407" t="s">
        <v>414</v>
      </c>
      <c r="J102" s="422"/>
    </row>
    <row r="103" spans="1:10" ht="24" customHeight="1">
      <c r="A103" s="417" t="s">
        <v>333</v>
      </c>
      <c r="B103" s="406">
        <v>45778</v>
      </c>
      <c r="C103" s="406">
        <v>46142</v>
      </c>
      <c r="D103" s="407" t="s">
        <v>19</v>
      </c>
      <c r="E103" s="407" t="s">
        <v>13</v>
      </c>
      <c r="F103" s="407" t="s">
        <v>324</v>
      </c>
      <c r="G103" s="408">
        <v>69.2</v>
      </c>
      <c r="H103" s="409">
        <v>890</v>
      </c>
      <c r="I103" s="407" t="s">
        <v>414</v>
      </c>
      <c r="J103" s="422"/>
    </row>
    <row r="104" spans="1:10" ht="24" customHeight="1">
      <c r="A104" s="417" t="s">
        <v>333</v>
      </c>
      <c r="B104" s="406">
        <v>45778</v>
      </c>
      <c r="C104" s="406">
        <v>46142</v>
      </c>
      <c r="D104" s="407" t="s">
        <v>19</v>
      </c>
      <c r="E104" s="407" t="s">
        <v>13</v>
      </c>
      <c r="F104" s="407" t="s">
        <v>324</v>
      </c>
      <c r="G104" s="408">
        <v>51.9</v>
      </c>
      <c r="H104" s="409">
        <v>667.5</v>
      </c>
      <c r="I104" s="407" t="s">
        <v>414</v>
      </c>
      <c r="J104" s="422"/>
    </row>
    <row r="105" spans="1:10" ht="24" customHeight="1">
      <c r="A105" s="417" t="s">
        <v>333</v>
      </c>
      <c r="B105" s="406">
        <v>45778</v>
      </c>
      <c r="C105" s="406">
        <v>46142</v>
      </c>
      <c r="D105" s="407" t="s">
        <v>19</v>
      </c>
      <c r="E105" s="407" t="s">
        <v>13</v>
      </c>
      <c r="F105" s="407" t="s">
        <v>324</v>
      </c>
      <c r="G105" s="408">
        <v>47.58</v>
      </c>
      <c r="H105" s="409">
        <v>611.88</v>
      </c>
      <c r="I105" s="407" t="s">
        <v>414</v>
      </c>
      <c r="J105" s="422"/>
    </row>
    <row r="106" spans="1:10" ht="24" customHeight="1">
      <c r="A106" s="417" t="s">
        <v>333</v>
      </c>
      <c r="B106" s="406">
        <v>45778</v>
      </c>
      <c r="C106" s="406">
        <v>46142</v>
      </c>
      <c r="D106" s="407" t="s">
        <v>19</v>
      </c>
      <c r="E106" s="407" t="s">
        <v>13</v>
      </c>
      <c r="F106" s="407" t="s">
        <v>324</v>
      </c>
      <c r="G106" s="408">
        <v>43.25</v>
      </c>
      <c r="H106" s="409">
        <v>556.25</v>
      </c>
      <c r="I106" s="407" t="s">
        <v>414</v>
      </c>
      <c r="J106" s="422"/>
    </row>
    <row r="107" spans="1:10" ht="24" customHeight="1">
      <c r="A107" s="417" t="s">
        <v>333</v>
      </c>
      <c r="B107" s="406">
        <v>45778</v>
      </c>
      <c r="C107" s="406">
        <v>46142</v>
      </c>
      <c r="D107" s="407" t="s">
        <v>19</v>
      </c>
      <c r="E107" s="407" t="s">
        <v>13</v>
      </c>
      <c r="F107" s="407" t="s">
        <v>324</v>
      </c>
      <c r="G107" s="408">
        <v>34.6</v>
      </c>
      <c r="H107" s="409">
        <v>445</v>
      </c>
      <c r="I107" s="407" t="s">
        <v>414</v>
      </c>
      <c r="J107" s="422"/>
    </row>
    <row r="108" spans="1:10" ht="24" customHeight="1" thickBot="1">
      <c r="A108" s="417" t="s">
        <v>333</v>
      </c>
      <c r="B108" s="406">
        <v>45778</v>
      </c>
      <c r="C108" s="406">
        <v>46142</v>
      </c>
      <c r="D108" s="407" t="s">
        <v>19</v>
      </c>
      <c r="E108" s="407" t="s">
        <v>13</v>
      </c>
      <c r="F108" s="407" t="s">
        <v>324</v>
      </c>
      <c r="G108" s="408">
        <v>32.01</v>
      </c>
      <c r="H108" s="409">
        <v>411.63</v>
      </c>
      <c r="I108" s="407" t="s">
        <v>414</v>
      </c>
      <c r="J108" s="422"/>
    </row>
    <row r="109" spans="1:10" ht="24" customHeight="1">
      <c r="A109" s="444" t="s">
        <v>333</v>
      </c>
      <c r="B109" s="438">
        <v>45778</v>
      </c>
      <c r="C109" s="438">
        <v>46142</v>
      </c>
      <c r="D109" s="439" t="s">
        <v>332</v>
      </c>
      <c r="E109" s="439" t="s">
        <v>21</v>
      </c>
      <c r="F109" s="439" t="s">
        <v>321</v>
      </c>
      <c r="G109" s="440">
        <v>173</v>
      </c>
      <c r="H109" s="441">
        <v>2300</v>
      </c>
      <c r="I109" s="439" t="s">
        <v>414</v>
      </c>
      <c r="J109" s="447"/>
    </row>
    <row r="110" spans="1:10" ht="24" customHeight="1">
      <c r="A110" s="418" t="s">
        <v>333</v>
      </c>
      <c r="B110" s="410">
        <v>45778</v>
      </c>
      <c r="C110" s="410">
        <v>46142</v>
      </c>
      <c r="D110" s="411" t="s">
        <v>332</v>
      </c>
      <c r="E110" s="411" t="s">
        <v>21</v>
      </c>
      <c r="F110" s="411" t="s">
        <v>321</v>
      </c>
      <c r="G110" s="412">
        <v>151.38</v>
      </c>
      <c r="H110" s="413">
        <v>2012.5</v>
      </c>
      <c r="I110" s="411" t="s">
        <v>414</v>
      </c>
      <c r="J110" s="423"/>
    </row>
    <row r="111" spans="1:10" ht="24" customHeight="1">
      <c r="A111" s="418" t="s">
        <v>333</v>
      </c>
      <c r="B111" s="410">
        <v>45778</v>
      </c>
      <c r="C111" s="410">
        <v>46142</v>
      </c>
      <c r="D111" s="411" t="s">
        <v>332</v>
      </c>
      <c r="E111" s="411" t="s">
        <v>21</v>
      </c>
      <c r="F111" s="411" t="s">
        <v>321</v>
      </c>
      <c r="G111" s="412">
        <v>138.4</v>
      </c>
      <c r="H111" s="413">
        <v>1840</v>
      </c>
      <c r="I111" s="411" t="s">
        <v>414</v>
      </c>
      <c r="J111" s="423"/>
    </row>
    <row r="112" spans="1:10" ht="24" customHeight="1">
      <c r="A112" s="418" t="s">
        <v>333</v>
      </c>
      <c r="B112" s="410">
        <v>45778</v>
      </c>
      <c r="C112" s="410">
        <v>46142</v>
      </c>
      <c r="D112" s="411" t="s">
        <v>332</v>
      </c>
      <c r="E112" s="411" t="s">
        <v>21</v>
      </c>
      <c r="F112" s="411" t="s">
        <v>321</v>
      </c>
      <c r="G112" s="412">
        <v>129.75</v>
      </c>
      <c r="H112" s="413">
        <v>1725</v>
      </c>
      <c r="I112" s="411" t="s">
        <v>414</v>
      </c>
      <c r="J112" s="423"/>
    </row>
    <row r="113" spans="1:10" ht="24" customHeight="1">
      <c r="A113" s="418" t="s">
        <v>333</v>
      </c>
      <c r="B113" s="410">
        <v>45778</v>
      </c>
      <c r="C113" s="410">
        <v>46142</v>
      </c>
      <c r="D113" s="411" t="s">
        <v>332</v>
      </c>
      <c r="E113" s="411" t="s">
        <v>21</v>
      </c>
      <c r="F113" s="411" t="s">
        <v>321</v>
      </c>
      <c r="G113" s="412">
        <v>108.13</v>
      </c>
      <c r="H113" s="413">
        <v>1437.5</v>
      </c>
      <c r="I113" s="411" t="s">
        <v>414</v>
      </c>
      <c r="J113" s="423"/>
    </row>
    <row r="114" spans="1:10" ht="24" customHeight="1">
      <c r="A114" s="418" t="s">
        <v>333</v>
      </c>
      <c r="B114" s="410">
        <v>45778</v>
      </c>
      <c r="C114" s="410">
        <v>46142</v>
      </c>
      <c r="D114" s="411" t="s">
        <v>332</v>
      </c>
      <c r="E114" s="411" t="s">
        <v>21</v>
      </c>
      <c r="F114" s="411" t="s">
        <v>321</v>
      </c>
      <c r="G114" s="412">
        <v>103.8</v>
      </c>
      <c r="H114" s="413">
        <v>1380</v>
      </c>
      <c r="I114" s="411" t="s">
        <v>414</v>
      </c>
      <c r="J114" s="423"/>
    </row>
    <row r="115" spans="1:10" ht="24" customHeight="1">
      <c r="A115" s="418" t="s">
        <v>333</v>
      </c>
      <c r="B115" s="410">
        <v>45778</v>
      </c>
      <c r="C115" s="410">
        <v>46142</v>
      </c>
      <c r="D115" s="411" t="s">
        <v>332</v>
      </c>
      <c r="E115" s="411" t="s">
        <v>21</v>
      </c>
      <c r="F115" s="411" t="s">
        <v>321</v>
      </c>
      <c r="G115" s="412">
        <v>86.5</v>
      </c>
      <c r="H115" s="413">
        <v>1150</v>
      </c>
      <c r="I115" s="411" t="s">
        <v>414</v>
      </c>
      <c r="J115" s="423"/>
    </row>
    <row r="116" spans="1:10" ht="24" customHeight="1">
      <c r="A116" s="418" t="s">
        <v>333</v>
      </c>
      <c r="B116" s="410">
        <v>45778</v>
      </c>
      <c r="C116" s="410">
        <v>46142</v>
      </c>
      <c r="D116" s="411" t="s">
        <v>332</v>
      </c>
      <c r="E116" s="411" t="s">
        <v>21</v>
      </c>
      <c r="F116" s="411" t="s">
        <v>321</v>
      </c>
      <c r="G116" s="412">
        <v>69.2</v>
      </c>
      <c r="H116" s="413">
        <v>920</v>
      </c>
      <c r="I116" s="411" t="s">
        <v>414</v>
      </c>
      <c r="J116" s="423"/>
    </row>
    <row r="117" spans="1:10" ht="24" customHeight="1">
      <c r="A117" s="418" t="s">
        <v>333</v>
      </c>
      <c r="B117" s="410">
        <v>45778</v>
      </c>
      <c r="C117" s="410">
        <v>46142</v>
      </c>
      <c r="D117" s="411" t="s">
        <v>332</v>
      </c>
      <c r="E117" s="411" t="s">
        <v>21</v>
      </c>
      <c r="F117" s="411" t="s">
        <v>321</v>
      </c>
      <c r="G117" s="412">
        <v>51.9</v>
      </c>
      <c r="H117" s="413">
        <v>690</v>
      </c>
      <c r="I117" s="411" t="s">
        <v>414</v>
      </c>
      <c r="J117" s="423"/>
    </row>
    <row r="118" spans="1:10" ht="24" customHeight="1">
      <c r="A118" s="418" t="s">
        <v>333</v>
      </c>
      <c r="B118" s="410">
        <v>45778</v>
      </c>
      <c r="C118" s="410">
        <v>46142</v>
      </c>
      <c r="D118" s="411" t="s">
        <v>332</v>
      </c>
      <c r="E118" s="411" t="s">
        <v>21</v>
      </c>
      <c r="F118" s="411" t="s">
        <v>321</v>
      </c>
      <c r="G118" s="412">
        <v>47.58</v>
      </c>
      <c r="H118" s="413">
        <v>632.5</v>
      </c>
      <c r="I118" s="411" t="s">
        <v>414</v>
      </c>
      <c r="J118" s="423"/>
    </row>
    <row r="119" spans="1:10" ht="24" customHeight="1">
      <c r="A119" s="418" t="s">
        <v>333</v>
      </c>
      <c r="B119" s="410">
        <v>45778</v>
      </c>
      <c r="C119" s="410">
        <v>46142</v>
      </c>
      <c r="D119" s="411" t="s">
        <v>332</v>
      </c>
      <c r="E119" s="411" t="s">
        <v>21</v>
      </c>
      <c r="F119" s="411" t="s">
        <v>321</v>
      </c>
      <c r="G119" s="412">
        <v>43.25</v>
      </c>
      <c r="H119" s="413">
        <v>575</v>
      </c>
      <c r="I119" s="411" t="s">
        <v>414</v>
      </c>
      <c r="J119" s="423"/>
    </row>
    <row r="120" spans="1:10" ht="24" customHeight="1">
      <c r="A120" s="418" t="s">
        <v>333</v>
      </c>
      <c r="B120" s="410">
        <v>45778</v>
      </c>
      <c r="C120" s="410">
        <v>46142</v>
      </c>
      <c r="D120" s="411" t="s">
        <v>332</v>
      </c>
      <c r="E120" s="411" t="s">
        <v>21</v>
      </c>
      <c r="F120" s="411" t="s">
        <v>321</v>
      </c>
      <c r="G120" s="412">
        <v>34.6</v>
      </c>
      <c r="H120" s="413">
        <v>460</v>
      </c>
      <c r="I120" s="411" t="s">
        <v>414</v>
      </c>
      <c r="J120" s="423"/>
    </row>
    <row r="121" spans="1:10" ht="24" customHeight="1" thickBot="1">
      <c r="A121" s="418" t="s">
        <v>333</v>
      </c>
      <c r="B121" s="410">
        <v>45778</v>
      </c>
      <c r="C121" s="410">
        <v>46142</v>
      </c>
      <c r="D121" s="411" t="s">
        <v>332</v>
      </c>
      <c r="E121" s="411" t="s">
        <v>21</v>
      </c>
      <c r="F121" s="411" t="s">
        <v>321</v>
      </c>
      <c r="G121" s="412">
        <v>32.01</v>
      </c>
      <c r="H121" s="413">
        <v>425.5</v>
      </c>
      <c r="I121" s="411" t="s">
        <v>414</v>
      </c>
      <c r="J121" s="423"/>
    </row>
    <row r="122" spans="1:10" ht="24" customHeight="1">
      <c r="A122" s="444" t="s">
        <v>333</v>
      </c>
      <c r="B122" s="438">
        <v>45778</v>
      </c>
      <c r="C122" s="438">
        <v>46142</v>
      </c>
      <c r="D122" s="439" t="s">
        <v>22</v>
      </c>
      <c r="E122" s="439" t="s">
        <v>21</v>
      </c>
      <c r="F122" s="439" t="s">
        <v>322</v>
      </c>
      <c r="G122" s="440">
        <v>173</v>
      </c>
      <c r="H122" s="441">
        <v>2300</v>
      </c>
      <c r="I122" s="439" t="s">
        <v>414</v>
      </c>
      <c r="J122" s="447"/>
    </row>
    <row r="123" spans="1:10" ht="24" customHeight="1">
      <c r="A123" s="418" t="s">
        <v>333</v>
      </c>
      <c r="B123" s="410">
        <v>45778</v>
      </c>
      <c r="C123" s="410">
        <v>46142</v>
      </c>
      <c r="D123" s="411" t="s">
        <v>22</v>
      </c>
      <c r="E123" s="411" t="s">
        <v>21</v>
      </c>
      <c r="F123" s="411" t="s">
        <v>322</v>
      </c>
      <c r="G123" s="412">
        <v>151.38</v>
      </c>
      <c r="H123" s="413">
        <v>2012.5</v>
      </c>
      <c r="I123" s="411" t="s">
        <v>414</v>
      </c>
      <c r="J123" s="423"/>
    </row>
    <row r="124" spans="1:10" ht="24" customHeight="1">
      <c r="A124" s="418" t="s">
        <v>333</v>
      </c>
      <c r="B124" s="410">
        <v>45778</v>
      </c>
      <c r="C124" s="410">
        <v>46142</v>
      </c>
      <c r="D124" s="411" t="s">
        <v>22</v>
      </c>
      <c r="E124" s="411" t="s">
        <v>21</v>
      </c>
      <c r="F124" s="411" t="s">
        <v>322</v>
      </c>
      <c r="G124" s="412">
        <v>138.4</v>
      </c>
      <c r="H124" s="413">
        <v>1840</v>
      </c>
      <c r="I124" s="411" t="s">
        <v>414</v>
      </c>
      <c r="J124" s="423"/>
    </row>
    <row r="125" spans="1:10" ht="24" customHeight="1">
      <c r="A125" s="418" t="s">
        <v>333</v>
      </c>
      <c r="B125" s="410">
        <v>45778</v>
      </c>
      <c r="C125" s="410">
        <v>46142</v>
      </c>
      <c r="D125" s="411" t="s">
        <v>22</v>
      </c>
      <c r="E125" s="411" t="s">
        <v>21</v>
      </c>
      <c r="F125" s="411" t="s">
        <v>322</v>
      </c>
      <c r="G125" s="412">
        <v>129.75</v>
      </c>
      <c r="H125" s="413">
        <v>1725</v>
      </c>
      <c r="I125" s="411" t="s">
        <v>414</v>
      </c>
      <c r="J125" s="423"/>
    </row>
    <row r="126" spans="1:10" ht="24" customHeight="1">
      <c r="A126" s="418" t="s">
        <v>333</v>
      </c>
      <c r="B126" s="410">
        <v>45778</v>
      </c>
      <c r="C126" s="410">
        <v>46142</v>
      </c>
      <c r="D126" s="411" t="s">
        <v>22</v>
      </c>
      <c r="E126" s="411" t="s">
        <v>21</v>
      </c>
      <c r="F126" s="411" t="s">
        <v>322</v>
      </c>
      <c r="G126" s="412">
        <v>108.13</v>
      </c>
      <c r="H126" s="413">
        <v>1437.5</v>
      </c>
      <c r="I126" s="411" t="s">
        <v>414</v>
      </c>
      <c r="J126" s="423"/>
    </row>
    <row r="127" spans="1:10" ht="24" customHeight="1">
      <c r="A127" s="418" t="s">
        <v>333</v>
      </c>
      <c r="B127" s="410">
        <v>45778</v>
      </c>
      <c r="C127" s="410">
        <v>46142</v>
      </c>
      <c r="D127" s="411" t="s">
        <v>22</v>
      </c>
      <c r="E127" s="411" t="s">
        <v>21</v>
      </c>
      <c r="F127" s="411" t="s">
        <v>322</v>
      </c>
      <c r="G127" s="412">
        <v>103.8</v>
      </c>
      <c r="H127" s="413">
        <v>1380</v>
      </c>
      <c r="I127" s="411" t="s">
        <v>414</v>
      </c>
      <c r="J127" s="423"/>
    </row>
    <row r="128" spans="1:10" ht="24" customHeight="1">
      <c r="A128" s="418" t="s">
        <v>333</v>
      </c>
      <c r="B128" s="410">
        <v>45778</v>
      </c>
      <c r="C128" s="410">
        <v>46142</v>
      </c>
      <c r="D128" s="411" t="s">
        <v>22</v>
      </c>
      <c r="E128" s="411" t="s">
        <v>21</v>
      </c>
      <c r="F128" s="411" t="s">
        <v>322</v>
      </c>
      <c r="G128" s="412">
        <v>86.5</v>
      </c>
      <c r="H128" s="413">
        <v>1150</v>
      </c>
      <c r="I128" s="411" t="s">
        <v>414</v>
      </c>
      <c r="J128" s="423"/>
    </row>
    <row r="129" spans="1:10" ht="24" customHeight="1">
      <c r="A129" s="418" t="s">
        <v>333</v>
      </c>
      <c r="B129" s="410">
        <v>45778</v>
      </c>
      <c r="C129" s="410">
        <v>46142</v>
      </c>
      <c r="D129" s="411" t="s">
        <v>22</v>
      </c>
      <c r="E129" s="411" t="s">
        <v>21</v>
      </c>
      <c r="F129" s="411" t="s">
        <v>322</v>
      </c>
      <c r="G129" s="412">
        <v>69.2</v>
      </c>
      <c r="H129" s="413">
        <v>920</v>
      </c>
      <c r="I129" s="411" t="s">
        <v>414</v>
      </c>
      <c r="J129" s="423"/>
    </row>
    <row r="130" spans="1:10" ht="24" customHeight="1">
      <c r="A130" s="418" t="s">
        <v>333</v>
      </c>
      <c r="B130" s="410">
        <v>45778</v>
      </c>
      <c r="C130" s="410">
        <v>46142</v>
      </c>
      <c r="D130" s="411" t="s">
        <v>22</v>
      </c>
      <c r="E130" s="411" t="s">
        <v>21</v>
      </c>
      <c r="F130" s="411" t="s">
        <v>322</v>
      </c>
      <c r="G130" s="412">
        <v>51.9</v>
      </c>
      <c r="H130" s="413">
        <v>690</v>
      </c>
      <c r="I130" s="411" t="s">
        <v>414</v>
      </c>
      <c r="J130" s="423"/>
    </row>
    <row r="131" spans="1:10" ht="24" customHeight="1">
      <c r="A131" s="418" t="s">
        <v>333</v>
      </c>
      <c r="B131" s="410">
        <v>45778</v>
      </c>
      <c r="C131" s="410">
        <v>46142</v>
      </c>
      <c r="D131" s="411" t="s">
        <v>22</v>
      </c>
      <c r="E131" s="411" t="s">
        <v>21</v>
      </c>
      <c r="F131" s="411" t="s">
        <v>322</v>
      </c>
      <c r="G131" s="412">
        <v>47.58</v>
      </c>
      <c r="H131" s="413">
        <v>632.5</v>
      </c>
      <c r="I131" s="411" t="s">
        <v>414</v>
      </c>
      <c r="J131" s="423"/>
    </row>
    <row r="132" spans="1:10" ht="24" customHeight="1">
      <c r="A132" s="418" t="s">
        <v>333</v>
      </c>
      <c r="B132" s="410">
        <v>45778</v>
      </c>
      <c r="C132" s="410">
        <v>46142</v>
      </c>
      <c r="D132" s="411" t="s">
        <v>22</v>
      </c>
      <c r="E132" s="411" t="s">
        <v>21</v>
      </c>
      <c r="F132" s="411" t="s">
        <v>322</v>
      </c>
      <c r="G132" s="412">
        <v>43.25</v>
      </c>
      <c r="H132" s="413">
        <v>575</v>
      </c>
      <c r="I132" s="411" t="s">
        <v>414</v>
      </c>
      <c r="J132" s="423"/>
    </row>
    <row r="133" spans="1:10" ht="24" customHeight="1">
      <c r="A133" s="418" t="s">
        <v>333</v>
      </c>
      <c r="B133" s="410">
        <v>45778</v>
      </c>
      <c r="C133" s="410">
        <v>46142</v>
      </c>
      <c r="D133" s="411" t="s">
        <v>22</v>
      </c>
      <c r="E133" s="411" t="s">
        <v>21</v>
      </c>
      <c r="F133" s="411" t="s">
        <v>322</v>
      </c>
      <c r="G133" s="412">
        <v>34.6</v>
      </c>
      <c r="H133" s="413">
        <v>460</v>
      </c>
      <c r="I133" s="411" t="s">
        <v>414</v>
      </c>
      <c r="J133" s="423"/>
    </row>
    <row r="134" spans="1:10" ht="24" customHeight="1" thickBot="1">
      <c r="A134" s="418" t="s">
        <v>333</v>
      </c>
      <c r="B134" s="410">
        <v>45778</v>
      </c>
      <c r="C134" s="410">
        <v>46142</v>
      </c>
      <c r="D134" s="411" t="s">
        <v>22</v>
      </c>
      <c r="E134" s="411" t="s">
        <v>21</v>
      </c>
      <c r="F134" s="411" t="s">
        <v>322</v>
      </c>
      <c r="G134" s="412">
        <v>32.01</v>
      </c>
      <c r="H134" s="413">
        <v>425.5</v>
      </c>
      <c r="I134" s="411" t="s">
        <v>414</v>
      </c>
      <c r="J134" s="423"/>
    </row>
    <row r="135" spans="1:10" ht="24" customHeight="1">
      <c r="A135" s="444" t="s">
        <v>333</v>
      </c>
      <c r="B135" s="438">
        <v>45778</v>
      </c>
      <c r="C135" s="438">
        <v>46142</v>
      </c>
      <c r="D135" s="439" t="s">
        <v>23</v>
      </c>
      <c r="E135" s="439" t="s">
        <v>21</v>
      </c>
      <c r="F135" s="439" t="s">
        <v>323</v>
      </c>
      <c r="G135" s="440">
        <v>173</v>
      </c>
      <c r="H135" s="441">
        <v>2300</v>
      </c>
      <c r="I135" s="439" t="s">
        <v>414</v>
      </c>
      <c r="J135" s="447"/>
    </row>
    <row r="136" spans="1:10" ht="24" customHeight="1">
      <c r="A136" s="418" t="s">
        <v>333</v>
      </c>
      <c r="B136" s="410">
        <v>45778</v>
      </c>
      <c r="C136" s="410">
        <v>46142</v>
      </c>
      <c r="D136" s="411" t="s">
        <v>23</v>
      </c>
      <c r="E136" s="411" t="s">
        <v>21</v>
      </c>
      <c r="F136" s="411" t="s">
        <v>323</v>
      </c>
      <c r="G136" s="412">
        <v>151.38</v>
      </c>
      <c r="H136" s="413">
        <v>2012.5</v>
      </c>
      <c r="I136" s="411" t="s">
        <v>414</v>
      </c>
      <c r="J136" s="423"/>
    </row>
    <row r="137" spans="1:10" ht="24" customHeight="1">
      <c r="A137" s="418" t="s">
        <v>333</v>
      </c>
      <c r="B137" s="410">
        <v>45778</v>
      </c>
      <c r="C137" s="410">
        <v>46142</v>
      </c>
      <c r="D137" s="411" t="s">
        <v>23</v>
      </c>
      <c r="E137" s="411" t="s">
        <v>21</v>
      </c>
      <c r="F137" s="411" t="s">
        <v>323</v>
      </c>
      <c r="G137" s="412">
        <v>138.4</v>
      </c>
      <c r="H137" s="413">
        <v>1840</v>
      </c>
      <c r="I137" s="411" t="s">
        <v>414</v>
      </c>
      <c r="J137" s="423"/>
    </row>
    <row r="138" spans="1:10" ht="24" customHeight="1">
      <c r="A138" s="418" t="s">
        <v>333</v>
      </c>
      <c r="B138" s="410">
        <v>45778</v>
      </c>
      <c r="C138" s="410">
        <v>46142</v>
      </c>
      <c r="D138" s="411" t="s">
        <v>23</v>
      </c>
      <c r="E138" s="411" t="s">
        <v>21</v>
      </c>
      <c r="F138" s="411" t="s">
        <v>323</v>
      </c>
      <c r="G138" s="412">
        <v>129.75</v>
      </c>
      <c r="H138" s="413">
        <v>1725</v>
      </c>
      <c r="I138" s="411" t="s">
        <v>414</v>
      </c>
      <c r="J138" s="423"/>
    </row>
    <row r="139" spans="1:10" ht="24" customHeight="1">
      <c r="A139" s="418" t="s">
        <v>333</v>
      </c>
      <c r="B139" s="410">
        <v>45778</v>
      </c>
      <c r="C139" s="410">
        <v>46142</v>
      </c>
      <c r="D139" s="411" t="s">
        <v>23</v>
      </c>
      <c r="E139" s="411" t="s">
        <v>21</v>
      </c>
      <c r="F139" s="411" t="s">
        <v>323</v>
      </c>
      <c r="G139" s="412">
        <v>108.13</v>
      </c>
      <c r="H139" s="413">
        <v>1437.5</v>
      </c>
      <c r="I139" s="411" t="s">
        <v>414</v>
      </c>
      <c r="J139" s="423"/>
    </row>
    <row r="140" spans="1:10" ht="24" customHeight="1">
      <c r="A140" s="418" t="s">
        <v>333</v>
      </c>
      <c r="B140" s="410">
        <v>45778</v>
      </c>
      <c r="C140" s="410">
        <v>46142</v>
      </c>
      <c r="D140" s="411" t="s">
        <v>23</v>
      </c>
      <c r="E140" s="411" t="s">
        <v>21</v>
      </c>
      <c r="F140" s="411" t="s">
        <v>323</v>
      </c>
      <c r="G140" s="412">
        <v>103.8</v>
      </c>
      <c r="H140" s="413">
        <v>1380</v>
      </c>
      <c r="I140" s="411" t="s">
        <v>414</v>
      </c>
      <c r="J140" s="423"/>
    </row>
    <row r="141" spans="1:10" ht="24" customHeight="1">
      <c r="A141" s="418" t="s">
        <v>333</v>
      </c>
      <c r="B141" s="410">
        <v>45778</v>
      </c>
      <c r="C141" s="410">
        <v>46142</v>
      </c>
      <c r="D141" s="411" t="s">
        <v>23</v>
      </c>
      <c r="E141" s="411" t="s">
        <v>21</v>
      </c>
      <c r="F141" s="411" t="s">
        <v>323</v>
      </c>
      <c r="G141" s="412">
        <v>86.5</v>
      </c>
      <c r="H141" s="413">
        <v>1150</v>
      </c>
      <c r="I141" s="411" t="s">
        <v>414</v>
      </c>
      <c r="J141" s="423"/>
    </row>
    <row r="142" spans="1:10" ht="24" customHeight="1">
      <c r="A142" s="418" t="s">
        <v>333</v>
      </c>
      <c r="B142" s="410">
        <v>45778</v>
      </c>
      <c r="C142" s="410">
        <v>46142</v>
      </c>
      <c r="D142" s="411" t="s">
        <v>23</v>
      </c>
      <c r="E142" s="411" t="s">
        <v>21</v>
      </c>
      <c r="F142" s="411" t="s">
        <v>323</v>
      </c>
      <c r="G142" s="412">
        <v>69.2</v>
      </c>
      <c r="H142" s="413">
        <v>920</v>
      </c>
      <c r="I142" s="411" t="s">
        <v>414</v>
      </c>
      <c r="J142" s="423"/>
    </row>
    <row r="143" spans="1:10" ht="24" customHeight="1">
      <c r="A143" s="418" t="s">
        <v>333</v>
      </c>
      <c r="B143" s="410">
        <v>45778</v>
      </c>
      <c r="C143" s="410">
        <v>46142</v>
      </c>
      <c r="D143" s="411" t="s">
        <v>23</v>
      </c>
      <c r="E143" s="411" t="s">
        <v>21</v>
      </c>
      <c r="F143" s="411" t="s">
        <v>323</v>
      </c>
      <c r="G143" s="412">
        <v>51.9</v>
      </c>
      <c r="H143" s="413">
        <v>690</v>
      </c>
      <c r="I143" s="411" t="s">
        <v>414</v>
      </c>
      <c r="J143" s="423"/>
    </row>
    <row r="144" spans="1:10" ht="24" customHeight="1">
      <c r="A144" s="418" t="s">
        <v>333</v>
      </c>
      <c r="B144" s="410">
        <v>45778</v>
      </c>
      <c r="C144" s="410">
        <v>46142</v>
      </c>
      <c r="D144" s="411" t="s">
        <v>23</v>
      </c>
      <c r="E144" s="411" t="s">
        <v>21</v>
      </c>
      <c r="F144" s="411" t="s">
        <v>323</v>
      </c>
      <c r="G144" s="412">
        <v>47.58</v>
      </c>
      <c r="H144" s="413">
        <v>632.5</v>
      </c>
      <c r="I144" s="411" t="s">
        <v>414</v>
      </c>
      <c r="J144" s="423"/>
    </row>
    <row r="145" spans="1:10" ht="24" customHeight="1">
      <c r="A145" s="418" t="s">
        <v>333</v>
      </c>
      <c r="B145" s="410">
        <v>45778</v>
      </c>
      <c r="C145" s="410">
        <v>46142</v>
      </c>
      <c r="D145" s="411" t="s">
        <v>23</v>
      </c>
      <c r="E145" s="411" t="s">
        <v>21</v>
      </c>
      <c r="F145" s="411" t="s">
        <v>323</v>
      </c>
      <c r="G145" s="412">
        <v>43.25</v>
      </c>
      <c r="H145" s="413">
        <v>575</v>
      </c>
      <c r="I145" s="411" t="s">
        <v>414</v>
      </c>
      <c r="J145" s="423"/>
    </row>
    <row r="146" spans="1:10" ht="24" customHeight="1">
      <c r="A146" s="418" t="s">
        <v>333</v>
      </c>
      <c r="B146" s="410">
        <v>45778</v>
      </c>
      <c r="C146" s="410">
        <v>46142</v>
      </c>
      <c r="D146" s="411" t="s">
        <v>23</v>
      </c>
      <c r="E146" s="411" t="s">
        <v>21</v>
      </c>
      <c r="F146" s="411" t="s">
        <v>323</v>
      </c>
      <c r="G146" s="412">
        <v>34.6</v>
      </c>
      <c r="H146" s="413">
        <v>460</v>
      </c>
      <c r="I146" s="411" t="s">
        <v>414</v>
      </c>
      <c r="J146" s="423"/>
    </row>
    <row r="147" spans="1:10" ht="24" customHeight="1" thickBot="1">
      <c r="A147" s="418" t="s">
        <v>333</v>
      </c>
      <c r="B147" s="410">
        <v>45778</v>
      </c>
      <c r="C147" s="410">
        <v>46142</v>
      </c>
      <c r="D147" s="411" t="s">
        <v>23</v>
      </c>
      <c r="E147" s="411" t="s">
        <v>21</v>
      </c>
      <c r="F147" s="411" t="s">
        <v>323</v>
      </c>
      <c r="G147" s="412">
        <v>32.01</v>
      </c>
      <c r="H147" s="413">
        <v>425.5</v>
      </c>
      <c r="I147" s="411" t="s">
        <v>414</v>
      </c>
      <c r="J147" s="423"/>
    </row>
    <row r="148" spans="1:10" ht="24" customHeight="1">
      <c r="A148" s="444" t="s">
        <v>333</v>
      </c>
      <c r="B148" s="438">
        <v>45778</v>
      </c>
      <c r="C148" s="438">
        <v>46142</v>
      </c>
      <c r="D148" s="439" t="s">
        <v>24</v>
      </c>
      <c r="E148" s="439" t="s">
        <v>21</v>
      </c>
      <c r="F148" s="439" t="s">
        <v>324</v>
      </c>
      <c r="G148" s="440">
        <v>173</v>
      </c>
      <c r="H148" s="441">
        <v>2328</v>
      </c>
      <c r="I148" s="439" t="s">
        <v>414</v>
      </c>
      <c r="J148" s="447"/>
    </row>
    <row r="149" spans="1:10" ht="24" customHeight="1">
      <c r="A149" s="418" t="s">
        <v>333</v>
      </c>
      <c r="B149" s="410">
        <v>45778</v>
      </c>
      <c r="C149" s="410">
        <v>46142</v>
      </c>
      <c r="D149" s="411" t="s">
        <v>24</v>
      </c>
      <c r="E149" s="411" t="s">
        <v>21</v>
      </c>
      <c r="F149" s="411" t="s">
        <v>324</v>
      </c>
      <c r="G149" s="412">
        <v>151.38</v>
      </c>
      <c r="H149" s="413">
        <v>2037</v>
      </c>
      <c r="I149" s="411" t="s">
        <v>414</v>
      </c>
      <c r="J149" s="423"/>
    </row>
    <row r="150" spans="1:10" ht="24" customHeight="1">
      <c r="A150" s="418" t="s">
        <v>333</v>
      </c>
      <c r="B150" s="410">
        <v>45778</v>
      </c>
      <c r="C150" s="410">
        <v>46142</v>
      </c>
      <c r="D150" s="411" t="s">
        <v>24</v>
      </c>
      <c r="E150" s="411" t="s">
        <v>21</v>
      </c>
      <c r="F150" s="411" t="s">
        <v>324</v>
      </c>
      <c r="G150" s="412">
        <v>138.4</v>
      </c>
      <c r="H150" s="413">
        <v>1862.4</v>
      </c>
      <c r="I150" s="411" t="s">
        <v>414</v>
      </c>
      <c r="J150" s="423"/>
    </row>
    <row r="151" spans="1:10" ht="24" customHeight="1">
      <c r="A151" s="418" t="s">
        <v>333</v>
      </c>
      <c r="B151" s="410">
        <v>45778</v>
      </c>
      <c r="C151" s="410">
        <v>46142</v>
      </c>
      <c r="D151" s="411" t="s">
        <v>24</v>
      </c>
      <c r="E151" s="411" t="s">
        <v>21</v>
      </c>
      <c r="F151" s="411" t="s">
        <v>324</v>
      </c>
      <c r="G151" s="412">
        <v>129.75</v>
      </c>
      <c r="H151" s="413">
        <v>1476</v>
      </c>
      <c r="I151" s="411" t="s">
        <v>414</v>
      </c>
      <c r="J151" s="423"/>
    </row>
    <row r="152" spans="1:10" ht="24" customHeight="1">
      <c r="A152" s="418" t="s">
        <v>333</v>
      </c>
      <c r="B152" s="410">
        <v>45778</v>
      </c>
      <c r="C152" s="410">
        <v>46142</v>
      </c>
      <c r="D152" s="411" t="s">
        <v>24</v>
      </c>
      <c r="E152" s="411" t="s">
        <v>21</v>
      </c>
      <c r="F152" s="411" t="s">
        <v>324</v>
      </c>
      <c r="G152" s="412">
        <v>108.13</v>
      </c>
      <c r="H152" s="413">
        <v>1455</v>
      </c>
      <c r="I152" s="411" t="s">
        <v>414</v>
      </c>
      <c r="J152" s="423"/>
    </row>
    <row r="153" spans="1:10" ht="24" customHeight="1">
      <c r="A153" s="418" t="s">
        <v>333</v>
      </c>
      <c r="B153" s="410">
        <v>45778</v>
      </c>
      <c r="C153" s="410">
        <v>46142</v>
      </c>
      <c r="D153" s="411" t="s">
        <v>24</v>
      </c>
      <c r="E153" s="411" t="s">
        <v>21</v>
      </c>
      <c r="F153" s="411" t="s">
        <v>324</v>
      </c>
      <c r="G153" s="412">
        <v>103.8</v>
      </c>
      <c r="H153" s="413">
        <v>1396.8</v>
      </c>
      <c r="I153" s="411" t="s">
        <v>414</v>
      </c>
      <c r="J153" s="423"/>
    </row>
    <row r="154" spans="1:10" ht="24" customHeight="1">
      <c r="A154" s="418" t="s">
        <v>333</v>
      </c>
      <c r="B154" s="410">
        <v>45778</v>
      </c>
      <c r="C154" s="410">
        <v>46142</v>
      </c>
      <c r="D154" s="411" t="s">
        <v>24</v>
      </c>
      <c r="E154" s="411" t="s">
        <v>21</v>
      </c>
      <c r="F154" s="411" t="s">
        <v>324</v>
      </c>
      <c r="G154" s="412">
        <v>86.5</v>
      </c>
      <c r="H154" s="413">
        <v>1164</v>
      </c>
      <c r="I154" s="411" t="s">
        <v>414</v>
      </c>
      <c r="J154" s="423"/>
    </row>
    <row r="155" spans="1:10" ht="24" customHeight="1">
      <c r="A155" s="418" t="s">
        <v>333</v>
      </c>
      <c r="B155" s="410">
        <v>45778</v>
      </c>
      <c r="C155" s="410">
        <v>46142</v>
      </c>
      <c r="D155" s="411" t="s">
        <v>24</v>
      </c>
      <c r="E155" s="411" t="s">
        <v>21</v>
      </c>
      <c r="F155" s="411" t="s">
        <v>324</v>
      </c>
      <c r="G155" s="412">
        <v>69.2</v>
      </c>
      <c r="H155" s="413">
        <v>931.2</v>
      </c>
      <c r="I155" s="411" t="s">
        <v>414</v>
      </c>
      <c r="J155" s="423"/>
    </row>
    <row r="156" spans="1:10" ht="24" customHeight="1">
      <c r="A156" s="418" t="s">
        <v>333</v>
      </c>
      <c r="B156" s="410">
        <v>45778</v>
      </c>
      <c r="C156" s="410">
        <v>46142</v>
      </c>
      <c r="D156" s="411" t="s">
        <v>24</v>
      </c>
      <c r="E156" s="411" t="s">
        <v>21</v>
      </c>
      <c r="F156" s="411" t="s">
        <v>324</v>
      </c>
      <c r="G156" s="412">
        <v>51.9</v>
      </c>
      <c r="H156" s="413">
        <v>698.4</v>
      </c>
      <c r="I156" s="411" t="s">
        <v>414</v>
      </c>
      <c r="J156" s="423"/>
    </row>
    <row r="157" spans="1:10" ht="24" customHeight="1">
      <c r="A157" s="418" t="s">
        <v>333</v>
      </c>
      <c r="B157" s="410">
        <v>45778</v>
      </c>
      <c r="C157" s="410">
        <v>46142</v>
      </c>
      <c r="D157" s="411" t="s">
        <v>24</v>
      </c>
      <c r="E157" s="411" t="s">
        <v>21</v>
      </c>
      <c r="F157" s="411" t="s">
        <v>324</v>
      </c>
      <c r="G157" s="412">
        <v>47.58</v>
      </c>
      <c r="H157" s="413">
        <v>640</v>
      </c>
      <c r="I157" s="411" t="s">
        <v>414</v>
      </c>
      <c r="J157" s="423"/>
    </row>
    <row r="158" spans="1:10" ht="24" customHeight="1">
      <c r="A158" s="418" t="s">
        <v>333</v>
      </c>
      <c r="B158" s="410">
        <v>45778</v>
      </c>
      <c r="C158" s="410">
        <v>46142</v>
      </c>
      <c r="D158" s="411" t="s">
        <v>24</v>
      </c>
      <c r="E158" s="411" t="s">
        <v>21</v>
      </c>
      <c r="F158" s="411" t="s">
        <v>324</v>
      </c>
      <c r="G158" s="412">
        <v>43.25</v>
      </c>
      <c r="H158" s="413">
        <v>582</v>
      </c>
      <c r="I158" s="411" t="s">
        <v>414</v>
      </c>
      <c r="J158" s="423"/>
    </row>
    <row r="159" spans="1:10" ht="24" customHeight="1">
      <c r="A159" s="418" t="s">
        <v>333</v>
      </c>
      <c r="B159" s="410">
        <v>45778</v>
      </c>
      <c r="C159" s="410">
        <v>46142</v>
      </c>
      <c r="D159" s="411" t="s">
        <v>24</v>
      </c>
      <c r="E159" s="411" t="s">
        <v>21</v>
      </c>
      <c r="F159" s="411" t="s">
        <v>324</v>
      </c>
      <c r="G159" s="412">
        <v>34.6</v>
      </c>
      <c r="H159" s="413">
        <v>465.6</v>
      </c>
      <c r="I159" s="411" t="s">
        <v>414</v>
      </c>
      <c r="J159" s="423"/>
    </row>
    <row r="160" spans="1:10" ht="24" customHeight="1" thickBot="1">
      <c r="A160" s="424" t="s">
        <v>333</v>
      </c>
      <c r="B160" s="425">
        <v>45778</v>
      </c>
      <c r="C160" s="425">
        <v>46142</v>
      </c>
      <c r="D160" s="426" t="s">
        <v>24</v>
      </c>
      <c r="E160" s="426" t="s">
        <v>21</v>
      </c>
      <c r="F160" s="426" t="s">
        <v>324</v>
      </c>
      <c r="G160" s="427">
        <v>32.01</v>
      </c>
      <c r="H160" s="428">
        <v>430.68</v>
      </c>
      <c r="I160" s="426" t="s">
        <v>414</v>
      </c>
      <c r="J160" s="429"/>
    </row>
    <row r="161" customFormat="1" ht="24" customHeight="1"/>
    <row r="162" customFormat="1" ht="24" customHeight="1"/>
    <row r="163" customFormat="1" ht="24" customHeight="1"/>
    <row r="164" customFormat="1" ht="24" customHeight="1"/>
    <row r="165" customFormat="1" ht="24" customHeight="1"/>
    <row r="166" customFormat="1" ht="24" customHeight="1"/>
    <row r="167" customFormat="1" ht="24" customHeight="1"/>
    <row r="168" customFormat="1" ht="24" customHeight="1"/>
    <row r="169" customFormat="1" ht="24" customHeight="1"/>
    <row r="170" customFormat="1" ht="24" customHeight="1"/>
    <row r="171" customFormat="1" ht="24" customHeight="1"/>
    <row r="172" customFormat="1" ht="24" customHeight="1"/>
    <row r="173" customFormat="1" ht="24" customHeight="1"/>
    <row r="174" customFormat="1" ht="24" customHeight="1"/>
    <row r="175" customFormat="1" ht="24" customHeight="1"/>
    <row r="176" customFormat="1" ht="24" customHeight="1"/>
    <row r="177" customFormat="1" ht="24" customHeight="1"/>
    <row r="178" customFormat="1" ht="24" customHeight="1"/>
    <row r="179" customFormat="1" ht="24" customHeight="1"/>
    <row r="180" customFormat="1" ht="24" customHeight="1"/>
    <row r="181" customFormat="1" ht="24" customHeight="1"/>
    <row r="182" customFormat="1" ht="24" customHeight="1"/>
    <row r="183" customFormat="1" ht="24" customHeight="1"/>
    <row r="184" customFormat="1" ht="24" customHeight="1"/>
    <row r="185" customFormat="1" ht="24" customHeight="1"/>
    <row r="186" customFormat="1" ht="24" customHeight="1"/>
    <row r="187" customFormat="1" ht="24" customHeight="1"/>
    <row r="188" customFormat="1" ht="24" customHeight="1"/>
    <row r="189" customFormat="1" ht="24" customHeight="1"/>
    <row r="190" customFormat="1" ht="24" customHeight="1"/>
    <row r="191" customFormat="1" ht="24" customHeight="1"/>
    <row r="192" customFormat="1" ht="24" customHeight="1"/>
    <row r="193" customFormat="1" ht="24" customHeight="1"/>
    <row r="194" customFormat="1" ht="24" customHeight="1"/>
    <row r="195" customFormat="1" ht="24" customHeight="1"/>
    <row r="196" customFormat="1" ht="24" customHeight="1"/>
    <row r="197" customFormat="1" ht="24" customHeight="1"/>
    <row r="198" customFormat="1" ht="24" customHeight="1"/>
    <row r="199" customFormat="1" ht="24" customHeight="1"/>
    <row r="200" customFormat="1" ht="24" customHeight="1"/>
    <row r="201" customFormat="1" ht="24" customHeight="1"/>
    <row r="202" customFormat="1" ht="24" customHeight="1"/>
    <row r="203" customFormat="1" ht="24" customHeight="1"/>
    <row r="204" customFormat="1" ht="24" customHeight="1"/>
    <row r="205" customFormat="1" ht="24" customHeight="1"/>
    <row r="206" customFormat="1" ht="24" customHeight="1"/>
    <row r="207" customFormat="1" ht="24" customHeight="1"/>
    <row r="208" customFormat="1" ht="24" customHeight="1"/>
    <row r="209" customFormat="1" ht="24" customHeight="1"/>
    <row r="210" customFormat="1" ht="24" customHeight="1"/>
    <row r="211" customFormat="1" ht="24" customHeight="1"/>
    <row r="212" customFormat="1" ht="24" customHeight="1"/>
    <row r="213" customFormat="1" ht="24" customHeight="1"/>
    <row r="214" customFormat="1" ht="24" customHeight="1"/>
    <row r="215" customFormat="1" ht="24" customHeight="1"/>
    <row r="216" customFormat="1" ht="24" customHeight="1"/>
    <row r="217" customFormat="1" ht="24" customHeight="1"/>
    <row r="218" customFormat="1" ht="24" customHeight="1"/>
    <row r="219" customFormat="1" ht="24" customHeight="1"/>
    <row r="220" customFormat="1" ht="24" customHeight="1"/>
    <row r="221" customFormat="1" ht="24" customHeight="1"/>
    <row r="222" customFormat="1" ht="24" customHeight="1"/>
    <row r="223" customFormat="1" ht="24" customHeight="1"/>
    <row r="224" customFormat="1" ht="24" customHeight="1"/>
    <row r="225" customFormat="1" ht="24" customHeight="1"/>
    <row r="226" customFormat="1" ht="24" customHeight="1"/>
    <row r="227" customFormat="1" ht="24" customHeight="1"/>
    <row r="228" customFormat="1" ht="24" customHeight="1"/>
    <row r="229" customFormat="1" ht="24" customHeight="1"/>
    <row r="230" customFormat="1" ht="24" customHeight="1"/>
    <row r="231" customFormat="1" ht="24" customHeight="1"/>
    <row r="232" customFormat="1" ht="24" customHeight="1"/>
    <row r="233" customFormat="1" ht="24" customHeight="1"/>
    <row r="234" customFormat="1" ht="24" customHeight="1"/>
    <row r="235" customFormat="1" ht="24" customHeight="1"/>
    <row r="236" customFormat="1" ht="24" customHeight="1"/>
    <row r="237" customFormat="1" ht="24" customHeight="1"/>
    <row r="238" customFormat="1" ht="24" customHeight="1"/>
    <row r="239" customFormat="1" ht="24" customHeight="1"/>
    <row r="240" customFormat="1" ht="24" customHeight="1"/>
    <row r="241" customFormat="1" ht="24" customHeight="1"/>
    <row r="242" customFormat="1" ht="24" customHeight="1"/>
    <row r="243" customFormat="1" ht="24" customHeight="1"/>
    <row r="244" customFormat="1" ht="24" customHeight="1"/>
    <row r="245" customFormat="1" ht="24" customHeight="1"/>
    <row r="246" customFormat="1" ht="24" customHeight="1"/>
    <row r="247" customFormat="1" ht="24" customHeight="1"/>
    <row r="248" customFormat="1" ht="24" customHeight="1"/>
    <row r="249" customFormat="1" ht="24" customHeight="1"/>
    <row r="250" customFormat="1" ht="24" customHeight="1"/>
    <row r="251" customFormat="1" ht="24" customHeight="1"/>
    <row r="252" customFormat="1" ht="24" customHeight="1"/>
    <row r="253" customFormat="1" ht="24" customHeight="1"/>
    <row r="254" customFormat="1" ht="24" customHeight="1"/>
    <row r="255" customFormat="1" ht="24" customHeight="1"/>
    <row r="256" customFormat="1" ht="24" customHeight="1"/>
    <row r="257" customFormat="1" ht="24" customHeight="1"/>
    <row r="258" customFormat="1" ht="24" customHeight="1"/>
    <row r="259" customFormat="1" ht="24" customHeight="1"/>
    <row r="260" customFormat="1" ht="24" customHeight="1"/>
    <row r="261" customFormat="1" ht="24" customHeight="1"/>
    <row r="262" customFormat="1" ht="24" customHeight="1"/>
    <row r="263" customFormat="1" ht="24" customHeight="1"/>
    <row r="264" customFormat="1" ht="24" customHeight="1"/>
    <row r="265" customFormat="1" ht="24" customHeight="1"/>
    <row r="266" customFormat="1" ht="24" customHeight="1"/>
    <row r="267" customFormat="1" ht="24" customHeight="1"/>
    <row r="268" customFormat="1" ht="24" customHeight="1"/>
    <row r="269" customFormat="1" ht="24" customHeight="1"/>
    <row r="270" customFormat="1" ht="24" customHeight="1"/>
    <row r="271" customFormat="1" ht="24" customHeight="1"/>
    <row r="272" customFormat="1" ht="24" customHeight="1"/>
    <row r="273" customFormat="1" ht="24" customHeight="1"/>
    <row r="274" customFormat="1" ht="24" customHeight="1"/>
    <row r="275" customFormat="1" ht="24" customHeight="1"/>
    <row r="276" customFormat="1" ht="24" customHeight="1"/>
    <row r="277" customFormat="1" ht="24" customHeight="1"/>
    <row r="278" customFormat="1" ht="24" customHeight="1"/>
    <row r="279" customFormat="1" ht="24" customHeight="1"/>
    <row r="280" customFormat="1" ht="24" customHeight="1"/>
    <row r="281" customFormat="1" ht="24" customHeight="1"/>
    <row r="282" customFormat="1" ht="24" customHeight="1"/>
    <row r="283" customFormat="1" ht="24" customHeight="1"/>
    <row r="284" customFormat="1" ht="24" customHeight="1"/>
    <row r="285" customFormat="1" ht="24" customHeight="1"/>
    <row r="286" customFormat="1" ht="24" customHeight="1"/>
    <row r="287" customFormat="1" ht="24" customHeight="1"/>
    <row r="288" customFormat="1" ht="24" customHeight="1"/>
    <row r="289" customFormat="1" ht="24" customHeight="1"/>
    <row r="290" customFormat="1" ht="24" customHeight="1"/>
    <row r="291" customFormat="1" ht="24" customHeight="1"/>
    <row r="292" customFormat="1" ht="24" customHeight="1"/>
    <row r="293" customFormat="1" ht="24" customHeight="1"/>
    <row r="294" customFormat="1" ht="24" customHeight="1"/>
    <row r="295" customFormat="1" ht="24" customHeight="1"/>
    <row r="296" customFormat="1" ht="24" customHeight="1"/>
    <row r="297" customFormat="1" ht="24" customHeight="1"/>
    <row r="298" customFormat="1" ht="24" customHeight="1"/>
    <row r="299" customFormat="1" ht="24" customHeight="1"/>
    <row r="300" customFormat="1" ht="24" customHeight="1"/>
    <row r="301" customFormat="1" ht="24" customHeight="1"/>
    <row r="302" customFormat="1" ht="24" customHeight="1"/>
    <row r="303" customFormat="1" ht="24" customHeight="1"/>
    <row r="304" customFormat="1" ht="24" customHeight="1"/>
    <row r="305" customFormat="1" ht="24" customHeight="1"/>
    <row r="306" customFormat="1" ht="24" customHeight="1"/>
    <row r="307" customFormat="1" ht="24" customHeight="1"/>
    <row r="308" customFormat="1" ht="24" customHeight="1"/>
    <row r="309" customFormat="1" ht="24" customHeight="1"/>
    <row r="310" customFormat="1" ht="24" customHeight="1"/>
    <row r="311" customFormat="1" ht="24" customHeight="1"/>
    <row r="312" customFormat="1" ht="24" customHeight="1"/>
    <row r="313" customFormat="1" ht="24" customHeight="1"/>
    <row r="314" customFormat="1" ht="24" customHeight="1"/>
    <row r="315" customFormat="1" ht="24" customHeight="1"/>
    <row r="316" customFormat="1" ht="24" customHeight="1"/>
    <row r="317" customFormat="1" ht="24" customHeight="1"/>
    <row r="318" customFormat="1" ht="24" customHeight="1"/>
    <row r="319" customFormat="1" ht="24" customHeight="1"/>
    <row r="320" customFormat="1" ht="24" customHeight="1"/>
    <row r="321" customFormat="1" ht="24" customHeight="1"/>
    <row r="322" customFormat="1" ht="24" customHeight="1"/>
    <row r="323" customFormat="1" ht="24" customHeight="1"/>
    <row r="324" customFormat="1" ht="24" customHeight="1"/>
    <row r="325" customFormat="1" ht="24" customHeight="1"/>
    <row r="326" customFormat="1" ht="24" customHeight="1"/>
    <row r="327" customFormat="1" ht="24" customHeight="1"/>
    <row r="328" customFormat="1" ht="24" customHeight="1"/>
    <row r="329" customFormat="1" ht="24" customHeight="1"/>
    <row r="330" customFormat="1" ht="18" customHeight="1"/>
    <row r="331" customFormat="1" ht="18" customHeight="1"/>
    <row r="332" customFormat="1" ht="18" customHeight="1"/>
    <row r="333" customFormat="1" ht="18" customHeight="1"/>
    <row r="334" customFormat="1" ht="18" customHeight="1"/>
    <row r="335" customFormat="1" ht="18" customHeight="1"/>
    <row r="336" customFormat="1" ht="18" customHeight="1"/>
    <row r="337" customFormat="1" ht="18" customHeight="1"/>
    <row r="338" customFormat="1" ht="18" customHeight="1"/>
    <row r="339" customFormat="1" ht="18" customHeight="1"/>
    <row r="340" customFormat="1" ht="18" customHeight="1"/>
    <row r="341" customFormat="1" ht="18" customHeight="1"/>
    <row r="342" customFormat="1" ht="18" customHeight="1"/>
    <row r="343" customFormat="1" ht="18" customHeight="1"/>
    <row r="344" customFormat="1" ht="18" customHeight="1"/>
    <row r="345" customFormat="1" ht="18" customHeight="1"/>
    <row r="346" customFormat="1" ht="18" customHeight="1"/>
    <row r="347" customFormat="1" ht="18" customHeight="1"/>
    <row r="348" customFormat="1" ht="18" customHeight="1"/>
    <row r="349" customFormat="1" ht="18" customHeight="1"/>
    <row r="350" customFormat="1" ht="18" customHeight="1"/>
    <row r="351" customFormat="1" ht="18" customHeight="1"/>
    <row r="352" customFormat="1" ht="18" customHeight="1"/>
    <row r="353" customFormat="1" ht="18" customHeight="1"/>
    <row r="354" customFormat="1" ht="18" customHeight="1"/>
    <row r="355" customFormat="1" ht="18" customHeight="1"/>
    <row r="356" customFormat="1" ht="18" customHeight="1"/>
    <row r="357" customFormat="1" ht="18" customHeight="1"/>
    <row r="358" customFormat="1" ht="18" customHeight="1"/>
    <row r="359" customFormat="1" ht="18" customHeight="1"/>
    <row r="360" customFormat="1" ht="18" customHeight="1"/>
    <row r="361" customFormat="1" ht="18" customHeight="1"/>
    <row r="362" customFormat="1" ht="18" customHeight="1"/>
    <row r="363" customFormat="1" ht="18" customHeight="1"/>
    <row r="364" customFormat="1" ht="18" customHeight="1"/>
    <row r="365" customFormat="1" ht="18" customHeight="1"/>
    <row r="366" customFormat="1" ht="18" customHeight="1"/>
    <row r="367" customFormat="1" ht="18" customHeight="1"/>
    <row r="368" customFormat="1" ht="18" customHeight="1"/>
    <row r="369" customFormat="1" ht="18" customHeight="1"/>
    <row r="370" customFormat="1" ht="18" customHeight="1"/>
    <row r="371" customFormat="1" ht="18" customHeight="1"/>
    <row r="372" customFormat="1" ht="18" customHeight="1"/>
    <row r="373" customFormat="1" ht="18" customHeight="1"/>
    <row r="374" customFormat="1" ht="18" customHeight="1"/>
    <row r="375" customFormat="1" ht="18" customHeight="1"/>
    <row r="376" customFormat="1" ht="18" customHeight="1"/>
    <row r="377" customFormat="1" ht="18" customHeight="1"/>
    <row r="378" customFormat="1" ht="18" customHeight="1"/>
    <row r="379" customFormat="1" ht="18" customHeight="1"/>
    <row r="380" customFormat="1" ht="18" customHeight="1"/>
    <row r="381" customFormat="1" ht="18" customHeight="1"/>
    <row r="382" customFormat="1" ht="18" customHeight="1"/>
    <row r="383" customFormat="1" ht="18" customHeight="1"/>
    <row r="384" customFormat="1" ht="18" customHeight="1"/>
    <row r="385" customFormat="1" ht="18" customHeight="1"/>
    <row r="386" customFormat="1" ht="18" customHeight="1"/>
    <row r="387" customFormat="1" ht="18" customHeight="1"/>
    <row r="388" customFormat="1" ht="18" customHeight="1"/>
    <row r="389" customFormat="1" ht="18" customHeight="1"/>
    <row r="390" customFormat="1" ht="18" customHeight="1"/>
    <row r="391" customFormat="1" ht="18" customHeight="1"/>
    <row r="392" customFormat="1" ht="18" customHeight="1"/>
    <row r="393" customFormat="1" ht="18" customHeight="1"/>
    <row r="394" customFormat="1" ht="18" customHeight="1"/>
    <row r="395" customFormat="1" ht="18" customHeight="1"/>
    <row r="396" customFormat="1" ht="18" customHeight="1"/>
    <row r="397" customFormat="1" ht="18" customHeight="1"/>
    <row r="398" customFormat="1" ht="18" customHeight="1"/>
    <row r="399" customFormat="1" ht="18" customHeight="1"/>
    <row r="400" customFormat="1" ht="18" customHeight="1"/>
    <row r="401" customFormat="1" ht="18" customHeight="1"/>
    <row r="402" customFormat="1" ht="18" customHeight="1"/>
    <row r="403" customFormat="1" ht="18" customHeight="1"/>
    <row r="404" customFormat="1" ht="18" customHeight="1"/>
    <row r="405" customFormat="1" ht="18" customHeight="1"/>
    <row r="406" customFormat="1" ht="18" customHeight="1"/>
    <row r="407" customFormat="1" ht="18" customHeight="1"/>
    <row r="408" customFormat="1" ht="18" customHeight="1"/>
    <row r="409" customFormat="1" ht="18" customHeight="1"/>
    <row r="410" customFormat="1" ht="18" customHeight="1"/>
    <row r="411" customFormat="1" ht="18" customHeight="1"/>
    <row r="412" customFormat="1" ht="18" customHeight="1"/>
    <row r="413" customFormat="1" ht="18" customHeight="1"/>
    <row r="414" customFormat="1" ht="18" customHeight="1"/>
    <row r="415" customFormat="1" ht="18" customHeight="1"/>
    <row r="416" customFormat="1" ht="18" customHeight="1"/>
    <row r="417" customFormat="1" ht="18" customHeight="1"/>
    <row r="418" customFormat="1" ht="18" customHeight="1"/>
    <row r="419" customFormat="1" ht="18" customHeight="1"/>
    <row r="420" customFormat="1" ht="18" customHeight="1"/>
    <row r="421" customFormat="1" ht="18" customHeight="1"/>
    <row r="422" customFormat="1" ht="18" customHeight="1"/>
    <row r="423" customFormat="1" ht="18" customHeight="1"/>
    <row r="424" customFormat="1" ht="18" customHeight="1"/>
    <row r="425" customFormat="1" ht="18" customHeight="1"/>
    <row r="426" customFormat="1" ht="18" customHeight="1"/>
    <row r="427" customFormat="1" ht="18" customHeight="1"/>
    <row r="428" customFormat="1" ht="18" customHeight="1"/>
    <row r="429" customFormat="1" ht="18" customHeight="1"/>
    <row r="430" customFormat="1" ht="18" customHeight="1"/>
    <row r="431" customFormat="1" ht="18" customHeight="1"/>
    <row r="432" customFormat="1" ht="18" customHeight="1"/>
    <row r="433" customFormat="1" ht="18" customHeight="1"/>
    <row r="434" customFormat="1" ht="18" customHeight="1"/>
    <row r="435" customFormat="1" ht="18" customHeight="1"/>
    <row r="436" customFormat="1" ht="18" customHeight="1"/>
    <row r="437" customFormat="1" ht="18" customHeight="1"/>
    <row r="438" customFormat="1" ht="18" customHeight="1"/>
    <row r="439" customFormat="1" ht="18" customHeight="1"/>
    <row r="440" customFormat="1" ht="18" customHeight="1"/>
    <row r="441" customFormat="1" ht="18" customHeight="1"/>
    <row r="442" customFormat="1" ht="18" customHeight="1"/>
    <row r="443" customFormat="1" ht="18" customHeight="1"/>
    <row r="444" customFormat="1" ht="18" customHeight="1"/>
    <row r="445" customFormat="1" ht="18" customHeight="1"/>
    <row r="446" customFormat="1" ht="18" customHeight="1"/>
    <row r="447" customFormat="1" ht="18" customHeight="1"/>
    <row r="448" customFormat="1" ht="18" customHeight="1"/>
    <row r="449" customFormat="1" ht="18" customHeight="1"/>
    <row r="450" customFormat="1" ht="18" customHeight="1"/>
    <row r="451" customFormat="1" ht="18" customHeight="1"/>
    <row r="452" customFormat="1" ht="18" customHeight="1"/>
    <row r="453" customFormat="1" ht="18" customHeight="1"/>
    <row r="454" customFormat="1" ht="18" customHeight="1"/>
    <row r="455" customFormat="1" ht="18" customHeight="1"/>
    <row r="456" customFormat="1" ht="18" customHeight="1"/>
    <row r="457" customFormat="1" ht="18" customHeight="1"/>
    <row r="458" customFormat="1" ht="18" customHeight="1"/>
    <row r="459" customFormat="1" ht="18" customHeight="1"/>
    <row r="460" customFormat="1" ht="18" customHeight="1"/>
    <row r="461" customFormat="1" ht="18" customHeight="1"/>
    <row r="462" customFormat="1" ht="18" customHeight="1"/>
    <row r="463" customFormat="1" ht="18" customHeight="1"/>
    <row r="464" customFormat="1" ht="18" customHeight="1"/>
    <row r="465" customFormat="1" ht="18" customHeight="1"/>
    <row r="466" customFormat="1" ht="18" customHeight="1"/>
    <row r="467" customFormat="1" ht="18" customHeight="1"/>
    <row r="468" customFormat="1" ht="18" customHeight="1"/>
    <row r="469" customFormat="1" ht="18" customHeight="1"/>
    <row r="470" customFormat="1" ht="18" customHeight="1"/>
    <row r="471" customFormat="1" ht="18" customHeight="1"/>
    <row r="472" customFormat="1" ht="18" customHeight="1"/>
    <row r="473" customFormat="1" ht="18" customHeight="1"/>
    <row r="474" customFormat="1" ht="18" customHeight="1"/>
    <row r="475" customFormat="1" ht="18" customHeight="1"/>
    <row r="476" customFormat="1" ht="18" customHeight="1"/>
    <row r="477" customFormat="1" ht="18" customHeight="1"/>
    <row r="478" customFormat="1" ht="18" customHeight="1"/>
    <row r="479" customFormat="1" ht="18" customHeight="1"/>
    <row r="480" customFormat="1" ht="18" customHeight="1"/>
    <row r="481" customFormat="1" ht="18" customHeight="1"/>
    <row r="482" customFormat="1" ht="18" customHeight="1"/>
    <row r="483" customFormat="1" ht="18" customHeight="1"/>
    <row r="484" customFormat="1" ht="18" customHeight="1"/>
    <row r="485" customFormat="1" ht="18" customHeight="1"/>
    <row r="486" customFormat="1" ht="18" customHeight="1"/>
    <row r="487" customFormat="1" ht="24" customHeight="1"/>
    <row r="488" customFormat="1" ht="18" customHeight="1"/>
    <row r="489" customFormat="1" ht="18" customHeight="1"/>
    <row r="490" customFormat="1" ht="18" customHeight="1"/>
    <row r="491" customFormat="1" ht="18" customHeight="1"/>
    <row r="492" customFormat="1" ht="18" customHeight="1"/>
    <row r="493" customFormat="1" ht="18" customHeight="1"/>
    <row r="494" customFormat="1" ht="18" customHeight="1"/>
    <row r="495" customFormat="1" ht="18" customHeight="1"/>
    <row r="496" customFormat="1" ht="18" customHeight="1"/>
    <row r="497" customFormat="1" ht="18" customHeight="1"/>
    <row r="498" customFormat="1" ht="18" customHeight="1"/>
    <row r="499" customFormat="1" ht="18" customHeight="1"/>
    <row r="500" customFormat="1" ht="18" customHeight="1"/>
    <row r="501" customFormat="1" ht="18" customHeight="1"/>
    <row r="502" customFormat="1" ht="18" customHeight="1"/>
    <row r="503" customFormat="1" ht="18" customHeight="1"/>
    <row r="504" customFormat="1" ht="18" customHeight="1"/>
    <row r="505" customFormat="1" ht="18" customHeight="1"/>
    <row r="506" customFormat="1" ht="18" customHeight="1"/>
    <row r="507" customFormat="1" ht="18" customHeight="1"/>
    <row r="508" customFormat="1" ht="18" customHeight="1"/>
    <row r="509" customFormat="1" ht="18" customHeight="1"/>
    <row r="510" customFormat="1" ht="18" customHeight="1"/>
    <row r="511" customFormat="1" ht="18" customHeight="1"/>
    <row r="512" customFormat="1" ht="18" customHeight="1"/>
    <row r="513" customFormat="1" ht="18" customHeight="1"/>
    <row r="514" customFormat="1" ht="18" customHeight="1"/>
    <row r="515" customFormat="1" ht="18" customHeight="1"/>
    <row r="516" customFormat="1" ht="18" customHeight="1"/>
    <row r="517" customFormat="1" ht="18" customHeight="1"/>
    <row r="518" customFormat="1" ht="18" customHeight="1"/>
    <row r="519" customFormat="1" ht="18" customHeight="1"/>
    <row r="520" customFormat="1" ht="18" customHeight="1"/>
    <row r="521" customFormat="1" ht="18" customHeight="1"/>
    <row r="522" customFormat="1" ht="18" customHeight="1"/>
    <row r="523" customFormat="1" ht="18" customHeight="1"/>
    <row r="524" customFormat="1" ht="18" customHeight="1"/>
    <row r="525" customFormat="1" ht="18" customHeight="1"/>
    <row r="526" customFormat="1" ht="18" customHeight="1"/>
    <row r="527" customFormat="1" ht="18" customHeight="1"/>
    <row r="528" customFormat="1" ht="18" customHeight="1"/>
    <row r="529" customFormat="1" ht="18" customHeight="1"/>
    <row r="530" customFormat="1" ht="18" customHeight="1"/>
    <row r="531" customFormat="1" ht="18" customHeight="1"/>
    <row r="532" customFormat="1" ht="18" customHeight="1"/>
    <row r="533" customFormat="1" ht="18" customHeight="1"/>
    <row r="534" customFormat="1" ht="18" customHeight="1"/>
    <row r="535" customFormat="1" ht="18" customHeight="1"/>
    <row r="536" customFormat="1" ht="18" customHeight="1"/>
    <row r="537" customFormat="1" ht="18" customHeight="1"/>
    <row r="538" customFormat="1" ht="18" customHeight="1"/>
    <row r="539" customFormat="1" ht="18" customHeight="1"/>
    <row r="540" customFormat="1" ht="18" customHeight="1"/>
    <row r="541" customFormat="1" ht="18" customHeight="1"/>
    <row r="542" customFormat="1" ht="18" customHeight="1"/>
    <row r="543" customFormat="1" ht="18" customHeight="1"/>
    <row r="544" customFormat="1" ht="18" customHeight="1"/>
    <row r="545" customFormat="1" ht="18" customHeight="1"/>
    <row r="546" customFormat="1" ht="18" customHeight="1"/>
    <row r="547" customFormat="1" ht="18" customHeight="1"/>
    <row r="548" customFormat="1" ht="18" customHeight="1"/>
    <row r="549" customFormat="1" ht="18" customHeight="1"/>
    <row r="550" customFormat="1" ht="18" customHeight="1"/>
    <row r="551" customFormat="1" ht="18" customHeight="1"/>
    <row r="552" customFormat="1" ht="18" customHeight="1"/>
    <row r="553" customFormat="1" ht="18" customHeight="1"/>
    <row r="554" customFormat="1" ht="18" customHeight="1"/>
    <row r="555" customFormat="1" ht="18" customHeight="1"/>
    <row r="556" customFormat="1" ht="18" customHeight="1"/>
    <row r="557" customFormat="1" ht="18" customHeight="1"/>
    <row r="558" customFormat="1" ht="18" customHeight="1"/>
    <row r="559" customFormat="1" ht="18" customHeight="1"/>
    <row r="560" customFormat="1" ht="18" customHeight="1"/>
    <row r="561" customFormat="1" ht="18" customHeight="1"/>
    <row r="562" customFormat="1" ht="18" customHeight="1"/>
    <row r="563" customFormat="1" ht="18" customHeight="1"/>
    <row r="564" customFormat="1" ht="18" customHeight="1"/>
    <row r="565" customFormat="1" ht="18" customHeight="1"/>
    <row r="566" customFormat="1" ht="18" customHeight="1"/>
    <row r="567" customFormat="1" ht="18" customHeight="1"/>
    <row r="568" customFormat="1" ht="18" customHeight="1"/>
    <row r="569" customFormat="1" ht="18" customHeight="1"/>
    <row r="570" customFormat="1" ht="18" customHeight="1"/>
    <row r="571" customFormat="1" ht="18" customHeight="1"/>
    <row r="572" customFormat="1" ht="18" customHeight="1"/>
    <row r="573" customFormat="1" ht="18" customHeight="1"/>
    <row r="574" customFormat="1" ht="18" customHeight="1"/>
    <row r="575" customFormat="1" ht="18" customHeight="1"/>
    <row r="576" customFormat="1" ht="18" customHeight="1"/>
    <row r="577" customFormat="1" ht="18" customHeight="1"/>
    <row r="578" customFormat="1" ht="18" customHeight="1"/>
    <row r="579" customFormat="1" ht="18" customHeight="1"/>
    <row r="580" customFormat="1" ht="18" customHeight="1"/>
    <row r="581" customFormat="1" ht="18" customHeight="1"/>
    <row r="582" customFormat="1" ht="18" customHeight="1"/>
    <row r="583" customFormat="1" ht="18" customHeight="1"/>
    <row r="584" customFormat="1" ht="18" customHeight="1"/>
    <row r="585" customFormat="1" ht="18" customHeight="1"/>
    <row r="586" customFormat="1" ht="18" customHeight="1"/>
    <row r="587" customFormat="1" ht="18" customHeight="1"/>
    <row r="588" customFormat="1" ht="18" customHeight="1"/>
    <row r="589" customFormat="1" ht="18" customHeight="1"/>
    <row r="590" customFormat="1" ht="18" customHeight="1"/>
    <row r="591" customFormat="1" ht="18" customHeight="1"/>
    <row r="592" customFormat="1" ht="18" customHeight="1"/>
    <row r="593" customFormat="1" ht="18" customHeight="1"/>
    <row r="594" customFormat="1" ht="18" customHeight="1"/>
    <row r="595" customFormat="1" ht="18" customHeight="1"/>
    <row r="596" customFormat="1" ht="18" customHeight="1"/>
    <row r="597" customFormat="1" ht="18" customHeight="1"/>
    <row r="598" customFormat="1" ht="18" customHeight="1"/>
    <row r="599" customFormat="1" ht="18" customHeight="1"/>
    <row r="600" customFormat="1" ht="18" customHeight="1"/>
    <row r="601" customFormat="1" ht="18" customHeight="1"/>
    <row r="602" customFormat="1" ht="18" customHeight="1"/>
    <row r="603" customFormat="1" ht="18" customHeight="1"/>
    <row r="604" customFormat="1" ht="18" customHeight="1"/>
    <row r="605" customFormat="1" ht="18" customHeight="1"/>
    <row r="606" customFormat="1" ht="18" customHeight="1"/>
    <row r="607" customFormat="1" ht="18" customHeight="1"/>
    <row r="608" customFormat="1" ht="18" customHeight="1"/>
    <row r="609" customFormat="1" ht="18" customHeight="1"/>
    <row r="610" customFormat="1" ht="18" customHeight="1"/>
    <row r="611" customFormat="1" ht="18" customHeight="1"/>
    <row r="612" customFormat="1" ht="18" customHeight="1"/>
    <row r="613" customFormat="1" ht="18" customHeight="1"/>
    <row r="614" customFormat="1" ht="18" customHeight="1"/>
    <row r="615" customFormat="1" ht="18" customHeight="1"/>
    <row r="616" customFormat="1" ht="18" customHeight="1"/>
    <row r="617" customFormat="1" ht="18" customHeight="1"/>
    <row r="618" customFormat="1" ht="18" customHeight="1"/>
    <row r="619" customFormat="1" ht="18" customHeight="1"/>
    <row r="620" customFormat="1" ht="18" customHeight="1"/>
    <row r="621" customFormat="1" ht="18" customHeight="1"/>
    <row r="622" customFormat="1" ht="18" customHeight="1"/>
    <row r="623" customFormat="1" ht="18" customHeight="1"/>
    <row r="624" customFormat="1" ht="18" customHeight="1"/>
    <row r="625" customFormat="1" ht="18" customHeight="1"/>
    <row r="626" customFormat="1" ht="18" customHeight="1"/>
    <row r="627" customFormat="1" ht="18" customHeight="1"/>
    <row r="628" customFormat="1" ht="18" customHeight="1"/>
    <row r="629" customFormat="1" ht="18" customHeight="1"/>
    <row r="630" customFormat="1" ht="18" customHeight="1"/>
    <row r="631" customFormat="1" ht="18" customHeight="1"/>
    <row r="632" customFormat="1" ht="18" customHeight="1"/>
    <row r="633" customFormat="1" ht="18" customHeight="1"/>
    <row r="634" customFormat="1" ht="18" customHeight="1"/>
    <row r="635" customFormat="1" ht="18" customHeight="1"/>
    <row r="636" customFormat="1" ht="18" customHeight="1"/>
    <row r="637" customFormat="1" ht="18" customHeight="1"/>
    <row r="638" customFormat="1" ht="18" customHeight="1"/>
    <row r="639" customFormat="1" ht="18" customHeight="1"/>
    <row r="640" customFormat="1" ht="18" customHeight="1"/>
    <row r="641" customFormat="1" ht="18" customHeight="1"/>
    <row r="642" customFormat="1" ht="18" customHeight="1"/>
    <row r="643" customFormat="1" ht="18" customHeight="1"/>
    <row r="644" customFormat="1" ht="24" customHeight="1"/>
    <row r="645" customFormat="1" ht="18" customHeight="1"/>
    <row r="646" customFormat="1" ht="18" customHeight="1"/>
    <row r="647" customFormat="1" ht="18" customHeight="1"/>
    <row r="648" customFormat="1" ht="18" customHeight="1"/>
    <row r="649" customFormat="1" ht="18" customHeight="1"/>
    <row r="650" customFormat="1" ht="18" customHeight="1"/>
    <row r="651" customFormat="1" ht="18" customHeight="1"/>
    <row r="652" customFormat="1" ht="18" customHeight="1"/>
    <row r="653" customFormat="1" ht="18" customHeight="1"/>
    <row r="654" customFormat="1" ht="18" customHeight="1"/>
    <row r="655" customFormat="1" ht="18" customHeight="1"/>
    <row r="656" customFormat="1" ht="18" customHeight="1"/>
    <row r="657" customFormat="1" ht="18" customHeight="1"/>
    <row r="658" customFormat="1" ht="18" customHeight="1"/>
    <row r="659" customFormat="1" ht="18" customHeight="1"/>
    <row r="660" customFormat="1" ht="18" customHeight="1"/>
    <row r="661" customFormat="1" ht="18" customHeight="1"/>
    <row r="662" customFormat="1" ht="18" customHeight="1"/>
    <row r="663" customFormat="1" ht="18" customHeight="1"/>
    <row r="664" customFormat="1" ht="18" customHeight="1"/>
    <row r="665" customFormat="1" ht="18" customHeight="1"/>
    <row r="666" customFormat="1" ht="18" customHeight="1"/>
    <row r="667" customFormat="1" ht="18" customHeight="1"/>
    <row r="668" customFormat="1" ht="18" customHeight="1"/>
    <row r="669" customFormat="1" ht="18" customHeight="1"/>
    <row r="670" customFormat="1" ht="18" customHeight="1"/>
    <row r="671" customFormat="1" ht="18" customHeight="1"/>
    <row r="672" customFormat="1" ht="18" customHeight="1"/>
    <row r="673" customFormat="1" ht="18" customHeight="1"/>
    <row r="674" customFormat="1" ht="18" customHeight="1"/>
    <row r="675" customFormat="1" ht="18" customHeight="1"/>
    <row r="676" customFormat="1" ht="18" customHeight="1"/>
    <row r="677" customFormat="1" ht="18" customHeight="1"/>
    <row r="678" customFormat="1" ht="18" customHeight="1"/>
    <row r="679" customFormat="1" ht="18" customHeight="1"/>
    <row r="680" customFormat="1" ht="18" customHeight="1"/>
    <row r="681" customFormat="1" ht="18" customHeight="1"/>
    <row r="682" customFormat="1" ht="18" customHeight="1"/>
    <row r="683" customFormat="1" ht="18" customHeight="1"/>
    <row r="684" customFormat="1" ht="18" customHeight="1"/>
    <row r="685" customFormat="1" ht="18" customHeight="1"/>
    <row r="686" customFormat="1" ht="18" customHeight="1"/>
    <row r="687" customFormat="1" ht="18" customHeight="1"/>
    <row r="688" customFormat="1" ht="18" customHeight="1"/>
    <row r="689" customFormat="1" ht="18" customHeight="1"/>
    <row r="690" customFormat="1" ht="18" customHeight="1"/>
    <row r="691" customFormat="1" ht="18" customHeight="1"/>
    <row r="692" customFormat="1" ht="18" customHeight="1"/>
    <row r="693" customFormat="1" ht="18" customHeight="1"/>
    <row r="694" customFormat="1" ht="18" customHeight="1"/>
    <row r="695" customFormat="1" ht="18" customHeight="1"/>
    <row r="696" customFormat="1" ht="18" customHeight="1"/>
    <row r="697" customFormat="1" ht="18" customHeight="1"/>
    <row r="698" customFormat="1" ht="18" customHeight="1"/>
    <row r="699" customFormat="1" ht="18" customHeight="1"/>
    <row r="700" customFormat="1" ht="18" customHeight="1"/>
    <row r="701" customFormat="1" ht="18" customHeight="1"/>
    <row r="702" customFormat="1" ht="18" customHeight="1"/>
    <row r="703" customFormat="1" ht="18" customHeight="1"/>
    <row r="704" customFormat="1" ht="18" customHeight="1"/>
    <row r="705" customFormat="1" ht="18" customHeight="1"/>
    <row r="706" customFormat="1" ht="18" customHeight="1"/>
    <row r="707" customFormat="1" ht="18" customHeight="1"/>
    <row r="708" customFormat="1" ht="18" customHeight="1"/>
    <row r="709" customFormat="1" ht="18" customHeight="1"/>
    <row r="710" customFormat="1" ht="18" customHeight="1"/>
    <row r="711" customFormat="1" ht="18" customHeight="1"/>
    <row r="712" customFormat="1" ht="18" customHeight="1"/>
    <row r="713" customFormat="1" ht="18" customHeight="1"/>
    <row r="714" customFormat="1" ht="18" customHeight="1"/>
    <row r="715" customFormat="1" ht="18" customHeight="1"/>
    <row r="716" customFormat="1" ht="18" customHeight="1"/>
    <row r="717" customFormat="1" ht="18" customHeight="1"/>
    <row r="718" customFormat="1" ht="18" customHeight="1"/>
    <row r="719" customFormat="1" ht="18" customHeight="1"/>
    <row r="720" customFormat="1" ht="18" customHeight="1"/>
    <row r="721" customFormat="1" ht="18" customHeight="1"/>
    <row r="722" customFormat="1" ht="18" customHeight="1"/>
    <row r="723" customFormat="1" ht="18" customHeight="1"/>
    <row r="724" customFormat="1" ht="18" customHeight="1"/>
    <row r="725" customFormat="1" ht="18" customHeight="1"/>
    <row r="726" customFormat="1" ht="18" customHeight="1"/>
    <row r="727" customFormat="1" ht="18" customHeight="1"/>
    <row r="728" customFormat="1" ht="18" customHeight="1"/>
    <row r="729" customFormat="1" ht="18" customHeight="1"/>
    <row r="730" customFormat="1" ht="18" customHeight="1"/>
    <row r="731" customFormat="1" ht="18" customHeight="1"/>
    <row r="732" customFormat="1" ht="18" customHeight="1"/>
    <row r="733" customFormat="1" ht="18" customHeight="1"/>
    <row r="734" customFormat="1" ht="18" customHeight="1"/>
    <row r="735" customFormat="1" ht="18" customHeight="1"/>
    <row r="736" customFormat="1" ht="18" customHeight="1"/>
    <row r="737" customFormat="1" ht="18" customHeight="1"/>
    <row r="738" customFormat="1" ht="18" customHeight="1"/>
    <row r="739" customFormat="1" ht="18" customHeight="1"/>
    <row r="740" customFormat="1" ht="18" customHeight="1"/>
    <row r="741" customFormat="1" ht="18" customHeight="1"/>
    <row r="742" customFormat="1" ht="18" customHeight="1"/>
    <row r="743" customFormat="1" ht="18" customHeight="1"/>
    <row r="744" customFormat="1" ht="18" customHeight="1"/>
    <row r="745" customFormat="1" ht="18" customHeight="1"/>
    <row r="746" customFormat="1" ht="18" customHeight="1"/>
    <row r="747" customFormat="1" ht="18" customHeight="1"/>
    <row r="748" customFormat="1" ht="18" customHeight="1"/>
    <row r="749" customFormat="1" ht="18" customHeight="1"/>
    <row r="750" customFormat="1" ht="18" customHeight="1"/>
    <row r="751" customFormat="1" ht="18" customHeight="1"/>
    <row r="752" customFormat="1" ht="18" customHeight="1"/>
    <row r="753" customFormat="1" ht="18" customHeight="1"/>
    <row r="754" customFormat="1" ht="18" customHeight="1"/>
    <row r="755" customFormat="1" ht="18" customHeight="1"/>
    <row r="756" customFormat="1" ht="18" customHeight="1"/>
    <row r="757" customFormat="1" ht="18" customHeight="1"/>
    <row r="758" customFormat="1" ht="18" customHeight="1"/>
    <row r="759" customFormat="1" ht="18" customHeight="1"/>
    <row r="760" customFormat="1" ht="18" customHeight="1"/>
    <row r="761" customFormat="1" ht="18" customHeight="1"/>
    <row r="762" customFormat="1" ht="18" customHeight="1"/>
    <row r="763" customFormat="1" ht="18" customHeight="1"/>
    <row r="764" customFormat="1" ht="18" customHeight="1"/>
    <row r="765" customFormat="1" ht="18" customHeight="1"/>
    <row r="766" customFormat="1" ht="18" customHeight="1"/>
    <row r="767" customFormat="1" ht="18" customHeight="1"/>
    <row r="768" customFormat="1" ht="18" customHeight="1"/>
    <row r="769" customFormat="1" ht="18" customHeight="1"/>
    <row r="770" customFormat="1" ht="18" customHeight="1"/>
    <row r="771" customFormat="1" ht="18" customHeight="1"/>
    <row r="772" customFormat="1" ht="18" customHeight="1"/>
    <row r="773" customFormat="1" ht="18" customHeight="1"/>
    <row r="774" customFormat="1" ht="18" customHeight="1"/>
    <row r="775" customFormat="1" ht="18" customHeight="1"/>
    <row r="776" customFormat="1" ht="18" customHeight="1"/>
    <row r="777" customFormat="1" ht="18" customHeight="1"/>
    <row r="778" customFormat="1" ht="18" customHeight="1"/>
    <row r="779" customFormat="1" ht="18" customHeight="1"/>
    <row r="780" customFormat="1" ht="18" customHeight="1"/>
    <row r="781" customFormat="1" ht="18" customHeight="1"/>
    <row r="782" customFormat="1" ht="18" customHeight="1"/>
    <row r="783" customFormat="1" ht="18" customHeight="1"/>
    <row r="784" customFormat="1" ht="18" customHeight="1"/>
    <row r="785" customFormat="1" ht="18" customHeight="1"/>
    <row r="786" customFormat="1" ht="18" customHeight="1"/>
    <row r="787" customFormat="1" ht="18" customHeight="1"/>
    <row r="788" customFormat="1" ht="18" customHeight="1"/>
    <row r="789" customFormat="1" ht="18" customHeight="1"/>
    <row r="790" customFormat="1" ht="18" customHeight="1"/>
    <row r="791" customFormat="1" ht="18" customHeight="1"/>
    <row r="792" customFormat="1" ht="18" customHeight="1"/>
    <row r="793" customFormat="1" ht="18" customHeight="1"/>
    <row r="794" customFormat="1" ht="18" customHeight="1"/>
    <row r="795" customFormat="1" ht="18" customHeight="1"/>
    <row r="796" customFormat="1" ht="18" customHeight="1"/>
    <row r="797" customFormat="1" ht="18" customHeight="1"/>
    <row r="798" customFormat="1" ht="18" customHeight="1"/>
    <row r="799" customFormat="1" ht="18" customHeight="1"/>
    <row r="800" customFormat="1" ht="18" customHeight="1"/>
    <row r="801" customFormat="1" ht="24" customHeight="1"/>
    <row r="802" customFormat="1" ht="18" customHeight="1"/>
    <row r="803" customFormat="1" ht="18" customHeight="1"/>
    <row r="804" customFormat="1" ht="18" customHeight="1"/>
    <row r="805" customFormat="1" ht="18" customHeight="1"/>
    <row r="806" customFormat="1" ht="18" customHeight="1"/>
    <row r="807" customFormat="1" ht="18" customHeight="1"/>
    <row r="808" customFormat="1" ht="18" customHeight="1"/>
    <row r="809" customFormat="1" ht="18" customHeight="1"/>
    <row r="810" customFormat="1" ht="18" customHeight="1"/>
    <row r="811" customFormat="1" ht="18" customHeight="1"/>
    <row r="812" customFormat="1" ht="18" customHeight="1"/>
    <row r="813" customFormat="1" ht="18" customHeight="1"/>
    <row r="814" customFormat="1" ht="18" customHeight="1"/>
    <row r="815" customFormat="1" ht="18" customHeight="1"/>
    <row r="816" customFormat="1" ht="18" customHeight="1"/>
    <row r="817" customFormat="1" ht="18" customHeight="1"/>
    <row r="818" customFormat="1" ht="18" customHeight="1"/>
    <row r="819" customFormat="1" ht="18" customHeight="1"/>
    <row r="820" customFormat="1" ht="18" customHeight="1"/>
    <row r="821" customFormat="1" ht="18" customHeight="1"/>
    <row r="822" customFormat="1" ht="18" customHeight="1"/>
    <row r="823" customFormat="1" ht="18" customHeight="1"/>
    <row r="824" customFormat="1" ht="18" customHeight="1"/>
    <row r="825" customFormat="1" ht="18" customHeight="1"/>
    <row r="826" customFormat="1" ht="18" customHeight="1"/>
    <row r="827" customFormat="1" ht="18" customHeight="1"/>
    <row r="828" customFormat="1" ht="18" customHeight="1"/>
    <row r="829" customFormat="1" ht="18" customHeight="1"/>
    <row r="830" customFormat="1" ht="18" customHeight="1"/>
    <row r="831" customFormat="1" ht="18" customHeight="1"/>
    <row r="832" customFormat="1" ht="18" customHeight="1"/>
    <row r="833" customFormat="1" ht="18" customHeight="1"/>
    <row r="834" customFormat="1" ht="18" customHeight="1"/>
    <row r="835" customFormat="1" ht="18" customHeight="1"/>
    <row r="836" customFormat="1" ht="18" customHeight="1"/>
    <row r="837" customFormat="1" ht="18" customHeight="1"/>
    <row r="838" customFormat="1" ht="18" customHeight="1"/>
    <row r="839" customFormat="1" ht="18" customHeight="1"/>
    <row r="840" customFormat="1" ht="18" customHeight="1"/>
    <row r="841" customFormat="1" ht="18" customHeight="1"/>
    <row r="842" customFormat="1" ht="18" customHeight="1"/>
    <row r="843" customFormat="1" ht="18" customHeight="1"/>
    <row r="844" customFormat="1" ht="18" customHeight="1"/>
    <row r="845" customFormat="1" ht="18" customHeight="1"/>
    <row r="846" customFormat="1" ht="18" customHeight="1"/>
    <row r="847" customFormat="1" ht="18" customHeight="1"/>
    <row r="848" customFormat="1" ht="18" customHeight="1"/>
    <row r="849" customFormat="1" ht="18" customHeight="1"/>
    <row r="850" customFormat="1" ht="18" customHeight="1"/>
    <row r="851" customFormat="1" ht="18" customHeight="1"/>
    <row r="852" customFormat="1" ht="18" customHeight="1"/>
    <row r="853" customFormat="1" ht="18" customHeight="1"/>
    <row r="854" customFormat="1" ht="18" customHeight="1"/>
    <row r="855" customFormat="1" ht="18" customHeight="1"/>
    <row r="856" customFormat="1" ht="18" customHeight="1"/>
    <row r="857" customFormat="1" ht="18" customHeight="1"/>
    <row r="858" customFormat="1" ht="18" customHeight="1"/>
    <row r="859" customFormat="1" ht="18" customHeight="1"/>
    <row r="860" customFormat="1" ht="18" customHeight="1"/>
    <row r="861" customFormat="1" ht="18" customHeight="1"/>
    <row r="862" customFormat="1" ht="18" customHeight="1"/>
    <row r="863" customFormat="1" ht="18" customHeight="1"/>
    <row r="864" customFormat="1" ht="18" customHeight="1"/>
    <row r="865" customFormat="1" ht="18" customHeight="1"/>
    <row r="866" customFormat="1" ht="18" customHeight="1"/>
    <row r="867" customFormat="1" ht="18" customHeight="1"/>
    <row r="868" customFormat="1" ht="18" customHeight="1"/>
    <row r="869" customFormat="1" ht="18" customHeight="1"/>
    <row r="870" customFormat="1" ht="18" customHeight="1"/>
    <row r="871" customFormat="1" ht="18" customHeight="1"/>
    <row r="872" customFormat="1" ht="18" customHeight="1"/>
    <row r="873" customFormat="1" ht="18" customHeight="1"/>
    <row r="874" customFormat="1" ht="18" customHeight="1"/>
    <row r="875" customFormat="1" ht="18" customHeight="1"/>
    <row r="876" customFormat="1" ht="18" customHeight="1"/>
    <row r="877" customFormat="1" ht="18" customHeight="1"/>
    <row r="878" customFormat="1" ht="18" customHeight="1"/>
    <row r="879" customFormat="1" ht="18" customHeight="1"/>
    <row r="880" customFormat="1" ht="18" customHeight="1"/>
    <row r="881" customFormat="1" ht="18" customHeight="1"/>
    <row r="882" customFormat="1" ht="18" customHeight="1"/>
    <row r="883" customFormat="1" ht="18" customHeight="1"/>
    <row r="884" customFormat="1" ht="18" customHeight="1"/>
    <row r="885" customFormat="1" ht="18" customHeight="1"/>
    <row r="886" customFormat="1" ht="18" customHeight="1"/>
    <row r="887" customFormat="1" ht="18" customHeight="1"/>
    <row r="888" customFormat="1" ht="18" customHeight="1"/>
    <row r="889" customFormat="1" ht="18" customHeight="1"/>
    <row r="890" customFormat="1" ht="18" customHeight="1"/>
    <row r="891" customFormat="1" ht="18" customHeight="1"/>
    <row r="892" customFormat="1" ht="18" customHeight="1"/>
    <row r="893" customFormat="1" ht="18" customHeight="1"/>
    <row r="894" customFormat="1" ht="18" customHeight="1"/>
    <row r="895" customFormat="1" ht="18" customHeight="1"/>
    <row r="896" customFormat="1" ht="18" customHeight="1"/>
    <row r="897" customFormat="1" ht="18" customHeight="1"/>
    <row r="898" customFormat="1" ht="18" customHeight="1"/>
    <row r="899" customFormat="1" ht="18" customHeight="1"/>
    <row r="900" customFormat="1" ht="18" customHeight="1"/>
    <row r="901" customFormat="1" ht="18" customHeight="1"/>
    <row r="902" customFormat="1" ht="18" customHeight="1"/>
    <row r="903" customFormat="1" ht="18" customHeight="1"/>
    <row r="904" customFormat="1" ht="18" customHeight="1"/>
    <row r="905" customFormat="1" ht="18" customHeight="1"/>
    <row r="906" customFormat="1" ht="18" customHeight="1"/>
    <row r="907" customFormat="1" ht="18" customHeight="1"/>
    <row r="908" customFormat="1" ht="18" customHeight="1"/>
    <row r="909" customFormat="1" ht="18" customHeight="1"/>
    <row r="910" customFormat="1" ht="18" customHeight="1"/>
    <row r="911" customFormat="1" ht="18" customHeight="1"/>
    <row r="912" customFormat="1" ht="18" customHeight="1"/>
    <row r="913" customFormat="1" ht="18" customHeight="1"/>
    <row r="914" customFormat="1" ht="18" customHeight="1"/>
    <row r="915" customFormat="1" ht="18" customHeight="1"/>
    <row r="916" customFormat="1" ht="18" customHeight="1"/>
    <row r="917" customFormat="1" ht="18" customHeight="1"/>
    <row r="918" customFormat="1" ht="18" customHeight="1"/>
    <row r="919" customFormat="1" ht="18" customHeight="1"/>
    <row r="920" customFormat="1" ht="18" customHeight="1"/>
    <row r="921" customFormat="1" ht="18" customHeight="1"/>
    <row r="922" customFormat="1" ht="18" customHeight="1"/>
    <row r="923" customFormat="1" ht="18" customHeight="1"/>
    <row r="924" customFormat="1" ht="18" customHeight="1"/>
    <row r="925" customFormat="1" ht="18" customHeight="1"/>
    <row r="926" customFormat="1" ht="18" customHeight="1"/>
    <row r="927" customFormat="1" ht="18" customHeight="1"/>
    <row r="928" customFormat="1" ht="18" customHeight="1"/>
    <row r="929" customFormat="1" ht="18" customHeight="1"/>
    <row r="930" customFormat="1" ht="18" customHeight="1"/>
    <row r="931" customFormat="1" ht="18" customHeight="1"/>
    <row r="932" customFormat="1" ht="18" customHeight="1"/>
    <row r="933" customFormat="1" ht="18" customHeight="1"/>
    <row r="934" customFormat="1" ht="18" customHeight="1"/>
    <row r="935" customFormat="1" ht="18" customHeight="1"/>
    <row r="936" customFormat="1" ht="18" customHeight="1"/>
    <row r="937" customFormat="1" ht="18" customHeight="1"/>
    <row r="938" customFormat="1" ht="18" customHeight="1"/>
    <row r="939" customFormat="1" ht="18" customHeight="1"/>
    <row r="940" customFormat="1" ht="18" customHeight="1"/>
    <row r="941" customFormat="1" ht="18" customHeight="1"/>
    <row r="942" customFormat="1" ht="18" customHeight="1"/>
    <row r="943" customFormat="1" ht="18" customHeight="1"/>
    <row r="944" customFormat="1" ht="18" customHeight="1"/>
    <row r="945" customFormat="1" ht="18" customHeight="1"/>
    <row r="946" customFormat="1" ht="18" customHeight="1"/>
    <row r="947" customFormat="1" ht="18" customHeight="1"/>
    <row r="948" customFormat="1" ht="18" customHeight="1"/>
    <row r="949" customFormat="1" ht="18" customHeight="1"/>
    <row r="950" customFormat="1" ht="18" customHeight="1"/>
    <row r="951" customFormat="1" ht="18" customHeight="1"/>
    <row r="952" customFormat="1" ht="18" customHeight="1"/>
    <row r="953" customFormat="1" ht="18" customHeight="1"/>
    <row r="954" customFormat="1" ht="18" customHeight="1"/>
    <row r="955" customFormat="1" ht="18" customHeight="1"/>
    <row r="956" customFormat="1" ht="18" customHeight="1"/>
    <row r="957" customFormat="1" ht="18" customHeight="1"/>
  </sheetData>
  <sheetProtection algorithmName="SHA-512" hashValue="H5xuVzRrhghCgvk3kmTRuXkCQNQ1APi1nsmT+O/OhsBSt2Mz6/b6/0A8vTyMunu6BQet4FxVItRi2n4ekHH71Q==" saltValue="v7M8iu4nE9XB5pD+7MbUjg==" spinCount="100000" sheet="1" objects="1" scenarios="1" sort="0" autoFilter="0"/>
  <mergeCells count="3">
    <mergeCell ref="A1:J1"/>
    <mergeCell ref="A2:J2"/>
    <mergeCell ref="A4:J4"/>
  </mergeCells>
  <phoneticPr fontId="15" type="noConversion"/>
  <pageMargins left="0.7" right="0.7" top="0.78740157499999996" bottom="0.78740157499999996"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498EB-A7B0-4D9D-AADA-748E52BFD0D1}">
  <sheetPr codeName="Tabelle1"/>
  <dimension ref="B1:U42"/>
  <sheetViews>
    <sheetView showGridLines="0" showRowColHeaders="0" zoomScale="130" zoomScaleNormal="130" workbookViewId="0">
      <selection activeCell="P15" sqref="P15"/>
    </sheetView>
  </sheetViews>
  <sheetFormatPr baseColWidth="10" defaultColWidth="11.5" defaultRowHeight="15"/>
  <cols>
    <col min="1" max="1" width="4" customWidth="1"/>
    <col min="2" max="2" width="12.5" customWidth="1"/>
    <col min="3" max="3" width="14.6640625" customWidth="1"/>
    <col min="4" max="5" width="17.6640625" customWidth="1"/>
    <col min="6" max="6" width="17" customWidth="1"/>
    <col min="7" max="7" width="3.5" customWidth="1"/>
    <col min="9" max="9" width="10.6640625" customWidth="1"/>
    <col min="10" max="10" width="3.83203125" customWidth="1"/>
    <col min="13" max="13" width="3.5" customWidth="1"/>
  </cols>
  <sheetData>
    <row r="1" spans="2:15" ht="15" customHeight="1">
      <c r="B1" s="230" t="s">
        <v>25</v>
      </c>
      <c r="C1" s="230"/>
      <c r="D1" s="230"/>
      <c r="E1" s="230"/>
      <c r="F1" s="230"/>
      <c r="G1" s="230"/>
      <c r="H1" s="230"/>
      <c r="I1" s="230"/>
      <c r="J1" s="230"/>
      <c r="K1" s="230"/>
      <c r="L1" s="230"/>
      <c r="M1" s="230"/>
      <c r="N1" s="230"/>
      <c r="O1" s="230"/>
    </row>
    <row r="2" spans="2:15" ht="17.25" customHeight="1">
      <c r="B2" s="230"/>
      <c r="C2" s="230"/>
      <c r="D2" s="230"/>
      <c r="E2" s="230"/>
      <c r="F2" s="230"/>
      <c r="G2" s="230"/>
      <c r="H2" s="230"/>
      <c r="I2" s="230"/>
      <c r="J2" s="230"/>
      <c r="K2" s="230"/>
      <c r="L2" s="230"/>
      <c r="M2" s="230"/>
      <c r="N2" s="230"/>
      <c r="O2" s="230"/>
    </row>
    <row r="3" spans="2:15" ht="18" customHeight="1">
      <c r="B3" s="235" t="s">
        <v>26</v>
      </c>
      <c r="C3" s="235"/>
      <c r="D3" s="235"/>
      <c r="E3" s="235"/>
      <c r="F3" s="235"/>
      <c r="H3" s="232" t="s">
        <v>27</v>
      </c>
      <c r="I3" s="232"/>
      <c r="K3" s="234" t="s">
        <v>28</v>
      </c>
      <c r="L3" s="234"/>
      <c r="N3" s="232" t="s">
        <v>29</v>
      </c>
      <c r="O3" s="232"/>
    </row>
    <row r="4" spans="2:15" ht="15" customHeight="1">
      <c r="B4" s="235"/>
      <c r="C4" s="235"/>
      <c r="D4" s="235"/>
      <c r="E4" s="235"/>
      <c r="F4" s="235"/>
      <c r="H4" s="232"/>
      <c r="I4" s="232"/>
      <c r="K4" s="234"/>
      <c r="L4" s="234"/>
      <c r="N4" s="232"/>
      <c r="O4" s="232"/>
    </row>
    <row r="5" spans="2:15">
      <c r="B5" s="56"/>
      <c r="C5" s="56" t="s">
        <v>30</v>
      </c>
      <c r="D5" s="56" t="s">
        <v>31</v>
      </c>
      <c r="E5" s="56" t="s">
        <v>32</v>
      </c>
      <c r="F5" s="56" t="s">
        <v>33</v>
      </c>
      <c r="H5" s="233" t="s">
        <v>34</v>
      </c>
      <c r="I5" s="233"/>
      <c r="K5" s="233" t="s">
        <v>34</v>
      </c>
      <c r="L5" s="233"/>
      <c r="N5" s="233" t="s">
        <v>35</v>
      </c>
      <c r="O5" s="233"/>
    </row>
    <row r="6" spans="2:15">
      <c r="B6" s="57" t="s">
        <v>36</v>
      </c>
      <c r="C6" s="3">
        <v>1</v>
      </c>
      <c r="D6" s="3">
        <v>1</v>
      </c>
      <c r="E6" s="58">
        <f>Januar!$Q$37</f>
        <v>1</v>
      </c>
      <c r="F6" s="50">
        <v>1</v>
      </c>
      <c r="H6" s="59" t="s">
        <v>36</v>
      </c>
      <c r="I6" s="51">
        <v>1</v>
      </c>
      <c r="K6" s="59" t="s">
        <v>36</v>
      </c>
      <c r="L6" s="51">
        <v>1</v>
      </c>
      <c r="N6" s="59" t="s">
        <v>36</v>
      </c>
      <c r="O6" s="3">
        <v>1</v>
      </c>
    </row>
    <row r="7" spans="2:15">
      <c r="B7" s="57" t="s">
        <v>37</v>
      </c>
      <c r="C7" s="3">
        <v>2</v>
      </c>
      <c r="D7" s="3">
        <v>2</v>
      </c>
      <c r="E7" s="58">
        <f>Februar!$Q$37</f>
        <v>1</v>
      </c>
      <c r="F7" s="50">
        <v>2</v>
      </c>
      <c r="H7" s="59" t="s">
        <v>38</v>
      </c>
      <c r="I7" s="51">
        <v>2</v>
      </c>
      <c r="K7" s="59" t="s">
        <v>38</v>
      </c>
      <c r="L7" s="51">
        <v>2</v>
      </c>
      <c r="N7" s="59" t="s">
        <v>38</v>
      </c>
      <c r="O7" s="3">
        <v>2</v>
      </c>
    </row>
    <row r="8" spans="2:15">
      <c r="B8" s="57" t="s">
        <v>39</v>
      </c>
      <c r="C8" s="3">
        <v>3</v>
      </c>
      <c r="D8" s="3">
        <v>3</v>
      </c>
      <c r="E8" s="58">
        <f>Marz!$Q$37</f>
        <v>1</v>
      </c>
      <c r="F8" s="50">
        <v>3</v>
      </c>
      <c r="H8" s="59" t="s">
        <v>39</v>
      </c>
      <c r="I8" s="51">
        <v>3</v>
      </c>
      <c r="K8" s="59" t="s">
        <v>39</v>
      </c>
      <c r="L8" s="51">
        <v>3</v>
      </c>
      <c r="N8" s="59" t="s">
        <v>39</v>
      </c>
      <c r="O8" s="3">
        <v>3</v>
      </c>
    </row>
    <row r="9" spans="2:15">
      <c r="B9" s="57" t="s">
        <v>40</v>
      </c>
      <c r="C9" s="3">
        <v>4</v>
      </c>
      <c r="D9" s="3">
        <v>4</v>
      </c>
      <c r="E9" s="58">
        <f>April!$Q$37</f>
        <v>1</v>
      </c>
      <c r="F9" s="50">
        <v>4</v>
      </c>
      <c r="H9" s="59" t="s">
        <v>40</v>
      </c>
      <c r="I9" s="51">
        <v>4</v>
      </c>
      <c r="K9" s="59" t="s">
        <v>40</v>
      </c>
      <c r="L9" s="51">
        <v>4</v>
      </c>
      <c r="N9" s="59" t="s">
        <v>40</v>
      </c>
      <c r="O9" s="3">
        <v>4</v>
      </c>
    </row>
    <row r="10" spans="2:15">
      <c r="B10" s="57" t="s">
        <v>41</v>
      </c>
      <c r="C10" s="3">
        <v>5</v>
      </c>
      <c r="D10" s="3">
        <v>5</v>
      </c>
      <c r="E10" s="58">
        <f>Mai!$Q$37</f>
        <v>1</v>
      </c>
      <c r="F10" s="50">
        <v>5</v>
      </c>
      <c r="H10" s="59" t="s">
        <v>41</v>
      </c>
      <c r="I10" s="51">
        <v>5</v>
      </c>
      <c r="K10" s="59" t="s">
        <v>41</v>
      </c>
      <c r="L10" s="51">
        <v>5</v>
      </c>
      <c r="N10" s="59" t="s">
        <v>41</v>
      </c>
      <c r="O10" s="3">
        <v>5</v>
      </c>
    </row>
    <row r="11" spans="2:15">
      <c r="B11" s="57" t="s">
        <v>42</v>
      </c>
      <c r="C11" s="3">
        <v>6</v>
      </c>
      <c r="D11" s="3">
        <v>6</v>
      </c>
      <c r="E11" s="58">
        <f>Juni!$Q$37</f>
        <v>1</v>
      </c>
      <c r="F11" s="50">
        <v>6</v>
      </c>
      <c r="H11" s="59" t="s">
        <v>42</v>
      </c>
      <c r="I11" s="51">
        <v>6</v>
      </c>
      <c r="K11" s="59" t="s">
        <v>42</v>
      </c>
      <c r="L11" s="51">
        <v>6</v>
      </c>
      <c r="N11" s="59" t="s">
        <v>42</v>
      </c>
      <c r="O11" s="3">
        <v>6</v>
      </c>
    </row>
    <row r="12" spans="2:15">
      <c r="B12" s="57" t="s">
        <v>43</v>
      </c>
      <c r="C12" s="3">
        <v>7</v>
      </c>
      <c r="D12" s="3">
        <v>7</v>
      </c>
      <c r="E12" s="58">
        <f>Juli!$Q$37</f>
        <v>1</v>
      </c>
      <c r="F12" s="50">
        <v>7</v>
      </c>
      <c r="H12" s="59" t="s">
        <v>43</v>
      </c>
      <c r="I12" s="51">
        <v>7</v>
      </c>
      <c r="K12" s="59" t="s">
        <v>43</v>
      </c>
      <c r="L12" s="51">
        <v>7</v>
      </c>
      <c r="N12" s="59" t="s">
        <v>43</v>
      </c>
      <c r="O12" s="3">
        <v>7</v>
      </c>
    </row>
    <row r="13" spans="2:15">
      <c r="B13" s="57" t="s">
        <v>44</v>
      </c>
      <c r="C13" s="3">
        <v>8</v>
      </c>
      <c r="D13" s="3">
        <v>8</v>
      </c>
      <c r="E13" s="58">
        <f>August!$Q$37</f>
        <v>1</v>
      </c>
      <c r="F13" s="50">
        <v>8</v>
      </c>
      <c r="H13" s="59" t="s">
        <v>44</v>
      </c>
      <c r="I13" s="51">
        <v>8</v>
      </c>
      <c r="K13" s="59" t="s">
        <v>44</v>
      </c>
      <c r="L13" s="51">
        <v>8</v>
      </c>
      <c r="N13" s="59" t="s">
        <v>44</v>
      </c>
      <c r="O13" s="3">
        <v>8</v>
      </c>
    </row>
    <row r="14" spans="2:15">
      <c r="B14" s="57" t="s">
        <v>45</v>
      </c>
      <c r="C14" s="3">
        <v>9</v>
      </c>
      <c r="D14" s="3">
        <v>9</v>
      </c>
      <c r="E14" s="58">
        <f>September!$Q$37</f>
        <v>1</v>
      </c>
      <c r="F14" s="50">
        <v>9</v>
      </c>
      <c r="H14" s="59" t="s">
        <v>45</v>
      </c>
      <c r="I14" s="51">
        <v>9</v>
      </c>
      <c r="K14" s="59" t="s">
        <v>45</v>
      </c>
      <c r="L14" s="51">
        <v>9</v>
      </c>
      <c r="N14" s="59" t="s">
        <v>45</v>
      </c>
      <c r="O14" s="3">
        <v>9</v>
      </c>
    </row>
    <row r="15" spans="2:15">
      <c r="B15" s="57" t="s">
        <v>46</v>
      </c>
      <c r="C15" s="3">
        <v>10</v>
      </c>
      <c r="D15" s="3">
        <v>10</v>
      </c>
      <c r="E15" s="58">
        <f>Oktober!$Q$37</f>
        <v>1</v>
      </c>
      <c r="F15" s="50">
        <v>10</v>
      </c>
      <c r="H15" s="59" t="s">
        <v>46</v>
      </c>
      <c r="I15" s="51">
        <v>10</v>
      </c>
      <c r="K15" s="59" t="s">
        <v>46</v>
      </c>
      <c r="L15" s="51">
        <v>10</v>
      </c>
      <c r="N15" s="59" t="s">
        <v>46</v>
      </c>
      <c r="O15" s="3">
        <v>10</v>
      </c>
    </row>
    <row r="16" spans="2:15">
      <c r="B16" s="57" t="s">
        <v>47</v>
      </c>
      <c r="C16" s="3">
        <v>11</v>
      </c>
      <c r="D16" s="3">
        <v>11</v>
      </c>
      <c r="E16" s="58">
        <f>November!$Q$37</f>
        <v>1</v>
      </c>
      <c r="F16" s="50">
        <v>11</v>
      </c>
      <c r="H16" s="59" t="s">
        <v>47</v>
      </c>
      <c r="I16" s="51">
        <v>11</v>
      </c>
      <c r="K16" s="59" t="s">
        <v>47</v>
      </c>
      <c r="L16" s="51">
        <v>11</v>
      </c>
      <c r="N16" s="59" t="s">
        <v>47</v>
      </c>
      <c r="O16" s="3">
        <v>11</v>
      </c>
    </row>
    <row r="17" spans="2:21">
      <c r="B17" s="57" t="s">
        <v>48</v>
      </c>
      <c r="C17" s="3">
        <v>12</v>
      </c>
      <c r="D17" s="3">
        <v>12</v>
      </c>
      <c r="E17" s="58">
        <f>Dezember!$Q$37</f>
        <v>1</v>
      </c>
      <c r="F17" s="50">
        <v>12</v>
      </c>
      <c r="H17" s="59" t="s">
        <v>48</v>
      </c>
      <c r="I17" s="51">
        <v>12</v>
      </c>
      <c r="K17" s="59" t="s">
        <v>48</v>
      </c>
      <c r="L17" s="51">
        <v>12</v>
      </c>
      <c r="N17" s="59" t="s">
        <v>48</v>
      </c>
      <c r="O17" s="3">
        <v>12</v>
      </c>
    </row>
    <row r="19" spans="2:21" ht="14.5" customHeight="1">
      <c r="B19" s="231" t="s">
        <v>49</v>
      </c>
      <c r="C19" s="231"/>
      <c r="D19" s="231"/>
      <c r="E19" s="231"/>
      <c r="F19" s="231"/>
      <c r="H19" s="232" t="s">
        <v>50</v>
      </c>
      <c r="I19" s="232"/>
      <c r="K19" s="234" t="s">
        <v>51</v>
      </c>
      <c r="L19" s="234"/>
      <c r="N19" s="236" t="s">
        <v>203</v>
      </c>
      <c r="O19" s="236"/>
      <c r="P19" s="236"/>
      <c r="Q19" s="236"/>
      <c r="R19" s="236"/>
      <c r="S19" s="236"/>
      <c r="T19" s="236"/>
      <c r="U19" s="236"/>
    </row>
    <row r="20" spans="2:21">
      <c r="B20" s="231"/>
      <c r="C20" s="231"/>
      <c r="D20" s="231"/>
      <c r="E20" s="231"/>
      <c r="F20" s="231"/>
      <c r="H20" s="232"/>
      <c r="I20" s="232"/>
      <c r="K20" s="234"/>
      <c r="L20" s="234"/>
      <c r="N20" s="236"/>
      <c r="O20" s="236"/>
      <c r="P20" s="236"/>
      <c r="Q20" s="236"/>
      <c r="R20" s="236"/>
      <c r="S20" s="236"/>
      <c r="T20" s="236"/>
      <c r="U20" s="236"/>
    </row>
    <row r="21" spans="2:21">
      <c r="B21" s="56"/>
      <c r="C21" s="56" t="s">
        <v>30</v>
      </c>
      <c r="D21" s="56" t="s">
        <v>31</v>
      </c>
      <c r="E21" s="56" t="s">
        <v>32</v>
      </c>
      <c r="F21" s="56" t="s">
        <v>33</v>
      </c>
      <c r="H21" s="233" t="s">
        <v>34</v>
      </c>
      <c r="I21" s="233"/>
      <c r="K21" s="233" t="s">
        <v>34</v>
      </c>
      <c r="L21" s="233"/>
      <c r="N21" s="236"/>
      <c r="O21" s="236"/>
      <c r="P21" s="236"/>
      <c r="Q21" s="236"/>
      <c r="R21" s="236"/>
      <c r="S21" s="236"/>
      <c r="T21" s="236"/>
      <c r="U21" s="236"/>
    </row>
    <row r="22" spans="2:21">
      <c r="B22" s="57" t="s">
        <v>36</v>
      </c>
      <c r="C22" s="3">
        <v>1</v>
      </c>
      <c r="D22" s="87">
        <f>UBERSICHT!G7</f>
        <v>95107.828800000003</v>
      </c>
      <c r="E22" s="58">
        <f>Januar!$S$37</f>
        <v>95107.828800000003</v>
      </c>
      <c r="F22" s="50">
        <v>1</v>
      </c>
      <c r="H22" s="59" t="s">
        <v>36</v>
      </c>
      <c r="I22" s="51">
        <v>1</v>
      </c>
      <c r="K22" s="59" t="s">
        <v>36</v>
      </c>
      <c r="L22" s="51">
        <v>1</v>
      </c>
      <c r="N22" s="236"/>
      <c r="O22" s="236"/>
      <c r="P22" s="236"/>
      <c r="Q22" s="236"/>
      <c r="R22" s="236"/>
      <c r="S22" s="236"/>
      <c r="T22" s="236"/>
      <c r="U22" s="236"/>
    </row>
    <row r="23" spans="2:21">
      <c r="B23" s="57" t="s">
        <v>37</v>
      </c>
      <c r="C23" s="3">
        <v>2</v>
      </c>
      <c r="D23" s="87">
        <f>UBERSICHT!G8</f>
        <v>108550</v>
      </c>
      <c r="E23" s="58">
        <f>Februar!$S$37</f>
        <v>54275</v>
      </c>
      <c r="F23" s="50">
        <v>2</v>
      </c>
      <c r="H23" s="59" t="s">
        <v>38</v>
      </c>
      <c r="I23" s="51">
        <v>2</v>
      </c>
      <c r="K23" s="59" t="s">
        <v>38</v>
      </c>
      <c r="L23" s="51">
        <v>2</v>
      </c>
      <c r="N23" s="236"/>
      <c r="O23" s="236"/>
      <c r="P23" s="236"/>
      <c r="Q23" s="236"/>
      <c r="R23" s="236"/>
      <c r="S23" s="236"/>
      <c r="T23" s="236"/>
      <c r="U23" s="236"/>
    </row>
    <row r="24" spans="2:21">
      <c r="B24" s="57" t="s">
        <v>39</v>
      </c>
      <c r="C24" s="3">
        <v>3</v>
      </c>
      <c r="D24" s="87">
        <f>UBERSICHT!G9</f>
        <v>109299.0058</v>
      </c>
      <c r="E24" s="58">
        <f>Marz!$S$37</f>
        <v>36433.001933333333</v>
      </c>
      <c r="F24" s="50">
        <v>3</v>
      </c>
      <c r="H24" s="59" t="s">
        <v>39</v>
      </c>
      <c r="I24" s="51">
        <v>3</v>
      </c>
      <c r="K24" s="59" t="s">
        <v>39</v>
      </c>
      <c r="L24" s="51">
        <v>3</v>
      </c>
      <c r="N24" s="236"/>
      <c r="O24" s="236"/>
      <c r="P24" s="236"/>
      <c r="Q24" s="236"/>
      <c r="R24" s="236"/>
      <c r="S24" s="236"/>
      <c r="T24" s="236"/>
      <c r="U24" s="236"/>
    </row>
    <row r="25" spans="2:21">
      <c r="B25" s="57" t="s">
        <v>40</v>
      </c>
      <c r="C25" s="3">
        <v>4</v>
      </c>
      <c r="D25" s="87">
        <f>UBERSICHT!G11</f>
        <v>109964.98</v>
      </c>
      <c r="E25" s="58">
        <f>April!$S$37</f>
        <v>27491.244999999999</v>
      </c>
      <c r="F25" s="50">
        <v>4</v>
      </c>
      <c r="H25" s="59" t="s">
        <v>40</v>
      </c>
      <c r="I25" s="51">
        <v>4</v>
      </c>
      <c r="K25" s="59" t="s">
        <v>40</v>
      </c>
      <c r="L25" s="51">
        <v>4</v>
      </c>
      <c r="N25" s="236"/>
      <c r="O25" s="236"/>
      <c r="P25" s="236"/>
      <c r="Q25" s="236"/>
      <c r="R25" s="236"/>
      <c r="S25" s="236"/>
      <c r="T25" s="236"/>
      <c r="U25" s="236"/>
    </row>
    <row r="26" spans="2:21">
      <c r="B26" s="57" t="s">
        <v>41</v>
      </c>
      <c r="C26" s="3">
        <v>5</v>
      </c>
      <c r="D26" s="87">
        <f>UBERSICHT!G12</f>
        <v>152364.03709999999</v>
      </c>
      <c r="E26" s="58">
        <f>Mai!$S$37</f>
        <v>30472.807419999997</v>
      </c>
      <c r="F26" s="50">
        <v>5</v>
      </c>
      <c r="H26" s="59" t="s">
        <v>41</v>
      </c>
      <c r="I26" s="51">
        <v>5</v>
      </c>
      <c r="K26" s="59" t="s">
        <v>41</v>
      </c>
      <c r="L26" s="51">
        <v>5</v>
      </c>
      <c r="M26" s="77"/>
      <c r="N26" s="236"/>
      <c r="O26" s="236"/>
      <c r="P26" s="236"/>
      <c r="Q26" s="236"/>
      <c r="R26" s="236"/>
      <c r="S26" s="236"/>
      <c r="T26" s="236"/>
      <c r="U26" s="236"/>
    </row>
    <row r="27" spans="2:21">
      <c r="B27" s="57" t="s">
        <v>42</v>
      </c>
      <c r="C27" s="3">
        <v>6</v>
      </c>
      <c r="D27" s="87">
        <f>UBERSICHT!G13</f>
        <v>150391.65</v>
      </c>
      <c r="E27" s="58">
        <f>Juni!$S$37</f>
        <v>25065.274999999998</v>
      </c>
      <c r="F27" s="50">
        <v>6</v>
      </c>
      <c r="H27" s="59" t="s">
        <v>42</v>
      </c>
      <c r="I27" s="51">
        <v>6</v>
      </c>
      <c r="K27" s="59" t="s">
        <v>42</v>
      </c>
      <c r="L27" s="51">
        <v>6</v>
      </c>
      <c r="M27" s="77"/>
      <c r="N27" s="236"/>
      <c r="O27" s="236"/>
      <c r="P27" s="236"/>
      <c r="Q27" s="236"/>
      <c r="R27" s="236"/>
      <c r="S27" s="236"/>
      <c r="T27" s="236"/>
      <c r="U27" s="236"/>
    </row>
    <row r="28" spans="2:21">
      <c r="B28" s="57" t="s">
        <v>43</v>
      </c>
      <c r="C28" s="3">
        <v>7</v>
      </c>
      <c r="D28" s="87">
        <f>UBERSICHT!G15</f>
        <v>149317.65</v>
      </c>
      <c r="E28" s="58">
        <f>Juli!$S$37</f>
        <v>21331.092857142856</v>
      </c>
      <c r="F28" s="50">
        <v>7</v>
      </c>
      <c r="H28" s="59" t="s">
        <v>43</v>
      </c>
      <c r="I28" s="51">
        <v>7</v>
      </c>
      <c r="K28" s="59" t="s">
        <v>43</v>
      </c>
      <c r="L28" s="51">
        <v>7</v>
      </c>
      <c r="M28" s="77"/>
      <c r="N28" s="236"/>
      <c r="O28" s="236"/>
      <c r="P28" s="236"/>
      <c r="Q28" s="236"/>
      <c r="R28" s="236"/>
      <c r="S28" s="236"/>
      <c r="T28" s="236"/>
      <c r="U28" s="236"/>
    </row>
    <row r="29" spans="2:21">
      <c r="B29" s="57" t="s">
        <v>44</v>
      </c>
      <c r="C29" s="3">
        <v>8</v>
      </c>
      <c r="D29" s="87">
        <f>UBERSICHT!G16</f>
        <v>148797.10159999999</v>
      </c>
      <c r="E29" s="58">
        <f>August!$S$37</f>
        <v>18599.637699999999</v>
      </c>
      <c r="F29" s="50">
        <v>8</v>
      </c>
      <c r="H29" s="59" t="s">
        <v>44</v>
      </c>
      <c r="I29" s="51">
        <v>8</v>
      </c>
      <c r="K29" s="59" t="s">
        <v>44</v>
      </c>
      <c r="L29" s="51">
        <v>8</v>
      </c>
      <c r="M29" s="77"/>
      <c r="N29" s="236"/>
      <c r="O29" s="236"/>
      <c r="P29" s="236"/>
      <c r="Q29" s="236"/>
      <c r="R29" s="236"/>
      <c r="S29" s="236"/>
      <c r="T29" s="236"/>
      <c r="U29" s="236"/>
    </row>
    <row r="30" spans="2:21">
      <c r="B30" s="57" t="s">
        <v>45</v>
      </c>
      <c r="C30" s="3">
        <v>9</v>
      </c>
      <c r="D30" s="87">
        <f>UBERSICHT!G17</f>
        <v>151793.4</v>
      </c>
      <c r="E30" s="58">
        <f>September!$S$37</f>
        <v>16865.933333333334</v>
      </c>
      <c r="F30" s="50">
        <v>9</v>
      </c>
      <c r="H30" s="59" t="s">
        <v>45</v>
      </c>
      <c r="I30" s="51">
        <v>9</v>
      </c>
      <c r="K30" s="59" t="s">
        <v>45</v>
      </c>
      <c r="L30" s="51">
        <v>9</v>
      </c>
      <c r="N30" s="236"/>
      <c r="O30" s="236"/>
      <c r="P30" s="236"/>
      <c r="Q30" s="236"/>
      <c r="R30" s="236"/>
      <c r="S30" s="236"/>
      <c r="T30" s="236"/>
      <c r="U30" s="236"/>
    </row>
    <row r="31" spans="2:21">
      <c r="B31" s="57" t="s">
        <v>46</v>
      </c>
      <c r="C31" s="3">
        <v>10</v>
      </c>
      <c r="D31" s="87">
        <f>UBERSICHT!G19</f>
        <v>151794.4</v>
      </c>
      <c r="E31" s="58">
        <f>Oktober!$S$37</f>
        <v>15179.439999999999</v>
      </c>
      <c r="F31" s="50">
        <v>10</v>
      </c>
      <c r="H31" s="59" t="s">
        <v>46</v>
      </c>
      <c r="I31" s="51">
        <v>10</v>
      </c>
      <c r="K31" s="59" t="s">
        <v>46</v>
      </c>
      <c r="L31" s="51">
        <v>10</v>
      </c>
      <c r="N31" s="236"/>
      <c r="O31" s="236"/>
      <c r="P31" s="236"/>
      <c r="Q31" s="236"/>
      <c r="R31" s="236"/>
      <c r="S31" s="236"/>
      <c r="T31" s="236"/>
      <c r="U31" s="236"/>
    </row>
    <row r="32" spans="2:21">
      <c r="B32" s="57" t="s">
        <v>47</v>
      </c>
      <c r="C32" s="3">
        <v>11</v>
      </c>
      <c r="D32" s="87">
        <f>UBERSICHT!G20</f>
        <v>151795.4</v>
      </c>
      <c r="E32" s="58">
        <f>November!$S$37</f>
        <v>13799.581818181818</v>
      </c>
      <c r="F32" s="50">
        <v>11</v>
      </c>
      <c r="H32" s="59" t="s">
        <v>47</v>
      </c>
      <c r="I32" s="51">
        <v>11</v>
      </c>
      <c r="K32" s="59" t="s">
        <v>47</v>
      </c>
      <c r="L32" s="51">
        <v>11</v>
      </c>
      <c r="N32" s="236"/>
      <c r="O32" s="236"/>
      <c r="P32" s="236"/>
      <c r="Q32" s="236"/>
      <c r="R32" s="236"/>
      <c r="S32" s="236"/>
      <c r="T32" s="236"/>
      <c r="U32" s="236"/>
    </row>
    <row r="33" spans="2:21">
      <c r="B33" s="57" t="s">
        <v>48</v>
      </c>
      <c r="C33" s="3">
        <v>12</v>
      </c>
      <c r="D33" s="87">
        <f>UBERSICHT!G21</f>
        <v>151796.4</v>
      </c>
      <c r="E33" s="58">
        <f>Dezember!$S$37</f>
        <v>12649.699999999999</v>
      </c>
      <c r="F33" s="50">
        <v>12</v>
      </c>
      <c r="H33" s="59" t="s">
        <v>48</v>
      </c>
      <c r="I33" s="51">
        <v>12</v>
      </c>
      <c r="K33" s="59" t="s">
        <v>48</v>
      </c>
      <c r="L33" s="51">
        <v>12</v>
      </c>
      <c r="N33" s="236"/>
      <c r="O33" s="236"/>
      <c r="P33" s="236"/>
      <c r="Q33" s="236"/>
      <c r="R33" s="236"/>
      <c r="S33" s="236"/>
      <c r="T33" s="236"/>
      <c r="U33" s="236"/>
    </row>
    <row r="34" spans="2:21">
      <c r="N34" s="236"/>
      <c r="O34" s="236"/>
      <c r="P34" s="236"/>
      <c r="Q34" s="236"/>
      <c r="R34" s="236"/>
      <c r="S34" s="236"/>
      <c r="T34" s="236"/>
      <c r="U34" s="236"/>
    </row>
    <row r="35" spans="2:21" ht="14.5" customHeight="1">
      <c r="B35" s="229" t="s">
        <v>204</v>
      </c>
      <c r="C35" s="229"/>
      <c r="D35" s="229"/>
      <c r="E35" s="126"/>
      <c r="N35" s="236"/>
      <c r="O35" s="236"/>
      <c r="P35" s="236"/>
      <c r="Q35" s="236"/>
      <c r="R35" s="236"/>
      <c r="S35" s="236"/>
      <c r="T35" s="236"/>
      <c r="U35" s="236"/>
    </row>
    <row r="36" spans="2:21">
      <c r="B36" s="229"/>
      <c r="C36" s="229"/>
      <c r="D36" s="229"/>
      <c r="N36" s="236"/>
      <c r="O36" s="236"/>
      <c r="P36" s="236"/>
      <c r="Q36" s="236"/>
      <c r="R36" s="236"/>
      <c r="S36" s="236"/>
      <c r="T36" s="236"/>
      <c r="U36" s="236"/>
    </row>
    <row r="37" spans="2:21">
      <c r="N37" s="236"/>
      <c r="O37" s="236"/>
      <c r="P37" s="236"/>
      <c r="Q37" s="236"/>
      <c r="R37" s="236"/>
      <c r="S37" s="236"/>
      <c r="T37" s="236"/>
      <c r="U37" s="236"/>
    </row>
    <row r="38" spans="2:21">
      <c r="N38" s="236"/>
      <c r="O38" s="236"/>
      <c r="P38" s="236"/>
      <c r="Q38" s="236"/>
      <c r="R38" s="236"/>
      <c r="S38" s="236"/>
      <c r="T38" s="236"/>
      <c r="U38" s="236"/>
    </row>
    <row r="39" spans="2:21">
      <c r="N39" s="236"/>
      <c r="O39" s="236"/>
      <c r="P39" s="236"/>
      <c r="Q39" s="236"/>
      <c r="R39" s="236"/>
      <c r="S39" s="236"/>
      <c r="T39" s="236"/>
      <c r="U39" s="236"/>
    </row>
    <row r="40" spans="2:21">
      <c r="N40" s="236"/>
      <c r="O40" s="236"/>
      <c r="P40" s="236"/>
      <c r="Q40" s="236"/>
      <c r="R40" s="236"/>
      <c r="S40" s="236"/>
      <c r="T40" s="236"/>
      <c r="U40" s="236"/>
    </row>
    <row r="41" spans="2:21">
      <c r="N41" s="236"/>
      <c r="O41" s="236"/>
      <c r="P41" s="236"/>
      <c r="Q41" s="236"/>
      <c r="R41" s="236"/>
      <c r="S41" s="236"/>
      <c r="T41" s="236"/>
      <c r="U41" s="236"/>
    </row>
    <row r="42" spans="2:21">
      <c r="N42" s="236"/>
      <c r="O42" s="236"/>
      <c r="P42" s="236"/>
      <c r="Q42" s="236"/>
      <c r="R42" s="236"/>
      <c r="S42" s="236"/>
      <c r="T42" s="236"/>
      <c r="U42" s="236"/>
    </row>
  </sheetData>
  <sheetProtection algorithmName="SHA-512" hashValue="KTemmo+hn+gyd8MdxDxSc7TJWfs2mUR3VCUDzBq+/RATexwu02Lf2nftZw75ZB1ENty5HYJ3xKF4jedlyurOmQ==" saltValue="bkunOY1fA1FBpNQC8gRlrg==" spinCount="100000" sheet="1" objects="1" scenarios="1" sort="0" autoFilter="0"/>
  <mergeCells count="15">
    <mergeCell ref="B35:D36"/>
    <mergeCell ref="B1:O2"/>
    <mergeCell ref="B19:F20"/>
    <mergeCell ref="H19:I20"/>
    <mergeCell ref="H21:I21"/>
    <mergeCell ref="K3:L4"/>
    <mergeCell ref="K5:L5"/>
    <mergeCell ref="K19:L20"/>
    <mergeCell ref="K21:L21"/>
    <mergeCell ref="N3:O4"/>
    <mergeCell ref="N5:O5"/>
    <mergeCell ref="H3:I4"/>
    <mergeCell ref="H5:I5"/>
    <mergeCell ref="B3:F4"/>
    <mergeCell ref="N19:U42"/>
  </mergeCells>
  <pageMargins left="0.7" right="0.7" top="0.78740157499999996" bottom="0.78740157499999996" header="0.3" footer="0.3"/>
  <pageSetup paperSize="9" orientation="portrait" verticalDpi="597"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A7708-1352-4EA7-A823-D3D63D9A24C6}">
  <sheetPr codeName="Tabelle3"/>
  <dimension ref="A1:AC123"/>
  <sheetViews>
    <sheetView showGridLines="0" showRowColHeaders="0" zoomScale="110" zoomScaleNormal="110" workbookViewId="0">
      <pane ySplit="2" topLeftCell="A27"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1640625" style="1" bestFit="1" customWidth="1"/>
    <col min="29" max="16384" width="9.1640625" style="1"/>
  </cols>
  <sheetData>
    <row r="1" spans="1:28" ht="16" customHeight="1">
      <c r="A1" s="128">
        <v>1</v>
      </c>
      <c r="B1" s="302" t="s">
        <v>205</v>
      </c>
      <c r="C1" s="310" t="s">
        <v>52</v>
      </c>
      <c r="D1" s="308" t="s">
        <v>206</v>
      </c>
      <c r="E1" s="308" t="s">
        <v>0</v>
      </c>
      <c r="F1" s="308" t="s">
        <v>53</v>
      </c>
      <c r="G1" s="312" t="s">
        <v>54</v>
      </c>
      <c r="H1" s="314" t="s">
        <v>55</v>
      </c>
      <c r="I1" s="316" t="s">
        <v>207</v>
      </c>
      <c r="J1" s="318" t="s">
        <v>56</v>
      </c>
      <c r="K1" s="320" t="s">
        <v>57</v>
      </c>
      <c r="L1" s="322" t="s">
        <v>58</v>
      </c>
      <c r="M1" s="306" t="s">
        <v>59</v>
      </c>
      <c r="N1" s="303" t="s">
        <v>208</v>
      </c>
      <c r="AB1" s="41">
        <f>DATE(LOHNTABELLE!$G$3, $A$1, 1)</f>
        <v>46023</v>
      </c>
    </row>
    <row r="2" spans="1:28" ht="16" customHeight="1" thickBot="1">
      <c r="A2" s="129"/>
      <c r="B2" s="302"/>
      <c r="C2" s="311"/>
      <c r="D2" s="309"/>
      <c r="E2" s="309"/>
      <c r="F2" s="309"/>
      <c r="G2" s="313"/>
      <c r="H2" s="315"/>
      <c r="I2" s="317"/>
      <c r="J2" s="319"/>
      <c r="K2" s="321"/>
      <c r="L2" s="323"/>
      <c r="M2" s="307"/>
      <c r="N2" s="303"/>
      <c r="AB2" s="41">
        <f>EOMONTH(DATE(LOHNTABELLE!$G$3, $A$1, 1), 0)</f>
        <v>46053</v>
      </c>
    </row>
    <row r="3" spans="1:28" ht="16" customHeight="1">
      <c r="A3" s="130" t="s">
        <v>60</v>
      </c>
      <c r="B3" s="169">
        <v>401006</v>
      </c>
      <c r="C3" s="140" t="s">
        <v>262</v>
      </c>
      <c r="D3" s="141">
        <v>38188</v>
      </c>
      <c r="E3" s="142" t="s">
        <v>24</v>
      </c>
      <c r="F3" s="143">
        <v>173</v>
      </c>
      <c r="G3" s="184">
        <v>2328</v>
      </c>
      <c r="H3" s="157">
        <f>IF(AND(ISNUMBER(D3), ISNUMBER(F3)),
    ROUNDDOWN(
        MIN(
            IF(OR(ISBLANK(I3), I3=""),
                EOMONTH(DATE(LOHNTABELLE!$G$3, $A$1, 1), 0), I3)
            - MAX(D3, DATE(LOHNTABELLE!$G$3, $A$1, 1)) + 1)
        / DAY(EOMONTH(DATE(LOHNTABELLE!$G$3, $A$1, 1), 0)) * F3,
        2
    ),
    ""
)</f>
        <v>173</v>
      </c>
      <c r="I3" s="154"/>
      <c r="J3" s="187"/>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42" t="s">
        <v>61</v>
      </c>
      <c r="P3" s="242" t="s">
        <v>62</v>
      </c>
      <c r="Q3" s="240" t="s">
        <v>63</v>
      </c>
      <c r="R3" s="280" t="s">
        <v>64</v>
      </c>
      <c r="AB3" s="43"/>
    </row>
    <row r="4" spans="1:28" ht="16" customHeight="1">
      <c r="A4" s="130" t="s">
        <v>65</v>
      </c>
      <c r="B4" s="170">
        <v>401010</v>
      </c>
      <c r="C4" s="132" t="s">
        <v>263</v>
      </c>
      <c r="D4" s="133">
        <v>39388</v>
      </c>
      <c r="E4" s="134" t="s">
        <v>12</v>
      </c>
      <c r="F4" s="136">
        <v>173</v>
      </c>
      <c r="G4" s="185">
        <v>2183</v>
      </c>
      <c r="H4" s="158">
        <f>IF(AND(ISNUMBER(D4), ISNUMBER(F4)),
    ROUNDDOWN(
        MIN(
            IF(OR(ISBLANK(I4), I4=""),
                EOMONTH(DATE(LOHNTABELLE!$G$3, $A$1, 1), 0), I4)
            - MAX(D4, DATE(LOHNTABELLE!$G$3, $A$1, 1)) + 1)
        / DAY(EOMONTH(DATE(LOHNTABELLE!$G$3, $A$1, 1), 0)) * F4,
        2
    ),
    ""
)</f>
        <v>173</v>
      </c>
      <c r="I4" s="155"/>
      <c r="J4" s="188"/>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43"/>
      <c r="P4" s="243"/>
      <c r="Q4" s="241"/>
      <c r="R4" s="281"/>
    </row>
    <row r="5" spans="1:28" ht="16" customHeight="1">
      <c r="A5" s="131" t="s">
        <v>66</v>
      </c>
      <c r="B5" s="170">
        <v>401049</v>
      </c>
      <c r="C5" s="132" t="s">
        <v>264</v>
      </c>
      <c r="D5" s="133">
        <v>41130</v>
      </c>
      <c r="E5" s="134" t="s">
        <v>10</v>
      </c>
      <c r="F5" s="136">
        <v>173</v>
      </c>
      <c r="G5" s="185">
        <v>2123</v>
      </c>
      <c r="H5" s="158">
        <f>IF(AND(ISNUMBER(D5), ISNUMBER(F5)),
    ROUNDDOWN(
        MIN(
            IF(OR(ISBLANK(I5), I5=""),
                EOMONTH(DATE(LOHNTABELLE!$G$3, $A$1, 1), 0), I5)
            - MAX(D5, DATE(LOHNTABELLE!$G$3, $A$1, 1)) + 1)
        / DAY(EOMONTH(DATE(LOHNTABELLE!$G$3, $A$1, 1), 0)) * F5,
        2
    ),
    ""
)</f>
        <v>173</v>
      </c>
      <c r="I5" s="155"/>
      <c r="J5" s="188"/>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724.55354077472225</v>
      </c>
      <c r="P5" s="49">
        <f>EINSTELLUNG!I6</f>
        <v>1</v>
      </c>
      <c r="Q5" s="48">
        <f>P5-O5</f>
        <v>-723.55354077472225</v>
      </c>
      <c r="R5" s="52">
        <f>IFERROR(Q5*Q42, 0)</f>
        <v>-8698.9799645981147</v>
      </c>
    </row>
    <row r="6" spans="1:28" ht="16" customHeight="1">
      <c r="A6" s="130" t="s">
        <v>67</v>
      </c>
      <c r="B6" s="170">
        <v>401047</v>
      </c>
      <c r="C6" s="132" t="s">
        <v>265</v>
      </c>
      <c r="D6" s="133">
        <v>41154</v>
      </c>
      <c r="E6" s="134" t="s">
        <v>10</v>
      </c>
      <c r="F6" s="136">
        <v>173</v>
      </c>
      <c r="G6" s="185">
        <v>2123</v>
      </c>
      <c r="H6" s="158">
        <f>IF(AND(ISNUMBER(D6), ISNUMBER(F6)),
    ROUNDDOWN(
        MIN(
            IF(OR(ISBLANK(I6), I6=""),
                EOMONTH(DATE(LOHNTABELLE!$G$3, $A$1, 1), 0), I6)
            - MAX(D6, DATE(LOHNTABELLE!$G$3, $A$1, 1)) + 1)
        / DAY(EOMONTH(DATE(LOHNTABELLE!$G$3, $A$1, 1), 0)) * F6,
        2
    ),
    ""
)</f>
        <v>173</v>
      </c>
      <c r="I6" s="155"/>
      <c r="J6" s="188"/>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37" t="str">
        <f>IF(Q5&lt;0, "Schlecht! Zu wenig Urlaub abgebaut.", IF(Q5&gt;0, "Gut! Mehr Urlaub abgebaut als aufgebaut.", ""))</f>
        <v>Schlecht! Zu wenig Urlaub abgebaut.</v>
      </c>
      <c r="P6" s="238"/>
      <c r="Q6" s="238"/>
      <c r="R6" s="239"/>
    </row>
    <row r="7" spans="1:28" ht="16" customHeight="1">
      <c r="A7" s="130" t="s">
        <v>68</v>
      </c>
      <c r="B7" s="170">
        <v>401051</v>
      </c>
      <c r="C7" s="132" t="s">
        <v>266</v>
      </c>
      <c r="D7" s="133">
        <v>41176</v>
      </c>
      <c r="E7" s="134" t="s">
        <v>10</v>
      </c>
      <c r="F7" s="136">
        <v>173</v>
      </c>
      <c r="G7" s="185">
        <v>2123</v>
      </c>
      <c r="H7" s="158">
        <f>IF(AND(ISNUMBER(D7), ISNUMBER(F7)),
    ROUNDDOWN(
        MIN(
            IF(OR(ISBLANK(I7), I7=""),
                EOMONTH(DATE(LOHNTABELLE!$G$3, $A$1, 1), 0), I7)
            - MAX(D7, DATE(LOHNTABELLE!$G$3, $A$1, 1)) + 1)
        / DAY(EOMONTH(DATE(LOHNTABELLE!$G$3, $A$1, 1), 0)) * F7,
        2
    ),
    ""
)</f>
        <v>173</v>
      </c>
      <c r="I7" s="155"/>
      <c r="J7" s="188"/>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401138</v>
      </c>
      <c r="C8" s="132" t="s">
        <v>267</v>
      </c>
      <c r="D8" s="133">
        <v>42006</v>
      </c>
      <c r="E8" s="134" t="s">
        <v>10</v>
      </c>
      <c r="F8" s="136">
        <v>173</v>
      </c>
      <c r="G8" s="185">
        <v>2123</v>
      </c>
      <c r="H8" s="158">
        <f>IF(AND(ISNUMBER(D8), ISNUMBER(F8)),
    ROUNDDOWN(
        MIN(
            IF(OR(ISBLANK(I8), I8=""),
                EOMONTH(DATE(LOHNTABELLE!$G$3, $A$1, 1), 0), I8)
            - MAX(D8, DATE(LOHNTABELLE!$G$3, $A$1, 1)) + 1)
        / DAY(EOMONTH(DATE(LOHNTABELLE!$G$3, $A$1, 1), 0)) * F8,
        2
    ),
    ""
)</f>
        <v>173</v>
      </c>
      <c r="I8" s="155"/>
      <c r="J8" s="188"/>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45" t="s">
        <v>70</v>
      </c>
      <c r="P8" s="246"/>
      <c r="Q8" s="247">
        <f>SUM(H3:H82)</f>
        <v>7494.8</v>
      </c>
      <c r="R8" s="247"/>
    </row>
    <row r="9" spans="1:28" ht="16" customHeight="1">
      <c r="A9" s="131" t="s">
        <v>71</v>
      </c>
      <c r="B9" s="170">
        <v>401197</v>
      </c>
      <c r="C9" s="132" t="s">
        <v>268</v>
      </c>
      <c r="D9" s="133">
        <v>42644</v>
      </c>
      <c r="E9" s="134" t="s">
        <v>8</v>
      </c>
      <c r="F9" s="136">
        <v>173</v>
      </c>
      <c r="G9" s="185">
        <v>2082</v>
      </c>
      <c r="H9" s="158">
        <f>IF(AND(ISNUMBER(D9), ISNUMBER(F9)),
    ROUNDDOWN(
        MIN(
            IF(OR(ISBLANK(I9), I9=""),
                EOMONTH(DATE(LOHNTABELLE!$G$3, $A$1, 1), 0), I9)
            - MAX(D9, DATE(LOHNTABELLE!$G$3, $A$1, 1)) + 1)
        / DAY(EOMONTH(DATE(LOHNTABELLE!$G$3, $A$1, 1), 0)) * F9,
        2
    ),
    ""
)</f>
        <v>173</v>
      </c>
      <c r="I9" s="155"/>
      <c r="J9" s="188"/>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45" t="s">
        <v>72</v>
      </c>
      <c r="P9" s="246"/>
      <c r="Q9" s="247">
        <f>EINSTELLUNG!L22</f>
        <v>1</v>
      </c>
      <c r="R9" s="247"/>
      <c r="S9" s="53">
        <f>IFERROR(Q9/Q8, 0)</f>
        <v>1.3342584191706249E-4</v>
      </c>
    </row>
    <row r="10" spans="1:28" ht="16" customHeight="1">
      <c r="A10" s="130" t="s">
        <v>73</v>
      </c>
      <c r="B10" s="170">
        <v>401276</v>
      </c>
      <c r="C10" s="132" t="s">
        <v>269</v>
      </c>
      <c r="D10" s="133">
        <v>43252</v>
      </c>
      <c r="E10" s="134" t="s">
        <v>8</v>
      </c>
      <c r="F10" s="136">
        <v>173</v>
      </c>
      <c r="G10" s="185">
        <v>2082</v>
      </c>
      <c r="H10" s="158">
        <f>IF(AND(ISNUMBER(D10), ISNUMBER(F10)),
    ROUNDDOWN(
        MIN(
            IF(OR(ISBLANK(I10), I10=""),
                EOMONTH(DATE(LOHNTABELLE!$G$3, $A$1, 1), 0), I10)
            - MAX(D10, DATE(LOHNTABELLE!$G$3, $A$1, 1)) + 1)
        / DAY(EOMONTH(DATE(LOHNTABELLE!$G$3, $A$1, 1), 0)) * F10,
        2
    ),
    ""
)</f>
        <v>173</v>
      </c>
      <c r="I10" s="155"/>
      <c r="J10" s="188"/>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45" t="s">
        <v>74</v>
      </c>
      <c r="P10" s="246"/>
      <c r="Q10" s="247">
        <f>EINSTELLUNG!I22</f>
        <v>1</v>
      </c>
      <c r="R10" s="247"/>
    </row>
    <row r="11" spans="1:28" ht="16" customHeight="1">
      <c r="A11" s="130" t="s">
        <v>75</v>
      </c>
      <c r="B11" s="170">
        <v>401307</v>
      </c>
      <c r="C11" s="132" t="s">
        <v>270</v>
      </c>
      <c r="D11" s="133">
        <v>43571</v>
      </c>
      <c r="E11" s="134" t="s">
        <v>8</v>
      </c>
      <c r="F11" s="136">
        <v>173</v>
      </c>
      <c r="G11" s="185">
        <v>2082</v>
      </c>
      <c r="H11" s="158">
        <f>IF(AND(ISNUMBER(D11), ISNUMBER(F11)),
    ROUNDDOWN(
        MIN(
            IF(OR(ISBLANK(I11), I11=""),
                EOMONTH(DATE(LOHNTABELLE!$G$3, $A$1, 1), 0), I11)
            - MAX(D11, DATE(LOHNTABELLE!$G$3, $A$1, 1)) + 1)
        / DAY(EOMONTH(DATE(LOHNTABELLE!$G$3, $A$1, 1), 0)) * F11,
        2
    ),
    ""
)</f>
        <v>173</v>
      </c>
      <c r="I11" s="155"/>
      <c r="J11" s="188"/>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45" t="s">
        <v>76</v>
      </c>
      <c r="P11" s="246"/>
      <c r="Q11" s="247">
        <f>P5</f>
        <v>1</v>
      </c>
      <c r="R11" s="247"/>
    </row>
    <row r="12" spans="1:28" ht="16" customHeight="1">
      <c r="A12" s="130" t="s">
        <v>77</v>
      </c>
      <c r="B12" s="170">
        <v>401308</v>
      </c>
      <c r="C12" s="132" t="s">
        <v>271</v>
      </c>
      <c r="D12" s="133">
        <v>43579</v>
      </c>
      <c r="E12" s="134" t="s">
        <v>8</v>
      </c>
      <c r="F12" s="136">
        <v>173</v>
      </c>
      <c r="G12" s="185">
        <v>2082</v>
      </c>
      <c r="H12" s="158">
        <f>IF(AND(ISNUMBER(D12), ISNUMBER(F12)),
    ROUNDDOWN(
        MIN(
            IF(OR(ISBLANK(I12), I12=""),
                EOMONTH(DATE(LOHNTABELLE!$G$3, $A$1, 1), 0), I12)
            - MAX(D12, DATE(LOHNTABELLE!$G$3, $A$1, 1)) + 1)
        / DAY(EOMONTH(DATE(LOHNTABELLE!$G$3, $A$1, 1), 0)) * F12,
        2
    ),
    ""
)</f>
        <v>173</v>
      </c>
      <c r="I12" s="155"/>
      <c r="J12" s="188"/>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45" t="s">
        <v>78</v>
      </c>
      <c r="P12" s="246"/>
      <c r="Q12" s="276"/>
      <c r="R12" s="276"/>
    </row>
    <row r="13" spans="1:28" ht="16" customHeight="1">
      <c r="A13" s="131" t="s">
        <v>79</v>
      </c>
      <c r="B13" s="170">
        <v>401394</v>
      </c>
      <c r="C13" s="132" t="s">
        <v>272</v>
      </c>
      <c r="D13" s="133">
        <v>44379</v>
      </c>
      <c r="E13" s="134" t="s">
        <v>4</v>
      </c>
      <c r="F13" s="136">
        <v>173</v>
      </c>
      <c r="G13" s="185">
        <v>2021</v>
      </c>
      <c r="H13" s="158">
        <f>IF(AND(ISNUMBER(D13), ISNUMBER(F13)),
    ROUNDDOWN(
        MIN(
            IF(OR(ISBLANK(I13), I13=""),
                EOMONTH(DATE(LOHNTABELLE!$G$3, $A$1, 1), 0), I13)
            - MAX(D13, DATE(LOHNTABELLE!$G$3, $A$1, 1)) + 1)
        / DAY(EOMONTH(DATE(LOHNTABELLE!$G$3, $A$1, 1), 0)) * F13,
        2
    ),
    ""
)</f>
        <v>173</v>
      </c>
      <c r="I13" s="155"/>
      <c r="J13" s="188"/>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2021</v>
      </c>
      <c r="M13" s="164"/>
      <c r="N13" s="147"/>
      <c r="O13" s="245" t="s">
        <v>80</v>
      </c>
      <c r="P13" s="246"/>
      <c r="Q13" s="247">
        <f>Q8-Q9-Q10-Q11-Q12</f>
        <v>7491.8</v>
      </c>
      <c r="R13" s="247"/>
    </row>
    <row r="14" spans="1:28" ht="16" customHeight="1">
      <c r="A14" s="130" t="s">
        <v>81</v>
      </c>
      <c r="B14" s="170">
        <v>401389</v>
      </c>
      <c r="C14" s="132" t="s">
        <v>273</v>
      </c>
      <c r="D14" s="133">
        <v>44384</v>
      </c>
      <c r="E14" s="134" t="s">
        <v>22</v>
      </c>
      <c r="F14" s="136">
        <v>173</v>
      </c>
      <c r="G14" s="185">
        <v>2300</v>
      </c>
      <c r="H14" s="158">
        <f>IF(AND(ISNUMBER(D14), ISNUMBER(F14)),
    ROUNDDOWN(
        MIN(
            IF(OR(ISBLANK(I14), I14=""),
                EOMONTH(DATE(LOHNTABELLE!$G$3, $A$1, 1), 0), I14)
            - MAX(D14, DATE(LOHNTABELLE!$G$3, $A$1, 1)) + 1)
        / DAY(EOMONTH(DATE(LOHNTABELLE!$G$3, $A$1, 1), 0)) * F14,
        2
    ),
    ""
)</f>
        <v>173</v>
      </c>
      <c r="I14" s="155"/>
      <c r="J14" s="188"/>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2300</v>
      </c>
      <c r="M14" s="164"/>
      <c r="N14" s="147"/>
      <c r="O14" s="245" t="s">
        <v>82</v>
      </c>
      <c r="P14" s="246"/>
      <c r="Q14" s="247">
        <f>EINSTELLUNG!L6</f>
        <v>1</v>
      </c>
      <c r="R14" s="247"/>
    </row>
    <row r="15" spans="1:28" ht="16" customHeight="1">
      <c r="A15" s="130" t="s">
        <v>83</v>
      </c>
      <c r="B15" s="170">
        <v>401432</v>
      </c>
      <c r="C15" s="132" t="s">
        <v>274</v>
      </c>
      <c r="D15" s="133">
        <v>44441</v>
      </c>
      <c r="E15" s="134" t="s">
        <v>4</v>
      </c>
      <c r="F15" s="136">
        <v>173</v>
      </c>
      <c r="G15" s="185">
        <v>2021</v>
      </c>
      <c r="H15" s="158">
        <f>IF(AND(ISNUMBER(D15), ISNUMBER(F15)),
    ROUNDDOWN(
        MIN(
            IF(OR(ISBLANK(I15), I15=""),
                EOMONTH(DATE(LOHNTABELLE!$G$3, $A$1, 1), 0), I15)
            - MAX(D15, DATE(LOHNTABELLE!$G$3, $A$1, 1)) + 1)
        / DAY(EOMONTH(DATE(LOHNTABELLE!$G$3, $A$1, 1), 0)) * F15,
        2
    ),
    ""
)</f>
        <v>173</v>
      </c>
      <c r="I15" s="155"/>
      <c r="J15" s="188"/>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2021</v>
      </c>
      <c r="M15" s="164"/>
      <c r="N15" s="147"/>
      <c r="O15" s="245" t="s">
        <v>84</v>
      </c>
      <c r="P15" s="246"/>
      <c r="Q15" s="247">
        <f>Q13-Q14</f>
        <v>7490.8</v>
      </c>
      <c r="R15" s="247"/>
      <c r="S15" s="100"/>
      <c r="T15" s="100"/>
      <c r="U15" s="100"/>
    </row>
    <row r="16" spans="1:28" ht="16" customHeight="1">
      <c r="A16" s="130" t="s">
        <v>85</v>
      </c>
      <c r="B16" s="170">
        <v>401558</v>
      </c>
      <c r="C16" s="132" t="s">
        <v>275</v>
      </c>
      <c r="D16" s="133">
        <v>44460</v>
      </c>
      <c r="E16" s="134" t="s">
        <v>4</v>
      </c>
      <c r="F16" s="136">
        <v>173</v>
      </c>
      <c r="G16" s="185">
        <v>2021</v>
      </c>
      <c r="H16" s="158">
        <f>IF(AND(ISNUMBER(D16), ISNUMBER(F16)),
    ROUNDDOWN(
        MIN(
            IF(OR(ISBLANK(I16), I16=""),
                EOMONTH(DATE(LOHNTABELLE!$G$3, $A$1, 1), 0), I16)
            - MAX(D16, DATE(LOHNTABELLE!$G$3, $A$1, 1)) + 1)
        / DAY(EOMONTH(DATE(LOHNTABELLE!$G$3, $A$1, 1), 0)) * F16,
        2
    ),
    ""
)</f>
        <v>173</v>
      </c>
      <c r="I16" s="155"/>
      <c r="J16" s="188"/>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2021</v>
      </c>
      <c r="M16" s="164"/>
      <c r="N16" s="147"/>
      <c r="O16" s="248" t="str">
        <f>IF(Q15&lt;0, "Schlecht! Zu wenig Stunden für Dienstplan.", IF(Q15&gt;0, "Du hast mehr als genug Stunden für Dienstplan.", ""))</f>
        <v>Du hast mehr als genug Stunden für Dienstplan.</v>
      </c>
      <c r="P16" s="248"/>
      <c r="Q16" s="248"/>
      <c r="R16" s="248"/>
      <c r="W16" s="45"/>
    </row>
    <row r="17" spans="1:29" ht="16" customHeight="1">
      <c r="A17" s="131" t="s">
        <v>86</v>
      </c>
      <c r="B17" s="170">
        <v>401476</v>
      </c>
      <c r="C17" s="132" t="s">
        <v>276</v>
      </c>
      <c r="D17" s="133">
        <v>44504</v>
      </c>
      <c r="E17" s="134" t="s">
        <v>4</v>
      </c>
      <c r="F17" s="136">
        <v>173</v>
      </c>
      <c r="G17" s="185">
        <v>2021</v>
      </c>
      <c r="H17" s="158">
        <f>IF(AND(ISNUMBER(D17), ISNUMBER(F17)),
    ROUNDDOWN(
        MIN(
            IF(OR(ISBLANK(I17), I17=""),
                EOMONTH(DATE(LOHNTABELLE!$G$3, $A$1, 1), 0), I17)
            - MAX(D17, DATE(LOHNTABELLE!$G$3, $A$1, 1)) + 1)
        / DAY(EOMONTH(DATE(LOHNTABELLE!$G$3, $A$1, 1), 0)) * F17,
        2
    ),
    ""
)</f>
        <v>173</v>
      </c>
      <c r="I17" s="155"/>
      <c r="J17" s="188"/>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253" t="s">
        <v>87</v>
      </c>
      <c r="P17" s="254"/>
      <c r="Q17" s="277">
        <f>SUM(L3:L82)</f>
        <v>90106.82881720431</v>
      </c>
      <c r="R17" s="277"/>
      <c r="W17" s="45"/>
    </row>
    <row r="18" spans="1:29" ht="16" customHeight="1">
      <c r="A18" s="130" t="s">
        <v>88</v>
      </c>
      <c r="B18" s="170">
        <v>401479</v>
      </c>
      <c r="C18" s="132" t="s">
        <v>277</v>
      </c>
      <c r="D18" s="133">
        <v>44511</v>
      </c>
      <c r="E18" s="134" t="s">
        <v>13</v>
      </c>
      <c r="F18" s="136">
        <v>173</v>
      </c>
      <c r="G18" s="185">
        <v>2160</v>
      </c>
      <c r="H18" s="158">
        <f>IF(AND(ISNUMBER(D18), ISNUMBER(F18)),
    ROUNDDOWN(
        MIN(
            IF(OR(ISBLANK(I18), I18=""),
                EOMONTH(DATE(LOHNTABELLE!$G$3, $A$1, 1), 0), I18)
            - MAX(D18, DATE(LOHNTABELLE!$G$3, $A$1, 1)) + 1)
        / DAY(EOMONTH(DATE(LOHNTABELLE!$G$3, $A$1, 1), 0)) * F18,
        2
    ),
    ""
)</f>
        <v>173</v>
      </c>
      <c r="I18" s="155"/>
      <c r="J18" s="188"/>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2160</v>
      </c>
      <c r="M18" s="164"/>
      <c r="N18" s="147"/>
      <c r="O18" s="251"/>
      <c r="P18" s="252"/>
      <c r="Q18" s="244"/>
      <c r="R18" s="244"/>
    </row>
    <row r="19" spans="1:29" ht="16" customHeight="1">
      <c r="A19" s="130" t="s">
        <v>89</v>
      </c>
      <c r="B19" s="170">
        <v>401481</v>
      </c>
      <c r="C19" s="132" t="s">
        <v>278</v>
      </c>
      <c r="D19" s="133">
        <v>44531</v>
      </c>
      <c r="E19" s="134" t="s">
        <v>4</v>
      </c>
      <c r="F19" s="136">
        <v>173</v>
      </c>
      <c r="G19" s="185">
        <v>2021</v>
      </c>
      <c r="H19" s="158">
        <f>IF(AND(ISNUMBER(D19), ISNUMBER(F19)),
    ROUNDDOWN(
        MIN(
            IF(OR(ISBLANK(I19), I19=""),
                EOMONTH(DATE(LOHNTABELLE!$G$3, $A$1, 1), 0), I19)
            - MAX(D19, DATE(LOHNTABELLE!$G$3, $A$1, 1)) + 1)
        / DAY(EOMONTH(DATE(LOHNTABELLE!$G$3, $A$1, 1), 0)) * F19,
        2
    ),
    ""
)</f>
        <v>173</v>
      </c>
      <c r="I19" s="155"/>
      <c r="J19" s="188"/>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251"/>
      <c r="P19" s="252"/>
      <c r="Q19" s="244"/>
      <c r="R19" s="244"/>
    </row>
    <row r="20" spans="1:29" ht="16" customHeight="1">
      <c r="A20" s="130" t="s">
        <v>90</v>
      </c>
      <c r="B20" s="170">
        <v>401564</v>
      </c>
      <c r="C20" s="132" t="s">
        <v>279</v>
      </c>
      <c r="D20" s="133">
        <v>44824</v>
      </c>
      <c r="E20" s="134" t="s">
        <v>4</v>
      </c>
      <c r="F20" s="136">
        <v>173</v>
      </c>
      <c r="G20" s="185">
        <v>2021</v>
      </c>
      <c r="H20" s="158">
        <f>IF(AND(ISNUMBER(D20), ISNUMBER(F20)),
    ROUNDDOWN(
        MIN(
            IF(OR(ISBLANK(I20), I20=""),
                EOMONTH(DATE(LOHNTABELLE!$G$3, $A$1, 1), 0), I20)
            - MAX(D20, DATE(LOHNTABELLE!$G$3, $A$1, 1)) + 1)
        / DAY(EOMONTH(DATE(LOHNTABELLE!$G$3, $A$1, 1), 0)) * F20,
        2
    ),
    ""
)</f>
        <v>173</v>
      </c>
      <c r="I20" s="155"/>
      <c r="J20" s="188"/>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2021</v>
      </c>
      <c r="M20" s="164"/>
      <c r="N20" s="147"/>
      <c r="O20" s="251"/>
      <c r="P20" s="252"/>
      <c r="Q20" s="244"/>
      <c r="R20" s="244"/>
    </row>
    <row r="21" spans="1:29" ht="16" customHeight="1">
      <c r="A21" s="131" t="s">
        <v>92</v>
      </c>
      <c r="B21" s="170">
        <v>401089</v>
      </c>
      <c r="C21" s="132" t="s">
        <v>280</v>
      </c>
      <c r="D21" s="133">
        <v>44868</v>
      </c>
      <c r="E21" s="134" t="s">
        <v>8</v>
      </c>
      <c r="F21" s="136">
        <v>173</v>
      </c>
      <c r="G21" s="185">
        <v>2082</v>
      </c>
      <c r="H21" s="158">
        <f>IF(AND(ISNUMBER(D21), ISNUMBER(F21)),
    ROUNDDOWN(
        MIN(
            IF(OR(ISBLANK(I21), I21=""),
                EOMONTH(DATE(LOHNTABELLE!$G$3, $A$1, 1), 0), I21)
            - MAX(D21, DATE(LOHNTABELLE!$G$3, $A$1, 1)) + 1)
        / DAY(EOMONTH(DATE(LOHNTABELLE!$G$3, $A$1, 1), 0)) * F21,
        2
    ),
    ""
)</f>
        <v>173</v>
      </c>
      <c r="I21" s="155"/>
      <c r="J21" s="188"/>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2082</v>
      </c>
      <c r="M21" s="164"/>
      <c r="N21" s="147"/>
      <c r="O21" s="251" t="s">
        <v>356</v>
      </c>
      <c r="P21" s="252"/>
      <c r="Q21" s="244">
        <v>5000</v>
      </c>
      <c r="R21" s="244"/>
    </row>
    <row r="22" spans="1:29" ht="16" customHeight="1">
      <c r="A22" s="130" t="s">
        <v>93</v>
      </c>
      <c r="B22" s="170">
        <v>401583</v>
      </c>
      <c r="C22" s="132" t="s">
        <v>281</v>
      </c>
      <c r="D22" s="133">
        <v>44900</v>
      </c>
      <c r="E22" s="134" t="s">
        <v>21</v>
      </c>
      <c r="F22" s="136">
        <v>173</v>
      </c>
      <c r="G22" s="185">
        <v>2300</v>
      </c>
      <c r="H22" s="158">
        <f>IF(AND(ISNUMBER(D22), ISNUMBER(F22)),
    ROUNDDOWN(
        MIN(
            IF(OR(ISBLANK(I22), I22=""),
                EOMONTH(DATE(LOHNTABELLE!$G$3, $A$1, 1), 0), I22)
            - MAX(D22, DATE(LOHNTABELLE!$G$3, $A$1, 1)) + 1)
        / DAY(EOMONTH(DATE(LOHNTABELLE!$G$3, $A$1, 1), 0)) * F22,
        2
    ),
    ""
)</f>
        <v>173</v>
      </c>
      <c r="I22" s="155"/>
      <c r="J22" s="188"/>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2300</v>
      </c>
      <c r="M22" s="164"/>
      <c r="N22" s="147"/>
      <c r="O22" s="251"/>
      <c r="P22" s="252"/>
      <c r="Q22" s="244"/>
      <c r="R22" s="244"/>
    </row>
    <row r="23" spans="1:29" ht="16" customHeight="1">
      <c r="A23" s="130" t="s">
        <v>94</v>
      </c>
      <c r="B23" s="170">
        <v>401589</v>
      </c>
      <c r="C23" s="132" t="s">
        <v>282</v>
      </c>
      <c r="D23" s="133">
        <v>44926</v>
      </c>
      <c r="E23" s="134" t="s">
        <v>21</v>
      </c>
      <c r="F23" s="136">
        <v>173</v>
      </c>
      <c r="G23" s="185">
        <v>2300</v>
      </c>
      <c r="H23" s="158">
        <f>IF(AND(ISNUMBER(D23), ISNUMBER(F23)),
    ROUNDDOWN(
        MIN(
            IF(OR(ISBLANK(I23), I23=""),
                EOMONTH(DATE(LOHNTABELLE!$G$3, $A$1, 1), 0), I23)
            - MAX(D23, DATE(LOHNTABELLE!$G$3, $A$1, 1)) + 1)
        / DAY(EOMONTH(DATE(LOHNTABELLE!$G$3, $A$1, 1), 0)) * F23,
        2
    ),
    ""
)</f>
        <v>173</v>
      </c>
      <c r="I23" s="155"/>
      <c r="J23" s="188"/>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51"/>
      <c r="P23" s="252"/>
      <c r="Q23" s="244"/>
      <c r="R23" s="244"/>
      <c r="W23" s="45"/>
    </row>
    <row r="24" spans="1:29" ht="16" customHeight="1">
      <c r="A24" s="130" t="s">
        <v>95</v>
      </c>
      <c r="B24" s="170">
        <v>401602</v>
      </c>
      <c r="C24" s="132" t="s">
        <v>283</v>
      </c>
      <c r="D24" s="133">
        <v>45975</v>
      </c>
      <c r="E24" s="134" t="s">
        <v>4</v>
      </c>
      <c r="F24" s="136">
        <v>173</v>
      </c>
      <c r="G24" s="185">
        <v>2021</v>
      </c>
      <c r="H24" s="158">
        <f>IF(AND(ISNUMBER(D24), ISNUMBER(F24)),
    ROUNDDOWN(
        MIN(
            IF(OR(ISBLANK(I24), I24=""),
                EOMONTH(DATE(LOHNTABELLE!$G$3, $A$1, 1), 0), I24)
            - MAX(D24, DATE(LOHNTABELLE!$G$3, $A$1, 1)) + 1)
        / DAY(EOMONTH(DATE(LOHNTABELLE!$G$3, $A$1, 1), 0)) * F24,
        2
    ),
    ""
)</f>
        <v>173</v>
      </c>
      <c r="I24" s="155"/>
      <c r="J24" s="188"/>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2021</v>
      </c>
      <c r="M24" s="164"/>
      <c r="N24" s="147"/>
      <c r="O24" s="251"/>
      <c r="P24" s="252"/>
      <c r="Q24" s="244"/>
      <c r="R24" s="244"/>
      <c r="W24" s="45"/>
    </row>
    <row r="25" spans="1:29" ht="16" customHeight="1" thickBot="1">
      <c r="A25" s="131" t="s">
        <v>96</v>
      </c>
      <c r="B25" s="170">
        <v>401605</v>
      </c>
      <c r="C25" s="132" t="s">
        <v>284</v>
      </c>
      <c r="D25" s="133">
        <v>44986</v>
      </c>
      <c r="E25" s="134" t="s">
        <v>4</v>
      </c>
      <c r="F25" s="136">
        <v>173</v>
      </c>
      <c r="G25" s="185">
        <v>2021</v>
      </c>
      <c r="H25" s="158">
        <f>IF(AND(ISNUMBER(D25), ISNUMBER(F25)),
    ROUNDDOWN(
        MIN(
            IF(OR(ISBLANK(I25), I25=""),
                EOMONTH(DATE(LOHNTABELLE!$G$3, $A$1, 1), 0), I25)
            - MAX(D25, DATE(LOHNTABELLE!$G$3, $A$1, 1)) + 1)
        / DAY(EOMONTH(DATE(LOHNTABELLE!$G$3, $A$1, 1), 0)) * F25,
        2
    ),
    ""
)</f>
        <v>173</v>
      </c>
      <c r="I25" s="155"/>
      <c r="J25" s="188"/>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2021</v>
      </c>
      <c r="M25" s="164"/>
      <c r="N25" s="147"/>
      <c r="O25" s="294"/>
      <c r="P25" s="295"/>
      <c r="Q25" s="286"/>
      <c r="R25" s="286"/>
    </row>
    <row r="26" spans="1:29" ht="16" customHeight="1">
      <c r="A26" s="130" t="s">
        <v>97</v>
      </c>
      <c r="B26" s="170">
        <v>401626</v>
      </c>
      <c r="C26" s="132" t="s">
        <v>285</v>
      </c>
      <c r="D26" s="133">
        <v>45063</v>
      </c>
      <c r="E26" s="134" t="s">
        <v>4</v>
      </c>
      <c r="F26" s="136">
        <v>173</v>
      </c>
      <c r="G26" s="185">
        <v>2021</v>
      </c>
      <c r="H26" s="158">
        <f>IF(AND(ISNUMBER(D26), ISNUMBER(F26)),
    ROUNDDOWN(
        MIN(
            IF(OR(ISBLANK(I26), I26=""),
                EOMONTH(DATE(LOHNTABELLE!$G$3, $A$1, 1), 0), I26)
            - MAX(D26, DATE(LOHNTABELLE!$G$3, $A$1, 1)) + 1)
        / DAY(EOMONTH(DATE(LOHNTABELLE!$G$3, $A$1, 1), 0)) * F26,
        2
    ),
    ""
)</f>
        <v>173</v>
      </c>
      <c r="I26" s="155"/>
      <c r="J26" s="188"/>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96"/>
      <c r="P26" s="297"/>
      <c r="Q26" s="287"/>
      <c r="R26" s="288"/>
    </row>
    <row r="27" spans="1:29" ht="16" customHeight="1">
      <c r="A27" s="130" t="s">
        <v>98</v>
      </c>
      <c r="B27" s="170">
        <v>401633</v>
      </c>
      <c r="C27" s="132" t="s">
        <v>286</v>
      </c>
      <c r="D27" s="133">
        <v>45089</v>
      </c>
      <c r="E27" s="134" t="s">
        <v>21</v>
      </c>
      <c r="F27" s="136">
        <v>173</v>
      </c>
      <c r="G27" s="185">
        <v>2300</v>
      </c>
      <c r="H27" s="158">
        <f>IF(AND(ISNUMBER(D27), ISNUMBER(F27)),
    ROUNDDOWN(
        MIN(
            IF(OR(ISBLANK(I27), I27=""),
                EOMONTH(DATE(LOHNTABELLE!$G$3, $A$1, 1), 0), I27)
            - MAX(D27, DATE(LOHNTABELLE!$G$3, $A$1, 1)) + 1)
        / DAY(EOMONTH(DATE(LOHNTABELLE!$G$3, $A$1, 1), 0)) * F27,
        2
    ),
    ""
)</f>
        <v>173</v>
      </c>
      <c r="I27" s="155"/>
      <c r="J27" s="188"/>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2300</v>
      </c>
      <c r="M27" s="164"/>
      <c r="N27" s="147"/>
      <c r="O27" s="251"/>
      <c r="P27" s="252"/>
      <c r="Q27" s="244"/>
      <c r="R27" s="289"/>
      <c r="S27" s="249" t="s">
        <v>99</v>
      </c>
      <c r="T27" s="250"/>
      <c r="U27" s="250"/>
      <c r="V27" s="250"/>
    </row>
    <row r="28" spans="1:29" ht="16" customHeight="1" thickBot="1">
      <c r="A28" s="130" t="s">
        <v>100</v>
      </c>
      <c r="B28" s="170">
        <v>401647</v>
      </c>
      <c r="C28" s="132" t="s">
        <v>287</v>
      </c>
      <c r="D28" s="133">
        <v>45182</v>
      </c>
      <c r="E28" s="134" t="s">
        <v>4</v>
      </c>
      <c r="F28" s="136">
        <v>173</v>
      </c>
      <c r="G28" s="185">
        <v>2021</v>
      </c>
      <c r="H28" s="158">
        <f>IF(AND(ISNUMBER(D28), ISNUMBER(F28)),
    ROUNDDOWN(
        MIN(
            IF(OR(ISBLANK(I28), I28=""),
                EOMONTH(DATE(LOHNTABELLE!$G$3, $A$1, 1), 0), I28)
            - MAX(D28, DATE(LOHNTABELLE!$G$3, $A$1, 1)) + 1)
        / DAY(EOMONTH(DATE(LOHNTABELLE!$G$3, $A$1, 1), 0)) * F28,
        2
    ),
    ""
)</f>
        <v>173</v>
      </c>
      <c r="I28" s="155"/>
      <c r="J28" s="188"/>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290"/>
      <c r="P28" s="291"/>
      <c r="Q28" s="292"/>
      <c r="R28" s="293"/>
    </row>
    <row r="29" spans="1:29" ht="16" customHeight="1" thickBot="1">
      <c r="A29" s="131" t="s">
        <v>101</v>
      </c>
      <c r="B29" s="170">
        <v>401661</v>
      </c>
      <c r="C29" s="132" t="s">
        <v>288</v>
      </c>
      <c r="D29" s="133">
        <v>45261</v>
      </c>
      <c r="E29" s="134" t="s">
        <v>4</v>
      </c>
      <c r="F29" s="136">
        <v>173</v>
      </c>
      <c r="G29" s="185">
        <v>2021</v>
      </c>
      <c r="H29" s="158">
        <f>IF(AND(ISNUMBER(D29), ISNUMBER(F29)),
    ROUNDDOWN(
        MIN(
            IF(OR(ISBLANK(I29), I29=""),
                EOMONTH(DATE(LOHNTABELLE!$G$3, $A$1, 1), 0), I29)
            - MAX(D29, DATE(LOHNTABELLE!$G$3, $A$1, 1)) + 1)
        / DAY(EOMONTH(DATE(LOHNTABELLE!$G$3, $A$1, 1), 0)) * F29,
        2
    ),
    ""
)</f>
        <v>173</v>
      </c>
      <c r="I29" s="155"/>
      <c r="J29" s="188"/>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2021</v>
      </c>
      <c r="M29" s="164"/>
      <c r="N29" s="147"/>
      <c r="O29" s="282" t="s">
        <v>102</v>
      </c>
      <c r="P29" s="283"/>
      <c r="Q29" s="284">
        <f>EINSTELLUNG!O6</f>
        <v>1</v>
      </c>
      <c r="R29" s="285"/>
    </row>
    <row r="30" spans="1:29" ht="16" customHeight="1">
      <c r="A30" s="130" t="s">
        <v>103</v>
      </c>
      <c r="B30" s="170">
        <v>401670</v>
      </c>
      <c r="C30" s="132" t="s">
        <v>289</v>
      </c>
      <c r="D30" s="133">
        <v>45358</v>
      </c>
      <c r="E30" s="134" t="s">
        <v>4</v>
      </c>
      <c r="F30" s="136">
        <v>173</v>
      </c>
      <c r="G30" s="185">
        <v>2021</v>
      </c>
      <c r="H30" s="158">
        <f>IF(AND(ISNUMBER(D30), ISNUMBER(F30)),
    ROUNDDOWN(
        MIN(
            IF(OR(ISBLANK(I30), I30=""),
                EOMONTH(DATE(LOHNTABELLE!$G$3, $A$1, 1), 0), I30)
            - MAX(D30, DATE(LOHNTABELLE!$G$3, $A$1, 1)) + 1)
        / DAY(EOMONTH(DATE(LOHNTABELLE!$G$3, $A$1, 1), 0)) * F30,
        2
    ),
    ""
)</f>
        <v>173</v>
      </c>
      <c r="I30" s="155"/>
      <c r="J30" s="188"/>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401678</v>
      </c>
      <c r="C31" s="132" t="s">
        <v>290</v>
      </c>
      <c r="D31" s="133">
        <v>45414</v>
      </c>
      <c r="E31" s="134" t="s">
        <v>4</v>
      </c>
      <c r="F31" s="136">
        <v>173</v>
      </c>
      <c r="G31" s="185">
        <v>2021</v>
      </c>
      <c r="H31" s="158">
        <f>IF(AND(ISNUMBER(D31), ISNUMBER(F31)),
    ROUNDDOWN(
        MIN(
            IF(OR(ISBLANK(I31), I31=""),
                EOMONTH(DATE(LOHNTABELLE!$G$3, $A$1, 1), 0), I31)
            - MAX(D31, DATE(LOHNTABELLE!$G$3, $A$1, 1)) + 1)
        / DAY(EOMONTH(DATE(LOHNTABELLE!$G$3, $A$1, 1), 0)) * F31,
        2
    ),
    ""
)</f>
        <v>173</v>
      </c>
      <c r="I31" s="155"/>
      <c r="J31" s="188"/>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98">
        <v>0</v>
      </c>
      <c r="P31" s="299"/>
      <c r="Q31" s="300">
        <v>1.9607843137254902E-2</v>
      </c>
      <c r="R31" s="301"/>
    </row>
    <row r="32" spans="1:29" ht="16" customHeight="1">
      <c r="A32" s="130" t="s">
        <v>106</v>
      </c>
      <c r="B32" s="170">
        <v>401691</v>
      </c>
      <c r="C32" s="132" t="s">
        <v>291</v>
      </c>
      <c r="D32" s="133">
        <v>45539</v>
      </c>
      <c r="E32" s="134" t="s">
        <v>4</v>
      </c>
      <c r="F32" s="136">
        <v>69.2</v>
      </c>
      <c r="G32" s="185">
        <v>808.4</v>
      </c>
      <c r="H32" s="158">
        <f>IF(AND(ISNUMBER(D32), ISNUMBER(F32)),
    ROUNDDOWN(
        MIN(
            IF(OR(ISBLANK(I32), I32=""),
                EOMONTH(DATE(LOHNTABELLE!$G$3, $A$1, 1), 0), I32)
            - MAX(D32, DATE(LOHNTABELLE!$G$3, $A$1, 1)) + 1)
        / DAY(EOMONTH(DATE(LOHNTABELLE!$G$3, $A$1, 1), 0)) * F32,
        2
    ),
    ""
)</f>
        <v>55.8</v>
      </c>
      <c r="I32" s="155">
        <v>46047</v>
      </c>
      <c r="J32" s="188">
        <v>2</v>
      </c>
      <c r="K32" s="161">
        <f t="shared" si="0"/>
        <v>53.893333333333331</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705.82881720430112</v>
      </c>
      <c r="M32" s="164"/>
      <c r="N32" s="147" t="s">
        <v>211</v>
      </c>
    </row>
    <row r="33" spans="1:24" ht="16" customHeight="1">
      <c r="A33" s="131" t="s">
        <v>107</v>
      </c>
      <c r="B33" s="170">
        <v>401690</v>
      </c>
      <c r="C33" s="132" t="s">
        <v>292</v>
      </c>
      <c r="D33" s="133">
        <v>45536</v>
      </c>
      <c r="E33" s="134" t="s">
        <v>4</v>
      </c>
      <c r="F33" s="136">
        <v>173</v>
      </c>
      <c r="G33" s="185">
        <v>2021</v>
      </c>
      <c r="H33" s="158">
        <f>IF(AND(ISNUMBER(D33), ISNUMBER(F33)),
    ROUNDDOWN(
        MIN(
            IF(OR(ISBLANK(I33), I33=""),
                EOMONTH(DATE(LOHNTABELLE!$G$3, $A$1, 1), 0), I33)
            - MAX(D33, DATE(LOHNTABELLE!$G$3, $A$1, 1)) + 1)
        / DAY(EOMONTH(DATE(LOHNTABELLE!$G$3, $A$1, 1), 0)) * F33,
        2
    ),
    ""
)</f>
        <v>173</v>
      </c>
      <c r="I33" s="155"/>
      <c r="J33" s="188"/>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66"/>
      <c r="P33" s="267"/>
      <c r="Q33" s="268" t="s">
        <v>108</v>
      </c>
      <c r="R33" s="269"/>
      <c r="S33" s="272" t="s">
        <v>109</v>
      </c>
      <c r="T33" s="273"/>
      <c r="U33" s="272" t="s">
        <v>110</v>
      </c>
      <c r="V33" s="273"/>
    </row>
    <row r="34" spans="1:24" ht="16" customHeight="1">
      <c r="A34" s="130" t="s">
        <v>111</v>
      </c>
      <c r="B34" s="170">
        <v>401703</v>
      </c>
      <c r="C34" s="132" t="s">
        <v>293</v>
      </c>
      <c r="D34" s="133">
        <v>45616</v>
      </c>
      <c r="E34" s="134" t="s">
        <v>4</v>
      </c>
      <c r="F34" s="136">
        <v>173</v>
      </c>
      <c r="G34" s="185">
        <v>2021</v>
      </c>
      <c r="H34" s="158">
        <f>IF(AND(ISNUMBER(D34), ISNUMBER(F34)),
    ROUNDDOWN(
        MIN(
            IF(OR(ISBLANK(I34), I34=""),
                EOMONTH(DATE(LOHNTABELLE!$G$3, $A$1, 1), 0), I34)
            - MAX(D34, DATE(LOHNTABELLE!$G$3, $A$1, 1)) + 1)
        / DAY(EOMONTH(DATE(LOHNTABELLE!$G$3, $A$1, 1), 0)) * F34,
        2
    ),
    ""
)</f>
        <v>173</v>
      </c>
      <c r="I34" s="155"/>
      <c r="J34" s="188"/>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66"/>
      <c r="P34" s="267"/>
      <c r="Q34" s="270"/>
      <c r="R34" s="271"/>
      <c r="S34" s="274"/>
      <c r="T34" s="275"/>
      <c r="U34" s="274"/>
      <c r="V34" s="275"/>
    </row>
    <row r="35" spans="1:24" ht="16" customHeight="1">
      <c r="A35" s="130" t="s">
        <v>112</v>
      </c>
      <c r="B35" s="170">
        <v>401214</v>
      </c>
      <c r="C35" s="132" t="s">
        <v>294</v>
      </c>
      <c r="D35" s="133">
        <v>45636</v>
      </c>
      <c r="E35" s="134" t="s">
        <v>8</v>
      </c>
      <c r="F35" s="136">
        <v>173</v>
      </c>
      <c r="G35" s="185">
        <v>2082</v>
      </c>
      <c r="H35" s="158">
        <f>IF(AND(ISNUMBER(D35), ISNUMBER(F35)),
    ROUNDDOWN(
        MIN(
            IF(OR(ISBLANK(I35), I35=""),
                EOMONTH(DATE(LOHNTABELLE!$G$3, $A$1, 1), 0), I35)
            - MAX(D35, DATE(LOHNTABELLE!$G$3, $A$1, 1)) + 1)
        / DAY(EOMONTH(DATE(LOHNTABELLE!$G$3, $A$1, 1), 0)) * F35,
        2
    ),
    ""
)</f>
        <v>173</v>
      </c>
      <c r="I35" s="155"/>
      <c r="J35" s="188"/>
      <c r="K35" s="161">
        <f t="shared" ref="K35:K82"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2082</v>
      </c>
      <c r="M35" s="164"/>
      <c r="N35" s="147"/>
      <c r="O35" s="255" t="s">
        <v>113</v>
      </c>
      <c r="P35" s="256"/>
      <c r="Q35" s="257">
        <f>EINSTELLUNG!C6</f>
        <v>1</v>
      </c>
      <c r="R35" s="257"/>
      <c r="S35" s="257">
        <f>EINSTELLUNG!C22</f>
        <v>1</v>
      </c>
      <c r="T35" s="257"/>
      <c r="U35" s="258">
        <f>S35-Q35</f>
        <v>0</v>
      </c>
      <c r="V35" s="258"/>
    </row>
    <row r="36" spans="1:24" ht="16" customHeight="1">
      <c r="A36" s="130" t="s">
        <v>114</v>
      </c>
      <c r="B36" s="170">
        <v>401715</v>
      </c>
      <c r="C36" s="132" t="s">
        <v>295</v>
      </c>
      <c r="D36" s="133">
        <v>45755</v>
      </c>
      <c r="E36" s="134" t="s">
        <v>4</v>
      </c>
      <c r="F36" s="136">
        <v>173</v>
      </c>
      <c r="G36" s="185">
        <v>2021</v>
      </c>
      <c r="H36" s="158">
        <f>IF(AND(ISNUMBER(D36), ISNUMBER(F36)),
    ROUNDDOWN(
        MIN(
            IF(OR(ISBLANK(I36), I36=""),
                EOMONTH(DATE(LOHNTABELLE!$G$3, $A$1, 1), 0), I36)
            - MAX(D36, DATE(LOHNTABELLE!$G$3, $A$1, 1)) + 1)
        / DAY(EOMONTH(DATE(LOHNTABELLE!$G$3, $A$1, 1), 0)) * F36,
        2
    ),
    ""
)</f>
        <v>173</v>
      </c>
      <c r="I36" s="155"/>
      <c r="J36" s="188"/>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55" t="s">
        <v>115</v>
      </c>
      <c r="P36" s="256"/>
      <c r="Q36" s="257">
        <f>EINSTELLUNG!D6</f>
        <v>1</v>
      </c>
      <c r="R36" s="257"/>
      <c r="S36" s="257" cm="1">
        <f t="array" ref="S36">SumMergedCells(Q17:R29)</f>
        <v>95107.828800000003</v>
      </c>
      <c r="T36" s="257"/>
      <c r="U36" s="258">
        <f t="shared" ref="U36:U41" si="2">S36-Q36</f>
        <v>95106.828800000003</v>
      </c>
      <c r="V36" s="258"/>
    </row>
    <row r="37" spans="1:24" ht="16" customHeight="1">
      <c r="A37" s="131" t="s">
        <v>116</v>
      </c>
      <c r="B37" s="170">
        <v>401716</v>
      </c>
      <c r="C37" s="132" t="s">
        <v>296</v>
      </c>
      <c r="D37" s="133">
        <v>45800</v>
      </c>
      <c r="E37" s="134" t="s">
        <v>4</v>
      </c>
      <c r="F37" s="136">
        <v>173</v>
      </c>
      <c r="G37" s="185">
        <v>2021</v>
      </c>
      <c r="H37" s="158">
        <f>IF(AND(ISNUMBER(D37), ISNUMBER(F37)),
    ROUNDDOWN(
        MIN(
            IF(OR(ISBLANK(I37), I37=""),
                EOMONTH(DATE(LOHNTABELLE!$G$3, $A$1, 1), 0), I37)
            - MAX(D37, DATE(LOHNTABELLE!$G$3, $A$1, 1)) + 1)
        / DAY(EOMONTH(DATE(LOHNTABELLE!$G$3, $A$1, 1), 0)) * F37,
        2
    ),
    ""
)</f>
        <v>173</v>
      </c>
      <c r="I37" s="155"/>
      <c r="J37" s="188"/>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55" t="s">
        <v>117</v>
      </c>
      <c r="P37" s="256"/>
      <c r="Q37" s="264">
        <f>IF(ISERROR(Q36/Q35), 0, Q36/Q35)</f>
        <v>1</v>
      </c>
      <c r="R37" s="264"/>
      <c r="S37" s="264">
        <f>IF(ISERROR(S36/S35), 0, S36/S35)</f>
        <v>95107.828800000003</v>
      </c>
      <c r="T37" s="264"/>
      <c r="U37" s="265">
        <f t="shared" si="2"/>
        <v>95106.828800000003</v>
      </c>
      <c r="V37" s="265"/>
    </row>
    <row r="38" spans="1:24" ht="16" customHeight="1">
      <c r="A38" s="130" t="s">
        <v>118</v>
      </c>
      <c r="B38" s="170">
        <v>401717</v>
      </c>
      <c r="C38" s="132" t="s">
        <v>297</v>
      </c>
      <c r="D38" s="133">
        <v>45814</v>
      </c>
      <c r="E38" s="134" t="s">
        <v>4</v>
      </c>
      <c r="F38" s="136">
        <v>173</v>
      </c>
      <c r="G38" s="185">
        <v>2021</v>
      </c>
      <c r="H38" s="158">
        <f>IF(AND(ISNUMBER(D38), ISNUMBER(F38)),
    ROUNDDOWN(
        MIN(
            IF(OR(ISBLANK(I39), I39=""),
                EOMONTH(DATE(LOHNTABELLE!$G$3, $A$1, 1), 0), I39)
            - MAX(D38, DATE(LOHNTABELLE!$G$3, $A$1, 1)) + 1)
        / DAY(EOMONTH(DATE(LOHNTABELLE!$G$3, $A$1, 1), 0)) * F38,
        2
    ),
    ""
)</f>
        <v>173</v>
      </c>
      <c r="I38" s="155"/>
      <c r="J38" s="188"/>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55" t="s">
        <v>119</v>
      </c>
      <c r="P38" s="256"/>
      <c r="Q38" s="259">
        <f>EINSTELLUNG!F6</f>
        <v>1</v>
      </c>
      <c r="R38" s="259"/>
      <c r="S38" s="259">
        <f>EINSTELLUNG!F22</f>
        <v>1</v>
      </c>
      <c r="T38" s="259"/>
      <c r="U38" s="260">
        <f t="shared" si="2"/>
        <v>0</v>
      </c>
      <c r="V38" s="260"/>
    </row>
    <row r="39" spans="1:24" ht="16" customHeight="1">
      <c r="A39" s="130" t="s">
        <v>120</v>
      </c>
      <c r="B39" s="170">
        <v>401722</v>
      </c>
      <c r="C39" s="132" t="s">
        <v>298</v>
      </c>
      <c r="D39" s="133">
        <v>45848</v>
      </c>
      <c r="E39" s="134" t="s">
        <v>4</v>
      </c>
      <c r="F39" s="136">
        <v>86.5</v>
      </c>
      <c r="G39" s="185">
        <v>1010.5</v>
      </c>
      <c r="H39" s="158">
        <f>IF(AND(ISNUMBER(D39), ISNUMBER(F39)),
    ROUNDDOWN(
        MIN(
            IF(OR(ISBLANK(I40), I40=""),
                EOMONTH(DATE(LOHNTABELLE!$G$3, $A$1, 1), 0), I40)
            - MAX(D39, DATE(LOHNTABELLE!$G$3, $A$1, 1)) + 1)
        / DAY(EOMONTH(DATE(LOHNTABELLE!$G$3, $A$1, 1), 0)) * F39,
        2
    ),
    ""
)</f>
        <v>86.5</v>
      </c>
      <c r="I39" s="155"/>
      <c r="J39" s="188"/>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55" t="s">
        <v>121</v>
      </c>
      <c r="P39" s="256"/>
      <c r="Q39" s="257">
        <f>IF(Q38=0, 0, Q35/Q38)</f>
        <v>1</v>
      </c>
      <c r="R39" s="257"/>
      <c r="S39" s="257">
        <f>IF(S38=0, 0, S35/S38)</f>
        <v>1</v>
      </c>
      <c r="T39" s="257"/>
      <c r="U39" s="258">
        <f t="shared" si="2"/>
        <v>0</v>
      </c>
      <c r="V39" s="258"/>
    </row>
    <row r="40" spans="1:24" ht="16" customHeight="1">
      <c r="A40" s="130" t="s">
        <v>122</v>
      </c>
      <c r="B40" s="170">
        <v>401723</v>
      </c>
      <c r="C40" s="132" t="s">
        <v>299</v>
      </c>
      <c r="D40" s="133">
        <v>45852</v>
      </c>
      <c r="E40" s="134" t="s">
        <v>4</v>
      </c>
      <c r="F40" s="136">
        <v>86.5</v>
      </c>
      <c r="G40" s="185">
        <v>1010.5</v>
      </c>
      <c r="H40" s="158">
        <f>IF(AND(ISNUMBER(D40), ISNUMBER(F40)),
    ROUNDDOWN(
        MIN(
            IF(OR(ISBLANK(I40), I40=""),
                EOMONTH(DATE(LOHNTABELLE!$G$3, $A$1, 1), 0), I40)
            - MAX(D40, DATE(LOHNTABELLE!$G$3, $A$1, 1)) + 1)
        / DAY(EOMONTH(DATE(LOHNTABELLE!$G$3, $A$1, 1), 0)) * F40,
        2
    ),
    ""
)</f>
        <v>86.5</v>
      </c>
      <c r="I40" s="155"/>
      <c r="J40" s="188"/>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55" t="s">
        <v>123</v>
      </c>
      <c r="P40" s="256"/>
      <c r="Q40" s="257">
        <f>IF(Q13=0, 0, Q35/Q13)</f>
        <v>1.3347927066926506E-4</v>
      </c>
      <c r="R40" s="257"/>
      <c r="S40" s="257">
        <f>IF(Q13=0, 0, S35/Q13)</f>
        <v>1.3347927066926506E-4</v>
      </c>
      <c r="T40" s="257"/>
      <c r="U40" s="258">
        <f t="shared" si="2"/>
        <v>0</v>
      </c>
      <c r="V40" s="258"/>
    </row>
    <row r="41" spans="1:24" ht="16" customHeight="1">
      <c r="A41" s="131" t="s">
        <v>124</v>
      </c>
      <c r="B41" s="170">
        <v>401726</v>
      </c>
      <c r="C41" s="132" t="s">
        <v>300</v>
      </c>
      <c r="D41" s="133">
        <v>45870</v>
      </c>
      <c r="E41" s="134" t="s">
        <v>4</v>
      </c>
      <c r="F41" s="136">
        <v>86.5</v>
      </c>
      <c r="G41" s="185">
        <v>1010.5</v>
      </c>
      <c r="H41" s="158">
        <f>IF(AND(ISNUMBER(D41), ISNUMBER(F41)),
    ROUNDDOWN(
        MIN(
            IF(OR(ISBLANK(I41), I41=""),
                EOMONTH(DATE(LOHNTABELLE!$G$3, $A$1, 1), 0), I41)
            - MAX(D41, DATE(LOHNTABELLE!$G$3, $A$1, 1)) + 1)
        / DAY(EOMONTH(DATE(LOHNTABELLE!$G$3, $A$1, 1), 0)) * F41,
        2
    ),
    ""
)</f>
        <v>86.5</v>
      </c>
      <c r="I41" s="155"/>
      <c r="J41" s="188"/>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55" t="s">
        <v>125</v>
      </c>
      <c r="P41" s="256"/>
      <c r="Q41" s="259">
        <f>IF(Q13=0, 0, Q38/Q13)</f>
        <v>1.3347927066926506E-4</v>
      </c>
      <c r="R41" s="259"/>
      <c r="S41" s="259">
        <f>IF(Q13=0, 0, S38/Q13)</f>
        <v>1.3347927066926506E-4</v>
      </c>
      <c r="T41" s="259"/>
      <c r="U41" s="260">
        <f t="shared" si="2"/>
        <v>0</v>
      </c>
      <c r="V41" s="260"/>
    </row>
    <row r="42" spans="1:24" ht="16" customHeight="1">
      <c r="A42" s="130" t="s">
        <v>126</v>
      </c>
      <c r="B42" s="170">
        <v>401731</v>
      </c>
      <c r="C42" s="132" t="s">
        <v>301</v>
      </c>
      <c r="D42" s="133">
        <v>45899</v>
      </c>
      <c r="E42" s="134" t="s">
        <v>4</v>
      </c>
      <c r="F42" s="136">
        <v>86.5</v>
      </c>
      <c r="G42" s="185">
        <v>1010.5</v>
      </c>
      <c r="H42" s="158">
        <f>IF(AND(ISNUMBER(D42), ISNUMBER(F42)),
    ROUNDDOWN(
        MIN(
            IF(OR(ISBLANK(I42), I42=""),
                EOMONTH(DATE(LOHNTABELLE!$G$3, $A$1, 1), 0), I42)
            - MAX(D42, DATE(LOHNTABELLE!$G$3, $A$1, 1)) + 1)
        / DAY(EOMONTH(DATE(LOHNTABELLE!$G$3, $A$1, 1), 0)) * F42,
        2
    ),
    ""
)</f>
        <v>86.5</v>
      </c>
      <c r="I42" s="155"/>
      <c r="J42" s="188"/>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55" t="s">
        <v>127</v>
      </c>
      <c r="P42" s="256"/>
      <c r="Q42" s="261">
        <f>IFERROR(Q17/Q8, 0)</f>
        <v>12.022579497412114</v>
      </c>
      <c r="R42" s="262"/>
      <c r="S42" s="262"/>
      <c r="T42" s="262"/>
      <c r="U42" s="262"/>
      <c r="V42" s="263"/>
    </row>
    <row r="43" spans="1:24" ht="16" customHeight="1">
      <c r="A43" s="130" t="s">
        <v>128</v>
      </c>
      <c r="B43" s="170">
        <v>401730</v>
      </c>
      <c r="C43" s="132" t="s">
        <v>302</v>
      </c>
      <c r="D43" s="133">
        <v>45895</v>
      </c>
      <c r="E43" s="134" t="s">
        <v>4</v>
      </c>
      <c r="F43" s="136">
        <v>86.5</v>
      </c>
      <c r="G43" s="185">
        <v>1010.5</v>
      </c>
      <c r="H43" s="158">
        <f>IF(AND(ISNUMBER(D43), ISNUMBER(F43)),
    ROUNDDOWN(
        MIN(
            IF(OR(ISBLANK(I43), I43=""),
                EOMONTH(DATE(LOHNTABELLE!$G$3, $A$1, 1), 0), I43)
            - MAX(D43, DATE(LOHNTABELLE!$G$3, $A$1, 1)) + 1)
        / DAY(EOMONTH(DATE(LOHNTABELLE!$G$3, $A$1, 1), 0)) * F43,
        2
    ),
    ""
)</f>
        <v>86.5</v>
      </c>
      <c r="I43" s="155"/>
      <c r="J43" s="188"/>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2" t="s">
        <v>303</v>
      </c>
      <c r="D44" s="133">
        <v>45904</v>
      </c>
      <c r="E44" s="134" t="s">
        <v>4</v>
      </c>
      <c r="F44" s="136">
        <v>86.5</v>
      </c>
      <c r="G44" s="185">
        <v>1010.5</v>
      </c>
      <c r="H44" s="158">
        <f>IF(AND(ISNUMBER(D44), ISNUMBER(F44)),
    ROUNDDOWN(
        MIN(
            IF(OR(ISBLANK(I44), I44=""),
                EOMONTH(DATE(LOHNTABELLE!$G$3, $A$1, 1), 0), I44)
            - MAX(D44, DATE(LOHNTABELLE!$G$3, $A$1, 1)) + 1)
        / DAY(EOMONTH(DATE(LOHNTABELLE!$G$3, $A$1, 1), 0)) * F44,
        2
    ),
    ""
)</f>
        <v>86.5</v>
      </c>
      <c r="I44" s="155"/>
      <c r="J44" s="188"/>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2" t="s">
        <v>304</v>
      </c>
      <c r="D45" s="13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55"/>
      <c r="J45" s="188"/>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2" t="s">
        <v>305</v>
      </c>
      <c r="D46" s="133">
        <v>45906</v>
      </c>
      <c r="E46" s="134" t="s">
        <v>4</v>
      </c>
      <c r="F46" s="136">
        <v>86.5</v>
      </c>
      <c r="G46" s="185">
        <v>1010.5</v>
      </c>
      <c r="H46" s="158">
        <f>IF(AND(ISNUMBER(D46), ISNUMBER(F46)),
    ROUNDDOWN(
        MIN(
            IF(OR(ISBLANK(I46), I46=""),
                EOMONTH(DATE(LOHNTABELLE!$G$3, $A$1, 1), 0), I46)
            - MAX(D46, DATE(LOHNTABELLE!$G$3, $A$1, 1)) + 1)
        / DAY(EOMONTH(DATE(LOHNTABELLE!$G$3, $A$1, 1), 0)) * F46,
        2
    ),
    ""
)</f>
        <v>86.5</v>
      </c>
      <c r="I46" s="155"/>
      <c r="J46" s="188"/>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2" t="s">
        <v>306</v>
      </c>
      <c r="D47" s="133">
        <v>45909</v>
      </c>
      <c r="E47" s="134" t="s">
        <v>4</v>
      </c>
      <c r="F47" s="136">
        <v>86.5</v>
      </c>
      <c r="G47" s="185">
        <v>1010.5</v>
      </c>
      <c r="H47" s="158">
        <f>IF(AND(ISNUMBER(D47), ISNUMBER(F47)),
    ROUNDDOWN(
        MIN(
            IF(OR(ISBLANK(I47), I47=""),
                EOMONTH(DATE(LOHNTABELLE!$G$3, $A$1, 1), 0), I47)
            - MAX(D47, DATE(LOHNTABELLE!$G$3, $A$1, 1)) + 1)
        / DAY(EOMONTH(DATE(LOHNTABELLE!$G$3, $A$1, 1), 0)) * F47,
        2
    ),
    ""
)</f>
        <v>86.5</v>
      </c>
      <c r="I47" s="155"/>
      <c r="J47" s="188"/>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401747</v>
      </c>
      <c r="C48" s="137" t="s">
        <v>307</v>
      </c>
      <c r="D48" s="138">
        <v>45941</v>
      </c>
      <c r="E48" s="134" t="s">
        <v>4</v>
      </c>
      <c r="F48" s="136">
        <v>86.5</v>
      </c>
      <c r="G48" s="185">
        <v>1010.5</v>
      </c>
      <c r="H48" s="158">
        <f>IF(AND(ISNUMBER(D48), ISNUMBER(F48)),
    ROUNDDOWN(
        MIN(
            IF(OR(ISBLANK(I48), I48=""),
                EOMONTH(DATE(LOHNTABELLE!$G$3, $A$1, 1), 0), I48)
            - MAX(D48, DATE(LOHNTABELLE!$G$3, $A$1, 1)) + 1)
        / DAY(EOMONTH(DATE(LOHNTABELLE!$G$3, $A$1, 1), 0)) * F48,
        2
    ),
    ""
)</f>
        <v>86.5</v>
      </c>
      <c r="I48" s="155"/>
      <c r="J48" s="188"/>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401748</v>
      </c>
      <c r="C49" s="137" t="s">
        <v>308</v>
      </c>
      <c r="D49" s="138">
        <v>45941</v>
      </c>
      <c r="E49" s="134" t="s">
        <v>4</v>
      </c>
      <c r="F49" s="136">
        <v>86.5</v>
      </c>
      <c r="G49" s="185">
        <v>1010.5</v>
      </c>
      <c r="H49" s="158">
        <f>IF(AND(ISNUMBER(D49), ISNUMBER(F49)),
    ROUNDDOWN(
        MIN(
            IF(OR(ISBLANK(I49), I49=""),
                EOMONTH(DATE(LOHNTABELLE!$G$3, $A$1, 1), 0), I49)
            - MAX(D49, DATE(LOHNTABELLE!$G$3, $A$1, 1)) + 1)
        / DAY(EOMONTH(DATE(LOHNTABELLE!$G$3, $A$1, 1), 0)) * F49,
        2
    ),
    ""
)</f>
        <v>86.5</v>
      </c>
      <c r="I49" s="155"/>
      <c r="J49" s="188"/>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401746</v>
      </c>
      <c r="C50" s="139" t="s">
        <v>309</v>
      </c>
      <c r="D50" s="138">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55"/>
      <c r="J50" s="188"/>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401745</v>
      </c>
      <c r="C51" s="137" t="s">
        <v>310</v>
      </c>
      <c r="D51" s="138">
        <v>45934</v>
      </c>
      <c r="E51" s="134" t="s">
        <v>4</v>
      </c>
      <c r="F51" s="136">
        <v>86.5</v>
      </c>
      <c r="G51" s="185">
        <v>1010.5</v>
      </c>
      <c r="H51" s="158">
        <f>IF(AND(ISNUMBER(D51), ISNUMBER(F51)),
    ROUNDDOWN(
        MIN(
            IF(OR(ISBLANK(I51), I51=""),
                EOMONTH(DATE(LOHNTABELLE!$G$3, $A$1, 1), 0), I51)
            - MAX(D51, DATE(LOHNTABELLE!$G$3, $A$1, 1)) + 1)
        / DAY(EOMONTH(DATE(LOHNTABELLE!$G$3, $A$1, 1), 0)) * F51,
        2
    ),
    ""
)</f>
        <v>86.5</v>
      </c>
      <c r="I51" s="155"/>
      <c r="J51" s="188"/>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138">
        <v>45961</v>
      </c>
      <c r="E52" s="134" t="s">
        <v>4</v>
      </c>
      <c r="F52" s="136">
        <v>86.5</v>
      </c>
      <c r="G52" s="185">
        <v>1010.5</v>
      </c>
      <c r="H52" s="158">
        <f>IF(AND(ISNUMBER(D52), ISNUMBER(F52)),
    ROUNDDOWN(
        MIN(
            IF(OR(ISBLANK(I52), I52=""),
                EOMONTH(DATE(LOHNTABELLE!$G$3, $A$1, 1), 0), I52)
            - MAX(D52, DATE(LOHNTABELLE!$G$3, $A$1, 1)) + 1)
        / DAY(EOMONTH(DATE(LOHNTABELLE!$G$3, $A$1, 1), 0)) * F52,
        2
    ),
    ""
)</f>
        <v>86.5</v>
      </c>
      <c r="I52" s="155"/>
      <c r="J52" s="188"/>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138">
        <v>45986</v>
      </c>
      <c r="E53" s="134" t="s">
        <v>4</v>
      </c>
      <c r="F53" s="136">
        <v>86.5</v>
      </c>
      <c r="G53" s="185">
        <v>1010.5</v>
      </c>
      <c r="H53" s="158">
        <f>IF(AND(ISNUMBER(D53), ISNUMBER(F53)),
    ROUNDDOWN(
        MIN(
            IF(OR(ISBLANK(I53), I53=""),
                EOMONTH(DATE(LOHNTABELLE!$G$3, $A$1, 1), 0), I53)
            - MAX(D53, DATE(LOHNTABELLE!$G$3, $A$1, 1)) + 1)
        / DAY(EOMONTH(DATE(LOHNTABELLE!$G$3, $A$1, 1), 0)) * F53,
        2
    ),
    ""
)</f>
        <v>86.5</v>
      </c>
      <c r="I53" s="155"/>
      <c r="J53" s="188"/>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401754</v>
      </c>
      <c r="C54" s="137" t="s">
        <v>313</v>
      </c>
      <c r="D54" s="138">
        <v>46014</v>
      </c>
      <c r="E54" s="134" t="s">
        <v>4</v>
      </c>
      <c r="F54" s="136">
        <v>86.5</v>
      </c>
      <c r="G54" s="185">
        <v>1010.5</v>
      </c>
      <c r="H54" s="158">
        <f>IF(AND(ISNUMBER(D54), ISNUMBER(F54)),
    ROUNDDOWN(
        MIN(
            IF(OR(ISBLANK(I54), I54=""),
                EOMONTH(DATE(LOHNTABELLE!$G$3, $A$1, 1), 0), I54)
            - MAX(D54, DATE(LOHNTABELLE!$G$3, $A$1, 1)) + 1)
        / DAY(EOMONTH(DATE(LOHNTABELLE!$G$3, $A$1, 1), 0)) * F54,
        2
    ),
    ""
)</f>
        <v>86.5</v>
      </c>
      <c r="I54" s="155"/>
      <c r="J54" s="188"/>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1010.5</v>
      </c>
      <c r="M54" s="164"/>
      <c r="N54" s="147"/>
    </row>
    <row r="55" spans="1:14" ht="16" customHeight="1">
      <c r="A55" s="130" t="s">
        <v>141</v>
      </c>
      <c r="B55" s="170"/>
      <c r="C55" s="137"/>
      <c r="D55" s="138"/>
      <c r="E55" s="134"/>
      <c r="F55" s="136"/>
      <c r="G55" s="185"/>
      <c r="H55" s="158" t="str">
        <f>IF(AND(ISNUMBER(D55), ISNUMBER(F55)),
    ROUNDDOWN(
        MIN(
            IF(OR(ISBLANK(I55), I55=""),
                EOMONTH(DATE(LOHNTABELLE!$G$3, $A$1, 1), 0), I55)
            - MAX(D55, DATE(LOHNTABELLE!$G$3, $A$1, 1)) + 1)
        / DAY(EOMONTH(DATE(LOHNTABELLE!$G$3, $A$1, 1), 0)) * F55,
        2
    ),
    ""
)</f>
        <v/>
      </c>
      <c r="I55" s="155"/>
      <c r="J55" s="188"/>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0</v>
      </c>
      <c r="M55" s="164"/>
      <c r="N55" s="147"/>
    </row>
    <row r="56" spans="1:14" ht="16" customHeight="1">
      <c r="A56" s="130" t="s">
        <v>142</v>
      </c>
      <c r="B56" s="170"/>
      <c r="C56" s="137"/>
      <c r="D56" s="138"/>
      <c r="E56" s="134"/>
      <c r="F56" s="136"/>
      <c r="G56" s="185"/>
      <c r="H56" s="158" t="str">
        <f>IF(AND(ISNUMBER(D56), ISNUMBER(F56)),
    ROUNDDOWN(
        MIN(
            IF(OR(ISBLANK(I56), I56=""),
                EOMONTH(DATE(LOHNTABELLE!$G$3, $A$1, 1), 0), I56)
            - MAX(D56, DATE(LOHNTABELLE!$G$3, $A$1, 1)) + 1)
        / DAY(EOMONTH(DATE(LOHNTABELLE!$G$3, $A$1, 1), 0)) * F56,
        2
    ),
    ""
)</f>
        <v/>
      </c>
      <c r="I56" s="155"/>
      <c r="J56" s="188"/>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1" t="s">
        <v>143</v>
      </c>
      <c r="B57" s="170"/>
      <c r="C57" s="137"/>
      <c r="D57" s="138"/>
      <c r="E57" s="134"/>
      <c r="F57" s="136"/>
      <c r="G57" s="185"/>
      <c r="H57" s="158" t="str">
        <f>IF(AND(ISNUMBER(D57), ISNUMBER(F57)),
    ROUNDDOWN(
        MIN(
            IF(OR(ISBLANK(I57), I57=""),
                EOMONTH(DATE(LOHNTABELLE!$G$3, $A$1, 1), 0), I57)
            - MAX(D57, DATE(LOHNTABELLE!$G$3, $A$1, 1)) + 1)
        / DAY(EOMONTH(DATE(LOHNTABELLE!$G$3, $A$1, 1), 0)) * F57,
        2
    ),
    ""
)</f>
        <v/>
      </c>
      <c r="I57" s="155"/>
      <c r="J57" s="188"/>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138"/>
      <c r="E58" s="134"/>
      <c r="F58" s="136"/>
      <c r="G58" s="185"/>
      <c r="H58" s="158" t="str">
        <f>IF(AND(ISNUMBER(D58), ISNUMBER(F58)),
    ROUNDDOWN(
        MIN(
            IF(OR(ISBLANK(I58), I58=""),
                EOMONTH(DATE(LOHNTABELLE!$G$3, $A$1, 1), 0), I58)
            - MAX(D58, DATE(LOHNTABELLE!$G$3, $A$1, 1)) + 1)
        / DAY(EOMONTH(DATE(LOHNTABELLE!$G$3, $A$1, 1), 0)) * F58,
        2
    ),
    ""
)</f>
        <v/>
      </c>
      <c r="I58" s="155"/>
      <c r="J58" s="188"/>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138"/>
      <c r="E59" s="134"/>
      <c r="F59" s="136"/>
      <c r="G59" s="185"/>
      <c r="H59" s="158" t="str">
        <f>IF(AND(ISNUMBER(D59), ISNUMBER(F59)),
    ROUNDDOWN(
        MIN(
            IF(OR(ISBLANK(I59), I59=""),
                EOMONTH(DATE(LOHNTABELLE!$G$3, $A$1, 1), 0), I59)
            - MAX(D59, DATE(LOHNTABELLE!$G$3, $A$1, 1)) + 1)
        / DAY(EOMONTH(DATE(LOHNTABELLE!$G$3, $A$1, 1), 0)) * F59,
        2
    ),
    ""
)</f>
        <v/>
      </c>
      <c r="I59" s="155"/>
      <c r="J59" s="188"/>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138"/>
      <c r="E60" s="134"/>
      <c r="F60" s="136"/>
      <c r="G60" s="185"/>
      <c r="H60" s="158" t="str">
        <f>IF(AND(ISNUMBER(D60), ISNUMBER(F60)),
    ROUNDDOWN(
        MIN(
            IF(OR(ISBLANK(I60), I60=""),
                EOMONTH(DATE(LOHNTABELLE!$G$3, $A$1, 1), 0), I60)
            - MAX(D60, DATE(LOHNTABELLE!$G$3, $A$1, 1)) + 1)
        / DAY(EOMONTH(DATE(LOHNTABELLE!$G$3, $A$1, 1), 0)) * F60,
        2
    ),
    ""
)</f>
        <v/>
      </c>
      <c r="I60" s="155"/>
      <c r="J60" s="188"/>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138"/>
      <c r="E61" s="134"/>
      <c r="F61" s="136"/>
      <c r="G61" s="185"/>
      <c r="H61" s="158" t="str">
        <f>IF(AND(ISNUMBER(D61), ISNUMBER(F61)),
    ROUNDDOWN(
        MIN(
            IF(OR(ISBLANK(I61), I61=""),
                EOMONTH(DATE(LOHNTABELLE!$G$3, $A$1, 1), 0), I61)
            - MAX(D61, DATE(LOHNTABELLE!$G$3, $A$1, 1)) + 1)
        / DAY(EOMONTH(DATE(LOHNTABELLE!$G$3, $A$1, 1), 0)) * F61,
        2
    ),
    ""
)</f>
        <v/>
      </c>
      <c r="I61" s="155"/>
      <c r="J61" s="188"/>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138"/>
      <c r="E62" s="134"/>
      <c r="F62" s="136"/>
      <c r="G62" s="185"/>
      <c r="H62" s="158" t="str">
        <f>IF(AND(ISNUMBER(D62), ISNUMBER(F62)),
    ROUNDDOWN(
        MIN(
            IF(OR(ISBLANK(I62), I62=""),
                EOMONTH(DATE(LOHNTABELLE!$G$3, $A$1, 1), 0), I62)
            - MAX(D62, DATE(LOHNTABELLE!$G$3, $A$1, 1)) + 1)
        / DAY(EOMONTH(DATE(LOHNTABELLE!$G$3, $A$1, 1), 0)) * F62,
        2
    ),
    ""
)</f>
        <v/>
      </c>
      <c r="I62" s="155"/>
      <c r="J62" s="188"/>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138"/>
      <c r="E63" s="134"/>
      <c r="F63" s="136"/>
      <c r="G63" s="185"/>
      <c r="H63" s="158" t="str">
        <f>IF(AND(ISNUMBER(D63), ISNUMBER(F63)),
    ROUNDDOWN(
        MIN(
            IF(OR(ISBLANK(I63), I63=""),
                EOMONTH(DATE(LOHNTABELLE!$G$3, $A$1, 1), 0), I63)
            - MAX(D63, DATE(LOHNTABELLE!$G$3, $A$1, 1)) + 1)
        / DAY(EOMONTH(DATE(LOHNTABELLE!$G$3, $A$1, 1), 0)) * F63,
        2
    ),
    ""
)</f>
        <v/>
      </c>
      <c r="I63" s="155"/>
      <c r="J63" s="188"/>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138"/>
      <c r="E64" s="134"/>
      <c r="F64" s="136"/>
      <c r="G64" s="185"/>
      <c r="H64" s="158" t="str">
        <f>IF(AND(ISNUMBER(D64), ISNUMBER(F64)),
    ROUNDDOWN(
        MIN(
            IF(OR(ISBLANK(I64), I64=""),
                EOMONTH(DATE(LOHNTABELLE!$G$3, $A$1, 1), 0), I64)
            - MAX(D64, DATE(LOHNTABELLE!$G$3, $A$1, 1)) + 1)
        / DAY(EOMONTH(DATE(LOHNTABELLE!$G$3, $A$1, 1), 0)) * F64,
        2
    ),
    ""
)</f>
        <v/>
      </c>
      <c r="I64" s="155"/>
      <c r="J64" s="188"/>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38"/>
      <c r="E65" s="134"/>
      <c r="F65" s="136"/>
      <c r="G65" s="185"/>
      <c r="H65" s="158" t="str">
        <f>IF(AND(ISNUMBER(D65), ISNUMBER(F65)),
    ROUNDDOWN(
        MIN(
            IF(OR(ISBLANK(I65), I65=""),
                EOMONTH(DATE(LOHNTABELLE!$G$3, $A$1, 1), 0), I65)
            - MAX(D65, DATE(LOHNTABELLE!$G$3, $A$1, 1)) + 1)
        / DAY(EOMONTH(DATE(LOHNTABELLE!$G$3, $A$1, 1), 0)) * F65,
        2
    ),
    ""
)</f>
        <v/>
      </c>
      <c r="I65" s="155"/>
      <c r="J65" s="188"/>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38"/>
      <c r="E66" s="134"/>
      <c r="F66" s="136"/>
      <c r="G66" s="185"/>
      <c r="H66" s="158" t="str">
        <f>IF(AND(ISNUMBER(D66), ISNUMBER(F66)),
    ROUNDDOWN(
        MIN(
            IF(OR(ISBLANK(I66), I66=""),
                EOMONTH(DATE(LOHNTABELLE!$G$3, $A$1, 1), 0), I66)
            - MAX(D66, DATE(LOHNTABELLE!$G$3, $A$1, 1)) + 1)
        / DAY(EOMONTH(DATE(LOHNTABELLE!$G$3, $A$1, 1), 0)) * F66,
        2
    ),
    ""
)</f>
        <v/>
      </c>
      <c r="I66" s="155"/>
      <c r="J66" s="188"/>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38"/>
      <c r="E67" s="134"/>
      <c r="F67" s="136"/>
      <c r="G67" s="185"/>
      <c r="H67" s="158" t="str">
        <f>IF(AND(ISNUMBER(D67), ISNUMBER(F67)),
    ROUNDDOWN(
        MIN(
            IF(OR(ISBLANK(I67), I67=""),
                EOMONTH(DATE(LOHNTABELLE!$G$3, $A$1, 1), 0), I67)
            - MAX(D67, DATE(LOHNTABELLE!$G$3, $A$1, 1)) + 1)
        / DAY(EOMONTH(DATE(LOHNTABELLE!$G$3, $A$1, 1), 0)) * F67,
        2
    ),
    ""
)</f>
        <v/>
      </c>
      <c r="I67" s="155"/>
      <c r="J67" s="188"/>
      <c r="K67" s="161">
        <f t="shared" si="1"/>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38"/>
      <c r="E68" s="134"/>
      <c r="F68" s="136"/>
      <c r="G68" s="185"/>
      <c r="H68" s="158" t="str">
        <f>IF(AND(ISNUMBER(D68), ISNUMBER(F68)),
    ROUNDDOWN(
        MIN(
            IF(OR(ISBLANK(I68), I68=""),
                EOMONTH(DATE(LOHNTABELLE!$G$3, $A$1, 1), 0), I68)
            - MAX(D68, DATE(LOHNTABELLE!$G$3, $A$1, 1)) + 1)
        / DAY(EOMONTH(DATE(LOHNTABELLE!$G$3, $A$1, 1), 0)) * F68,
        2
    ),
    ""
)</f>
        <v/>
      </c>
      <c r="I68" s="155"/>
      <c r="J68" s="188"/>
      <c r="K68" s="161">
        <f t="shared" si="1"/>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38"/>
      <c r="E69" s="134"/>
      <c r="F69" s="136"/>
      <c r="G69" s="185"/>
      <c r="H69" s="158" t="str">
        <f>IF(AND(ISNUMBER(D69), ISNUMBER(F69)),
    ROUNDDOWN(
        MIN(
            IF(OR(ISBLANK(I69), I69=""),
                EOMONTH(DATE(LOHNTABELLE!$G$3, $A$1, 1), 0), I69)
            - MAX(D69, DATE(LOHNTABELLE!$G$3, $A$1, 1)) + 1)
        / DAY(EOMONTH(DATE(LOHNTABELLE!$G$3, $A$1, 1), 0)) * F69,
        2
    ),
    ""
)</f>
        <v/>
      </c>
      <c r="I69" s="155"/>
      <c r="J69" s="188"/>
      <c r="K69" s="161">
        <f t="shared" si="1"/>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38"/>
      <c r="E70" s="134"/>
      <c r="F70" s="136"/>
      <c r="G70" s="185"/>
      <c r="H70" s="158" t="str">
        <f>IF(AND(ISNUMBER(D70), ISNUMBER(F70)),
    ROUNDDOWN(
        MIN(
            IF(OR(ISBLANK(I70), I70=""),
                EOMONTH(DATE(LOHNTABELLE!$G$3, $A$1, 1), 0), I70)
            - MAX(D70, DATE(LOHNTABELLE!$G$3, $A$1, 1)) + 1)
        / DAY(EOMONTH(DATE(LOHNTABELLE!$G$3, $A$1, 1), 0)) * F70,
        2
    ),
    ""
)</f>
        <v/>
      </c>
      <c r="I70" s="155"/>
      <c r="J70" s="188"/>
      <c r="K70" s="161">
        <f t="shared" si="1"/>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38"/>
      <c r="E71" s="134"/>
      <c r="F71" s="136"/>
      <c r="G71" s="185"/>
      <c r="H71" s="158" t="str">
        <f>IF(AND(ISNUMBER(D71), ISNUMBER(F71)),
    ROUNDDOWN(
        MIN(
            IF(OR(ISBLANK(I71), I71=""),
                EOMONTH(DATE(LOHNTABELLE!$G$3, $A$1, 1), 0), I71)
            - MAX(D71, DATE(LOHNTABELLE!$G$3, $A$1, 1)) + 1)
        / DAY(EOMONTH(DATE(LOHNTABELLE!$G$3, $A$1, 1), 0)) * F71,
        2
    ),
    ""
)</f>
        <v/>
      </c>
      <c r="I71" s="155"/>
      <c r="J71" s="188"/>
      <c r="K71" s="161">
        <f t="shared" si="1"/>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38"/>
      <c r="E72" s="134"/>
      <c r="F72" s="136"/>
      <c r="G72" s="185"/>
      <c r="H72" s="158" t="str">
        <f>IF(AND(ISNUMBER(D72), ISNUMBER(F72)),
    ROUNDDOWN(
        MIN(
            IF(OR(ISBLANK(I72), I72=""),
                EOMONTH(DATE(LOHNTABELLE!$G$3, $A$1, 1), 0), I72)
            - MAX(D72, DATE(LOHNTABELLE!$G$3, $A$1, 1)) + 1)
        / DAY(EOMONTH(DATE(LOHNTABELLE!$G$3, $A$1, 1), 0)) * F72,
        2
    ),
    ""
)</f>
        <v/>
      </c>
      <c r="I72" s="155"/>
      <c r="J72" s="188"/>
      <c r="K72" s="161">
        <f t="shared" si="1"/>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38"/>
      <c r="E73" s="134"/>
      <c r="F73" s="136"/>
      <c r="G73" s="185"/>
      <c r="H73" s="158" t="str">
        <f>IF(AND(ISNUMBER(D73), ISNUMBER(F73)),
    ROUNDDOWN(
        MIN(
            IF(OR(ISBLANK(I73), I73=""),
                EOMONTH(DATE(LOHNTABELLE!$G$3, $A$1, 1), 0), I73)
            - MAX(D73, DATE(LOHNTABELLE!$G$3, $A$1, 1)) + 1)
        / DAY(EOMONTH(DATE(LOHNTABELLE!$G$3, $A$1, 1), 0)) * F73,
        2
    ),
    ""
)</f>
        <v/>
      </c>
      <c r="I73" s="155"/>
      <c r="J73" s="188"/>
      <c r="K73" s="161">
        <f t="shared" si="1"/>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38"/>
      <c r="E74" s="134"/>
      <c r="F74" s="136"/>
      <c r="G74" s="185"/>
      <c r="H74" s="158" t="str">
        <f>IF(AND(ISNUMBER(D74), ISNUMBER(F74)),
    ROUNDDOWN(
        MIN(
            IF(OR(ISBLANK(I74), I74=""),
                EOMONTH(DATE(LOHNTABELLE!$G$3, $A$1, 1), 0), I74)
            - MAX(D74, DATE(LOHNTABELLE!$G$3, $A$1, 1)) + 1)
        / DAY(EOMONTH(DATE(LOHNTABELLE!$G$3, $A$1, 1), 0)) * F74,
        2
    ),
    ""
)</f>
        <v/>
      </c>
      <c r="I74" s="155"/>
      <c r="J74" s="188"/>
      <c r="K74" s="161">
        <f t="shared" si="1"/>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38"/>
      <c r="E75" s="134"/>
      <c r="F75" s="136"/>
      <c r="G75" s="185"/>
      <c r="H75" s="158" t="str">
        <f>IF(AND(ISNUMBER(D75), ISNUMBER(F75)),
    ROUNDDOWN(
        MIN(
            IF(OR(ISBLANK(I75), I75=""),
                EOMONTH(DATE(LOHNTABELLE!$G$3, $A$1, 1), 0), I75)
            - MAX(D75, DATE(LOHNTABELLE!$G$3, $A$1, 1)) + 1)
        / DAY(EOMONTH(DATE(LOHNTABELLE!$G$3, $A$1, 1), 0)) * F75,
        2
    ),
    ""
)</f>
        <v/>
      </c>
      <c r="I75" s="155"/>
      <c r="J75" s="188"/>
      <c r="K75" s="161">
        <f t="shared" si="1"/>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38"/>
      <c r="E76" s="134"/>
      <c r="F76" s="136"/>
      <c r="G76" s="185"/>
      <c r="H76" s="158" t="str">
        <f>IF(AND(ISNUMBER(D76), ISNUMBER(F76)),
    ROUNDDOWN(
        MIN(
            IF(OR(ISBLANK(I76), I76=""),
                EOMONTH(DATE(LOHNTABELLE!$G$3, $A$1, 1), 0), I76)
            - MAX(D76, DATE(LOHNTABELLE!$G$3, $A$1, 1)) + 1)
        / DAY(EOMONTH(DATE(LOHNTABELLE!$G$3, $A$1, 1), 0)) * F76,
        2
    ),
    ""
)</f>
        <v/>
      </c>
      <c r="I76" s="155"/>
      <c r="J76" s="188"/>
      <c r="K76" s="161">
        <f t="shared" si="1"/>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38"/>
      <c r="E77" s="134"/>
      <c r="F77" s="136"/>
      <c r="G77" s="185"/>
      <c r="H77" s="158" t="str">
        <f>IF(AND(ISNUMBER(D77), ISNUMBER(F77)),
    ROUNDDOWN(
        MIN(
            IF(OR(ISBLANK(I77), I77=""),
                EOMONTH(DATE(LOHNTABELLE!$G$3, $A$1, 1), 0), I77)
            - MAX(D77, DATE(LOHNTABELLE!$G$3, $A$1, 1)) + 1)
        / DAY(EOMONTH(DATE(LOHNTABELLE!$G$3, $A$1, 1), 0)) * F77,
        2
    ),
    ""
)</f>
        <v/>
      </c>
      <c r="I77" s="155"/>
      <c r="J77" s="188"/>
      <c r="K77" s="161">
        <f t="shared" si="1"/>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38"/>
      <c r="E78" s="134"/>
      <c r="F78" s="136"/>
      <c r="G78" s="185"/>
      <c r="H78" s="158" t="str">
        <f>IF(AND(ISNUMBER(D78), ISNUMBER(F78)),
    ROUNDDOWN(
        MIN(
            IF(OR(ISBLANK(I78), I78=""),
                EOMONTH(DATE(LOHNTABELLE!$G$3, $A$1, 1), 0), I78)
            - MAX(D78, DATE(LOHNTABELLE!$G$3, $A$1, 1)) + 1)
        / DAY(EOMONTH(DATE(LOHNTABELLE!$G$3, $A$1, 1), 0)) * F78,
        2
    ),
    ""
)</f>
        <v/>
      </c>
      <c r="I78" s="155"/>
      <c r="J78" s="188"/>
      <c r="K78" s="161">
        <f t="shared" si="1"/>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38"/>
      <c r="E79" s="134"/>
      <c r="F79" s="136"/>
      <c r="G79" s="185"/>
      <c r="H79" s="158" t="str">
        <f>IF(AND(ISNUMBER(D79), ISNUMBER(F79)),
    ROUNDDOWN(
        MIN(
            IF(OR(ISBLANK(I79), I79=""),
                EOMONTH(DATE(LOHNTABELLE!$G$3, $A$1, 1), 0), I79)
            - MAX(D79, DATE(LOHNTABELLE!$G$3, $A$1, 1)) + 1)
        / DAY(EOMONTH(DATE(LOHNTABELLE!$G$3, $A$1, 1), 0)) * F79,
        2
    ),
    ""
)</f>
        <v/>
      </c>
      <c r="I79" s="155"/>
      <c r="J79" s="188"/>
      <c r="K79" s="161">
        <f t="shared" si="1"/>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38"/>
      <c r="E80" s="134"/>
      <c r="F80" s="136"/>
      <c r="G80" s="185"/>
      <c r="H80" s="158" t="str">
        <f>IF(AND(ISNUMBER(D80), ISNUMBER(F80)),
    ROUNDDOWN(
        MIN(
            IF(OR(ISBLANK(I80), I80=""),
                EOMONTH(DATE(LOHNTABELLE!$G$3, $A$1, 1), 0), I80)
            - MAX(D80, DATE(LOHNTABELLE!$G$3, $A$1, 1)) + 1)
        / DAY(EOMONTH(DATE(LOHNTABELLE!$G$3, $A$1, 1), 0)) * F80,
        2
    ),
    ""
)</f>
        <v/>
      </c>
      <c r="I80" s="155"/>
      <c r="J80" s="188"/>
      <c r="K80" s="161">
        <f t="shared" si="1"/>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38"/>
      <c r="E81" s="134"/>
      <c r="F81" s="136"/>
      <c r="G81" s="185"/>
      <c r="H81" s="158" t="str">
        <f>IF(AND(ISNUMBER(D81), ISNUMBER(F81)),
    ROUNDDOWN(
        MIN(
            IF(OR(ISBLANK(I81), I81=""),
                EOMONTH(DATE(LOHNTABELLE!$G$3, $A$1, 1), 0), I81)
            - MAX(D81, DATE(LOHNTABELLE!$G$3, $A$1, 1)) + 1)
        / DAY(EOMONTH(DATE(LOHNTABELLE!$G$3, $A$1, 1), 0)) * F81,
        2
    ),
    ""
)</f>
        <v/>
      </c>
      <c r="I81" s="155"/>
      <c r="J81" s="188"/>
      <c r="K81" s="161">
        <f t="shared" si="1"/>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49"/>
      <c r="E82" s="150"/>
      <c r="F82" s="151"/>
      <c r="G82" s="186"/>
      <c r="H82" s="159" t="str">
        <f>IF(AND(ISNUMBER(D82), ISNUMBER(F82)),
    ROUNDDOWN(
        MIN(
            IF(OR(ISBLANK(I82), I82=""),
                EOMONTH(DATE(LOHNTABELLE!$G$3, $A$1, 1), 0), I82)
            - MAX(D82, DATE(LOHNTABELLE!$G$3, $A$1, 1)) + 1)
        / DAY(EOMONTH(DATE(LOHNTABELLE!$G$3, $A$1, 1), 0)) * F82,
        2
    ),
    ""
)</f>
        <v/>
      </c>
      <c r="I82" s="156"/>
      <c r="J82" s="189"/>
      <c r="K82" s="162">
        <f t="shared" si="1"/>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114" spans="11:14" ht="16" customHeight="1">
      <c r="K114" s="304"/>
      <c r="L114" s="304"/>
      <c r="M114" s="304"/>
      <c r="N114" s="127"/>
    </row>
    <row r="115" spans="11:14" ht="16" customHeight="1">
      <c r="K115" s="304"/>
      <c r="L115" s="304"/>
      <c r="M115" s="304"/>
      <c r="N115" s="127"/>
    </row>
    <row r="116" spans="11:14" ht="16" customHeight="1">
      <c r="K116" s="278"/>
      <c r="L116" s="278"/>
      <c r="M116" s="78"/>
      <c r="N116" s="78"/>
    </row>
    <row r="117" spans="11:14" ht="16" customHeight="1">
      <c r="K117" s="278"/>
      <c r="L117" s="278"/>
      <c r="M117" s="78"/>
      <c r="N117" s="78"/>
    </row>
    <row r="118" spans="11:14" ht="16" customHeight="1">
      <c r="K118" s="305"/>
      <c r="L118" s="305"/>
      <c r="M118" s="79"/>
      <c r="N118" s="79"/>
    </row>
    <row r="119" spans="11:14" ht="16" customHeight="1">
      <c r="K119" s="279"/>
      <c r="L119" s="279"/>
      <c r="M119" s="80"/>
      <c r="N119" s="80"/>
    </row>
    <row r="120" spans="11:14" ht="16" customHeight="1">
      <c r="K120" s="278"/>
      <c r="L120" s="278"/>
      <c r="M120" s="78"/>
      <c r="N120" s="78"/>
    </row>
    <row r="121" spans="11:14" ht="16" customHeight="1">
      <c r="K121" s="278"/>
      <c r="L121" s="278"/>
      <c r="M121" s="78"/>
      <c r="N121" s="78"/>
    </row>
    <row r="122" spans="11:14" ht="16" customHeight="1">
      <c r="K122" s="279"/>
      <c r="L122" s="279"/>
      <c r="M122" s="80"/>
      <c r="N122" s="80"/>
    </row>
    <row r="123" spans="11:14" ht="16" customHeight="1">
      <c r="K123" s="81"/>
      <c r="L123" s="81"/>
      <c r="M123" s="81"/>
      <c r="N123" s="81"/>
    </row>
  </sheetData>
  <sheetProtection algorithmName="SHA-512" hashValue="8jktTrlALjwQwOYXWBqEzll4WJvnrTdcCL1+OCg2MEAbbcJs0/munyaj9EbcD1UgokTbR3xpOszx4oOx9u9C/A==" saltValue="I+tWgEj2qGfYtWwIP9Lc7g==" spinCount="100000" sheet="1" objects="1" scenarios="1" sort="0" autoFilter="0"/>
  <mergeCells count="107">
    <mergeCell ref="B1:B2"/>
    <mergeCell ref="N1:N2"/>
    <mergeCell ref="K114:L115"/>
    <mergeCell ref="M114:M115"/>
    <mergeCell ref="K116:L116"/>
    <mergeCell ref="K117:L117"/>
    <mergeCell ref="K118:L118"/>
    <mergeCell ref="K119:L119"/>
    <mergeCell ref="K120:L120"/>
    <mergeCell ref="M1:M2"/>
    <mergeCell ref="D1:D2"/>
    <mergeCell ref="C1:C2"/>
    <mergeCell ref="E1:E2"/>
    <mergeCell ref="F1:F2"/>
    <mergeCell ref="G1:G2"/>
    <mergeCell ref="H1:H2"/>
    <mergeCell ref="I1:I2"/>
    <mergeCell ref="J1:J2"/>
    <mergeCell ref="K1:K2"/>
    <mergeCell ref="L1:L2"/>
    <mergeCell ref="K121:L121"/>
    <mergeCell ref="K122:L122"/>
    <mergeCell ref="R3:R4"/>
    <mergeCell ref="O35:P35"/>
    <mergeCell ref="Q35:R35"/>
    <mergeCell ref="S35:T35"/>
    <mergeCell ref="U35:V35"/>
    <mergeCell ref="O13:P13"/>
    <mergeCell ref="Q13:R13"/>
    <mergeCell ref="O14:P14"/>
    <mergeCell ref="Q14:R14"/>
    <mergeCell ref="O29:P29"/>
    <mergeCell ref="Q29:R29"/>
    <mergeCell ref="Q25:R25"/>
    <mergeCell ref="Q26:R26"/>
    <mergeCell ref="O27:P27"/>
    <mergeCell ref="Q27:R27"/>
    <mergeCell ref="O28:P28"/>
    <mergeCell ref="Q28:R28"/>
    <mergeCell ref="O25:P25"/>
    <mergeCell ref="O26:P26"/>
    <mergeCell ref="Q24:R24"/>
    <mergeCell ref="O31:P31"/>
    <mergeCell ref="Q31:R31"/>
    <mergeCell ref="O36:P36"/>
    <mergeCell ref="Q36:R36"/>
    <mergeCell ref="S36:T36"/>
    <mergeCell ref="U36:V36"/>
    <mergeCell ref="O33:P34"/>
    <mergeCell ref="Q33:R34"/>
    <mergeCell ref="S33:T34"/>
    <mergeCell ref="U33:V34"/>
    <mergeCell ref="O9:P9"/>
    <mergeCell ref="Q9:R9"/>
    <mergeCell ref="Q23:R23"/>
    <mergeCell ref="Q22:R22"/>
    <mergeCell ref="O21:P21"/>
    <mergeCell ref="O10:P10"/>
    <mergeCell ref="Q10:R10"/>
    <mergeCell ref="O11:P11"/>
    <mergeCell ref="Q11:R11"/>
    <mergeCell ref="O12:P12"/>
    <mergeCell ref="Q12:R12"/>
    <mergeCell ref="Q17:R17"/>
    <mergeCell ref="Q18:R18"/>
    <mergeCell ref="Q19:R19"/>
    <mergeCell ref="O39:P39"/>
    <mergeCell ref="Q39:R39"/>
    <mergeCell ref="S39:T39"/>
    <mergeCell ref="U39:V39"/>
    <mergeCell ref="Q37:R37"/>
    <mergeCell ref="S37:T37"/>
    <mergeCell ref="U37:V37"/>
    <mergeCell ref="O38:P38"/>
    <mergeCell ref="Q38:R38"/>
    <mergeCell ref="S38:T38"/>
    <mergeCell ref="U38:V38"/>
    <mergeCell ref="O37:P37"/>
    <mergeCell ref="O40:P40"/>
    <mergeCell ref="Q40:R40"/>
    <mergeCell ref="S40:T40"/>
    <mergeCell ref="U40:V40"/>
    <mergeCell ref="O41:P41"/>
    <mergeCell ref="Q41:R41"/>
    <mergeCell ref="S41:T41"/>
    <mergeCell ref="U41:V41"/>
    <mergeCell ref="O42:P42"/>
    <mergeCell ref="Q42:V42"/>
    <mergeCell ref="O6:R6"/>
    <mergeCell ref="Q3:Q4"/>
    <mergeCell ref="P3:P4"/>
    <mergeCell ref="O3:O4"/>
    <mergeCell ref="Q20:R20"/>
    <mergeCell ref="O15:P15"/>
    <mergeCell ref="Q15:R15"/>
    <mergeCell ref="O16:R16"/>
    <mergeCell ref="S27:V27"/>
    <mergeCell ref="Q21:R21"/>
    <mergeCell ref="O22:P22"/>
    <mergeCell ref="O23:P23"/>
    <mergeCell ref="O17:P17"/>
    <mergeCell ref="O24:P24"/>
    <mergeCell ref="O20:P20"/>
    <mergeCell ref="O18:P18"/>
    <mergeCell ref="O19:P19"/>
    <mergeCell ref="O8:P8"/>
    <mergeCell ref="Q8:R8"/>
  </mergeCells>
  <phoneticPr fontId="15" type="noConversion"/>
  <dataValidations count="54">
    <dataValidation type="date" showInputMessage="1" showErrorMessage="1" sqref="I3:I82" xr:uid="{3C1B1BDB-A634-6D44-AFEE-3A84F1FA9488}">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D4A596C1-1E4E-4F45-93A3-34EED55BA633}">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A2DCB561-BAA8-FA4B-AA8B-130AD1E46F5D}">
      <formula1>KV_DD_JANUAR_3</formula1>
    </dataValidation>
    <dataValidation type="list" allowBlank="1" showInputMessage="1" showErrorMessage="1" sqref="F4" xr:uid="{FD542A93-5B67-4B45-90EB-3CE9F5E6934B}">
      <formula1>KV_DD_JANUAR_4</formula1>
    </dataValidation>
    <dataValidation type="list" allowBlank="1" showInputMessage="1" showErrorMessage="1" sqref="F5" xr:uid="{438A8753-20A5-3542-8135-96BCD3941ED2}">
      <formula1>KV_DD_JANUAR_5</formula1>
    </dataValidation>
    <dataValidation type="list" allowBlank="1" showInputMessage="1" showErrorMessage="1" sqref="F6" xr:uid="{AD1B0AF8-6FE6-E740-B7C6-C9E9BDC6A499}">
      <formula1>KV_DD_JANUAR_6</formula1>
    </dataValidation>
    <dataValidation type="list" allowBlank="1" showInputMessage="1" showErrorMessage="1" sqref="F7" xr:uid="{DB77C2F7-19AF-FD4C-926C-842EA1A40043}">
      <formula1>KV_DD_JANUAR_7</formula1>
    </dataValidation>
    <dataValidation type="list" allowBlank="1" showInputMessage="1" showErrorMessage="1" sqref="F8" xr:uid="{210B9443-8E45-B745-898A-15A60A1C71E2}">
      <formula1>KV_DD_JANUAR_8</formula1>
    </dataValidation>
    <dataValidation type="list" allowBlank="1" showInputMessage="1" showErrorMessage="1" sqref="F9" xr:uid="{10BF2332-7A26-1147-BE02-1E59AEC06896}">
      <formula1>KV_DD_JANUAR_9</formula1>
    </dataValidation>
    <dataValidation type="list" allowBlank="1" showInputMessage="1" showErrorMessage="1" sqref="F10" xr:uid="{D9B9FF5A-BBE4-E243-9AF4-BFD18C872ECB}">
      <formula1>KV_DD_JANUAR_10</formula1>
    </dataValidation>
    <dataValidation type="list" allowBlank="1" showInputMessage="1" showErrorMessage="1" sqref="F11" xr:uid="{E6519469-F766-E841-AE9B-5BB0F9AE0999}">
      <formula1>KV_DD_JANUAR_11</formula1>
    </dataValidation>
    <dataValidation type="list" allowBlank="1" showInputMessage="1" showErrorMessage="1" sqref="F12" xr:uid="{78C144E0-D790-3F44-8052-2FD0C16A88DF}">
      <formula1>KV_DD_JANUAR_12</formula1>
    </dataValidation>
    <dataValidation type="list" allowBlank="1" showInputMessage="1" showErrorMessage="1" sqref="F13" xr:uid="{9A083B6C-E70E-024F-9B70-011F839331D6}">
      <formula1>KV_DD_JANUAR_13</formula1>
    </dataValidation>
    <dataValidation type="list" allowBlank="1" showInputMessage="1" showErrorMessage="1" sqref="F14" xr:uid="{636A302D-CC8F-474F-B602-F2751EDFFF17}">
      <formula1>KV_DD_JANUAR_14</formula1>
    </dataValidation>
    <dataValidation type="list" allowBlank="1" showInputMessage="1" showErrorMessage="1" sqref="F15" xr:uid="{D48409C7-0EA0-804B-9167-9966B2C9B817}">
      <formula1>KV_DD_JANUAR_15</formula1>
    </dataValidation>
    <dataValidation type="list" allowBlank="1" showInputMessage="1" showErrorMessage="1" sqref="F16" xr:uid="{D75EB4AD-C963-3040-9E3F-27D65F087802}">
      <formula1>KV_DD_JANUAR_16</formula1>
    </dataValidation>
    <dataValidation type="list" allowBlank="1" showInputMessage="1" showErrorMessage="1" sqref="F17" xr:uid="{89618825-CD16-CE4C-BD94-DCDFFB6D6846}">
      <formula1>KV_DD_JANUAR_17</formula1>
    </dataValidation>
    <dataValidation type="list" allowBlank="1" showInputMessage="1" showErrorMessage="1" sqref="F18" xr:uid="{16E166C8-3715-E14A-BA47-60946B9A374D}">
      <formula1>KV_DD_JANUAR_18</formula1>
    </dataValidation>
    <dataValidation type="list" allowBlank="1" showInputMessage="1" showErrorMessage="1" sqref="F19" xr:uid="{1386D9B6-9CFC-5B43-B650-6F1579F25469}">
      <formula1>KV_DD_JANUAR_19</formula1>
    </dataValidation>
    <dataValidation type="list" allowBlank="1" showInputMessage="1" showErrorMessage="1" sqref="F20" xr:uid="{F5D784CE-A316-B64C-BA30-85F2EDCD602A}">
      <formula1>KV_DD_JANUAR_20</formula1>
    </dataValidation>
    <dataValidation type="list" allowBlank="1" showInputMessage="1" showErrorMessage="1" sqref="F21" xr:uid="{5B4CE9EE-9EE6-CA44-A658-902929C006F7}">
      <formula1>KV_DD_JANUAR_21</formula1>
    </dataValidation>
    <dataValidation type="list" allowBlank="1" showInputMessage="1" showErrorMessage="1" sqref="F22" xr:uid="{A608D024-D97E-B845-AB76-056F3E96A5ED}">
      <formula1>KV_DD_JANUAR_22</formula1>
    </dataValidation>
    <dataValidation type="list" allowBlank="1" showInputMessage="1" showErrorMessage="1" sqref="F23" xr:uid="{E678348A-81FB-B14D-ACE6-9E7668749989}">
      <formula1>KV_DD_JANUAR_23</formula1>
    </dataValidation>
    <dataValidation type="list" allowBlank="1" showInputMessage="1" showErrorMessage="1" sqref="F24" xr:uid="{7D713643-8818-6F4C-9643-E5E25453F3B9}">
      <formula1>KV_DD_JANUAR_24</formula1>
    </dataValidation>
    <dataValidation type="list" allowBlank="1" showInputMessage="1" showErrorMessage="1" sqref="F25" xr:uid="{E3B563CE-5FB7-044A-B5FA-78B5DE1C02AA}">
      <formula1>KV_DD_JANUAR_25</formula1>
    </dataValidation>
    <dataValidation type="list" allowBlank="1" showInputMessage="1" showErrorMessage="1" sqref="F26" xr:uid="{37093C6D-2508-6546-8F03-6B6F36229FC2}">
      <formula1>KV_DD_JANUAR_26</formula1>
    </dataValidation>
    <dataValidation type="list" allowBlank="1" showInputMessage="1" showErrorMessage="1" sqref="F27" xr:uid="{54982217-24F4-754A-BB1B-551DAB79AAA9}">
      <formula1>KV_DD_JANUAR_27</formula1>
    </dataValidation>
    <dataValidation type="list" allowBlank="1" showInputMessage="1" showErrorMessage="1" sqref="F28" xr:uid="{1E8F42C9-E4CB-2D48-B5DC-6987E4D7E8BE}">
      <formula1>KV_DD_JANUAR_28</formula1>
    </dataValidation>
    <dataValidation type="list" allowBlank="1" showInputMessage="1" showErrorMessage="1" sqref="F29" xr:uid="{5DCF6EDB-BDD4-6D40-9B01-286DF7BD4840}">
      <formula1>KV_DD_JANUAR_29</formula1>
    </dataValidation>
    <dataValidation type="list" allowBlank="1" showInputMessage="1" showErrorMessage="1" sqref="F30" xr:uid="{5FACB6DE-EE04-0E46-9DD8-C198A84A254C}">
      <formula1>KV_DD_JANUAR_30</formula1>
    </dataValidation>
    <dataValidation type="list" allowBlank="1" showInputMessage="1" showErrorMessage="1" sqref="F31" xr:uid="{5D40EC97-9916-194E-AAE6-C41F57B37F26}">
      <formula1>KV_DD_JANUAR_31</formula1>
    </dataValidation>
    <dataValidation type="list" allowBlank="1" showInputMessage="1" showErrorMessage="1" sqref="F32" xr:uid="{3CE23826-D4ED-5A46-A17A-1B3E36DE54E1}">
      <formula1>KV_DD_JANUAR_32</formula1>
    </dataValidation>
    <dataValidation type="list" allowBlank="1" showInputMessage="1" showErrorMessage="1" sqref="F33" xr:uid="{F746793C-1ECF-9440-B30F-20F831C6E68F}">
      <formula1>KV_DD_JANUAR_33</formula1>
    </dataValidation>
    <dataValidation type="list" allowBlank="1" showInputMessage="1" showErrorMessage="1" sqref="F34" xr:uid="{C6BB5564-2DA2-F341-A02D-DEDE276B7DC8}">
      <formula1>KV_DD_JANUAR_34</formula1>
    </dataValidation>
    <dataValidation type="list" allowBlank="1" showInputMessage="1" showErrorMessage="1" sqref="F35" xr:uid="{C22FEF9D-537A-E54A-9B33-A3B03C053A22}">
      <formula1>KV_DD_JANUAR_35</formula1>
    </dataValidation>
    <dataValidation type="list" allowBlank="1" showInputMessage="1" showErrorMessage="1" sqref="F36" xr:uid="{57775DB4-F8A7-8848-9997-58B2190A9F41}">
      <formula1>KV_DD_JANUAR_36</formula1>
    </dataValidation>
    <dataValidation type="list" allowBlank="1" showInputMessage="1" showErrorMessage="1" sqref="F37" xr:uid="{33D35F7E-5479-5B45-9E1B-ECB0D0BAE715}">
      <formula1>KV_DD_JANUAR_37</formula1>
    </dataValidation>
    <dataValidation type="list" allowBlank="1" showInputMessage="1" showErrorMessage="1" sqref="F38" xr:uid="{D0F39BE9-C785-D040-99F8-0F6EC43B7DA3}">
      <formula1>KV_DD_JANUAR_38</formula1>
    </dataValidation>
    <dataValidation type="list" allowBlank="1" showInputMessage="1" showErrorMessage="1" sqref="F39" xr:uid="{D82D6A7F-E254-C245-9D26-F964FB35BF98}">
      <formula1>KV_DD_JANUAR_39</formula1>
    </dataValidation>
    <dataValidation type="list" allowBlank="1" showInputMessage="1" showErrorMessage="1" sqref="F40" xr:uid="{EB2F1CD3-CA71-434E-BCEC-3034EC674B0F}">
      <formula1>KV_DD_JANUAR_40</formula1>
    </dataValidation>
    <dataValidation type="list" allowBlank="1" showInputMessage="1" showErrorMessage="1" sqref="F41" xr:uid="{36D774D9-7FD5-6841-BEFB-D3B226BC7E46}">
      <formula1>KV_DD_JANUAR_41</formula1>
    </dataValidation>
    <dataValidation type="list" allowBlank="1" showInputMessage="1" showErrorMessage="1" sqref="F42" xr:uid="{4AB3CE03-30C5-314A-A76D-217A69E5AE9F}">
      <formula1>KV_DD_JANUAR_42</formula1>
    </dataValidation>
    <dataValidation type="list" allowBlank="1" showInputMessage="1" showErrorMessage="1" sqref="F43" xr:uid="{1DFD937E-8709-3345-9673-38CE4EB5DE6D}">
      <formula1>KV_DD_JANUAR_43</formula1>
    </dataValidation>
    <dataValidation type="list" allowBlank="1" showInputMessage="1" showErrorMessage="1" sqref="F44" xr:uid="{2FC0E0B9-3187-5A45-956A-3EE593FB5371}">
      <formula1>KV_DD_JANUAR_44</formula1>
    </dataValidation>
    <dataValidation type="list" allowBlank="1" showInputMessage="1" showErrorMessage="1" sqref="F45" xr:uid="{9C733A57-BC2E-104B-A411-96E555205D39}">
      <formula1>KV_DD_JANUAR_45</formula1>
    </dataValidation>
    <dataValidation type="list" allowBlank="1" showInputMessage="1" showErrorMessage="1" sqref="F46" xr:uid="{7B9DF2A9-68FF-BC42-8A8E-81543B43D174}">
      <formula1>KV_DD_JANUAR_46</formula1>
    </dataValidation>
    <dataValidation type="list" allowBlank="1" showInputMessage="1" showErrorMessage="1" sqref="F47" xr:uid="{8508E8AF-1359-944B-BC1A-391D959BA3D5}">
      <formula1>KV_DD_JANUAR_47</formula1>
    </dataValidation>
    <dataValidation type="list" allowBlank="1" showInputMessage="1" showErrorMessage="1" sqref="F48" xr:uid="{F13992A0-601E-854D-B873-712E4B5ECE9F}">
      <formula1>KV_DD_JANUAR_48</formula1>
    </dataValidation>
    <dataValidation type="list" allowBlank="1" showInputMessage="1" showErrorMessage="1" sqref="F49" xr:uid="{E74A9023-39A3-3740-8896-02CCD704CC34}">
      <formula1>KV_DD_JANUAR_49</formula1>
    </dataValidation>
    <dataValidation type="list" allowBlank="1" showInputMessage="1" showErrorMessage="1" sqref="F50" xr:uid="{A90EE3A5-5FFF-A54D-9D1A-D55241983373}">
      <formula1>KV_DD_JANUAR_50</formula1>
    </dataValidation>
    <dataValidation type="list" allowBlank="1" showInputMessage="1" showErrorMessage="1" sqref="F51" xr:uid="{9B3ECF20-A5B8-5349-B353-3FD7F1BC3B7E}">
      <formula1>KV_DD_JANUAR_51</formula1>
    </dataValidation>
    <dataValidation type="list" allowBlank="1" showInputMessage="1" showErrorMessage="1" sqref="F52" xr:uid="{16411886-D1CA-A046-94A4-AFBC896F1F81}">
      <formula1>KV_DD_JANUAR_52</formula1>
    </dataValidation>
    <dataValidation type="list" allowBlank="1" showInputMessage="1" showErrorMessage="1" sqref="F53" xr:uid="{84A7B5EF-A69A-B442-B0E2-170F379A9EE7}">
      <formula1>KV_DD_JANUAR_53</formula1>
    </dataValidation>
    <dataValidation type="list" allowBlank="1" showInputMessage="1" showErrorMessage="1" sqref="F54" xr:uid="{86D8E3E7-455C-1F40-BAD1-B9D745317220}">
      <formula1>KV_DD_JANUAR_54</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opyData">
                <anchor moveWithCells="1" sizeWithCells="1">
                  <from>
                    <xdr:col>14</xdr:col>
                    <xdr:colOff>38100</xdr:colOff>
                    <xdr:row>0</xdr:row>
                    <xdr:rowOff>38100</xdr:rowOff>
                  </from>
                  <to>
                    <xdr:col>17</xdr:col>
                    <xdr:colOff>457200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D1205DC-04B5-5540-833E-BACE206FF378}">
          <x14:formula1>
            <xm:f>LOHNTABELLE!$Q$4:$Q$17</xm:f>
          </x14:formula1>
          <xm:sqref>E3:E82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60D1A-830E-4301-BB91-3D8AD61B4820}">
  <sheetPr codeName="Tabelle16"/>
  <dimension ref="A1:O24"/>
  <sheetViews>
    <sheetView zoomScaleNormal="100" workbookViewId="0"/>
  </sheetViews>
  <sheetFormatPr baseColWidth="10" defaultColWidth="11.5" defaultRowHeight="15"/>
  <sheetData>
    <row r="1" spans="1:13">
      <c r="A1" t="b">
        <v>1</v>
      </c>
    </row>
    <row r="7" spans="1:13">
      <c r="M7" s="5" t="s">
        <v>169</v>
      </c>
    </row>
    <row r="8" spans="1:13">
      <c r="M8" s="5" t="s">
        <v>170</v>
      </c>
    </row>
    <row r="9" spans="1:13">
      <c r="M9" s="5" t="s">
        <v>91</v>
      </c>
    </row>
    <row r="11" spans="1:13">
      <c r="M11" s="5" t="s">
        <v>171</v>
      </c>
    </row>
    <row r="12" spans="1:13">
      <c r="M12" s="5" t="s">
        <v>172</v>
      </c>
    </row>
    <row r="13" spans="1:13">
      <c r="M13" s="5" t="s">
        <v>173</v>
      </c>
    </row>
    <row r="14" spans="1:13">
      <c r="M14" s="5" t="s">
        <v>174</v>
      </c>
    </row>
    <row r="15" spans="1:13">
      <c r="M15" s="5" t="s">
        <v>175</v>
      </c>
    </row>
    <row r="21" spans="15:15">
      <c r="O21" s="6"/>
    </row>
    <row r="24" spans="15:15">
      <c r="O24" s="6"/>
    </row>
  </sheetData>
  <sheetProtection algorithmName="SHA-512" hashValue="O8+/1Jwvhm5HebRvl+QRu0BJgLQO4H3pEHhseX68wDrrH6Xx85uHVTE0m9RkNOCFnTzh9v8gIdsMgdIih3ZhlA==" saltValue="7RawqWYIA4ltSxxIE/6/8w==" spinCount="100000" sheet="1" objects="1" scenarios="1" sort="0" autoFilter="0"/>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9A160-70C4-4D47-B6DF-F8EEA29113B1}">
  <sheetPr codeName="Tabelle4"/>
  <dimension ref="A1:AC86"/>
  <sheetViews>
    <sheetView showGridLines="0" showRowColHeaders="0" zoomScaleNormal="100" workbookViewId="0">
      <pane ySplit="2" topLeftCell="A17"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1640625" style="1" bestFit="1" customWidth="1"/>
    <col min="29" max="16384" width="9.1640625" style="1"/>
  </cols>
  <sheetData>
    <row r="1" spans="1:28" ht="16" customHeight="1">
      <c r="A1" s="128">
        <v>2</v>
      </c>
      <c r="B1" s="302" t="s">
        <v>205</v>
      </c>
      <c r="C1" s="310" t="s">
        <v>52</v>
      </c>
      <c r="D1" s="308" t="s">
        <v>206</v>
      </c>
      <c r="E1" s="308" t="s">
        <v>0</v>
      </c>
      <c r="F1" s="308" t="s">
        <v>53</v>
      </c>
      <c r="G1" s="312" t="s">
        <v>54</v>
      </c>
      <c r="H1" s="314" t="s">
        <v>55</v>
      </c>
      <c r="I1" s="316" t="s">
        <v>207</v>
      </c>
      <c r="J1" s="318" t="s">
        <v>56</v>
      </c>
      <c r="K1" s="320" t="s">
        <v>57</v>
      </c>
      <c r="L1" s="322" t="s">
        <v>58</v>
      </c>
      <c r="M1" s="306" t="s">
        <v>59</v>
      </c>
      <c r="N1" s="303" t="s">
        <v>208</v>
      </c>
      <c r="AB1" s="41">
        <f>DATE(LOHNTABELLE!$G$3, $A$1, 1)</f>
        <v>46054</v>
      </c>
    </row>
    <row r="2" spans="1:28" ht="16" customHeight="1" thickBot="1">
      <c r="A2" s="129"/>
      <c r="B2" s="302"/>
      <c r="C2" s="311"/>
      <c r="D2" s="309"/>
      <c r="E2" s="309"/>
      <c r="F2" s="309"/>
      <c r="G2" s="313"/>
      <c r="H2" s="315"/>
      <c r="I2" s="317"/>
      <c r="J2" s="319"/>
      <c r="K2" s="321"/>
      <c r="L2" s="323"/>
      <c r="M2" s="307"/>
      <c r="N2" s="303"/>
      <c r="AB2" s="41">
        <f>EOMONTH(DATE(LOHNTABELLE!$G$3, $A$1, 1), 0)</f>
        <v>46081</v>
      </c>
    </row>
    <row r="3" spans="1:28" ht="16" customHeight="1">
      <c r="A3" s="130" t="s">
        <v>60</v>
      </c>
      <c r="B3" s="169">
        <v>401006</v>
      </c>
      <c r="C3" s="166" t="s">
        <v>262</v>
      </c>
      <c r="D3" s="192">
        <v>38188</v>
      </c>
      <c r="E3" s="142" t="s">
        <v>24</v>
      </c>
      <c r="F3" s="167">
        <v>173</v>
      </c>
      <c r="G3" s="184">
        <v>2328</v>
      </c>
      <c r="H3" s="157">
        <f>IF(AND(ISNUMBER(D3), ISNUMBER(F3)),
    ROUNDDOWN(
        MIN(
            IF(OR(ISBLANK(I3), I3=""),
                EOMONTH(DATE(LOHNTABELLE!$G$3, $A$1, 1), 0), I3)
            - MAX(D3, DATE(LOHNTABELLE!$G$3, $A$1, 1)) + 1)
        / DAY(EOMONTH(DATE(LOHNTABELLE!$G$3, $A$1, 1), 0)) * F3,
        2
    ),
    ""
)</f>
        <v>173</v>
      </c>
      <c r="I3" s="19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42" t="s">
        <v>61</v>
      </c>
      <c r="P3" s="242" t="s">
        <v>62</v>
      </c>
      <c r="Q3" s="240" t="s">
        <v>63</v>
      </c>
      <c r="R3" s="280" t="s">
        <v>64</v>
      </c>
      <c r="AB3" s="43"/>
    </row>
    <row r="4" spans="1:28" ht="16" customHeight="1">
      <c r="A4" s="130" t="s">
        <v>65</v>
      </c>
      <c r="B4" s="170">
        <v>401010</v>
      </c>
      <c r="C4" s="137" t="s">
        <v>263</v>
      </c>
      <c r="D4" s="193">
        <v>39388</v>
      </c>
      <c r="E4" s="134" t="s">
        <v>12</v>
      </c>
      <c r="F4" s="136">
        <v>173</v>
      </c>
      <c r="G4" s="185">
        <v>2183</v>
      </c>
      <c r="H4" s="158">
        <f>IF(AND(ISNUMBER(D4), ISNUMBER(F4)),
    ROUNDDOWN(
        MIN(
            IF(OR(ISBLANK(I4), I4=""),
                EOMONTH(DATE(LOHNTABELLE!$G$3, $A$1, 1), 0), I4)
            - MAX(D4, DATE(LOHNTABELLE!$G$3, $A$1, 1)) + 1)
        / DAY(EOMONTH(DATE(LOHNTABELLE!$G$3, $A$1, 1), 0)) * F4,
        2
    ),
    ""
)</f>
        <v>173</v>
      </c>
      <c r="I4" s="19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43"/>
      <c r="P4" s="243"/>
      <c r="Q4" s="241"/>
      <c r="R4" s="281"/>
    </row>
    <row r="5" spans="1:28" ht="16" customHeight="1">
      <c r="A5" s="131" t="s">
        <v>66</v>
      </c>
      <c r="B5" s="170">
        <v>401047</v>
      </c>
      <c r="C5" s="137" t="s">
        <v>265</v>
      </c>
      <c r="D5" s="193">
        <v>41154</v>
      </c>
      <c r="E5" s="134" t="s">
        <v>10</v>
      </c>
      <c r="F5" s="136">
        <v>173</v>
      </c>
      <c r="G5" s="185">
        <v>2123</v>
      </c>
      <c r="H5" s="158">
        <f>IF(AND(ISNUMBER(D5), ISNUMBER(F5)),
    ROUNDDOWN(
        MIN(
            IF(OR(ISBLANK(I5), I5=""),
                EOMONTH(DATE(LOHNTABELLE!$G$3, $A$1, 1), 0), I5)
            - MAX(D5, DATE(LOHNTABELLE!$G$3, $A$1, 1)) + 1)
        / DAY(EOMONTH(DATE(LOHNTABELLE!$G$3, $A$1, 1), 0)) * F5,
        2
    ),
    ""
)</f>
        <v>173</v>
      </c>
      <c r="I5" s="19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825.97482420928964</v>
      </c>
      <c r="P5" s="49">
        <f>EINSTELLUNG!I7</f>
        <v>2</v>
      </c>
      <c r="Q5" s="48">
        <f>P5-O5</f>
        <v>-823.97482420928964</v>
      </c>
      <c r="R5" s="52">
        <f>IFERROR(Q5*Q42, 0)</f>
        <v>-9968.3550406959002</v>
      </c>
    </row>
    <row r="6" spans="1:28" ht="16" customHeight="1">
      <c r="A6" s="130" t="s">
        <v>67</v>
      </c>
      <c r="B6" s="170">
        <v>401049</v>
      </c>
      <c r="C6" s="139" t="s">
        <v>264</v>
      </c>
      <c r="D6" s="193">
        <v>41130</v>
      </c>
      <c r="E6" s="134" t="s">
        <v>10</v>
      </c>
      <c r="F6" s="136">
        <v>173</v>
      </c>
      <c r="G6" s="185">
        <v>2123</v>
      </c>
      <c r="H6" s="158">
        <f>IF(AND(ISNUMBER(D6), ISNUMBER(F6)),
    ROUNDDOWN(
        MIN(
            IF(OR(ISBLANK(I6), I6=""),
                EOMONTH(DATE(LOHNTABELLE!$G$3, $A$1, 1), 0), I6)
            - MAX(D6, DATE(LOHNTABELLE!$G$3, $A$1, 1)) + 1)
        / DAY(EOMONTH(DATE(LOHNTABELLE!$G$3, $A$1, 1), 0)) * F6,
        2
    ),
    ""
)</f>
        <v>173</v>
      </c>
      <c r="I6" s="19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63" t="str">
        <f>IF(Q5&lt;0, "Schlecht! Zu wenig Urlaub abgebaut.", IF(Q5&gt;0, "Gut! Mehr Urlaub abgebaut als aufgebaut.", ""))</f>
        <v>Schlecht! Zu wenig Urlaub abgebaut.</v>
      </c>
      <c r="P6" s="363"/>
      <c r="Q6" s="363"/>
      <c r="R6" s="363"/>
    </row>
    <row r="7" spans="1:28" ht="16" customHeight="1">
      <c r="A7" s="130" t="s">
        <v>68</v>
      </c>
      <c r="B7" s="170">
        <v>401051</v>
      </c>
      <c r="C7" s="137" t="s">
        <v>266</v>
      </c>
      <c r="D7" s="193">
        <v>41176</v>
      </c>
      <c r="E7" s="134" t="s">
        <v>10</v>
      </c>
      <c r="F7" s="136">
        <v>173</v>
      </c>
      <c r="G7" s="185">
        <v>2123</v>
      </c>
      <c r="H7" s="158">
        <f>IF(AND(ISNUMBER(D7), ISNUMBER(F7)),
    ROUNDDOWN(
        MIN(
            IF(OR(ISBLANK(I7), I7=""),
                EOMONTH(DATE(LOHNTABELLE!$G$3, $A$1, 1), 0), I7)
            - MAX(D7, DATE(LOHNTABELLE!$G$3, $A$1, 1)) + 1)
        / DAY(EOMONTH(DATE(LOHNTABELLE!$G$3, $A$1, 1), 0)) * F7,
        2
    ),
    ""
)</f>
        <v>173</v>
      </c>
      <c r="I7" s="19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193">
        <v>44868</v>
      </c>
      <c r="E8" s="134" t="s">
        <v>8</v>
      </c>
      <c r="F8" s="136">
        <v>173</v>
      </c>
      <c r="G8" s="185">
        <v>2082</v>
      </c>
      <c r="H8" s="158">
        <f>IF(AND(ISNUMBER(D8), ISNUMBER(F8)),
    ROUNDDOWN(
        MIN(
            IF(OR(ISBLANK(I8), I8=""),
                EOMONTH(DATE(LOHNTABELLE!$G$3, $A$1, 1), 0), I8)
            - MAX(D8, DATE(LOHNTABELLE!$G$3, $A$1, 1)) + 1)
        / DAY(EOMONTH(DATE(LOHNTABELLE!$G$3, $A$1, 1), 0)) * F8,
        2
    ),
    ""
)</f>
        <v>173</v>
      </c>
      <c r="I8" s="19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361" t="s">
        <v>70</v>
      </c>
      <c r="P8" s="245"/>
      <c r="Q8" s="359">
        <f>SUM(H3:H82)</f>
        <v>8559.1799999999985</v>
      </c>
      <c r="R8" s="360"/>
    </row>
    <row r="9" spans="1:28" ht="16" customHeight="1">
      <c r="A9" s="131" t="s">
        <v>71</v>
      </c>
      <c r="B9" s="170">
        <v>401138</v>
      </c>
      <c r="C9" s="137" t="s">
        <v>267</v>
      </c>
      <c r="D9" s="193">
        <v>42006</v>
      </c>
      <c r="E9" s="134" t="s">
        <v>10</v>
      </c>
      <c r="F9" s="136">
        <v>173</v>
      </c>
      <c r="G9" s="185">
        <v>2123</v>
      </c>
      <c r="H9" s="158">
        <f>IF(AND(ISNUMBER(D9), ISNUMBER(F9)),
    ROUNDDOWN(
        MIN(
            IF(OR(ISBLANK(I9), I9=""),
                EOMONTH(DATE(LOHNTABELLE!$G$3, $A$1, 1), 0), I9)
            - MAX(D9, DATE(LOHNTABELLE!$G$3, $A$1, 1)) + 1)
        / DAY(EOMONTH(DATE(LOHNTABELLE!$G$3, $A$1, 1), 0)) * F9,
        2
    ),
    ""
)</f>
        <v>173</v>
      </c>
      <c r="I9" s="19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361" t="s">
        <v>72</v>
      </c>
      <c r="P9" s="245"/>
      <c r="Q9" s="359">
        <f>EINSTELLUNG!L23</f>
        <v>2</v>
      </c>
      <c r="R9" s="360"/>
      <c r="S9" s="53">
        <f>IFERROR(Q9/Q8, 0)</f>
        <v>2.3366724382475895E-4</v>
      </c>
    </row>
    <row r="10" spans="1:28" ht="16" customHeight="1">
      <c r="A10" s="130" t="s">
        <v>73</v>
      </c>
      <c r="B10" s="170">
        <v>401197</v>
      </c>
      <c r="C10" s="137" t="s">
        <v>268</v>
      </c>
      <c r="D10" s="193">
        <v>42644</v>
      </c>
      <c r="E10" s="134" t="s">
        <v>8</v>
      </c>
      <c r="F10" s="136">
        <v>173</v>
      </c>
      <c r="G10" s="185">
        <v>2082</v>
      </c>
      <c r="H10" s="158">
        <f>IF(AND(ISNUMBER(D10), ISNUMBER(F10)),
    ROUNDDOWN(
        MIN(
            IF(OR(ISBLANK(I10), I10=""),
                EOMONTH(DATE(LOHNTABELLE!$G$3, $A$1, 1), 0), I10)
            - MAX(D10, DATE(LOHNTABELLE!$G$3, $A$1, 1)) + 1)
        / DAY(EOMONTH(DATE(LOHNTABELLE!$G$3, $A$1, 1), 0)) * F10,
        2
    ),
    ""
)</f>
        <v>173</v>
      </c>
      <c r="I10" s="19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361" t="s">
        <v>74</v>
      </c>
      <c r="P10" s="245"/>
      <c r="Q10" s="359">
        <f>EINSTELLUNG!I23</f>
        <v>2</v>
      </c>
      <c r="R10" s="360"/>
    </row>
    <row r="11" spans="1:28" ht="16" customHeight="1">
      <c r="A11" s="130" t="s">
        <v>75</v>
      </c>
      <c r="B11" s="170">
        <v>401214</v>
      </c>
      <c r="C11" s="137" t="s">
        <v>294</v>
      </c>
      <c r="D11" s="193">
        <v>45636</v>
      </c>
      <c r="E11" s="134" t="s">
        <v>8</v>
      </c>
      <c r="F11" s="136">
        <v>173</v>
      </c>
      <c r="G11" s="185">
        <v>2082</v>
      </c>
      <c r="H11" s="158">
        <f>IF(AND(ISNUMBER(D11), ISNUMBER(F11)),
    ROUNDDOWN(
        MIN(
            IF(OR(ISBLANK(I11), I11=""),
                EOMONTH(DATE(LOHNTABELLE!$G$3, $A$1, 1), 0), I11)
            - MAX(D11, DATE(LOHNTABELLE!$G$3, $A$1, 1)) + 1)
        / DAY(EOMONTH(DATE(LOHNTABELLE!$G$3, $A$1, 1), 0)) * F11,
        2
    ),
    ""
)</f>
        <v>173</v>
      </c>
      <c r="I11" s="19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361" t="s">
        <v>76</v>
      </c>
      <c r="P11" s="245"/>
      <c r="Q11" s="359">
        <f>P5</f>
        <v>2</v>
      </c>
      <c r="R11" s="360"/>
    </row>
    <row r="12" spans="1:28" ht="16" customHeight="1">
      <c r="A12" s="130" t="s">
        <v>77</v>
      </c>
      <c r="B12" s="170">
        <v>401276</v>
      </c>
      <c r="C12" s="137" t="s">
        <v>269</v>
      </c>
      <c r="D12" s="193">
        <v>43252</v>
      </c>
      <c r="E12" s="134" t="s">
        <v>8</v>
      </c>
      <c r="F12" s="136">
        <v>173</v>
      </c>
      <c r="G12" s="185">
        <v>2082</v>
      </c>
      <c r="H12" s="158">
        <f>IF(AND(ISNUMBER(D12), ISNUMBER(F12)),
    ROUNDDOWN(
        MIN(
            IF(OR(ISBLANK(I12), I12=""),
                EOMONTH(DATE(LOHNTABELLE!$G$3, $A$1, 1), 0), I12)
            - MAX(D12, DATE(LOHNTABELLE!$G$3, $A$1, 1)) + 1)
        / DAY(EOMONTH(DATE(LOHNTABELLE!$G$3, $A$1, 1), 0)) * F12,
        2
    ),
    ""
)</f>
        <v>173</v>
      </c>
      <c r="I12" s="19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361" t="s">
        <v>80</v>
      </c>
      <c r="P12" s="245"/>
      <c r="Q12" s="359">
        <f>Q8-Q9-Q10-Q11</f>
        <v>8553.1799999999985</v>
      </c>
      <c r="R12" s="360"/>
    </row>
    <row r="13" spans="1:28" ht="16" customHeight="1">
      <c r="A13" s="131" t="s">
        <v>79</v>
      </c>
      <c r="B13" s="170">
        <v>401307</v>
      </c>
      <c r="C13" s="137" t="s">
        <v>270</v>
      </c>
      <c r="D13" s="193">
        <v>43571</v>
      </c>
      <c r="E13" s="134" t="s">
        <v>8</v>
      </c>
      <c r="F13" s="136">
        <v>173</v>
      </c>
      <c r="G13" s="185">
        <v>2082</v>
      </c>
      <c r="H13" s="158">
        <f>IF(AND(ISNUMBER(D13), ISNUMBER(F13)),
    ROUNDDOWN(
        MIN(
            IF(OR(ISBLANK(I13), I13=""),
                EOMONTH(DATE(LOHNTABELLE!$G$3, $A$1, 1), 0), I13)
            - MAX(D13, DATE(LOHNTABELLE!$G$3, $A$1, 1)) + 1)
        / DAY(EOMONTH(DATE(LOHNTABELLE!$G$3, $A$1, 1), 0)) * F13,
        2
    ),
    ""
)</f>
        <v>173</v>
      </c>
      <c r="I13" s="19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361" t="s">
        <v>82</v>
      </c>
      <c r="P13" s="245"/>
      <c r="Q13" s="359">
        <f>EINSTELLUNG!L7</f>
        <v>2</v>
      </c>
      <c r="R13" s="360"/>
    </row>
    <row r="14" spans="1:28" ht="16" customHeight="1">
      <c r="A14" s="130" t="s">
        <v>81</v>
      </c>
      <c r="B14" s="170">
        <v>401308</v>
      </c>
      <c r="C14" s="137" t="s">
        <v>271</v>
      </c>
      <c r="D14" s="193">
        <v>43579</v>
      </c>
      <c r="E14" s="134" t="s">
        <v>8</v>
      </c>
      <c r="F14" s="136">
        <v>173</v>
      </c>
      <c r="G14" s="185">
        <v>2082</v>
      </c>
      <c r="H14" s="158">
        <f>IF(AND(ISNUMBER(D14), ISNUMBER(F14)),
    ROUNDDOWN(
        MIN(
            IF(OR(ISBLANK(I14), I14=""),
                EOMONTH(DATE(LOHNTABELLE!$G$3, $A$1, 1), 0), I14)
            - MAX(D14, DATE(LOHNTABELLE!$G$3, $A$1, 1)) + 1)
        / DAY(EOMONTH(DATE(LOHNTABELLE!$G$3, $A$1, 1), 0)) * F14,
        2
    ),
    ""
)</f>
        <v>173</v>
      </c>
      <c r="I14" s="19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361" t="s">
        <v>84</v>
      </c>
      <c r="P14" s="245"/>
      <c r="Q14" s="359">
        <f>Q12-Q13</f>
        <v>8551.1799999999985</v>
      </c>
      <c r="R14" s="360"/>
    </row>
    <row r="15" spans="1:28" ht="16" customHeight="1">
      <c r="A15" s="130" t="s">
        <v>83</v>
      </c>
      <c r="B15" s="170">
        <v>401389</v>
      </c>
      <c r="C15" s="137" t="s">
        <v>273</v>
      </c>
      <c r="D15" s="193">
        <v>44384</v>
      </c>
      <c r="E15" s="134" t="s">
        <v>22</v>
      </c>
      <c r="F15" s="136">
        <v>173</v>
      </c>
      <c r="G15" s="185">
        <v>2300</v>
      </c>
      <c r="H15" s="158">
        <f>IF(AND(ISNUMBER(D15), ISNUMBER(F15)),
    ROUNDDOWN(
        MIN(
            IF(OR(ISBLANK(I15), I15=""),
                EOMONTH(DATE(LOHNTABELLE!$G$3, $A$1, 1), 0), I15)
            - MAX(D15, DATE(LOHNTABELLE!$G$3, $A$1, 1)) + 1)
        / DAY(EOMONTH(DATE(LOHNTABELLE!$G$3, $A$1, 1), 0)) * F15,
        2
    ),
    ""
)</f>
        <v>173</v>
      </c>
      <c r="I15" s="19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362" t="str">
        <f>IF(Q14&lt;0, "Schlecht! Zu wenig Stunden für Dienstplan.", IF(Q14&gt;0, "Du hast mehr als genug Stunden für Dienstplan.", ""))</f>
        <v>Du hast mehr als genug Stunden für Dienstplan.</v>
      </c>
      <c r="P15" s="362"/>
      <c r="Q15" s="362"/>
      <c r="R15" s="362"/>
      <c r="S15" s="100"/>
      <c r="T15" s="100"/>
      <c r="U15" s="100"/>
    </row>
    <row r="16" spans="1:28" ht="16" customHeight="1">
      <c r="A16" s="130" t="s">
        <v>85</v>
      </c>
      <c r="B16" s="170">
        <v>401394</v>
      </c>
      <c r="C16" s="137" t="s">
        <v>272</v>
      </c>
      <c r="D16" s="193">
        <v>44379</v>
      </c>
      <c r="E16" s="134" t="s">
        <v>4</v>
      </c>
      <c r="F16" s="136">
        <v>173</v>
      </c>
      <c r="G16" s="185">
        <v>2021</v>
      </c>
      <c r="H16" s="158">
        <f>IF(AND(ISNUMBER(D16), ISNUMBER(F16)),
    ROUNDDOWN(
        MIN(
            IF(OR(ISBLANK(I16), I16=""),
                EOMONTH(DATE(LOHNTABELLE!$G$3, $A$1, 1), 0), I16)
            - MAX(D16, DATE(LOHNTABELLE!$G$3, $A$1, 1)) + 1)
        / DAY(EOMONTH(DATE(LOHNTABELLE!$G$3, $A$1, 1), 0)) * F16,
        2
    ),
    ""
)</f>
        <v>173</v>
      </c>
      <c r="I16" s="19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2021</v>
      </c>
      <c r="M16" s="164"/>
      <c r="N16" s="147"/>
      <c r="W16" s="45"/>
    </row>
    <row r="17" spans="1:29" ht="16" customHeight="1">
      <c r="A17" s="131" t="s">
        <v>86</v>
      </c>
      <c r="B17" s="170">
        <v>401432</v>
      </c>
      <c r="C17" s="137" t="s">
        <v>274</v>
      </c>
      <c r="D17" s="193">
        <v>44441</v>
      </c>
      <c r="E17" s="134" t="s">
        <v>4</v>
      </c>
      <c r="F17" s="136">
        <v>173</v>
      </c>
      <c r="G17" s="185">
        <v>2021</v>
      </c>
      <c r="H17" s="158">
        <f>IF(AND(ISNUMBER(D17), ISNUMBER(F17)),
    ROUNDDOWN(
        MIN(
            IF(OR(ISBLANK(I17), I17=""),
                EOMONTH(DATE(LOHNTABELLE!$G$3, $A$1, 1), 0), I17)
            - MAX(D17, DATE(LOHNTABELLE!$G$3, $A$1, 1)) + 1)
        / DAY(EOMONTH(DATE(LOHNTABELLE!$G$3, $A$1, 1), 0)) * F17,
        2
    ),
    ""
)</f>
        <v>173</v>
      </c>
      <c r="I17" s="19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356" t="s">
        <v>87</v>
      </c>
      <c r="P17" s="253"/>
      <c r="Q17" s="357">
        <f>SUM(L3:L82)</f>
        <v>103548</v>
      </c>
      <c r="R17" s="358"/>
      <c r="W17" s="45"/>
    </row>
    <row r="18" spans="1:29" ht="16" customHeight="1">
      <c r="A18" s="130" t="s">
        <v>88</v>
      </c>
      <c r="B18" s="170">
        <v>401476</v>
      </c>
      <c r="C18" s="137" t="s">
        <v>276</v>
      </c>
      <c r="D18" s="193">
        <v>44504</v>
      </c>
      <c r="E18" s="134" t="s">
        <v>4</v>
      </c>
      <c r="F18" s="136">
        <v>173</v>
      </c>
      <c r="G18" s="185">
        <v>2021</v>
      </c>
      <c r="H18" s="158">
        <f>IF(AND(ISNUMBER(D18), ISNUMBER(F18)),
    ROUNDDOWN(
        MIN(
            IF(OR(ISBLANK(I18), I18=""),
                EOMONTH(DATE(LOHNTABELLE!$G$3, $A$1, 1), 0), I18)
            - MAX(D18, DATE(LOHNTABELLE!$G$3, $A$1, 1)) + 1)
        / DAY(EOMONTH(DATE(LOHNTABELLE!$G$3, $A$1, 1), 0)) * F18,
        2
    ),
    ""
)</f>
        <v>173</v>
      </c>
      <c r="I18" s="19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334"/>
      <c r="P18" s="335"/>
      <c r="Q18" s="336"/>
      <c r="R18" s="337"/>
    </row>
    <row r="19" spans="1:29" ht="16" customHeight="1">
      <c r="A19" s="130" t="s">
        <v>89</v>
      </c>
      <c r="B19" s="170">
        <v>401479</v>
      </c>
      <c r="C19" s="137" t="s">
        <v>277</v>
      </c>
      <c r="D19" s="193">
        <v>44511</v>
      </c>
      <c r="E19" s="134" t="s">
        <v>13</v>
      </c>
      <c r="F19" s="136">
        <v>173</v>
      </c>
      <c r="G19" s="185">
        <v>2160</v>
      </c>
      <c r="H19" s="158">
        <f>IF(AND(ISNUMBER(D19), ISNUMBER(F19)),
    ROUNDDOWN(
        MIN(
            IF(OR(ISBLANK(I19), I19=""),
                EOMONTH(DATE(LOHNTABELLE!$G$3, $A$1, 1), 0), I19)
            - MAX(D19, DATE(LOHNTABELLE!$G$3, $A$1, 1)) + 1)
        / DAY(EOMONTH(DATE(LOHNTABELLE!$G$3, $A$1, 1), 0)) * F19,
        2
    ),
    ""
)</f>
        <v>173</v>
      </c>
      <c r="I19" s="19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334"/>
      <c r="P19" s="335"/>
      <c r="Q19" s="336"/>
      <c r="R19" s="337"/>
    </row>
    <row r="20" spans="1:29" ht="16" customHeight="1">
      <c r="A20" s="130" t="s">
        <v>90</v>
      </c>
      <c r="B20" s="170">
        <v>401481</v>
      </c>
      <c r="C20" s="137" t="s">
        <v>278</v>
      </c>
      <c r="D20" s="193">
        <v>44531</v>
      </c>
      <c r="E20" s="134" t="s">
        <v>4</v>
      </c>
      <c r="F20" s="136">
        <v>173</v>
      </c>
      <c r="G20" s="185">
        <v>2021</v>
      </c>
      <c r="H20" s="158">
        <f>IF(AND(ISNUMBER(D20), ISNUMBER(F20)),
    ROUNDDOWN(
        MIN(
            IF(OR(ISBLANK(I20), I20=""),
                EOMONTH(DATE(LOHNTABELLE!$G$3, $A$1, 1), 0), I20)
            - MAX(D20, DATE(LOHNTABELLE!$G$3, $A$1, 1)) + 1)
        / DAY(EOMONTH(DATE(LOHNTABELLE!$G$3, $A$1, 1), 0)) * F20,
        2
    ),
    ""
)</f>
        <v>173</v>
      </c>
      <c r="I20" s="19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2021</v>
      </c>
      <c r="M20" s="164"/>
      <c r="N20" s="147"/>
      <c r="O20" s="334"/>
      <c r="P20" s="335"/>
      <c r="Q20" s="336"/>
      <c r="R20" s="337"/>
    </row>
    <row r="21" spans="1:29" ht="16" customHeight="1">
      <c r="A21" s="131" t="s">
        <v>92</v>
      </c>
      <c r="B21" s="170">
        <v>401558</v>
      </c>
      <c r="C21" s="137" t="s">
        <v>275</v>
      </c>
      <c r="D21" s="193">
        <v>44460</v>
      </c>
      <c r="E21" s="134" t="s">
        <v>4</v>
      </c>
      <c r="F21" s="136">
        <v>173</v>
      </c>
      <c r="G21" s="185">
        <v>2021</v>
      </c>
      <c r="H21" s="158">
        <f>IF(AND(ISNUMBER(D21), ISNUMBER(F21)),
    ROUNDDOWN(
        MIN(
            IF(OR(ISBLANK(I21), I21=""),
                EOMONTH(DATE(LOHNTABELLE!$G$3, $A$1, 1), 0), I21)
            - MAX(D21, DATE(LOHNTABELLE!$G$3, $A$1, 1)) + 1)
        / DAY(EOMONTH(DATE(LOHNTABELLE!$G$3, $A$1, 1), 0)) * F21,
        2
    ),
    ""
)</f>
        <v>173</v>
      </c>
      <c r="I21" s="19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334" t="s">
        <v>356</v>
      </c>
      <c r="P21" s="335"/>
      <c r="Q21" s="336">
        <v>5000</v>
      </c>
      <c r="R21" s="337"/>
    </row>
    <row r="22" spans="1:29" ht="16" customHeight="1">
      <c r="A22" s="130" t="s">
        <v>93</v>
      </c>
      <c r="B22" s="170">
        <v>401564</v>
      </c>
      <c r="C22" s="137" t="s">
        <v>279</v>
      </c>
      <c r="D22" s="193">
        <v>44824</v>
      </c>
      <c r="E22" s="134" t="s">
        <v>4</v>
      </c>
      <c r="F22" s="136">
        <v>173</v>
      </c>
      <c r="G22" s="185">
        <v>2021</v>
      </c>
      <c r="H22" s="158">
        <f>IF(AND(ISNUMBER(D22), ISNUMBER(F22)),
    ROUNDDOWN(
        MIN(
            IF(OR(ISBLANK(I22), I22=""),
                EOMONTH(DATE(LOHNTABELLE!$G$3, $A$1, 1), 0), I22)
            - MAX(D22, DATE(LOHNTABELLE!$G$3, $A$1, 1)) + 1)
        / DAY(EOMONTH(DATE(LOHNTABELLE!$G$3, $A$1, 1), 0)) * F22,
        2
    ),
    ""
)</f>
        <v>173</v>
      </c>
      <c r="I22" s="19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334"/>
      <c r="P22" s="335"/>
      <c r="Q22" s="336"/>
      <c r="R22" s="337"/>
    </row>
    <row r="23" spans="1:29" ht="16" customHeight="1">
      <c r="A23" s="130" t="s">
        <v>94</v>
      </c>
      <c r="B23" s="170">
        <v>401583</v>
      </c>
      <c r="C23" s="137" t="s">
        <v>281</v>
      </c>
      <c r="D23" s="193">
        <v>44900</v>
      </c>
      <c r="E23" s="134" t="s">
        <v>21</v>
      </c>
      <c r="F23" s="136">
        <v>173</v>
      </c>
      <c r="G23" s="185">
        <v>2300</v>
      </c>
      <c r="H23" s="158">
        <f>IF(AND(ISNUMBER(D23), ISNUMBER(F23)),
    ROUNDDOWN(
        MIN(
            IF(OR(ISBLANK(I23), I23=""),
                EOMONTH(DATE(LOHNTABELLE!$G$3, $A$1, 1), 0), I23)
            - MAX(D23, DATE(LOHNTABELLE!$G$3, $A$1, 1)) + 1)
        / DAY(EOMONTH(DATE(LOHNTABELLE!$G$3, $A$1, 1), 0)) * F23,
        2
    ),
    ""
)</f>
        <v>173</v>
      </c>
      <c r="I23" s="19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334"/>
      <c r="P23" s="335"/>
      <c r="Q23" s="336"/>
      <c r="R23" s="337"/>
      <c r="W23" s="45"/>
    </row>
    <row r="24" spans="1:29" ht="16" customHeight="1">
      <c r="A24" s="130" t="s">
        <v>95</v>
      </c>
      <c r="B24" s="170">
        <v>401589</v>
      </c>
      <c r="C24" s="137" t="s">
        <v>282</v>
      </c>
      <c r="D24" s="193">
        <v>44926</v>
      </c>
      <c r="E24" s="134" t="s">
        <v>21</v>
      </c>
      <c r="F24" s="136">
        <v>173</v>
      </c>
      <c r="G24" s="185">
        <v>2300</v>
      </c>
      <c r="H24" s="158">
        <f>IF(AND(ISNUMBER(D24), ISNUMBER(F24)),
    ROUNDDOWN(
        MIN(
            IF(OR(ISBLANK(I24), I24=""),
                EOMONTH(DATE(LOHNTABELLE!$G$3, $A$1, 1), 0), I24)
            - MAX(D24, DATE(LOHNTABELLE!$G$3, $A$1, 1)) + 1)
        / DAY(EOMONTH(DATE(LOHNTABELLE!$G$3, $A$1, 1), 0)) * F24,
        2
    ),
    ""
)</f>
        <v>173</v>
      </c>
      <c r="I24" s="19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34"/>
      <c r="P24" s="335"/>
      <c r="Q24" s="336"/>
      <c r="R24" s="337"/>
      <c r="W24" s="45"/>
    </row>
    <row r="25" spans="1:29" ht="16" customHeight="1" thickBot="1">
      <c r="A25" s="131" t="s">
        <v>96</v>
      </c>
      <c r="B25" s="170">
        <v>401602</v>
      </c>
      <c r="C25" s="137" t="s">
        <v>283</v>
      </c>
      <c r="D25" s="193">
        <v>45975</v>
      </c>
      <c r="E25" s="134" t="s">
        <v>4</v>
      </c>
      <c r="F25" s="136">
        <v>173</v>
      </c>
      <c r="G25" s="185">
        <v>2021</v>
      </c>
      <c r="H25" s="158">
        <f>IF(AND(ISNUMBER(D25), ISNUMBER(F25)),
    ROUNDDOWN(
        MIN(
            IF(OR(ISBLANK(I25), I25=""),
                EOMONTH(DATE(LOHNTABELLE!$G$3, $A$1, 1), 0), I25)
            - MAX(D25, DATE(LOHNTABELLE!$G$3, $A$1, 1)) + 1)
        / DAY(EOMONTH(DATE(LOHNTABELLE!$G$3, $A$1, 1), 0)) * F25,
        2
    ),
    ""
)</f>
        <v>173</v>
      </c>
      <c r="I25" s="19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2021</v>
      </c>
      <c r="M25" s="164"/>
      <c r="N25" s="147"/>
      <c r="O25" s="349"/>
      <c r="P25" s="350"/>
      <c r="Q25" s="351"/>
      <c r="R25" s="352"/>
    </row>
    <row r="26" spans="1:29" ht="16" customHeight="1">
      <c r="A26" s="130" t="s">
        <v>97</v>
      </c>
      <c r="B26" s="170">
        <v>401605</v>
      </c>
      <c r="C26" s="137" t="s">
        <v>284</v>
      </c>
      <c r="D26" s="193">
        <v>44986</v>
      </c>
      <c r="E26" s="134" t="s">
        <v>4</v>
      </c>
      <c r="F26" s="136">
        <v>173</v>
      </c>
      <c r="G26" s="185">
        <v>2021</v>
      </c>
      <c r="H26" s="158">
        <f>IF(AND(ISNUMBER(D26), ISNUMBER(F26)),
    ROUNDDOWN(
        MIN(
            IF(OR(ISBLANK(I26), I26=""),
                EOMONTH(DATE(LOHNTABELLE!$G$3, $A$1, 1), 0), I26)
            - MAX(D26, DATE(LOHNTABELLE!$G$3, $A$1, 1)) + 1)
        / DAY(EOMONTH(DATE(LOHNTABELLE!$G$3, $A$1, 1), 0)) * F26,
        2
    ),
    ""
)</f>
        <v>173</v>
      </c>
      <c r="I26" s="19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353"/>
      <c r="P26" s="296"/>
      <c r="Q26" s="354"/>
      <c r="R26" s="355"/>
    </row>
    <row r="27" spans="1:29" ht="16" customHeight="1">
      <c r="A27" s="130" t="s">
        <v>98</v>
      </c>
      <c r="B27" s="170">
        <v>401626</v>
      </c>
      <c r="C27" s="137" t="s">
        <v>285</v>
      </c>
      <c r="D27" s="193">
        <v>45063</v>
      </c>
      <c r="E27" s="134" t="s">
        <v>4</v>
      </c>
      <c r="F27" s="136">
        <v>173</v>
      </c>
      <c r="G27" s="185">
        <v>2021</v>
      </c>
      <c r="H27" s="158">
        <f>IF(AND(ISNUMBER(D27), ISNUMBER(F27)),
    ROUNDDOWN(
        MIN(
            IF(OR(ISBLANK(I27), I27=""),
                EOMONTH(DATE(LOHNTABELLE!$G$3, $A$1, 1), 0), I27)
            - MAX(D27, DATE(LOHNTABELLE!$G$3, $A$1, 1)) + 1)
        / DAY(EOMONTH(DATE(LOHNTABELLE!$G$3, $A$1, 1), 0)) * F27,
        2
    ),
    ""
)</f>
        <v>173</v>
      </c>
      <c r="I27" s="19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345"/>
      <c r="P27" s="251"/>
      <c r="Q27" s="346"/>
      <c r="R27" s="347"/>
      <c r="S27" s="249" t="s">
        <v>99</v>
      </c>
      <c r="T27" s="250"/>
      <c r="U27" s="250"/>
      <c r="V27" s="250"/>
    </row>
    <row r="28" spans="1:29" ht="16" customHeight="1" thickBot="1">
      <c r="A28" s="130" t="s">
        <v>100</v>
      </c>
      <c r="B28" s="170">
        <v>401633</v>
      </c>
      <c r="C28" s="137" t="s">
        <v>286</v>
      </c>
      <c r="D28" s="193">
        <v>45089</v>
      </c>
      <c r="E28" s="134" t="s">
        <v>21</v>
      </c>
      <c r="F28" s="136">
        <v>173</v>
      </c>
      <c r="G28" s="185">
        <v>2300</v>
      </c>
      <c r="H28" s="158">
        <f>IF(AND(ISNUMBER(D28), ISNUMBER(F28)),
    ROUNDDOWN(
        MIN(
            IF(OR(ISBLANK(I28), I28=""),
                EOMONTH(DATE(LOHNTABELLE!$G$3, $A$1, 1), 0), I28)
            - MAX(D28, DATE(LOHNTABELLE!$G$3, $A$1, 1)) + 1)
        / DAY(EOMONTH(DATE(LOHNTABELLE!$G$3, $A$1, 1), 0)) * F28,
        2
    ),
    ""
)</f>
        <v>173</v>
      </c>
      <c r="I28" s="19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348"/>
      <c r="P28" s="290"/>
      <c r="Q28" s="328"/>
      <c r="R28" s="329"/>
    </row>
    <row r="29" spans="1:29" ht="16" customHeight="1" thickBot="1">
      <c r="A29" s="131" t="s">
        <v>101</v>
      </c>
      <c r="B29" s="170">
        <v>401647</v>
      </c>
      <c r="C29" s="137" t="s">
        <v>287</v>
      </c>
      <c r="D29" s="193">
        <v>45182</v>
      </c>
      <c r="E29" s="134" t="s">
        <v>4</v>
      </c>
      <c r="F29" s="136">
        <v>173</v>
      </c>
      <c r="G29" s="185">
        <v>2021</v>
      </c>
      <c r="H29" s="158">
        <f>IF(AND(ISNUMBER(D29), ISNUMBER(F29)),
    ROUNDDOWN(
        MIN(
            IF(OR(ISBLANK(I29), I29=""),
                EOMONTH(DATE(LOHNTABELLE!$G$3, $A$1, 1), 0), I29)
            - MAX(D29, DATE(LOHNTABELLE!$G$3, $A$1, 1)) + 1)
        / DAY(EOMONTH(DATE(LOHNTABELLE!$G$3, $A$1, 1), 0)) * F29,
        2
    ),
    ""
)</f>
        <v>173</v>
      </c>
      <c r="I29" s="19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2021</v>
      </c>
      <c r="M29" s="164"/>
      <c r="N29" s="147"/>
      <c r="O29" s="330" t="s">
        <v>102</v>
      </c>
      <c r="P29" s="282"/>
      <c r="Q29" s="331">
        <f>EINSTELLUNG!O7</f>
        <v>2</v>
      </c>
      <c r="R29" s="332"/>
    </row>
    <row r="30" spans="1:29" ht="16" customHeight="1">
      <c r="A30" s="130" t="s">
        <v>103</v>
      </c>
      <c r="B30" s="170">
        <v>401661</v>
      </c>
      <c r="C30" s="137" t="s">
        <v>288</v>
      </c>
      <c r="D30" s="193">
        <v>45261</v>
      </c>
      <c r="E30" s="134" t="s">
        <v>4</v>
      </c>
      <c r="F30" s="136">
        <v>173</v>
      </c>
      <c r="G30" s="185">
        <v>2021</v>
      </c>
      <c r="H30" s="158">
        <f>IF(AND(ISNUMBER(D30), ISNUMBER(F30)),
    ROUNDDOWN(
        MIN(
            IF(OR(ISBLANK(I30), I30=""),
                EOMONTH(DATE(LOHNTABELLE!$G$3, $A$1, 1), 0), I30)
            - MAX(D30, DATE(LOHNTABELLE!$G$3, $A$1, 1)) + 1)
        / DAY(EOMONTH(DATE(LOHNTABELLE!$G$3, $A$1, 1), 0)) * F30,
        2
    ),
    ""
)</f>
        <v>173</v>
      </c>
      <c r="I30" s="19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401670</v>
      </c>
      <c r="C31" s="137" t="s">
        <v>289</v>
      </c>
      <c r="D31" s="193">
        <v>45358</v>
      </c>
      <c r="E31" s="134" t="s">
        <v>4</v>
      </c>
      <c r="F31" s="136">
        <v>173</v>
      </c>
      <c r="G31" s="185">
        <v>2021</v>
      </c>
      <c r="H31" s="158">
        <f>IF(AND(ISNUMBER(D31), ISNUMBER(F31)),
    ROUNDDOWN(
        MIN(
            IF(OR(ISBLANK(I31), I31=""),
                EOMONTH(DATE(LOHNTABELLE!$G$3, $A$1, 1), 0), I31)
            - MAX(D31, DATE(LOHNTABELLE!$G$3, $A$1, 1)) + 1)
        / DAY(EOMONTH(DATE(LOHNTABELLE!$G$3, $A$1, 1), 0)) * F31,
        2
    ),
    ""
)</f>
        <v>173</v>
      </c>
      <c r="I31" s="19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338">
        <v>0</v>
      </c>
      <c r="P31" s="339"/>
      <c r="Q31" s="340">
        <v>0</v>
      </c>
      <c r="R31" s="298"/>
    </row>
    <row r="32" spans="1:29" ht="16" customHeight="1">
      <c r="A32" s="130" t="s">
        <v>106</v>
      </c>
      <c r="B32" s="170">
        <v>401678</v>
      </c>
      <c r="C32" s="137" t="s">
        <v>290</v>
      </c>
      <c r="D32" s="193">
        <v>45414</v>
      </c>
      <c r="E32" s="134" t="s">
        <v>4</v>
      </c>
      <c r="F32" s="136">
        <v>173</v>
      </c>
      <c r="G32" s="185">
        <v>2021</v>
      </c>
      <c r="H32" s="158">
        <f>IF(AND(ISNUMBER(D32), ISNUMBER(F32)),
    ROUNDDOWN(
        MIN(
            IF(OR(ISBLANK(I32), I32=""),
                EOMONTH(DATE(LOHNTABELLE!$G$3, $A$1, 1), 0), I32)
            - MAX(D32, DATE(LOHNTABELLE!$G$3, $A$1, 1)) + 1)
        / DAY(EOMONTH(DATE(LOHNTABELLE!$G$3, $A$1, 1), 0)) * F32,
        2
    ),
    ""
)</f>
        <v>173</v>
      </c>
      <c r="I32" s="19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401690</v>
      </c>
      <c r="C33" s="137" t="s">
        <v>292</v>
      </c>
      <c r="D33" s="193">
        <v>45536</v>
      </c>
      <c r="E33" s="134" t="s">
        <v>4</v>
      </c>
      <c r="F33" s="136">
        <v>173</v>
      </c>
      <c r="G33" s="185">
        <v>2021</v>
      </c>
      <c r="H33" s="158">
        <f>IF(AND(ISNUMBER(D33), ISNUMBER(F33)),
    ROUNDDOWN(
        MIN(
            IF(OR(ISBLANK(I33), I33=""),
                EOMONTH(DATE(LOHNTABELLE!$G$3, $A$1, 1), 0), I33)
            - MAX(D33, DATE(LOHNTABELLE!$G$3, $A$1, 1)) + 1)
        / DAY(EOMONTH(DATE(LOHNTABELLE!$G$3, $A$1, 1), 0)) * F33,
        2
    ),
    ""
)</f>
        <v>173</v>
      </c>
      <c r="I33" s="19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341"/>
      <c r="P33" s="342"/>
      <c r="Q33" s="268" t="s">
        <v>108</v>
      </c>
      <c r="R33" s="269"/>
      <c r="S33" s="272" t="s">
        <v>109</v>
      </c>
      <c r="T33" s="273"/>
      <c r="U33" s="272" t="s">
        <v>110</v>
      </c>
      <c r="V33" s="273"/>
    </row>
    <row r="34" spans="1:24" ht="16" customHeight="1">
      <c r="A34" s="130" t="s">
        <v>111</v>
      </c>
      <c r="B34" s="170">
        <v>401703</v>
      </c>
      <c r="C34" s="137" t="s">
        <v>293</v>
      </c>
      <c r="D34" s="193">
        <v>45616</v>
      </c>
      <c r="E34" s="134" t="s">
        <v>4</v>
      </c>
      <c r="F34" s="136">
        <v>173</v>
      </c>
      <c r="G34" s="185">
        <v>2021</v>
      </c>
      <c r="H34" s="158">
        <f>IF(AND(ISNUMBER(D34), ISNUMBER(F34)),
    ROUNDDOWN(
        MIN(
            IF(OR(ISBLANK(I34), I34=""),
                EOMONTH(DATE(LOHNTABELLE!$G$3, $A$1, 1), 0), I34)
            - MAX(D34, DATE(LOHNTABELLE!$G$3, $A$1, 1)) + 1)
        / DAY(EOMONTH(DATE(LOHNTABELLE!$G$3, $A$1, 1), 0)) * F34,
        2
    ),
    ""
)</f>
        <v>173</v>
      </c>
      <c r="I34" s="19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343"/>
      <c r="P34" s="344"/>
      <c r="Q34" s="270"/>
      <c r="R34" s="271"/>
      <c r="S34" s="274"/>
      <c r="T34" s="275"/>
      <c r="U34" s="274"/>
      <c r="V34" s="275"/>
    </row>
    <row r="35" spans="1:24" ht="16" customHeight="1">
      <c r="A35" s="130" t="s">
        <v>112</v>
      </c>
      <c r="B35" s="170">
        <v>401715</v>
      </c>
      <c r="C35" s="137" t="s">
        <v>295</v>
      </c>
      <c r="D35" s="193">
        <v>45755</v>
      </c>
      <c r="E35" s="134" t="s">
        <v>4</v>
      </c>
      <c r="F35" s="136">
        <v>173</v>
      </c>
      <c r="G35" s="185">
        <v>2021</v>
      </c>
      <c r="H35" s="158">
        <f>IF(AND(ISNUMBER(D35), ISNUMBER(F35)),
    ROUNDDOWN(
        MIN(
            IF(OR(ISBLANK(I35), I35=""),
                EOMONTH(DATE(LOHNTABELLE!$G$3, $A$1, 1), 0), I35)
            - MAX(D35, DATE(LOHNTABELLE!$G$3, $A$1, 1)) + 1)
        / DAY(EOMONTH(DATE(LOHNTABELLE!$G$3, $A$1, 1), 0)) * F35,
        2
    ),
    ""
)</f>
        <v>173</v>
      </c>
      <c r="I35" s="19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333" t="s">
        <v>113</v>
      </c>
      <c r="P35" s="255"/>
      <c r="Q35" s="261">
        <f>EINSTELLUNG!C7</f>
        <v>2</v>
      </c>
      <c r="R35" s="263"/>
      <c r="S35" s="261">
        <f>EINSTELLUNG!C23</f>
        <v>2</v>
      </c>
      <c r="T35" s="263"/>
      <c r="U35" s="258">
        <f>S35-Q35</f>
        <v>0</v>
      </c>
      <c r="V35" s="258"/>
    </row>
    <row r="36" spans="1:24" ht="16" customHeight="1">
      <c r="A36" s="130" t="s">
        <v>114</v>
      </c>
      <c r="B36" s="170">
        <v>401716</v>
      </c>
      <c r="C36" s="137" t="s">
        <v>296</v>
      </c>
      <c r="D36" s="193">
        <v>45800</v>
      </c>
      <c r="E36" s="134" t="s">
        <v>4</v>
      </c>
      <c r="F36" s="136">
        <v>173</v>
      </c>
      <c r="G36" s="185">
        <v>2021</v>
      </c>
      <c r="H36" s="158">
        <f>IF(AND(ISNUMBER(D36), ISNUMBER(F36)),
    ROUNDDOWN(
        MIN(
            IF(OR(ISBLANK(I36), I36=""),
                EOMONTH(DATE(LOHNTABELLE!$G$3, $A$1, 1), 0), I36)
            - MAX(D36, DATE(LOHNTABELLE!$G$3, $A$1, 1)) + 1)
        / DAY(EOMONTH(DATE(LOHNTABELLE!$G$3, $A$1, 1), 0)) * F36,
        2
    ),
    ""
)</f>
        <v>173</v>
      </c>
      <c r="I36" s="19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333" t="s">
        <v>115</v>
      </c>
      <c r="P36" s="255"/>
      <c r="Q36" s="261">
        <f>EINSTELLUNG!D7</f>
        <v>2</v>
      </c>
      <c r="R36" s="263"/>
      <c r="S36" s="257" cm="1">
        <f t="array" ref="S36">SumMergedCells(Q17:R29)</f>
        <v>108550</v>
      </c>
      <c r="T36" s="257"/>
      <c r="U36" s="258">
        <f t="shared" ref="U36:U41" si="2">S36-Q36</f>
        <v>108548</v>
      </c>
      <c r="V36" s="258"/>
    </row>
    <row r="37" spans="1:24" ht="16" customHeight="1">
      <c r="A37" s="131" t="s">
        <v>116</v>
      </c>
      <c r="B37" s="170">
        <v>401717</v>
      </c>
      <c r="C37" s="137" t="s">
        <v>297</v>
      </c>
      <c r="D37" s="193">
        <v>45814</v>
      </c>
      <c r="E37" s="134" t="s">
        <v>4</v>
      </c>
      <c r="F37" s="136">
        <v>173</v>
      </c>
      <c r="G37" s="185">
        <v>2021</v>
      </c>
      <c r="H37" s="158">
        <f>IF(AND(ISNUMBER(D37), ISNUMBER(F37)),
    ROUNDDOWN(
        MIN(
            IF(OR(ISBLANK(I37), I37=""),
                EOMONTH(DATE(LOHNTABELLE!$G$3, $A$1, 1), 0), I37)
            - MAX(D37, DATE(LOHNTABELLE!$G$3, $A$1, 1)) + 1)
        / DAY(EOMONTH(DATE(LOHNTABELLE!$G$3, $A$1, 1), 0)) * F37,
        2
    ),
    ""
)</f>
        <v>173</v>
      </c>
      <c r="I37" s="19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333" t="s">
        <v>117</v>
      </c>
      <c r="P37" s="255"/>
      <c r="Q37" s="326">
        <f>IF(ISERROR(Q36/Q35), 0, Q36/Q35)</f>
        <v>1</v>
      </c>
      <c r="R37" s="327"/>
      <c r="S37" s="326">
        <f>IF(ISERROR(S36/S35), 0, S36/S35)</f>
        <v>54275</v>
      </c>
      <c r="T37" s="327"/>
      <c r="U37" s="265">
        <f t="shared" si="2"/>
        <v>54274</v>
      </c>
      <c r="V37" s="265"/>
    </row>
    <row r="38" spans="1:24" ht="16" customHeight="1">
      <c r="A38" s="130" t="s">
        <v>118</v>
      </c>
      <c r="B38" s="170">
        <v>401722</v>
      </c>
      <c r="C38" s="137" t="s">
        <v>298</v>
      </c>
      <c r="D38" s="193">
        <v>45848</v>
      </c>
      <c r="E38" s="134" t="s">
        <v>4</v>
      </c>
      <c r="F38" s="136">
        <v>86.5</v>
      </c>
      <c r="G38" s="185">
        <v>1010.5</v>
      </c>
      <c r="H38" s="158">
        <f>IF(AND(ISNUMBER(D38), ISNUMBER(F38)),
    ROUNDDOWN(
        MIN(
            IF(OR(ISBLANK(I39), I39=""),
                EOMONTH(DATE(LOHNTABELLE!$G$3, $A$1, 1), 0), I39)
            - MAX(D38, DATE(LOHNTABELLE!$G$3, $A$1, 1)) + 1)
        / DAY(EOMONTH(DATE(LOHNTABELLE!$G$3, $A$1, 1), 0)) * F38,
        2
    ),
    ""
)</f>
        <v>86.5</v>
      </c>
      <c r="I38" s="19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333" t="s">
        <v>119</v>
      </c>
      <c r="P38" s="255"/>
      <c r="Q38" s="324">
        <f>EINSTELLUNG!F7</f>
        <v>2</v>
      </c>
      <c r="R38" s="325"/>
      <c r="S38" s="324">
        <f>EINSTELLUNG!F23</f>
        <v>2</v>
      </c>
      <c r="T38" s="325"/>
      <c r="U38" s="260">
        <f t="shared" si="2"/>
        <v>0</v>
      </c>
      <c r="V38" s="260"/>
    </row>
    <row r="39" spans="1:24" ht="16" customHeight="1">
      <c r="A39" s="130" t="s">
        <v>120</v>
      </c>
      <c r="B39" s="170">
        <v>401723</v>
      </c>
      <c r="C39" s="137" t="s">
        <v>299</v>
      </c>
      <c r="D39" s="193">
        <v>45852</v>
      </c>
      <c r="E39" s="134" t="s">
        <v>4</v>
      </c>
      <c r="F39" s="136">
        <v>86.5</v>
      </c>
      <c r="G39" s="185">
        <v>1010.5</v>
      </c>
      <c r="H39" s="158">
        <f>IF(AND(ISNUMBER(D39), ISNUMBER(F39)),
    ROUNDDOWN(
        MIN(
            IF(OR(ISBLANK(I40), I40=""),
                EOMONTH(DATE(LOHNTABELLE!$G$3, $A$1, 1), 0), I40)
            - MAX(D39, DATE(LOHNTABELLE!$G$3, $A$1, 1)) + 1)
        / DAY(EOMONTH(DATE(LOHNTABELLE!$G$3, $A$1, 1), 0)) * F39,
        2
    ),
    ""
)</f>
        <v>86.5</v>
      </c>
      <c r="I39" s="19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333" t="s">
        <v>121</v>
      </c>
      <c r="P39" s="255"/>
      <c r="Q39" s="261">
        <f>IF(Q38=0, 0, Q35/Q38)</f>
        <v>1</v>
      </c>
      <c r="R39" s="263"/>
      <c r="S39" s="261">
        <f>IF(S38=0, 0, S35/S38)</f>
        <v>1</v>
      </c>
      <c r="T39" s="263"/>
      <c r="U39" s="258">
        <f t="shared" si="2"/>
        <v>0</v>
      </c>
      <c r="V39" s="258"/>
    </row>
    <row r="40" spans="1:24" ht="16" customHeight="1">
      <c r="A40" s="130" t="s">
        <v>122</v>
      </c>
      <c r="B40" s="170">
        <v>401726</v>
      </c>
      <c r="C40" s="137" t="s">
        <v>300</v>
      </c>
      <c r="D40" s="193">
        <v>45870</v>
      </c>
      <c r="E40" s="134" t="s">
        <v>4</v>
      </c>
      <c r="F40" s="136">
        <v>86.5</v>
      </c>
      <c r="G40" s="185">
        <v>1010.5</v>
      </c>
      <c r="H40" s="158">
        <f>IF(AND(ISNUMBER(D40), ISNUMBER(F40)),
    ROUNDDOWN(
        MIN(
            IF(OR(ISBLANK(I40), I40=""),
                EOMONTH(DATE(LOHNTABELLE!$G$3, $A$1, 1), 0), I40)
            - MAX(D40, DATE(LOHNTABELLE!$G$3, $A$1, 1)) + 1)
        / DAY(EOMONTH(DATE(LOHNTABELLE!$G$3, $A$1, 1), 0)) * F40,
        2
    ),
    ""
)</f>
        <v>86.5</v>
      </c>
      <c r="I40" s="19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55" t="s">
        <v>123</v>
      </c>
      <c r="P40" s="256"/>
      <c r="Q40" s="257">
        <f>IF(Q12=0, 0, Q35/Q12)</f>
        <v>2.3383115987270236E-4</v>
      </c>
      <c r="R40" s="257"/>
      <c r="S40" s="257">
        <f>IF(Q12=0, 0, S35/Q12)</f>
        <v>2.3383115987270236E-4</v>
      </c>
      <c r="T40" s="257"/>
      <c r="U40" s="258">
        <f t="shared" si="2"/>
        <v>0</v>
      </c>
      <c r="V40" s="258"/>
    </row>
    <row r="41" spans="1:24" ht="16" customHeight="1">
      <c r="A41" s="131" t="s">
        <v>124</v>
      </c>
      <c r="B41" s="170">
        <v>401730</v>
      </c>
      <c r="C41" s="137" t="s">
        <v>302</v>
      </c>
      <c r="D41" s="193">
        <v>45895</v>
      </c>
      <c r="E41" s="134" t="s">
        <v>4</v>
      </c>
      <c r="F41" s="136">
        <v>86.5</v>
      </c>
      <c r="G41" s="185">
        <v>1010.5</v>
      </c>
      <c r="H41" s="158">
        <f>IF(AND(ISNUMBER(D41), ISNUMBER(F41)),
    ROUNDDOWN(
        MIN(
            IF(OR(ISBLANK(I41), I41=""),
                EOMONTH(DATE(LOHNTABELLE!$G$3, $A$1, 1), 0), I41)
            - MAX(D41, DATE(LOHNTABELLE!$G$3, $A$1, 1)) + 1)
        / DAY(EOMONTH(DATE(LOHNTABELLE!$G$3, $A$1, 1), 0)) * F41,
        2
    ),
    ""
)</f>
        <v>86.5</v>
      </c>
      <c r="I41" s="19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55" t="s">
        <v>125</v>
      </c>
      <c r="P41" s="256"/>
      <c r="Q41" s="259">
        <f>IF(Q12=0, 0, Q38/Q12)</f>
        <v>2.3383115987270236E-4</v>
      </c>
      <c r="R41" s="259"/>
      <c r="S41" s="259">
        <f>IF(Q12=0, 0, S38/Q12)</f>
        <v>2.3383115987270236E-4</v>
      </c>
      <c r="T41" s="259"/>
      <c r="U41" s="260">
        <f t="shared" si="2"/>
        <v>0</v>
      </c>
      <c r="V41" s="260"/>
    </row>
    <row r="42" spans="1:24" ht="16" customHeight="1">
      <c r="A42" s="130" t="s">
        <v>126</v>
      </c>
      <c r="B42" s="170">
        <v>401731</v>
      </c>
      <c r="C42" s="137" t="s">
        <v>301</v>
      </c>
      <c r="D42" s="193">
        <v>45899</v>
      </c>
      <c r="E42" s="134" t="s">
        <v>4</v>
      </c>
      <c r="F42" s="136">
        <v>86.5</v>
      </c>
      <c r="G42" s="185">
        <v>1010.5</v>
      </c>
      <c r="H42" s="158">
        <f>IF(AND(ISNUMBER(D42), ISNUMBER(F42)),
    ROUNDDOWN(
        MIN(
            IF(OR(ISBLANK(I42), I42=""),
                EOMONTH(DATE(LOHNTABELLE!$G$3, $A$1, 1), 0), I42)
            - MAX(D42, DATE(LOHNTABELLE!$G$3, $A$1, 1)) + 1)
        / DAY(EOMONTH(DATE(LOHNTABELLE!$G$3, $A$1, 1), 0)) * F42,
        2
    ),
    ""
)</f>
        <v>86.5</v>
      </c>
      <c r="I42" s="19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55" t="s">
        <v>127</v>
      </c>
      <c r="P42" s="256"/>
      <c r="Q42" s="261">
        <f>IFERROR(Q17/Q8, 0)</f>
        <v>12.09788788178307</v>
      </c>
      <c r="R42" s="262"/>
      <c r="S42" s="262"/>
      <c r="T42" s="262"/>
      <c r="U42" s="262"/>
      <c r="V42" s="263"/>
    </row>
    <row r="43" spans="1:24" ht="16" customHeight="1">
      <c r="A43" s="130" t="s">
        <v>128</v>
      </c>
      <c r="B43" s="170">
        <v>401734</v>
      </c>
      <c r="C43" s="137" t="s">
        <v>303</v>
      </c>
      <c r="D43" s="193">
        <v>45904</v>
      </c>
      <c r="E43" s="134" t="s">
        <v>4</v>
      </c>
      <c r="F43" s="136">
        <v>86.5</v>
      </c>
      <c r="G43" s="185">
        <v>1010.5</v>
      </c>
      <c r="H43" s="158">
        <f>IF(AND(ISNUMBER(D43), ISNUMBER(F43)),
    ROUNDDOWN(
        MIN(
            IF(OR(ISBLANK(I43), I43=""),
                EOMONTH(DATE(LOHNTABELLE!$G$3, $A$1, 1), 0), I43)
            - MAX(D43, DATE(LOHNTABELLE!$G$3, $A$1, 1)) + 1)
        / DAY(EOMONTH(DATE(LOHNTABELLE!$G$3, $A$1, 1), 0)) * F43,
        2
    ),
    ""
)</f>
        <v>86.5</v>
      </c>
      <c r="I43" s="19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193">
        <v>45906</v>
      </c>
      <c r="E44" s="134" t="s">
        <v>4</v>
      </c>
      <c r="F44" s="136">
        <v>86.5</v>
      </c>
      <c r="G44" s="185">
        <v>1010.5</v>
      </c>
      <c r="H44" s="158">
        <f>IF(AND(ISNUMBER(D44), ISNUMBER(F44)),
    ROUNDDOWN(
        MIN(
            IF(OR(ISBLANK(I44), I44=""),
                EOMONTH(DATE(LOHNTABELLE!$G$3, $A$1, 1), 0), I44)
            - MAX(D44, DATE(LOHNTABELLE!$G$3, $A$1, 1)) + 1)
        / DAY(EOMONTH(DATE(LOHNTABELLE!$G$3, $A$1, 1), 0)) * F44,
        2
    ),
    ""
)</f>
        <v>86.5</v>
      </c>
      <c r="I44" s="19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19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9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193">
        <v>45909</v>
      </c>
      <c r="E46" s="134" t="s">
        <v>4</v>
      </c>
      <c r="F46" s="136">
        <v>86.5</v>
      </c>
      <c r="G46" s="185">
        <v>1010.5</v>
      </c>
      <c r="H46" s="158">
        <f>IF(AND(ISNUMBER(D46), ISNUMBER(F46)),
    ROUNDDOWN(
        MIN(
            IF(OR(ISBLANK(I46), I46=""),
                EOMONTH(DATE(LOHNTABELLE!$G$3, $A$1, 1), 0), I46)
            - MAX(D46, DATE(LOHNTABELLE!$G$3, $A$1, 1)) + 1)
        / DAY(EOMONTH(DATE(LOHNTABELLE!$G$3, $A$1, 1), 0)) * F46,
        2
    ),
    ""
)</f>
        <v>86.5</v>
      </c>
      <c r="I46" s="19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9" t="s">
        <v>310</v>
      </c>
      <c r="D47" s="193">
        <v>45934</v>
      </c>
      <c r="E47" s="134" t="s">
        <v>4</v>
      </c>
      <c r="F47" s="136">
        <v>86.5</v>
      </c>
      <c r="G47" s="185">
        <v>1010.5</v>
      </c>
      <c r="H47" s="158">
        <f>IF(AND(ISNUMBER(D47), ISNUMBER(F47)),
    ROUNDDOWN(
        MIN(
            IF(OR(ISBLANK(I47), I47=""),
                EOMONTH(DATE(LOHNTABELLE!$G$3, $A$1, 1), 0), I47)
            - MAX(D47, DATE(LOHNTABELLE!$G$3, $A$1, 1)) + 1)
        / DAY(EOMONTH(DATE(LOHNTABELLE!$G$3, $A$1, 1), 0)) * F47,
        2
    ),
    ""
)</f>
        <v>86.5</v>
      </c>
      <c r="I47" s="19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401746</v>
      </c>
      <c r="C48" s="137" t="s">
        <v>309</v>
      </c>
      <c r="D48" s="193">
        <v>45941</v>
      </c>
      <c r="E48" s="134" t="s">
        <v>4</v>
      </c>
      <c r="F48" s="136">
        <v>86.5</v>
      </c>
      <c r="G48" s="185">
        <v>1010.5</v>
      </c>
      <c r="H48" s="158">
        <f>IF(AND(ISNUMBER(D48), ISNUMBER(F48)),
    ROUNDDOWN(
        MIN(
            IF(OR(ISBLANK(I48), I48=""),
                EOMONTH(DATE(LOHNTABELLE!$G$3, $A$1, 1), 0), I48)
            - MAX(D48, DATE(LOHNTABELLE!$G$3, $A$1, 1)) + 1)
        / DAY(EOMONTH(DATE(LOHNTABELLE!$G$3, $A$1, 1), 0)) * F48,
        2
    ),
    ""
)</f>
        <v>86.5</v>
      </c>
      <c r="I48" s="19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7" t="s">
        <v>307</v>
      </c>
      <c r="D49" s="193">
        <v>45941</v>
      </c>
      <c r="E49" s="134" t="s">
        <v>4</v>
      </c>
      <c r="F49" s="136">
        <v>86.5</v>
      </c>
      <c r="G49" s="185">
        <v>1010.5</v>
      </c>
      <c r="H49" s="158">
        <f>IF(AND(ISNUMBER(D49), ISNUMBER(F49)),
    ROUNDDOWN(
        MIN(
            IF(OR(ISBLANK(I49), I49=""),
                EOMONTH(DATE(LOHNTABELLE!$G$3, $A$1, 1), 0), I49)
            - MAX(D49, DATE(LOHNTABELLE!$G$3, $A$1, 1)) + 1)
        / DAY(EOMONTH(DATE(LOHNTABELLE!$G$3, $A$1, 1), 0)) * F49,
        2
    ),
    ""
)</f>
        <v>86.5</v>
      </c>
      <c r="I49" s="19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193">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9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193">
        <v>45961</v>
      </c>
      <c r="E51" s="134" t="s">
        <v>4</v>
      </c>
      <c r="F51" s="136">
        <v>86.5</v>
      </c>
      <c r="G51" s="185">
        <v>1010.5</v>
      </c>
      <c r="H51" s="158">
        <f>IF(AND(ISNUMBER(D51), ISNUMBER(F51)),
    ROUNDDOWN(
        MIN(
            IF(OR(ISBLANK(I51), I51=""),
                EOMONTH(DATE(LOHNTABELLE!$G$3, $A$1, 1), 0), I51)
            - MAX(D51, DATE(LOHNTABELLE!$G$3, $A$1, 1)) + 1)
        / DAY(EOMONTH(DATE(LOHNTABELLE!$G$3, $A$1, 1), 0)) * F51,
        2
    ),
    ""
)</f>
        <v>86.5</v>
      </c>
      <c r="I51" s="19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193">
        <v>45986</v>
      </c>
      <c r="E52" s="134" t="s">
        <v>4</v>
      </c>
      <c r="F52" s="136">
        <v>86.5</v>
      </c>
      <c r="G52" s="185">
        <v>1010.5</v>
      </c>
      <c r="H52" s="158">
        <f>IF(AND(ISNUMBER(D52), ISNUMBER(F52)),
    ROUNDDOWN(
        MIN(
            IF(OR(ISBLANK(I52), I52=""),
                EOMONTH(DATE(LOHNTABELLE!$G$3, $A$1, 1), 0), I52)
            - MAX(D52, DATE(LOHNTABELLE!$G$3, $A$1, 1)) + 1)
        / DAY(EOMONTH(DATE(LOHNTABELLE!$G$3, $A$1, 1), 0)) * F52,
        2
    ),
    ""
)</f>
        <v>86.5</v>
      </c>
      <c r="I52" s="19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401754</v>
      </c>
      <c r="C53" s="137" t="s">
        <v>313</v>
      </c>
      <c r="D53" s="193">
        <v>46014</v>
      </c>
      <c r="E53" s="134" t="s">
        <v>4</v>
      </c>
      <c r="F53" s="136">
        <v>86.5</v>
      </c>
      <c r="G53" s="185">
        <v>1010.5</v>
      </c>
      <c r="H53" s="158">
        <f>IF(AND(ISNUMBER(D53), ISNUMBER(F53)),
    ROUNDDOWN(
        MIN(
            IF(OR(ISBLANK(I53), I53=""),
                EOMONTH(DATE(LOHNTABELLE!$G$3, $A$1, 1), 0), I53)
            - MAX(D53, DATE(LOHNTABELLE!$G$3, $A$1, 1)) + 1)
        / DAY(EOMONTH(DATE(LOHNTABELLE!$G$3, $A$1, 1), 0)) * F53,
        2
    ),
    ""
)</f>
        <v>86.5</v>
      </c>
      <c r="I53" s="19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402405</v>
      </c>
      <c r="C54" s="137" t="s">
        <v>366</v>
      </c>
      <c r="D54" s="193">
        <v>46054</v>
      </c>
      <c r="E54" s="134" t="s">
        <v>4</v>
      </c>
      <c r="F54" s="136">
        <v>173</v>
      </c>
      <c r="G54" s="185">
        <v>2021</v>
      </c>
      <c r="H54" s="158">
        <f>IF(AND(ISNUMBER(D54), ISNUMBER(F54)),
    ROUNDDOWN(
        MIN(
            IF(OR(ISBLANK(I54), I54=""),
                EOMONTH(DATE(LOHNTABELLE!$G$3, $A$1, 1), 0), I54)
            - MAX(D54, DATE(LOHNTABELLE!$G$3, $A$1, 1)) + 1)
        / DAY(EOMONTH(DATE(LOHNTABELLE!$G$3, $A$1, 1), 0)) * F54,
        2
    ),
    ""
)</f>
        <v>173</v>
      </c>
      <c r="I54" s="19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2021</v>
      </c>
      <c r="M54" s="164"/>
      <c r="N54" s="147"/>
    </row>
    <row r="55" spans="1:14" ht="16" customHeight="1">
      <c r="A55" s="130" t="s">
        <v>141</v>
      </c>
      <c r="B55" s="170">
        <v>55</v>
      </c>
      <c r="C55" s="137" t="s">
        <v>367</v>
      </c>
      <c r="D55" s="193">
        <v>46054</v>
      </c>
      <c r="E55" s="134" t="s">
        <v>4</v>
      </c>
      <c r="F55" s="136">
        <v>173</v>
      </c>
      <c r="G55" s="185">
        <v>2021</v>
      </c>
      <c r="H55" s="158">
        <f>IF(AND(ISNUMBER(D55), ISNUMBER(F55)),
    ROUNDDOWN(
        MIN(
            IF(OR(ISBLANK(I55), I55=""),
                EOMONTH(DATE(LOHNTABELLE!$G$3, $A$1, 1), 0), I55)
            - MAX(D55, DATE(LOHNTABELLE!$G$3, $A$1, 1)) + 1)
        / DAY(EOMONTH(DATE(LOHNTABELLE!$G$3, $A$1, 1), 0)) * F55,
        2
    ),
    ""
)</f>
        <v>173</v>
      </c>
      <c r="I55" s="19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2021</v>
      </c>
      <c r="M55" s="164"/>
      <c r="N55" s="147"/>
    </row>
    <row r="56" spans="1:14" ht="16" customHeight="1">
      <c r="A56" s="130" t="s">
        <v>142</v>
      </c>
      <c r="B56" s="170">
        <v>503000</v>
      </c>
      <c r="C56" s="137" t="s">
        <v>368</v>
      </c>
      <c r="D56" s="193">
        <v>42401</v>
      </c>
      <c r="E56" s="134" t="s">
        <v>4</v>
      </c>
      <c r="F56" s="136">
        <v>173</v>
      </c>
      <c r="G56" s="185">
        <v>2021</v>
      </c>
      <c r="H56" s="158">
        <f>IF(AND(ISNUMBER(D56), ISNUMBER(F56)),
    ROUNDDOWN(
        MIN(
            IF(OR(ISBLANK(I56), I56=""),
                EOMONTH(DATE(LOHNTABELLE!$G$3, $A$1, 1), 0), I56)
            - MAX(D56, DATE(LOHNTABELLE!$G$3, $A$1, 1)) + 1)
        / DAY(EOMONTH(DATE(LOHNTABELLE!$G$3, $A$1, 1), 0)) * F56,
        2
    ),
    ""
)</f>
        <v>173</v>
      </c>
      <c r="I56" s="19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2021</v>
      </c>
      <c r="M56" s="164"/>
      <c r="N56" s="147"/>
    </row>
    <row r="57" spans="1:14" ht="16" customHeight="1">
      <c r="A57" s="131" t="s">
        <v>143</v>
      </c>
      <c r="B57" s="170">
        <v>504000</v>
      </c>
      <c r="C57" s="137" t="s">
        <v>369</v>
      </c>
      <c r="D57" s="193">
        <v>46054</v>
      </c>
      <c r="E57" s="134" t="s">
        <v>8</v>
      </c>
      <c r="F57" s="136">
        <v>138.4</v>
      </c>
      <c r="G57" s="185">
        <v>2021</v>
      </c>
      <c r="H57" s="158">
        <f>IF(AND(ISNUMBER(D57), ISNUMBER(F57)),
    ROUNDDOWN(
        MIN(
            IF(OR(ISBLANK(I57), I57=""),
                EOMONTH(DATE(LOHNTABELLE!$G$3, $A$1, 1), 0), I57)
            - MAX(D57, DATE(LOHNTABELLE!$G$3, $A$1, 1)) + 1)
        / DAY(EOMONTH(DATE(LOHNTABELLE!$G$3, $A$1, 1), 0)) * F57,
        2
    ),
    ""
)</f>
        <v>138.4</v>
      </c>
      <c r="I57" s="19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2021</v>
      </c>
      <c r="M57" s="164"/>
      <c r="N57" s="147"/>
    </row>
    <row r="58" spans="1:14" ht="16" customHeight="1">
      <c r="A58" s="130" t="s">
        <v>144</v>
      </c>
      <c r="B58" s="170">
        <v>505000</v>
      </c>
      <c r="C58" s="137" t="s">
        <v>370</v>
      </c>
      <c r="D58" s="193">
        <v>46054</v>
      </c>
      <c r="E58" s="134" t="s">
        <v>4</v>
      </c>
      <c r="F58" s="136">
        <v>138.4</v>
      </c>
      <c r="G58" s="185">
        <v>2021</v>
      </c>
      <c r="H58" s="158">
        <f>IF(AND(ISNUMBER(D58), ISNUMBER(F58)),
    ROUNDDOWN(
        MIN(
            IF(OR(ISBLANK(I58), I58=""),
                EOMONTH(DATE(LOHNTABELLE!$G$3, $A$1, 1), 0), I58)
            - MAX(D58, DATE(LOHNTABELLE!$G$3, $A$1, 1)) + 1)
        / DAY(EOMONTH(DATE(LOHNTABELLE!$G$3, $A$1, 1), 0)) * F58,
        2
    ),
    ""
)</f>
        <v>138.4</v>
      </c>
      <c r="I58" s="19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2021</v>
      </c>
      <c r="M58" s="164"/>
      <c r="N58" s="147"/>
    </row>
    <row r="59" spans="1:14" ht="16" customHeight="1">
      <c r="A59" s="130" t="s">
        <v>145</v>
      </c>
      <c r="B59" s="170">
        <v>500600</v>
      </c>
      <c r="C59" s="137" t="s">
        <v>371</v>
      </c>
      <c r="D59" s="193">
        <v>46054</v>
      </c>
      <c r="E59" s="134" t="s">
        <v>4</v>
      </c>
      <c r="F59" s="136">
        <v>173</v>
      </c>
      <c r="G59" s="185">
        <v>2021</v>
      </c>
      <c r="H59" s="158">
        <f>IF(AND(ISNUMBER(D59), ISNUMBER(F59)),
    ROUNDDOWN(
        MIN(
            IF(OR(ISBLANK(I59), I59=""),
                EOMONTH(DATE(LOHNTABELLE!$G$3, $A$1, 1), 0), I59)
            - MAX(D59, DATE(LOHNTABELLE!$G$3, $A$1, 1)) + 1)
        / DAY(EOMONTH(DATE(LOHNTABELLE!$G$3, $A$1, 1), 0)) * F59,
        2
    ),
    ""
)</f>
        <v>173</v>
      </c>
      <c r="I59" s="19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2021</v>
      </c>
      <c r="M59" s="164"/>
      <c r="N59" s="147"/>
    </row>
    <row r="60" spans="1:14" ht="16" customHeight="1">
      <c r="A60" s="130" t="s">
        <v>146</v>
      </c>
      <c r="B60" s="170">
        <v>600000</v>
      </c>
      <c r="C60" s="137" t="s">
        <v>372</v>
      </c>
      <c r="D60" s="193">
        <v>46054</v>
      </c>
      <c r="E60" s="134" t="s">
        <v>4</v>
      </c>
      <c r="F60" s="136">
        <v>151.38</v>
      </c>
      <c r="G60" s="185">
        <v>2021</v>
      </c>
      <c r="H60" s="158">
        <f>IF(AND(ISNUMBER(D60), ISNUMBER(F60)),
    ROUNDDOWN(
        MIN(
            IF(OR(ISBLANK(I60), I60=""),
                EOMONTH(DATE(LOHNTABELLE!$G$3, $A$1, 1), 0), I60)
            - MAX(D60, DATE(LOHNTABELLE!$G$3, $A$1, 1)) + 1)
        / DAY(EOMONTH(DATE(LOHNTABELLE!$G$3, $A$1, 1), 0)) * F60,
        2
    ),
    ""
)</f>
        <v>151.38</v>
      </c>
      <c r="I60" s="19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2021</v>
      </c>
      <c r="M60" s="164"/>
      <c r="N60" s="147"/>
    </row>
    <row r="61" spans="1:14" ht="16" customHeight="1">
      <c r="A61" s="131" t="s">
        <v>147</v>
      </c>
      <c r="B61" s="170"/>
      <c r="C61" s="137"/>
      <c r="D61" s="193"/>
      <c r="E61" s="134"/>
      <c r="F61" s="136"/>
      <c r="G61" s="185"/>
      <c r="H61" s="158" t="str">
        <f>IF(AND(ISNUMBER(D61), ISNUMBER(F61)),
    ROUNDDOWN(
        MIN(
            IF(OR(ISBLANK(I61), I61=""),
                EOMONTH(DATE(LOHNTABELLE!$G$3, $A$1, 1), 0), I61)
            - MAX(D61, DATE(LOHNTABELLE!$G$3, $A$1, 1)) + 1)
        / DAY(EOMONTH(DATE(LOHNTABELLE!$G$3, $A$1, 1), 0)) * F61,
        2
    ),
    ""
)</f>
        <v/>
      </c>
      <c r="I61" s="19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193"/>
      <c r="E62" s="134"/>
      <c r="F62" s="136"/>
      <c r="G62" s="185"/>
      <c r="H62" s="158" t="str">
        <f>IF(AND(ISNUMBER(D62), ISNUMBER(F62)),
    ROUNDDOWN(
        MIN(
            IF(OR(ISBLANK(I62), I62=""),
                EOMONTH(DATE(LOHNTABELLE!$G$3, $A$1, 1), 0), I62)
            - MAX(D62, DATE(LOHNTABELLE!$G$3, $A$1, 1)) + 1)
        / DAY(EOMONTH(DATE(LOHNTABELLE!$G$3, $A$1, 1), 0)) * F62,
        2
    ),
    ""
)</f>
        <v/>
      </c>
      <c r="I62" s="19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193"/>
      <c r="E63" s="134"/>
      <c r="F63" s="136"/>
      <c r="G63" s="185"/>
      <c r="H63" s="158" t="str">
        <f>IF(AND(ISNUMBER(D63), ISNUMBER(F63)),
    ROUNDDOWN(
        MIN(
            IF(OR(ISBLANK(I63), I63=""),
                EOMONTH(DATE(LOHNTABELLE!$G$3, $A$1, 1), 0), I63)
            - MAX(D63, DATE(LOHNTABELLE!$G$3, $A$1, 1)) + 1)
        / DAY(EOMONTH(DATE(LOHNTABELLE!$G$3, $A$1, 1), 0)) * F63,
        2
    ),
    ""
)</f>
        <v/>
      </c>
      <c r="I63" s="19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193"/>
      <c r="E64" s="134"/>
      <c r="F64" s="136"/>
      <c r="G64" s="185"/>
      <c r="H64" s="158" t="str">
        <f>IF(AND(ISNUMBER(D64), ISNUMBER(F64)),
    ROUNDDOWN(
        MIN(
            IF(OR(ISBLANK(I64), I64=""),
                EOMONTH(DATE(LOHNTABELLE!$G$3, $A$1, 1), 0), I64)
            - MAX(D64, DATE(LOHNTABELLE!$G$3, $A$1, 1)) + 1)
        / DAY(EOMONTH(DATE(LOHNTABELLE!$G$3, $A$1, 1), 0)) * F64,
        2
    ),
    ""
)</f>
        <v/>
      </c>
      <c r="I64" s="19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93"/>
      <c r="E65" s="134"/>
      <c r="F65" s="136"/>
      <c r="G65" s="185"/>
      <c r="H65" s="158" t="str">
        <f>IF(AND(ISNUMBER(D65), ISNUMBER(F65)),
    ROUNDDOWN(
        MIN(
            IF(OR(ISBLANK(I65), I65=""),
                EOMONTH(DATE(LOHNTABELLE!$G$3, $A$1, 1), 0), I65)
            - MAX(D65, DATE(LOHNTABELLE!$G$3, $A$1, 1)) + 1)
        / DAY(EOMONTH(DATE(LOHNTABELLE!$G$3, $A$1, 1), 0)) * F65,
        2
    ),
    ""
)</f>
        <v/>
      </c>
      <c r="I65" s="19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93"/>
      <c r="E66" s="134"/>
      <c r="F66" s="136"/>
      <c r="G66" s="185"/>
      <c r="H66" s="158" t="str">
        <f>IF(AND(ISNUMBER(D66), ISNUMBER(F66)),
    ROUNDDOWN(
        MIN(
            IF(OR(ISBLANK(I66), I66=""),
                EOMONTH(DATE(LOHNTABELLE!$G$3, $A$1, 1), 0), I66)
            - MAX(D66, DATE(LOHNTABELLE!$G$3, $A$1, 1)) + 1)
        / DAY(EOMONTH(DATE(LOHNTABELLE!$G$3, $A$1, 1), 0)) * F66,
        2
    ),
    ""
)</f>
        <v/>
      </c>
      <c r="I66" s="19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93"/>
      <c r="E67" s="134"/>
      <c r="F67" s="136"/>
      <c r="G67" s="185"/>
      <c r="H67" s="158" t="str">
        <f>IF(AND(ISNUMBER(D67), ISNUMBER(F67)),
    ROUNDDOWN(
        MIN(
            IF(OR(ISBLANK(I67), I67=""),
                EOMONTH(DATE(LOHNTABELLE!$G$3, $A$1, 1), 0), I67)
            - MAX(D67, DATE(LOHNTABELLE!$G$3, $A$1, 1)) + 1)
        / DAY(EOMONTH(DATE(LOHNTABELLE!$G$3, $A$1, 1), 0)) * F67,
        2
    ),
    ""
)</f>
        <v/>
      </c>
      <c r="I67" s="196"/>
      <c r="J67" s="135"/>
      <c r="K67" s="161">
        <f t="shared" ref="K67:K82"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93"/>
      <c r="E68" s="134"/>
      <c r="F68" s="136"/>
      <c r="G68" s="185"/>
      <c r="H68" s="158" t="str">
        <f>IF(AND(ISNUMBER(D68), ISNUMBER(F68)),
    ROUNDDOWN(
        MIN(
            IF(OR(ISBLANK(I68), I68=""),
                EOMONTH(DATE(LOHNTABELLE!$G$3, $A$1, 1), 0), I68)
            - MAX(D68, DATE(LOHNTABELLE!$G$3, $A$1, 1)) + 1)
        / DAY(EOMONTH(DATE(LOHNTABELLE!$G$3, $A$1, 1), 0)) * F68,
        2
    ),
    ""
)</f>
        <v/>
      </c>
      <c r="I68" s="19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93"/>
      <c r="E69" s="134"/>
      <c r="F69" s="136"/>
      <c r="G69" s="185"/>
      <c r="H69" s="158" t="str">
        <f>IF(AND(ISNUMBER(D69), ISNUMBER(F69)),
    ROUNDDOWN(
        MIN(
            IF(OR(ISBLANK(I69), I69=""),
                EOMONTH(DATE(LOHNTABELLE!$G$3, $A$1, 1), 0), I69)
            - MAX(D69, DATE(LOHNTABELLE!$G$3, $A$1, 1)) + 1)
        / DAY(EOMONTH(DATE(LOHNTABELLE!$G$3, $A$1, 1), 0)) * F69,
        2
    ),
    ""
)</f>
        <v/>
      </c>
      <c r="I69" s="19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93"/>
      <c r="E70" s="134"/>
      <c r="F70" s="136"/>
      <c r="G70" s="185"/>
      <c r="H70" s="158" t="str">
        <f>IF(AND(ISNUMBER(D70), ISNUMBER(F70)),
    ROUNDDOWN(
        MIN(
            IF(OR(ISBLANK(I70), I70=""),
                EOMONTH(DATE(LOHNTABELLE!$G$3, $A$1, 1), 0), I70)
            - MAX(D70, DATE(LOHNTABELLE!$G$3, $A$1, 1)) + 1)
        / DAY(EOMONTH(DATE(LOHNTABELLE!$G$3, $A$1, 1), 0)) * F70,
        2
    ),
    ""
)</f>
        <v/>
      </c>
      <c r="I70" s="19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93"/>
      <c r="E71" s="134"/>
      <c r="F71" s="136"/>
      <c r="G71" s="185"/>
      <c r="H71" s="158" t="str">
        <f>IF(AND(ISNUMBER(D71), ISNUMBER(F71)),
    ROUNDDOWN(
        MIN(
            IF(OR(ISBLANK(I71), I71=""),
                EOMONTH(DATE(LOHNTABELLE!$G$3, $A$1, 1), 0), I71)
            - MAX(D71, DATE(LOHNTABELLE!$G$3, $A$1, 1)) + 1)
        / DAY(EOMONTH(DATE(LOHNTABELLE!$G$3, $A$1, 1), 0)) * F71,
        2
    ),
    ""
)</f>
        <v/>
      </c>
      <c r="I71" s="19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93"/>
      <c r="E72" s="134"/>
      <c r="F72" s="136"/>
      <c r="G72" s="185"/>
      <c r="H72" s="158" t="str">
        <f>IF(AND(ISNUMBER(D72), ISNUMBER(F72)),
    ROUNDDOWN(
        MIN(
            IF(OR(ISBLANK(I72), I72=""),
                EOMONTH(DATE(LOHNTABELLE!$G$3, $A$1, 1), 0), I72)
            - MAX(D72, DATE(LOHNTABELLE!$G$3, $A$1, 1)) + 1)
        / DAY(EOMONTH(DATE(LOHNTABELLE!$G$3, $A$1, 1), 0)) * F72,
        2
    ),
    ""
)</f>
        <v/>
      </c>
      <c r="I72" s="19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93"/>
      <c r="E73" s="134"/>
      <c r="F73" s="136"/>
      <c r="G73" s="185"/>
      <c r="H73" s="158" t="str">
        <f>IF(AND(ISNUMBER(D73), ISNUMBER(F73)),
    ROUNDDOWN(
        MIN(
            IF(OR(ISBLANK(I73), I73=""),
                EOMONTH(DATE(LOHNTABELLE!$G$3, $A$1, 1), 0), I73)
            - MAX(D73, DATE(LOHNTABELLE!$G$3, $A$1, 1)) + 1)
        / DAY(EOMONTH(DATE(LOHNTABELLE!$G$3, $A$1, 1), 0)) * F73,
        2
    ),
    ""
)</f>
        <v/>
      </c>
      <c r="I73" s="19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93"/>
      <c r="E74" s="134"/>
      <c r="F74" s="136"/>
      <c r="G74" s="185"/>
      <c r="H74" s="158" t="str">
        <f>IF(AND(ISNUMBER(D74), ISNUMBER(F74)),
    ROUNDDOWN(
        MIN(
            IF(OR(ISBLANK(I74), I74=""),
                EOMONTH(DATE(LOHNTABELLE!$G$3, $A$1, 1), 0), I74)
            - MAX(D74, DATE(LOHNTABELLE!$G$3, $A$1, 1)) + 1)
        / DAY(EOMONTH(DATE(LOHNTABELLE!$G$3, $A$1, 1), 0)) * F74,
        2
    ),
    ""
)</f>
        <v/>
      </c>
      <c r="I74" s="19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93"/>
      <c r="E75" s="134"/>
      <c r="F75" s="136"/>
      <c r="G75" s="185"/>
      <c r="H75" s="158" t="str">
        <f>IF(AND(ISNUMBER(D75), ISNUMBER(F75)),
    ROUNDDOWN(
        MIN(
            IF(OR(ISBLANK(I75), I75=""),
                EOMONTH(DATE(LOHNTABELLE!$G$3, $A$1, 1), 0), I75)
            - MAX(D75, DATE(LOHNTABELLE!$G$3, $A$1, 1)) + 1)
        / DAY(EOMONTH(DATE(LOHNTABELLE!$G$3, $A$1, 1), 0)) * F75,
        2
    ),
    ""
)</f>
        <v/>
      </c>
      <c r="I75" s="19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93"/>
      <c r="E76" s="134"/>
      <c r="F76" s="136"/>
      <c r="G76" s="185"/>
      <c r="H76" s="158" t="str">
        <f>IF(AND(ISNUMBER(D76), ISNUMBER(F76)),
    ROUNDDOWN(
        MIN(
            IF(OR(ISBLANK(I76), I76=""),
                EOMONTH(DATE(LOHNTABELLE!$G$3, $A$1, 1), 0), I76)
            - MAX(D76, DATE(LOHNTABELLE!$G$3, $A$1, 1)) + 1)
        / DAY(EOMONTH(DATE(LOHNTABELLE!$G$3, $A$1, 1), 0)) * F76,
        2
    ),
    ""
)</f>
        <v/>
      </c>
      <c r="I76" s="19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93"/>
      <c r="E77" s="134"/>
      <c r="F77" s="136"/>
      <c r="G77" s="185"/>
      <c r="H77" s="158" t="str">
        <f>IF(AND(ISNUMBER(D77), ISNUMBER(F77)),
    ROUNDDOWN(
        MIN(
            IF(OR(ISBLANK(I77), I77=""),
                EOMONTH(DATE(LOHNTABELLE!$G$3, $A$1, 1), 0), I77)
            - MAX(D77, DATE(LOHNTABELLE!$G$3, $A$1, 1)) + 1)
        / DAY(EOMONTH(DATE(LOHNTABELLE!$G$3, $A$1, 1), 0)) * F77,
        2
    ),
    ""
)</f>
        <v/>
      </c>
      <c r="I77" s="19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93"/>
      <c r="E78" s="134"/>
      <c r="F78" s="136"/>
      <c r="G78" s="185"/>
      <c r="H78" s="158" t="str">
        <f>IF(AND(ISNUMBER(D78), ISNUMBER(F78)),
    ROUNDDOWN(
        MIN(
            IF(OR(ISBLANK(I78), I78=""),
                EOMONTH(DATE(LOHNTABELLE!$G$3, $A$1, 1), 0), I78)
            - MAX(D78, DATE(LOHNTABELLE!$G$3, $A$1, 1)) + 1)
        / DAY(EOMONTH(DATE(LOHNTABELLE!$G$3, $A$1, 1), 0)) * F78,
        2
    ),
    ""
)</f>
        <v/>
      </c>
      <c r="I78" s="19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93"/>
      <c r="E79" s="134"/>
      <c r="F79" s="136"/>
      <c r="G79" s="185"/>
      <c r="H79" s="158" t="str">
        <f>IF(AND(ISNUMBER(D79), ISNUMBER(F79)),
    ROUNDDOWN(
        MIN(
            IF(OR(ISBLANK(I79), I79=""),
                EOMONTH(DATE(LOHNTABELLE!$G$3, $A$1, 1), 0), I79)
            - MAX(D79, DATE(LOHNTABELLE!$G$3, $A$1, 1)) + 1)
        / DAY(EOMONTH(DATE(LOHNTABELLE!$G$3, $A$1, 1), 0)) * F79,
        2
    ),
    ""
)</f>
        <v/>
      </c>
      <c r="I79" s="19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93"/>
      <c r="E80" s="134"/>
      <c r="F80" s="136"/>
      <c r="G80" s="185"/>
      <c r="H80" s="158" t="str">
        <f>IF(AND(ISNUMBER(D80), ISNUMBER(F80)),
    ROUNDDOWN(
        MIN(
            IF(OR(ISBLANK(I80), I80=""),
                EOMONTH(DATE(LOHNTABELLE!$G$3, $A$1, 1), 0), I80)
            - MAX(D80, DATE(LOHNTABELLE!$G$3, $A$1, 1)) + 1)
        / DAY(EOMONTH(DATE(LOHNTABELLE!$G$3, $A$1, 1), 0)) * F80,
        2
    ),
    ""
)</f>
        <v/>
      </c>
      <c r="I80" s="19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5" ht="16" customHeight="1">
      <c r="A81" s="131" t="s">
        <v>167</v>
      </c>
      <c r="B81" s="170"/>
      <c r="C81" s="137"/>
      <c r="D81" s="193"/>
      <c r="E81" s="134"/>
      <c r="F81" s="136"/>
      <c r="G81" s="185"/>
      <c r="H81" s="158" t="str">
        <f>IF(AND(ISNUMBER(D81), ISNUMBER(F81)),
    ROUNDDOWN(
        MIN(
            IF(OR(ISBLANK(I81), I81=""),
                EOMONTH(DATE(LOHNTABELLE!$G$3, $A$1, 1), 0), I81)
            - MAX(D81, DATE(LOHNTABELLE!$G$3, $A$1, 1)) + 1)
        / DAY(EOMONTH(DATE(LOHNTABELLE!$G$3, $A$1, 1), 0)) * F81,
        2
    ),
    ""
)</f>
        <v/>
      </c>
      <c r="I81" s="19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5" ht="16" customHeight="1" thickBot="1">
      <c r="A82" s="130" t="s">
        <v>168</v>
      </c>
      <c r="B82" s="171"/>
      <c r="C82" s="148"/>
      <c r="D82" s="194"/>
      <c r="E82" s="150"/>
      <c r="F82" s="151"/>
      <c r="G82" s="186"/>
      <c r="H82" s="159" t="str">
        <f>IF(AND(ISNUMBER(D82), ISNUMBER(F82)),
    ROUNDDOWN(
        MIN(
            IF(OR(ISBLANK(I82), I82=""),
                EOMONTH(DATE(LOHNTABELLE!$G$3, $A$1, 1), 0), I82)
            - MAX(D82, DATE(LOHNTABELLE!$G$3, $A$1, 1)) + 1)
        / DAY(EOMONTH(DATE(LOHNTABELLE!$G$3, $A$1, 1), 0)) * F82,
        2
    ),
    ""
)</f>
        <v/>
      </c>
      <c r="I82" s="19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4" spans="1:15" ht="16" customHeight="1">
      <c r="O84" s="55"/>
    </row>
    <row r="85" spans="1:15" ht="16" customHeight="1">
      <c r="O85" s="55"/>
    </row>
    <row r="86" spans="1:15" ht="16" customHeight="1">
      <c r="O86" s="55"/>
    </row>
  </sheetData>
  <sheetProtection algorithmName="SHA-512" hashValue="y2KZRp2C2WJBEta13AbsjTInI4AR1vdp8buCZGQuYsOeLQXvimgMzEqmhJTdVVkorSt6m5V1AEBtXjk6tpKaew==" saltValue="lApvV3paYGi6Wqs3y2NaKg==" spinCount="100000" sheet="1" objects="1" scenarios="1" sort="0" autoFilter="0"/>
  <sortState xmlns:xlrd2="http://schemas.microsoft.com/office/spreadsheetml/2017/richdata2" ref="B3:N82">
    <sortCondition ref="B3:B82"/>
    <sortCondition ref="C3:C82"/>
  </sortState>
  <mergeCells count="96">
    <mergeCell ref="O39:P39"/>
    <mergeCell ref="Q39:R39"/>
    <mergeCell ref="I1:I2"/>
    <mergeCell ref="J1:J2"/>
    <mergeCell ref="K1:K2"/>
    <mergeCell ref="L1:L2"/>
    <mergeCell ref="M1:M2"/>
    <mergeCell ref="O36:P36"/>
    <mergeCell ref="Q36:R36"/>
    <mergeCell ref="O37:P37"/>
    <mergeCell ref="Q37:R37"/>
    <mergeCell ref="O38:P38"/>
    <mergeCell ref="Q38:R38"/>
    <mergeCell ref="P3:P4"/>
    <mergeCell ref="Q3:Q4"/>
    <mergeCell ref="O14:P14"/>
    <mergeCell ref="Q14:R14"/>
    <mergeCell ref="B1:B2"/>
    <mergeCell ref="N1:N2"/>
    <mergeCell ref="Q10:R10"/>
    <mergeCell ref="O15:R15"/>
    <mergeCell ref="H1:H2"/>
    <mergeCell ref="R3:R4"/>
    <mergeCell ref="O6:R6"/>
    <mergeCell ref="O8:P8"/>
    <mergeCell ref="Q8:R8"/>
    <mergeCell ref="O9:P9"/>
    <mergeCell ref="Q9:R9"/>
    <mergeCell ref="O10:P10"/>
    <mergeCell ref="O11:P11"/>
    <mergeCell ref="Q11:R11"/>
    <mergeCell ref="O12:P12"/>
    <mergeCell ref="Q12:R12"/>
    <mergeCell ref="O13:P13"/>
    <mergeCell ref="Q13:R13"/>
    <mergeCell ref="O3:O4"/>
    <mergeCell ref="C1:C2"/>
    <mergeCell ref="D1:D2"/>
    <mergeCell ref="E1:E2"/>
    <mergeCell ref="F1:F2"/>
    <mergeCell ref="G1:G2"/>
    <mergeCell ref="O25:P25"/>
    <mergeCell ref="Q25:R25"/>
    <mergeCell ref="O26:P26"/>
    <mergeCell ref="Q26:R26"/>
    <mergeCell ref="O17:P17"/>
    <mergeCell ref="Q17:R17"/>
    <mergeCell ref="O18:P18"/>
    <mergeCell ref="Q18:R18"/>
    <mergeCell ref="O19:P19"/>
    <mergeCell ref="Q19:R19"/>
    <mergeCell ref="O20:P20"/>
    <mergeCell ref="Q20:R20"/>
    <mergeCell ref="O21:P21"/>
    <mergeCell ref="Q21:R21"/>
    <mergeCell ref="S27:V27"/>
    <mergeCell ref="O35:P35"/>
    <mergeCell ref="O22:P22"/>
    <mergeCell ref="Q22:R22"/>
    <mergeCell ref="O23:P23"/>
    <mergeCell ref="Q23:R23"/>
    <mergeCell ref="O24:P24"/>
    <mergeCell ref="Q24:R24"/>
    <mergeCell ref="O31:P31"/>
    <mergeCell ref="Q31:R31"/>
    <mergeCell ref="O33:P34"/>
    <mergeCell ref="Q33:R34"/>
    <mergeCell ref="Q35:R35"/>
    <mergeCell ref="O27:P27"/>
    <mergeCell ref="Q27:R27"/>
    <mergeCell ref="O28:P28"/>
    <mergeCell ref="Q28:R28"/>
    <mergeCell ref="O29:P29"/>
    <mergeCell ref="Q29:R29"/>
    <mergeCell ref="O42:P42"/>
    <mergeCell ref="Q42:V42"/>
    <mergeCell ref="O40:P40"/>
    <mergeCell ref="Q40:R40"/>
    <mergeCell ref="S40:T40"/>
    <mergeCell ref="U40:V40"/>
    <mergeCell ref="O41:P41"/>
    <mergeCell ref="Q41:R41"/>
    <mergeCell ref="S41:T41"/>
    <mergeCell ref="U41:V41"/>
    <mergeCell ref="U38:V38"/>
    <mergeCell ref="S39:T39"/>
    <mergeCell ref="U39:V39"/>
    <mergeCell ref="S38:T38"/>
    <mergeCell ref="U33:V34"/>
    <mergeCell ref="S33:T34"/>
    <mergeCell ref="U37:V37"/>
    <mergeCell ref="S35:T35"/>
    <mergeCell ref="U35:V35"/>
    <mergeCell ref="S36:T36"/>
    <mergeCell ref="U36:V36"/>
    <mergeCell ref="S37:T37"/>
  </mergeCells>
  <dataValidations count="60">
    <dataValidation type="date" showInputMessage="1" showErrorMessage="1" sqref="I3:I82" xr:uid="{A5BED73C-335C-1B49-9BF8-A3FE8B76E253}">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834F483C-C922-3C4D-B8F1-FBFA68547219}">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4C753EDB-44DD-9343-9BE9-321F667DB65A}">
      <formula1>KV_DD_FEBRUAR_3</formula1>
    </dataValidation>
    <dataValidation type="list" allowBlank="1" showInputMessage="1" showErrorMessage="1" sqref="F4" xr:uid="{537869AE-BC6E-CC45-8820-65764D5F723B}">
      <formula1>KV_DD_FEBRUAR_4</formula1>
    </dataValidation>
    <dataValidation type="list" allowBlank="1" showInputMessage="1" showErrorMessage="1" sqref="F5" xr:uid="{46422199-7754-A441-B6F5-EF60B7C9CEA7}">
      <formula1>KV_DD_FEBRUAR_5</formula1>
    </dataValidation>
    <dataValidation type="list" allowBlank="1" showInputMessage="1" showErrorMessage="1" sqref="F6" xr:uid="{93786A49-2993-7E40-8F98-25FB5F227EA4}">
      <formula1>KV_DD_FEBRUAR_6</formula1>
    </dataValidation>
    <dataValidation type="list" allowBlank="1" showInputMessage="1" showErrorMessage="1" sqref="F7" xr:uid="{5ECE8C42-433C-954C-82AB-6C51A0905E4E}">
      <formula1>KV_DD_FEBRUAR_7</formula1>
    </dataValidation>
    <dataValidation type="list" allowBlank="1" showInputMessage="1" showErrorMessage="1" sqref="F8" xr:uid="{77111411-777A-5B4B-8D40-E1CAD16E62C6}">
      <formula1>KV_DD_FEBRUAR_8</formula1>
    </dataValidation>
    <dataValidation type="list" allowBlank="1" showInputMessage="1" showErrorMessage="1" sqref="F9" xr:uid="{480AC1C2-E436-1C48-9F91-698DC48A01C3}">
      <formula1>KV_DD_FEBRUAR_9</formula1>
    </dataValidation>
    <dataValidation type="list" allowBlank="1" showInputMessage="1" showErrorMessage="1" sqref="F10" xr:uid="{2FFD2AAF-BDD1-DA49-A8DF-FCB4FB15E919}">
      <formula1>KV_DD_FEBRUAR_10</formula1>
    </dataValidation>
    <dataValidation type="list" allowBlank="1" showInputMessage="1" showErrorMessage="1" sqref="F11" xr:uid="{B09AD5F7-026A-3B4A-9ECD-FD90E7A111E4}">
      <formula1>KV_DD_FEBRUAR_11</formula1>
    </dataValidation>
    <dataValidation type="list" allowBlank="1" showInputMessage="1" showErrorMessage="1" sqref="F12" xr:uid="{037AB99D-BF99-CF4C-B634-95725C3E7EF8}">
      <formula1>KV_DD_FEBRUAR_12</formula1>
    </dataValidation>
    <dataValidation type="list" allowBlank="1" showInputMessage="1" showErrorMessage="1" sqref="F13" xr:uid="{ABD7AC04-3733-AC43-A75E-1324B78E1422}">
      <formula1>KV_DD_FEBRUAR_13</formula1>
    </dataValidation>
    <dataValidation type="list" allowBlank="1" showInputMessage="1" showErrorMessage="1" sqref="F14" xr:uid="{FA67E6D1-773E-034E-97E3-3922163B4F92}">
      <formula1>KV_DD_FEBRUAR_14</formula1>
    </dataValidation>
    <dataValidation type="list" allowBlank="1" showInputMessage="1" showErrorMessage="1" sqref="F15" xr:uid="{05C667FE-BD5E-FB46-9290-17F7FE93B975}">
      <formula1>KV_DD_FEBRUAR_15</formula1>
    </dataValidation>
    <dataValidation type="list" allowBlank="1" showInputMessage="1" showErrorMessage="1" sqref="F16" xr:uid="{5E4904D6-31A2-564F-98E5-B1C8E1DD7033}">
      <formula1>KV_DD_FEBRUAR_16</formula1>
    </dataValidation>
    <dataValidation type="list" allowBlank="1" showInputMessage="1" showErrorMessage="1" sqref="F17" xr:uid="{5BED0751-8F10-2E43-AA6B-E7B3A38A2876}">
      <formula1>KV_DD_FEBRUAR_17</formula1>
    </dataValidation>
    <dataValidation type="list" allowBlank="1" showInputMessage="1" showErrorMessage="1" sqref="F18" xr:uid="{1644BF23-620D-9B4E-9C03-97F702A7AED1}">
      <formula1>KV_DD_FEBRUAR_18</formula1>
    </dataValidation>
    <dataValidation type="list" allowBlank="1" showInputMessage="1" showErrorMessage="1" sqref="F19" xr:uid="{7C9A3CAF-5EFF-324D-8BE4-C4B239E37891}">
      <formula1>KV_DD_FEBRUAR_19</formula1>
    </dataValidation>
    <dataValidation type="list" allowBlank="1" showInputMessage="1" showErrorMessage="1" sqref="F20" xr:uid="{C759B474-3BBB-014D-822F-43E2F89C1A85}">
      <formula1>KV_DD_FEBRUAR_20</formula1>
    </dataValidation>
    <dataValidation type="list" allowBlank="1" showInputMessage="1" showErrorMessage="1" sqref="F21" xr:uid="{538F4B2D-5110-8D41-B61B-284425743A44}">
      <formula1>KV_DD_FEBRUAR_21</formula1>
    </dataValidation>
    <dataValidation type="list" allowBlank="1" showInputMessage="1" showErrorMessage="1" sqref="F22" xr:uid="{3C4C3886-A03D-E844-9EFE-653511BFFDB4}">
      <formula1>KV_DD_FEBRUAR_22</formula1>
    </dataValidation>
    <dataValidation type="list" allowBlank="1" showInputMessage="1" showErrorMessage="1" sqref="F23" xr:uid="{FC489A44-6076-684F-9081-7A91D5A1E304}">
      <formula1>KV_DD_FEBRUAR_23</formula1>
    </dataValidation>
    <dataValidation type="list" allowBlank="1" showInputMessage="1" showErrorMessage="1" sqref="F24" xr:uid="{CBCE5FD7-742C-2445-9638-DF8525904AC0}">
      <formula1>KV_DD_FEBRUAR_24</formula1>
    </dataValidation>
    <dataValidation type="list" allowBlank="1" showInputMessage="1" showErrorMessage="1" sqref="F25" xr:uid="{903A03E5-5EEB-3246-B0B9-18AF52B30FA4}">
      <formula1>KV_DD_FEBRUAR_25</formula1>
    </dataValidation>
    <dataValidation type="list" allowBlank="1" showInputMessage="1" showErrorMessage="1" sqref="F26" xr:uid="{6FA50965-FB88-074A-A2FC-59436A69D53B}">
      <formula1>KV_DD_FEBRUAR_26</formula1>
    </dataValidation>
    <dataValidation type="list" allowBlank="1" showInputMessage="1" showErrorMessage="1" sqref="F27" xr:uid="{20F2F035-8E9C-F849-8842-E7510A576E67}">
      <formula1>KV_DD_FEBRUAR_27</formula1>
    </dataValidation>
    <dataValidation type="list" allowBlank="1" showInputMessage="1" showErrorMessage="1" sqref="F28" xr:uid="{7BD9B2AD-0CE9-BE40-8129-5DC1CB942EFF}">
      <formula1>KV_DD_FEBRUAR_28</formula1>
    </dataValidation>
    <dataValidation type="list" allowBlank="1" showInputMessage="1" showErrorMessage="1" sqref="F29" xr:uid="{38230D19-0EBB-614C-8967-6BADF15E7FF7}">
      <formula1>KV_DD_FEBRUAR_29</formula1>
    </dataValidation>
    <dataValidation type="list" allowBlank="1" showInputMessage="1" showErrorMessage="1" sqref="F30" xr:uid="{10457BEE-64B4-4242-A3A1-265A80EFA051}">
      <formula1>KV_DD_FEBRUAR_30</formula1>
    </dataValidation>
    <dataValidation type="list" allowBlank="1" showInputMessage="1" showErrorMessage="1" sqref="F31" xr:uid="{28683BFD-20FE-4B4C-8FE6-72B6C82D573C}">
      <formula1>KV_DD_FEBRUAR_31</formula1>
    </dataValidation>
    <dataValidation type="list" allowBlank="1" showInputMessage="1" showErrorMessage="1" sqref="F32" xr:uid="{0A42B895-70E1-6B49-809A-ABE371C72F22}">
      <formula1>KV_DD_FEBRUAR_32</formula1>
    </dataValidation>
    <dataValidation type="list" allowBlank="1" showInputMessage="1" showErrorMessage="1" sqref="F33" xr:uid="{5B03ED83-99B3-9941-A8CF-FCBB261742F7}">
      <formula1>KV_DD_FEBRUAR_33</formula1>
    </dataValidation>
    <dataValidation type="list" allowBlank="1" showInputMessage="1" showErrorMessage="1" sqref="F34" xr:uid="{A6394C42-43C8-7F45-ABD2-AF3E4B8EB587}">
      <formula1>KV_DD_FEBRUAR_34</formula1>
    </dataValidation>
    <dataValidation type="list" allowBlank="1" showInputMessage="1" showErrorMessage="1" sqref="F35" xr:uid="{6DFFDAF5-F38B-2541-943E-B161F9782C8F}">
      <formula1>KV_DD_FEBRUAR_35</formula1>
    </dataValidation>
    <dataValidation type="list" allowBlank="1" showInputMessage="1" showErrorMessage="1" sqref="F36" xr:uid="{D67C2BE3-3368-3A4B-AC6A-81653810F9B8}">
      <formula1>KV_DD_FEBRUAR_36</formula1>
    </dataValidation>
    <dataValidation type="list" allowBlank="1" showInputMessage="1" showErrorMessage="1" sqref="F37" xr:uid="{0A8E6DED-C6B0-F14D-8754-710F4B4DE491}">
      <formula1>KV_DD_FEBRUAR_37</formula1>
    </dataValidation>
    <dataValidation type="list" allowBlank="1" showInputMessage="1" showErrorMessage="1" sqref="F38" xr:uid="{ADA272CE-A59D-5545-9D0B-6E25785CCD15}">
      <formula1>KV_DD_FEBRUAR_38</formula1>
    </dataValidation>
    <dataValidation type="list" allowBlank="1" showInputMessage="1" showErrorMessage="1" sqref="F39" xr:uid="{D03B2254-6E60-9048-A3DF-D3B2F69F27EE}">
      <formula1>KV_DD_FEBRUAR_39</formula1>
    </dataValidation>
    <dataValidation type="list" allowBlank="1" showInputMessage="1" showErrorMessage="1" sqref="F40" xr:uid="{64153BBD-3D03-A54A-B037-968CD079499C}">
      <formula1>KV_DD_FEBRUAR_40</formula1>
    </dataValidation>
    <dataValidation type="list" allowBlank="1" showInputMessage="1" showErrorMessage="1" sqref="F41" xr:uid="{4C797A71-E0D5-0B4A-8470-D3A1DFA79934}">
      <formula1>KV_DD_FEBRUAR_41</formula1>
    </dataValidation>
    <dataValidation type="list" allowBlank="1" showInputMessage="1" showErrorMessage="1" sqref="F42" xr:uid="{6124A100-F1EE-C542-929C-434FFA09C054}">
      <formula1>KV_DD_FEBRUAR_42</formula1>
    </dataValidation>
    <dataValidation type="list" allowBlank="1" showInputMessage="1" showErrorMessage="1" sqref="F43" xr:uid="{63C12324-BBA7-F74D-BF1D-B3EF1BC839B1}">
      <formula1>KV_DD_FEBRUAR_43</formula1>
    </dataValidation>
    <dataValidation type="list" allowBlank="1" showInputMessage="1" showErrorMessage="1" sqref="F44" xr:uid="{423104CA-5547-9843-87D0-C4332F2945CB}">
      <formula1>KV_DD_FEBRUAR_44</formula1>
    </dataValidation>
    <dataValidation type="list" allowBlank="1" showInputMessage="1" showErrorMessage="1" sqref="F45" xr:uid="{D1EC661F-8C41-7747-AD71-A4D3ED6DDB16}">
      <formula1>KV_DD_FEBRUAR_45</formula1>
    </dataValidation>
    <dataValidation type="list" allowBlank="1" showInputMessage="1" showErrorMessage="1" sqref="F46" xr:uid="{3B8A52A0-0D0C-7B40-82FA-587861C6F907}">
      <formula1>KV_DD_FEBRUAR_46</formula1>
    </dataValidation>
    <dataValidation type="list" allowBlank="1" showInputMessage="1" showErrorMessage="1" sqref="F47" xr:uid="{1FBBFA51-ADA0-1C42-95B2-06596694990A}">
      <formula1>KV_DD_FEBRUAR_47</formula1>
    </dataValidation>
    <dataValidation type="list" allowBlank="1" showInputMessage="1" showErrorMessage="1" sqref="F48" xr:uid="{BB2B513C-130A-EE47-B6C6-6A1CB8468C87}">
      <formula1>KV_DD_FEBRUAR_48</formula1>
    </dataValidation>
    <dataValidation type="list" allowBlank="1" showInputMessage="1" showErrorMessage="1" sqref="F49" xr:uid="{91B390CD-CD76-2344-B026-1BCA8DCD62AB}">
      <formula1>KV_DD_FEBRUAR_49</formula1>
    </dataValidation>
    <dataValidation type="list" allowBlank="1" showInputMessage="1" showErrorMessage="1" sqref="F50" xr:uid="{2263494B-C686-4D4A-93C2-8F17C5FF746D}">
      <formula1>KV_DD_FEBRUAR_50</formula1>
    </dataValidation>
    <dataValidation type="list" allowBlank="1" showInputMessage="1" showErrorMessage="1" sqref="F51" xr:uid="{5BAE8CC1-BC1C-B341-B28A-11E312825464}">
      <formula1>KV_DD_FEBRUAR_51</formula1>
    </dataValidation>
    <dataValidation type="list" allowBlank="1" showInputMessage="1" showErrorMessage="1" sqref="F52" xr:uid="{DBD620CA-40CF-AD44-BB68-13F325F4221E}">
      <formula1>KV_DD_FEBRUAR_52</formula1>
    </dataValidation>
    <dataValidation type="list" allowBlank="1" showInputMessage="1" showErrorMessage="1" sqref="F53" xr:uid="{51B4EAEB-76E9-464C-BA78-1EF8241A6496}">
      <formula1>KV_DD_FEBRUAR_53</formula1>
    </dataValidation>
    <dataValidation type="list" allowBlank="1" showInputMessage="1" showErrorMessage="1" sqref="F54" xr:uid="{31CD400B-38F2-0041-B73B-F518BD44A17C}">
      <formula1>KV_DD_FEBRUAR_54</formula1>
    </dataValidation>
    <dataValidation type="list" allowBlank="1" showInputMessage="1" showErrorMessage="1" sqref="F55" xr:uid="{49A924C5-8C60-2A47-B247-4180B46C50A0}">
      <formula1>KV_DD_FEBRUAR_55</formula1>
    </dataValidation>
    <dataValidation type="list" allowBlank="1" showInputMessage="1" showErrorMessage="1" sqref="F56" xr:uid="{9FB9A85B-1E93-4741-A715-D036190059DB}">
      <formula1>KV_DD_FEBRUAR_56</formula1>
    </dataValidation>
    <dataValidation type="list" allowBlank="1" showInputMessage="1" showErrorMessage="1" sqref="F57" xr:uid="{1EE6BA0D-DC24-6948-B15D-FD29EF087E6A}">
      <formula1>KV_DD_FEBRUAR_57</formula1>
    </dataValidation>
    <dataValidation type="list" allowBlank="1" showInputMessage="1" showErrorMessage="1" sqref="F58" xr:uid="{1E235BA7-9DDC-9242-82FC-2AF89E2FFD46}">
      <formula1>KV_DD_FEBRUAR_58</formula1>
    </dataValidation>
    <dataValidation type="list" allowBlank="1" showInputMessage="1" showErrorMessage="1" sqref="F59" xr:uid="{DD1BE7FF-459F-1348-9387-4AA57D44CD2E}">
      <formula1>KV_DD_FEBRUAR_59</formula1>
    </dataValidation>
    <dataValidation type="list" allowBlank="1" showInputMessage="1" showErrorMessage="1" sqref="F60" xr:uid="{B79E711E-1A67-D844-B724-242DC4A95F35}">
      <formula1>KV_DD_FEBRUAR_60</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0242" r:id="rId4" name="Button 2">
              <controlPr defaultSize="0" print="0" autoFill="0" autoPict="0" macro="[0]!CopyData">
                <anchor moveWithCells="1" sizeWithCells="1">
                  <from>
                    <xdr:col>14</xdr:col>
                    <xdr:colOff>38100</xdr:colOff>
                    <xdr:row>0</xdr:row>
                    <xdr:rowOff>50800</xdr:rowOff>
                  </from>
                  <to>
                    <xdr:col>19</xdr:col>
                    <xdr:colOff>114300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F85DB90-9F5D-B347-A366-D039FE6B5719}">
          <x14:formula1>
            <xm:f>LOHNTABELLE!$Q$4:$Q$17</xm:f>
          </x14:formula1>
          <xm:sqref>E3:E82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0595C-6B7B-4F68-9998-06D15D0933ED}">
  <sheetPr codeName="Tabelle5"/>
  <dimension ref="A1:AC82"/>
  <sheetViews>
    <sheetView showGridLines="0" showRowColHeaders="0" zoomScaleNormal="100" workbookViewId="0">
      <pane ySplit="2" topLeftCell="A20"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1640625" style="1" bestFit="1" customWidth="1"/>
    <col min="29" max="16384" width="9.1640625" style="1"/>
  </cols>
  <sheetData>
    <row r="1" spans="1:28" ht="16" customHeight="1">
      <c r="A1" s="128">
        <v>3</v>
      </c>
      <c r="B1" s="302" t="s">
        <v>205</v>
      </c>
      <c r="C1" s="310" t="s">
        <v>52</v>
      </c>
      <c r="D1" s="308" t="s">
        <v>206</v>
      </c>
      <c r="E1" s="308" t="s">
        <v>0</v>
      </c>
      <c r="F1" s="308" t="s">
        <v>53</v>
      </c>
      <c r="G1" s="312" t="s">
        <v>54</v>
      </c>
      <c r="H1" s="314" t="s">
        <v>55</v>
      </c>
      <c r="I1" s="316" t="s">
        <v>207</v>
      </c>
      <c r="J1" s="318" t="s">
        <v>56</v>
      </c>
      <c r="K1" s="320" t="s">
        <v>57</v>
      </c>
      <c r="L1" s="322" t="s">
        <v>58</v>
      </c>
      <c r="M1" s="306" t="s">
        <v>59</v>
      </c>
      <c r="N1" s="303" t="s">
        <v>208</v>
      </c>
      <c r="AB1" s="41">
        <f>DATE(LOHNTABELLE!$G$3, $A$1, 1)</f>
        <v>46082</v>
      </c>
    </row>
    <row r="2" spans="1:28" ht="16" customHeight="1" thickBot="1">
      <c r="A2" s="129"/>
      <c r="B2" s="302"/>
      <c r="C2" s="311"/>
      <c r="D2" s="309"/>
      <c r="E2" s="309"/>
      <c r="F2" s="309"/>
      <c r="G2" s="313"/>
      <c r="H2" s="315"/>
      <c r="I2" s="317"/>
      <c r="J2" s="319"/>
      <c r="K2" s="321"/>
      <c r="L2" s="323"/>
      <c r="M2" s="307"/>
      <c r="N2" s="303"/>
      <c r="AB2" s="41">
        <f>EOMONTH(DATE(LOHNTABELLE!$G$3, $A$1, 1), 0)</f>
        <v>46112</v>
      </c>
    </row>
    <row r="3" spans="1:28" ht="16" customHeight="1">
      <c r="A3" s="130" t="s">
        <v>60</v>
      </c>
      <c r="B3" s="169">
        <v>55</v>
      </c>
      <c r="C3" s="166" t="s">
        <v>367</v>
      </c>
      <c r="D3" s="192">
        <v>46054</v>
      </c>
      <c r="E3" s="142" t="s">
        <v>4</v>
      </c>
      <c r="F3" s="167">
        <v>173</v>
      </c>
      <c r="G3" s="184">
        <v>2021</v>
      </c>
      <c r="H3" s="157">
        <f>IF(AND(ISNUMBER(D3), ISNUMBER(F3)),
    ROUNDDOWN(
        MIN(
            IF(OR(ISBLANK(I3), I3=""),
                EOMONTH(DATE(LOHNTABELLE!$G$3, $A$1, 1), 0), I3)
            - MAX(D3, DATE(LOHNTABELLE!$G$3, $A$1, 1)) + 1)
        / DAY(EOMONTH(DATE(LOHNTABELLE!$G$3, $A$1, 1), 0)) * F3,
        2
    ),
    ""
)</f>
        <v>173</v>
      </c>
      <c r="I3" s="19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2021</v>
      </c>
      <c r="M3" s="163"/>
      <c r="N3" s="146"/>
      <c r="O3" s="242" t="s">
        <v>61</v>
      </c>
      <c r="P3" s="242" t="s">
        <v>62</v>
      </c>
      <c r="Q3" s="240" t="s">
        <v>63</v>
      </c>
      <c r="R3" s="280" t="s">
        <v>64</v>
      </c>
      <c r="AB3" s="43"/>
    </row>
    <row r="4" spans="1:28" ht="16" customHeight="1">
      <c r="A4" s="130" t="s">
        <v>65</v>
      </c>
      <c r="B4" s="170">
        <v>401006</v>
      </c>
      <c r="C4" s="137" t="s">
        <v>262</v>
      </c>
      <c r="D4" s="193">
        <v>38188</v>
      </c>
      <c r="E4" s="134" t="s">
        <v>24</v>
      </c>
      <c r="F4" s="136">
        <v>173</v>
      </c>
      <c r="G4" s="185">
        <v>2328</v>
      </c>
      <c r="H4" s="158">
        <f>IF(AND(ISNUMBER(D4), ISNUMBER(F4)),
    ROUNDDOWN(
        MIN(
            IF(OR(ISBLANK(I4), I4=""),
                EOMONTH(DATE(LOHNTABELLE!$G$3, $A$1, 1), 0), I4)
            - MAX(D4, DATE(LOHNTABELLE!$G$3, $A$1, 1)) + 1)
        / DAY(EOMONTH(DATE(LOHNTABELLE!$G$3, $A$1, 1), 0)) * F4,
        2
    ),
    ""
)</f>
        <v>173</v>
      </c>
      <c r="I4" s="19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43"/>
      <c r="P4" s="243"/>
      <c r="Q4" s="241"/>
      <c r="R4" s="281"/>
    </row>
    <row r="5" spans="1:28" ht="16" customHeight="1">
      <c r="A5" s="131" t="s">
        <v>66</v>
      </c>
      <c r="B5" s="170">
        <v>401010</v>
      </c>
      <c r="C5" s="137" t="s">
        <v>263</v>
      </c>
      <c r="D5" s="193">
        <v>39388</v>
      </c>
      <c r="E5" s="134" t="s">
        <v>12</v>
      </c>
      <c r="F5" s="136">
        <v>173</v>
      </c>
      <c r="G5" s="185">
        <v>2183</v>
      </c>
      <c r="H5" s="158">
        <f>IF(AND(ISNUMBER(D5), ISNUMBER(F5)),
    ROUNDDOWN(
        MIN(
            IF(OR(ISBLANK(I5), I5=""),
                EOMONTH(DATE(LOHNTABELLE!$G$3, $A$1, 1), 0), I5)
            - MAX(D5, DATE(LOHNTABELLE!$G$3, $A$1, 1)) + 1)
        / DAY(EOMONTH(DATE(LOHNTABELLE!$G$3, $A$1, 1), 0)) * F5,
        2
    ),
    ""
)</f>
        <v>173</v>
      </c>
      <c r="I5" s="19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842.66960625479021</v>
      </c>
      <c r="P5" s="49">
        <f>EINSTELLUNG!I8</f>
        <v>3</v>
      </c>
      <c r="Q5" s="48">
        <f>P5-O5</f>
        <v>-839.66960625479021</v>
      </c>
      <c r="R5" s="52">
        <f>IFERROR(Q5*Q42, 0)</f>
        <v>-10080.44704645055</v>
      </c>
    </row>
    <row r="6" spans="1:28" ht="16" customHeight="1">
      <c r="A6" s="130" t="s">
        <v>67</v>
      </c>
      <c r="B6" s="170">
        <v>401047</v>
      </c>
      <c r="C6" s="137" t="s">
        <v>265</v>
      </c>
      <c r="D6" s="193">
        <v>41154</v>
      </c>
      <c r="E6" s="134" t="s">
        <v>10</v>
      </c>
      <c r="F6" s="136">
        <v>173</v>
      </c>
      <c r="G6" s="185">
        <v>2123</v>
      </c>
      <c r="H6" s="158">
        <f>IF(AND(ISNUMBER(D6), ISNUMBER(F6)),
    ROUNDDOWN(
        MIN(
            IF(OR(ISBLANK(I6), I6=""),
                EOMONTH(DATE(LOHNTABELLE!$G$3, $A$1, 1), 0), I6)
            - MAX(D6, DATE(LOHNTABELLE!$G$3, $A$1, 1)) + 1)
        / DAY(EOMONTH(DATE(LOHNTABELLE!$G$3, $A$1, 1), 0)) * F6,
        2
    ),
    ""
)</f>
        <v>173</v>
      </c>
      <c r="I6" s="19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37" t="str">
        <f>IF(Q5&lt;0, "Schlecht! Zu wenig Urlaub abgebaut.", IF(Q5&gt;0, "Gut! Mehr Urlaub abgebaut als aufgebaut.", ""))</f>
        <v>Schlecht! Zu wenig Urlaub abgebaut.</v>
      </c>
      <c r="P6" s="238"/>
      <c r="Q6" s="238"/>
      <c r="R6" s="239"/>
    </row>
    <row r="7" spans="1:28" ht="16" customHeight="1">
      <c r="A7" s="130" t="s">
        <v>68</v>
      </c>
      <c r="B7" s="170">
        <v>401049</v>
      </c>
      <c r="C7" s="137" t="s">
        <v>264</v>
      </c>
      <c r="D7" s="193">
        <v>41130</v>
      </c>
      <c r="E7" s="134" t="s">
        <v>10</v>
      </c>
      <c r="F7" s="136">
        <v>173</v>
      </c>
      <c r="G7" s="185">
        <v>2123</v>
      </c>
      <c r="H7" s="158">
        <f>IF(AND(ISNUMBER(D7), ISNUMBER(F7)),
    ROUNDDOWN(
        MIN(
            IF(OR(ISBLANK(I7), I7=""),
                EOMONTH(DATE(LOHNTABELLE!$G$3, $A$1, 1), 0), I7)
            - MAX(D7, DATE(LOHNTABELLE!$G$3, $A$1, 1)) + 1)
        / DAY(EOMONTH(DATE(LOHNTABELLE!$G$3, $A$1, 1), 0)) * F7,
        2
    ),
    ""
)</f>
        <v>173</v>
      </c>
      <c r="I7" s="19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193">
        <v>41176</v>
      </c>
      <c r="E8" s="134" t="s">
        <v>10</v>
      </c>
      <c r="F8" s="136">
        <v>173</v>
      </c>
      <c r="G8" s="185">
        <v>2123</v>
      </c>
      <c r="H8" s="158">
        <f>IF(AND(ISNUMBER(D8), ISNUMBER(F8)),
    ROUNDDOWN(
        MIN(
            IF(OR(ISBLANK(I8), I8=""),
                EOMONTH(DATE(LOHNTABELLE!$G$3, $A$1, 1), 0), I8)
            - MAX(D8, DATE(LOHNTABELLE!$G$3, $A$1, 1)) + 1)
        / DAY(EOMONTH(DATE(LOHNTABELLE!$G$3, $A$1, 1), 0)) * F8,
        2
    ),
    ""
)</f>
        <v>173</v>
      </c>
      <c r="I8" s="19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45" t="s">
        <v>70</v>
      </c>
      <c r="P8" s="246"/>
      <c r="Q8" s="247">
        <f>SUM(H3:H82)</f>
        <v>8687.5299999999988</v>
      </c>
      <c r="R8" s="247"/>
    </row>
    <row r="9" spans="1:28" ht="16" customHeight="1">
      <c r="A9" s="131" t="s">
        <v>71</v>
      </c>
      <c r="B9" s="170">
        <v>401089</v>
      </c>
      <c r="C9" s="137" t="s">
        <v>280</v>
      </c>
      <c r="D9" s="193">
        <v>44868</v>
      </c>
      <c r="E9" s="134" t="s">
        <v>8</v>
      </c>
      <c r="F9" s="136">
        <v>173</v>
      </c>
      <c r="G9" s="185">
        <v>2082</v>
      </c>
      <c r="H9" s="158">
        <f>IF(AND(ISNUMBER(D9), ISNUMBER(F9)),
    ROUNDDOWN(
        MIN(
            IF(OR(ISBLANK(I9), I9=""),
                EOMONTH(DATE(LOHNTABELLE!$G$3, $A$1, 1), 0), I9)
            - MAX(D9, DATE(LOHNTABELLE!$G$3, $A$1, 1)) + 1)
        / DAY(EOMONTH(DATE(LOHNTABELLE!$G$3, $A$1, 1), 0)) * F9,
        2
    ),
    ""
)</f>
        <v>173</v>
      </c>
      <c r="I9" s="19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45" t="s">
        <v>72</v>
      </c>
      <c r="P9" s="246"/>
      <c r="Q9" s="247">
        <f>EINSTELLUNG!L24</f>
        <v>3</v>
      </c>
      <c r="R9" s="247"/>
      <c r="S9" s="53">
        <f>IFERROR(Q9/Q8, 0)</f>
        <v>3.4532254852645116E-4</v>
      </c>
    </row>
    <row r="10" spans="1:28" ht="16" customHeight="1">
      <c r="A10" s="130" t="s">
        <v>73</v>
      </c>
      <c r="B10" s="170">
        <v>401138</v>
      </c>
      <c r="C10" s="137" t="s">
        <v>267</v>
      </c>
      <c r="D10" s="193">
        <v>42006</v>
      </c>
      <c r="E10" s="134" t="s">
        <v>10</v>
      </c>
      <c r="F10" s="136">
        <v>173</v>
      </c>
      <c r="G10" s="185">
        <v>2123</v>
      </c>
      <c r="H10" s="158">
        <f>IF(AND(ISNUMBER(D10), ISNUMBER(F10)),
    ROUNDDOWN(
        MIN(
            IF(OR(ISBLANK(I10), I10=""),
                EOMONTH(DATE(LOHNTABELLE!$G$3, $A$1, 1), 0), I10)
            - MAX(D10, DATE(LOHNTABELLE!$G$3, $A$1, 1)) + 1)
        / DAY(EOMONTH(DATE(LOHNTABELLE!$G$3, $A$1, 1), 0)) * F10,
        2
    ),
    ""
)</f>
        <v>173</v>
      </c>
      <c r="I10" s="19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45" t="s">
        <v>74</v>
      </c>
      <c r="P10" s="246"/>
      <c r="Q10" s="247">
        <f>EINSTELLUNG!I24</f>
        <v>3</v>
      </c>
      <c r="R10" s="247"/>
    </row>
    <row r="11" spans="1:28" ht="16" customHeight="1">
      <c r="A11" s="130" t="s">
        <v>75</v>
      </c>
      <c r="B11" s="170">
        <v>401197</v>
      </c>
      <c r="C11" s="137" t="s">
        <v>268</v>
      </c>
      <c r="D11" s="193">
        <v>42644</v>
      </c>
      <c r="E11" s="134" t="s">
        <v>8</v>
      </c>
      <c r="F11" s="136">
        <v>173</v>
      </c>
      <c r="G11" s="185">
        <v>2082</v>
      </c>
      <c r="H11" s="158">
        <f>IF(AND(ISNUMBER(D11), ISNUMBER(F11)),
    ROUNDDOWN(
        MIN(
            IF(OR(ISBLANK(I11), I11=""),
                EOMONTH(DATE(LOHNTABELLE!$G$3, $A$1, 1), 0), I11)
            - MAX(D11, DATE(LOHNTABELLE!$G$3, $A$1, 1)) + 1)
        / DAY(EOMONTH(DATE(LOHNTABELLE!$G$3, $A$1, 1), 0)) * F11,
        2
    ),
    ""
)</f>
        <v>173</v>
      </c>
      <c r="I11" s="19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45" t="s">
        <v>76</v>
      </c>
      <c r="P11" s="246"/>
      <c r="Q11" s="247">
        <f>P5</f>
        <v>3</v>
      </c>
      <c r="R11" s="247"/>
    </row>
    <row r="12" spans="1:28" ht="16" customHeight="1">
      <c r="A12" s="130" t="s">
        <v>77</v>
      </c>
      <c r="B12" s="170">
        <v>401214</v>
      </c>
      <c r="C12" s="137" t="s">
        <v>294</v>
      </c>
      <c r="D12" s="193">
        <v>45636</v>
      </c>
      <c r="E12" s="134" t="s">
        <v>8</v>
      </c>
      <c r="F12" s="136">
        <v>173</v>
      </c>
      <c r="G12" s="185">
        <v>2082</v>
      </c>
      <c r="H12" s="158">
        <f>IF(AND(ISNUMBER(D12), ISNUMBER(F12)),
    ROUNDDOWN(
        MIN(
            IF(OR(ISBLANK(I12), I12=""),
                EOMONTH(DATE(LOHNTABELLE!$G$3, $A$1, 1), 0), I12)
            - MAX(D12, DATE(LOHNTABELLE!$G$3, $A$1, 1)) + 1)
        / DAY(EOMONTH(DATE(LOHNTABELLE!$G$3, $A$1, 1), 0)) * F12,
        2
    ),
    ""
)</f>
        <v>173</v>
      </c>
      <c r="I12" s="19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45" t="s">
        <v>78</v>
      </c>
      <c r="P12" s="246"/>
      <c r="Q12" s="276">
        <v>-445</v>
      </c>
      <c r="R12" s="276"/>
    </row>
    <row r="13" spans="1:28" ht="16" customHeight="1">
      <c r="A13" s="131" t="s">
        <v>79</v>
      </c>
      <c r="B13" s="170">
        <v>401276</v>
      </c>
      <c r="C13" s="137" t="s">
        <v>269</v>
      </c>
      <c r="D13" s="193">
        <v>43252</v>
      </c>
      <c r="E13" s="134" t="s">
        <v>8</v>
      </c>
      <c r="F13" s="136">
        <v>173</v>
      </c>
      <c r="G13" s="185">
        <v>2082</v>
      </c>
      <c r="H13" s="158">
        <f>IF(AND(ISNUMBER(D13), ISNUMBER(F13)),
    ROUNDDOWN(
        MIN(
            IF(OR(ISBLANK(I13), I13=""),
                EOMONTH(DATE(LOHNTABELLE!$G$3, $A$1, 1), 0), I13)
            - MAX(D13, DATE(LOHNTABELLE!$G$3, $A$1, 1)) + 1)
        / DAY(EOMONTH(DATE(LOHNTABELLE!$G$3, $A$1, 1), 0)) * F13,
        2
    ),
    ""
)</f>
        <v>173</v>
      </c>
      <c r="I13" s="19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45" t="s">
        <v>80</v>
      </c>
      <c r="P13" s="246"/>
      <c r="Q13" s="247">
        <f>Q8-Q9-Q10-Q11-Q12</f>
        <v>9123.5299999999988</v>
      </c>
      <c r="R13" s="247"/>
    </row>
    <row r="14" spans="1:28" ht="16" customHeight="1">
      <c r="A14" s="130" t="s">
        <v>81</v>
      </c>
      <c r="B14" s="170">
        <v>401307</v>
      </c>
      <c r="C14" s="137" t="s">
        <v>270</v>
      </c>
      <c r="D14" s="193">
        <v>43571</v>
      </c>
      <c r="E14" s="134" t="s">
        <v>8</v>
      </c>
      <c r="F14" s="136">
        <v>173</v>
      </c>
      <c r="G14" s="185">
        <v>2082</v>
      </c>
      <c r="H14" s="158">
        <f>IF(AND(ISNUMBER(D14), ISNUMBER(F14)),
    ROUNDDOWN(
        MIN(
            IF(OR(ISBLANK(I14), I14=""),
                EOMONTH(DATE(LOHNTABELLE!$G$3, $A$1, 1), 0), I14)
            - MAX(D14, DATE(LOHNTABELLE!$G$3, $A$1, 1)) + 1)
        / DAY(EOMONTH(DATE(LOHNTABELLE!$G$3, $A$1, 1), 0)) * F14,
        2
    ),
    ""
)</f>
        <v>173</v>
      </c>
      <c r="I14" s="19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45" t="s">
        <v>82</v>
      </c>
      <c r="P14" s="246"/>
      <c r="Q14" s="247">
        <f>EINSTELLUNG!L8</f>
        <v>3</v>
      </c>
      <c r="R14" s="247"/>
    </row>
    <row r="15" spans="1:28" ht="16" customHeight="1">
      <c r="A15" s="130" t="s">
        <v>83</v>
      </c>
      <c r="B15" s="170">
        <v>401308</v>
      </c>
      <c r="C15" s="137" t="s">
        <v>271</v>
      </c>
      <c r="D15" s="193">
        <v>43579</v>
      </c>
      <c r="E15" s="134" t="s">
        <v>8</v>
      </c>
      <c r="F15" s="136">
        <v>173</v>
      </c>
      <c r="G15" s="185">
        <v>2082</v>
      </c>
      <c r="H15" s="158">
        <f>IF(AND(ISNUMBER(D15), ISNUMBER(F15)),
    ROUNDDOWN(
        MIN(
            IF(OR(ISBLANK(I15), I15=""),
                EOMONTH(DATE(LOHNTABELLE!$G$3, $A$1, 1), 0), I15)
            - MAX(D15, DATE(LOHNTABELLE!$G$3, $A$1, 1)) + 1)
        / DAY(EOMONTH(DATE(LOHNTABELLE!$G$3, $A$1, 1), 0)) * F15,
        2
    ),
    ""
)</f>
        <v>173</v>
      </c>
      <c r="I15" s="19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45" t="s">
        <v>84</v>
      </c>
      <c r="P15" s="246"/>
      <c r="Q15" s="247">
        <f>Q13-Q14</f>
        <v>9120.5299999999988</v>
      </c>
      <c r="R15" s="247"/>
      <c r="S15" s="100"/>
      <c r="T15" s="100"/>
      <c r="U15" s="100"/>
    </row>
    <row r="16" spans="1:28" ht="16" customHeight="1">
      <c r="A16" s="130" t="s">
        <v>85</v>
      </c>
      <c r="B16" s="170">
        <v>401389</v>
      </c>
      <c r="C16" s="137" t="s">
        <v>273</v>
      </c>
      <c r="D16" s="193">
        <v>44384</v>
      </c>
      <c r="E16" s="134" t="s">
        <v>22</v>
      </c>
      <c r="F16" s="136">
        <v>173</v>
      </c>
      <c r="G16" s="185">
        <v>2300</v>
      </c>
      <c r="H16" s="158">
        <f>IF(AND(ISNUMBER(D16), ISNUMBER(F16)),
    ROUNDDOWN(
        MIN(
            IF(OR(ISBLANK(I16), I16=""),
                EOMONTH(DATE(LOHNTABELLE!$G$3, $A$1, 1), 0), I16)
            - MAX(D16, DATE(LOHNTABELLE!$G$3, $A$1, 1)) + 1)
        / DAY(EOMONTH(DATE(LOHNTABELLE!$G$3, $A$1, 1), 0)) * F16,
        2
    ),
    ""
)</f>
        <v>173</v>
      </c>
      <c r="I16" s="19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248" t="str">
        <f>IF(Q15&lt;0, "Schlecht! Zu wenig Stunden für Dienstplan.", IF(Q15&gt;0, "Du hast mehr als genug Stunden für Dienstplan.", ""))</f>
        <v>Du hast mehr als genug Stunden für Dienstplan.</v>
      </c>
      <c r="P16" s="248"/>
      <c r="Q16" s="248"/>
      <c r="R16" s="248"/>
      <c r="W16" s="45"/>
    </row>
    <row r="17" spans="1:29" ht="16" customHeight="1">
      <c r="A17" s="131" t="s">
        <v>86</v>
      </c>
      <c r="B17" s="170">
        <v>401394</v>
      </c>
      <c r="C17" s="137" t="s">
        <v>272</v>
      </c>
      <c r="D17" s="193">
        <v>44379</v>
      </c>
      <c r="E17" s="134" t="s">
        <v>4</v>
      </c>
      <c r="F17" s="136">
        <v>173</v>
      </c>
      <c r="G17" s="185">
        <v>2021</v>
      </c>
      <c r="H17" s="158">
        <f>IF(AND(ISNUMBER(D17), ISNUMBER(F17)),
    ROUNDDOWN(
        MIN(
            IF(OR(ISBLANK(I17), I17=""),
                EOMONTH(DATE(LOHNTABELLE!$G$3, $A$1, 1), 0), I17)
            - MAX(D17, DATE(LOHNTABELLE!$G$3, $A$1, 1)) + 1)
        / DAY(EOMONTH(DATE(LOHNTABELLE!$G$3, $A$1, 1), 0)) * F17,
        2
    ),
    ""
)</f>
        <v>173</v>
      </c>
      <c r="I17" s="19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253" t="s">
        <v>87</v>
      </c>
      <c r="P17" s="254"/>
      <c r="Q17" s="277">
        <f>SUM(L3:L82)</f>
        <v>104296.00580645162</v>
      </c>
      <c r="R17" s="277"/>
      <c r="W17" s="45"/>
    </row>
    <row r="18" spans="1:29" ht="16" customHeight="1">
      <c r="A18" s="130" t="s">
        <v>88</v>
      </c>
      <c r="B18" s="170">
        <v>401432</v>
      </c>
      <c r="C18" s="137" t="s">
        <v>274</v>
      </c>
      <c r="D18" s="193">
        <v>44441</v>
      </c>
      <c r="E18" s="134" t="s">
        <v>4</v>
      </c>
      <c r="F18" s="136">
        <v>173</v>
      </c>
      <c r="G18" s="185">
        <v>2021</v>
      </c>
      <c r="H18" s="158">
        <f>IF(AND(ISNUMBER(D18), ISNUMBER(F18)),
    ROUNDDOWN(
        MIN(
            IF(OR(ISBLANK(I18), I18=""),
                EOMONTH(DATE(LOHNTABELLE!$G$3, $A$1, 1), 0), I18)
            - MAX(D18, DATE(LOHNTABELLE!$G$3, $A$1, 1)) + 1)
        / DAY(EOMONTH(DATE(LOHNTABELLE!$G$3, $A$1, 1), 0)) * F18,
        2
    ),
    ""
)</f>
        <v>173</v>
      </c>
      <c r="I18" s="19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335"/>
      <c r="P18" s="366"/>
      <c r="Q18" s="367"/>
      <c r="R18" s="244"/>
    </row>
    <row r="19" spans="1:29" ht="16" customHeight="1">
      <c r="A19" s="130" t="s">
        <v>89</v>
      </c>
      <c r="B19" s="170">
        <v>401476</v>
      </c>
      <c r="C19" s="137" t="s">
        <v>276</v>
      </c>
      <c r="D19" s="193">
        <v>44504</v>
      </c>
      <c r="E19" s="134" t="s">
        <v>4</v>
      </c>
      <c r="F19" s="136">
        <v>173</v>
      </c>
      <c r="G19" s="185">
        <v>2021</v>
      </c>
      <c r="H19" s="158">
        <f>IF(AND(ISNUMBER(D19), ISNUMBER(F19)),
    ROUNDDOWN(
        MIN(
            IF(OR(ISBLANK(I19), I19=""),
                EOMONTH(DATE(LOHNTABELLE!$G$3, $A$1, 1), 0), I19)
            - MAX(D19, DATE(LOHNTABELLE!$G$3, $A$1, 1)) + 1)
        / DAY(EOMONTH(DATE(LOHNTABELLE!$G$3, $A$1, 1), 0)) * F19,
        2
    ),
    ""
)</f>
        <v>173</v>
      </c>
      <c r="I19" s="19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335"/>
      <c r="P19" s="366"/>
      <c r="Q19" s="367"/>
      <c r="R19" s="244"/>
    </row>
    <row r="20" spans="1:29" ht="16" customHeight="1">
      <c r="A20" s="130" t="s">
        <v>90</v>
      </c>
      <c r="B20" s="170">
        <v>401479</v>
      </c>
      <c r="C20" s="137" t="s">
        <v>277</v>
      </c>
      <c r="D20" s="193">
        <v>44511</v>
      </c>
      <c r="E20" s="134" t="s">
        <v>13</v>
      </c>
      <c r="F20" s="136">
        <v>173</v>
      </c>
      <c r="G20" s="185">
        <v>2160</v>
      </c>
      <c r="H20" s="158">
        <f>IF(AND(ISNUMBER(D20), ISNUMBER(F20)),
    ROUNDDOWN(
        MIN(
            IF(OR(ISBLANK(I20), I20=""),
                EOMONTH(DATE(LOHNTABELLE!$G$3, $A$1, 1), 0), I20)
            - MAX(D20, DATE(LOHNTABELLE!$G$3, $A$1, 1)) + 1)
        / DAY(EOMONTH(DATE(LOHNTABELLE!$G$3, $A$1, 1), 0)) * F20,
        2
    ),
    ""
)</f>
        <v>173</v>
      </c>
      <c r="I20" s="19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335"/>
      <c r="P20" s="366"/>
      <c r="Q20" s="367"/>
      <c r="R20" s="244"/>
    </row>
    <row r="21" spans="1:29" ht="16" customHeight="1">
      <c r="A21" s="131" t="s">
        <v>92</v>
      </c>
      <c r="B21" s="170">
        <v>401481</v>
      </c>
      <c r="C21" s="137" t="s">
        <v>278</v>
      </c>
      <c r="D21" s="193">
        <v>44531</v>
      </c>
      <c r="E21" s="134" t="s">
        <v>4</v>
      </c>
      <c r="F21" s="136">
        <v>173</v>
      </c>
      <c r="G21" s="185">
        <v>2021</v>
      </c>
      <c r="H21" s="158">
        <f>IF(AND(ISNUMBER(D21), ISNUMBER(F21)),
    ROUNDDOWN(
        MIN(
            IF(OR(ISBLANK(I21), I21=""),
                EOMONTH(DATE(LOHNTABELLE!$G$3, $A$1, 1), 0), I21)
            - MAX(D21, DATE(LOHNTABELLE!$G$3, $A$1, 1)) + 1)
        / DAY(EOMONTH(DATE(LOHNTABELLE!$G$3, $A$1, 1), 0)) * F21,
        2
    ),
    ""
)</f>
        <v>173</v>
      </c>
      <c r="I21" s="19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335" t="s">
        <v>356</v>
      </c>
      <c r="P21" s="366"/>
      <c r="Q21" s="367">
        <v>5000</v>
      </c>
      <c r="R21" s="244"/>
    </row>
    <row r="22" spans="1:29" ht="16" customHeight="1">
      <c r="A22" s="130" t="s">
        <v>93</v>
      </c>
      <c r="B22" s="170">
        <v>401558</v>
      </c>
      <c r="C22" s="137" t="s">
        <v>275</v>
      </c>
      <c r="D22" s="193">
        <v>44460</v>
      </c>
      <c r="E22" s="134" t="s">
        <v>4</v>
      </c>
      <c r="F22" s="136">
        <v>173</v>
      </c>
      <c r="G22" s="185">
        <v>2021</v>
      </c>
      <c r="H22" s="158">
        <f>IF(AND(ISNUMBER(D22), ISNUMBER(F22)),
    ROUNDDOWN(
        MIN(
            IF(OR(ISBLANK(I22), I22=""),
                EOMONTH(DATE(LOHNTABELLE!$G$3, $A$1, 1), 0), I22)
            - MAX(D22, DATE(LOHNTABELLE!$G$3, $A$1, 1)) + 1)
        / DAY(EOMONTH(DATE(LOHNTABELLE!$G$3, $A$1, 1), 0)) * F22,
        2
    ),
    ""
)</f>
        <v>173</v>
      </c>
      <c r="I22" s="19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335"/>
      <c r="P22" s="366"/>
      <c r="Q22" s="367"/>
      <c r="R22" s="244"/>
    </row>
    <row r="23" spans="1:29" ht="16" customHeight="1">
      <c r="A23" s="130" t="s">
        <v>94</v>
      </c>
      <c r="B23" s="170">
        <v>401564</v>
      </c>
      <c r="C23" s="137" t="s">
        <v>279</v>
      </c>
      <c r="D23" s="193">
        <v>44824</v>
      </c>
      <c r="E23" s="134" t="s">
        <v>4</v>
      </c>
      <c r="F23" s="136">
        <v>173</v>
      </c>
      <c r="G23" s="185">
        <v>2021</v>
      </c>
      <c r="H23" s="158">
        <f>IF(AND(ISNUMBER(D23), ISNUMBER(F23)),
    ROUNDDOWN(
        MIN(
            IF(OR(ISBLANK(I23), I23=""),
                EOMONTH(DATE(LOHNTABELLE!$G$3, $A$1, 1), 0), I23)
            - MAX(D23, DATE(LOHNTABELLE!$G$3, $A$1, 1)) + 1)
        / DAY(EOMONTH(DATE(LOHNTABELLE!$G$3, $A$1, 1), 0)) * F23,
        2
    ),
    ""
)</f>
        <v>173</v>
      </c>
      <c r="I23" s="19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2021</v>
      </c>
      <c r="M23" s="164"/>
      <c r="N23" s="147"/>
      <c r="O23" s="335"/>
      <c r="P23" s="366"/>
      <c r="Q23" s="367"/>
      <c r="R23" s="244"/>
      <c r="W23" s="45"/>
    </row>
    <row r="24" spans="1:29" ht="16" customHeight="1">
      <c r="A24" s="130" t="s">
        <v>95</v>
      </c>
      <c r="B24" s="170">
        <v>401583</v>
      </c>
      <c r="C24" s="137" t="s">
        <v>281</v>
      </c>
      <c r="D24" s="193">
        <v>44900</v>
      </c>
      <c r="E24" s="134" t="s">
        <v>21</v>
      </c>
      <c r="F24" s="136">
        <v>173</v>
      </c>
      <c r="G24" s="185">
        <v>2300</v>
      </c>
      <c r="H24" s="158">
        <f>IF(AND(ISNUMBER(D24), ISNUMBER(F24)),
    ROUNDDOWN(
        MIN(
            IF(OR(ISBLANK(I24), I24=""),
                EOMONTH(DATE(LOHNTABELLE!$G$3, $A$1, 1), 0), I24)
            - MAX(D24, DATE(LOHNTABELLE!$G$3, $A$1, 1)) + 1)
        / DAY(EOMONTH(DATE(LOHNTABELLE!$G$3, $A$1, 1), 0)) * F24,
        2
    ),
    ""
)</f>
        <v>173</v>
      </c>
      <c r="I24" s="19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35"/>
      <c r="P24" s="366"/>
      <c r="Q24" s="367"/>
      <c r="R24" s="244"/>
      <c r="W24" s="45"/>
    </row>
    <row r="25" spans="1:29" ht="16" customHeight="1" thickBot="1">
      <c r="A25" s="131" t="s">
        <v>96</v>
      </c>
      <c r="B25" s="170">
        <v>401589</v>
      </c>
      <c r="C25" s="137" t="s">
        <v>282</v>
      </c>
      <c r="D25" s="193">
        <v>44926</v>
      </c>
      <c r="E25" s="134" t="s">
        <v>21</v>
      </c>
      <c r="F25" s="136">
        <v>173</v>
      </c>
      <c r="G25" s="185">
        <v>2300</v>
      </c>
      <c r="H25" s="158">
        <f>IF(AND(ISNUMBER(D25), ISNUMBER(F25)),
    ROUNDDOWN(
        MIN(
            IF(OR(ISBLANK(I25), I25=""),
                EOMONTH(DATE(LOHNTABELLE!$G$3, $A$1, 1), 0), I25)
            - MAX(D25, DATE(LOHNTABELLE!$G$3, $A$1, 1)) + 1)
        / DAY(EOMONTH(DATE(LOHNTABELLE!$G$3, $A$1, 1), 0)) * F25,
        2
    ),
    ""
)</f>
        <v>173</v>
      </c>
      <c r="I25" s="19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350"/>
      <c r="P25" s="368"/>
      <c r="Q25" s="369"/>
      <c r="R25" s="286"/>
    </row>
    <row r="26" spans="1:29" ht="16" customHeight="1">
      <c r="A26" s="130" t="s">
        <v>97</v>
      </c>
      <c r="B26" s="170">
        <v>401602</v>
      </c>
      <c r="C26" s="139" t="s">
        <v>283</v>
      </c>
      <c r="D26" s="193">
        <v>45975</v>
      </c>
      <c r="E26" s="134" t="s">
        <v>4</v>
      </c>
      <c r="F26" s="136">
        <v>173</v>
      </c>
      <c r="G26" s="185">
        <v>2021</v>
      </c>
      <c r="H26" s="158">
        <f>IF(AND(ISNUMBER(D26), ISNUMBER(F26)),
    ROUNDDOWN(
        MIN(
            IF(OR(ISBLANK(I26), I26=""),
                EOMONTH(DATE(LOHNTABELLE!$G$3, $A$1, 1), 0), I26)
            - MAX(D26, DATE(LOHNTABELLE!$G$3, $A$1, 1)) + 1)
        / DAY(EOMONTH(DATE(LOHNTABELLE!$G$3, $A$1, 1), 0)) * F26,
        2
    ),
    ""
)</f>
        <v>173</v>
      </c>
      <c r="I26" s="19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96"/>
      <c r="P26" s="297"/>
      <c r="Q26" s="287"/>
      <c r="R26" s="288"/>
    </row>
    <row r="27" spans="1:29" ht="16" customHeight="1">
      <c r="A27" s="130" t="s">
        <v>98</v>
      </c>
      <c r="B27" s="170">
        <v>401605</v>
      </c>
      <c r="C27" s="137" t="s">
        <v>284</v>
      </c>
      <c r="D27" s="193">
        <v>44986</v>
      </c>
      <c r="E27" s="134" t="s">
        <v>4</v>
      </c>
      <c r="F27" s="136">
        <v>173</v>
      </c>
      <c r="G27" s="185">
        <v>2021</v>
      </c>
      <c r="H27" s="158">
        <f>IF(AND(ISNUMBER(D27), ISNUMBER(F27)),
    ROUNDDOWN(
        MIN(
            IF(OR(ISBLANK(I27), I27=""),
                EOMONTH(DATE(LOHNTABELLE!$G$3, $A$1, 1), 0), I27)
            - MAX(D27, DATE(LOHNTABELLE!$G$3, $A$1, 1)) + 1)
        / DAY(EOMONTH(DATE(LOHNTABELLE!$G$3, $A$1, 1), 0)) * F27,
        2
    ),
    ""
)</f>
        <v>173</v>
      </c>
      <c r="I27" s="19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251"/>
      <c r="P27" s="252"/>
      <c r="Q27" s="244"/>
      <c r="R27" s="289"/>
      <c r="S27" s="249" t="s">
        <v>99</v>
      </c>
      <c r="T27" s="250"/>
      <c r="U27" s="250"/>
      <c r="V27" s="250"/>
    </row>
    <row r="28" spans="1:29" ht="16" customHeight="1" thickBot="1">
      <c r="A28" s="130" t="s">
        <v>100</v>
      </c>
      <c r="B28" s="170">
        <v>401626</v>
      </c>
      <c r="C28" s="137" t="s">
        <v>285</v>
      </c>
      <c r="D28" s="193">
        <v>45063</v>
      </c>
      <c r="E28" s="134" t="s">
        <v>4</v>
      </c>
      <c r="F28" s="136">
        <v>173</v>
      </c>
      <c r="G28" s="185">
        <v>2021</v>
      </c>
      <c r="H28" s="158">
        <f>IF(AND(ISNUMBER(D28), ISNUMBER(F28)),
    ROUNDDOWN(
        MIN(
            IF(OR(ISBLANK(I28), I28=""),
                EOMONTH(DATE(LOHNTABELLE!$G$3, $A$1, 1), 0), I28)
            - MAX(D28, DATE(LOHNTABELLE!$G$3, $A$1, 1)) + 1)
        / DAY(EOMONTH(DATE(LOHNTABELLE!$G$3, $A$1, 1), 0)) * F28,
        2
    ),
    ""
)</f>
        <v>173</v>
      </c>
      <c r="I28" s="19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290"/>
      <c r="P28" s="291"/>
      <c r="Q28" s="292"/>
      <c r="R28" s="293"/>
    </row>
    <row r="29" spans="1:29" ht="16" customHeight="1" thickBot="1">
      <c r="A29" s="131" t="s">
        <v>101</v>
      </c>
      <c r="B29" s="170">
        <v>401633</v>
      </c>
      <c r="C29" s="137" t="s">
        <v>286</v>
      </c>
      <c r="D29" s="193">
        <v>45089</v>
      </c>
      <c r="E29" s="134" t="s">
        <v>21</v>
      </c>
      <c r="F29" s="136">
        <v>173</v>
      </c>
      <c r="G29" s="185">
        <v>2300</v>
      </c>
      <c r="H29" s="158">
        <f>IF(AND(ISNUMBER(D29), ISNUMBER(F29)),
    ROUNDDOWN(
        MIN(
            IF(OR(ISBLANK(I29), I29=""),
                EOMONTH(DATE(LOHNTABELLE!$G$3, $A$1, 1), 0), I29)
            - MAX(D29, DATE(LOHNTABELLE!$G$3, $A$1, 1)) + 1)
        / DAY(EOMONTH(DATE(LOHNTABELLE!$G$3, $A$1, 1), 0)) * F29,
        2
    ),
    ""
)</f>
        <v>173</v>
      </c>
      <c r="I29" s="19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82" t="s">
        <v>102</v>
      </c>
      <c r="P29" s="283"/>
      <c r="Q29" s="284">
        <f>EINSTELLUNG!O8</f>
        <v>3</v>
      </c>
      <c r="R29" s="285"/>
    </row>
    <row r="30" spans="1:29" ht="16" customHeight="1">
      <c r="A30" s="130" t="s">
        <v>103</v>
      </c>
      <c r="B30" s="170">
        <v>401647</v>
      </c>
      <c r="C30" s="137" t="s">
        <v>287</v>
      </c>
      <c r="D30" s="193">
        <v>45182</v>
      </c>
      <c r="E30" s="134" t="s">
        <v>4</v>
      </c>
      <c r="F30" s="136">
        <v>173</v>
      </c>
      <c r="G30" s="185">
        <v>2021</v>
      </c>
      <c r="H30" s="158">
        <f>IF(AND(ISNUMBER(D30), ISNUMBER(F30)),
    ROUNDDOWN(
        MIN(
            IF(OR(ISBLANK(I30), I30=""),
                EOMONTH(DATE(LOHNTABELLE!$G$3, $A$1, 1), 0), I30)
            - MAX(D30, DATE(LOHNTABELLE!$G$3, $A$1, 1)) + 1)
        / DAY(EOMONTH(DATE(LOHNTABELLE!$G$3, $A$1, 1), 0)) * F30,
        2
    ),
    ""
)</f>
        <v>173</v>
      </c>
      <c r="I30" s="19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401661</v>
      </c>
      <c r="C31" s="137" t="s">
        <v>288</v>
      </c>
      <c r="D31" s="193">
        <v>45261</v>
      </c>
      <c r="E31" s="134" t="s">
        <v>4</v>
      </c>
      <c r="F31" s="136">
        <v>173</v>
      </c>
      <c r="G31" s="185">
        <v>2021</v>
      </c>
      <c r="H31" s="158">
        <f>IF(AND(ISNUMBER(D31), ISNUMBER(F31)),
    ROUNDDOWN(
        MIN(
            IF(OR(ISBLANK(I31), I31=""),
                EOMONTH(DATE(LOHNTABELLE!$G$3, $A$1, 1), 0), I31)
            - MAX(D31, DATE(LOHNTABELLE!$G$3, $A$1, 1)) + 1)
        / DAY(EOMONTH(DATE(LOHNTABELLE!$G$3, $A$1, 1), 0)) * F31,
        2
    ),
    ""
)</f>
        <v>173</v>
      </c>
      <c r="I31" s="19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98">
        <v>0</v>
      </c>
      <c r="P31" s="299"/>
      <c r="Q31" s="300">
        <v>1.9230769230769232E-2</v>
      </c>
      <c r="R31" s="301"/>
    </row>
    <row r="32" spans="1:29" ht="16" customHeight="1">
      <c r="A32" s="130" t="s">
        <v>106</v>
      </c>
      <c r="B32" s="170">
        <v>401670</v>
      </c>
      <c r="C32" s="137" t="s">
        <v>289</v>
      </c>
      <c r="D32" s="193">
        <v>45358</v>
      </c>
      <c r="E32" s="134" t="s">
        <v>4</v>
      </c>
      <c r="F32" s="136">
        <v>173</v>
      </c>
      <c r="G32" s="185">
        <v>2021</v>
      </c>
      <c r="H32" s="158">
        <f>IF(AND(ISNUMBER(D32), ISNUMBER(F32)),
    ROUNDDOWN(
        MIN(
            IF(OR(ISBLANK(I32), I32=""),
                EOMONTH(DATE(LOHNTABELLE!$G$3, $A$1, 1), 0), I32)
            - MAX(D32, DATE(LOHNTABELLE!$G$3, $A$1, 1)) + 1)
        / DAY(EOMONTH(DATE(LOHNTABELLE!$G$3, $A$1, 1), 0)) * F32,
        2
    ),
    ""
)</f>
        <v>173</v>
      </c>
      <c r="I32" s="19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401678</v>
      </c>
      <c r="C33" s="137" t="s">
        <v>290</v>
      </c>
      <c r="D33" s="193">
        <v>45414</v>
      </c>
      <c r="E33" s="134" t="s">
        <v>4</v>
      </c>
      <c r="F33" s="136">
        <v>173</v>
      </c>
      <c r="G33" s="185">
        <v>2021</v>
      </c>
      <c r="H33" s="158">
        <f>IF(AND(ISNUMBER(D33), ISNUMBER(F33)),
    ROUNDDOWN(
        MIN(
            IF(OR(ISBLANK(I33), I33=""),
                EOMONTH(DATE(LOHNTABELLE!$G$3, $A$1, 1), 0), I33)
            - MAX(D33, DATE(LOHNTABELLE!$G$3, $A$1, 1)) + 1)
        / DAY(EOMONTH(DATE(LOHNTABELLE!$G$3, $A$1, 1), 0)) * F33,
        2
    ),
    ""
)</f>
        <v>173</v>
      </c>
      <c r="I33" s="19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66"/>
      <c r="P33" s="267"/>
      <c r="Q33" s="364" t="str">
        <f>EINSTELLUNG!B3</f>
        <v>Budget Zahlen</v>
      </c>
      <c r="R33" s="364"/>
      <c r="S33" s="365" t="str">
        <f>EINSTELLUNG!B19</f>
        <v>Projection/Aktuell Zahlen</v>
      </c>
      <c r="T33" s="365"/>
      <c r="U33" s="365" t="s">
        <v>110</v>
      </c>
      <c r="V33" s="365"/>
    </row>
    <row r="34" spans="1:24" ht="16" customHeight="1">
      <c r="A34" s="130" t="s">
        <v>111</v>
      </c>
      <c r="B34" s="170">
        <v>401690</v>
      </c>
      <c r="C34" s="137" t="s">
        <v>292</v>
      </c>
      <c r="D34" s="193">
        <v>45536</v>
      </c>
      <c r="E34" s="134" t="s">
        <v>4</v>
      </c>
      <c r="F34" s="136">
        <v>173</v>
      </c>
      <c r="G34" s="185">
        <v>2021</v>
      </c>
      <c r="H34" s="158">
        <f>IF(AND(ISNUMBER(D34), ISNUMBER(F34)),
    ROUNDDOWN(
        MIN(
            IF(OR(ISBLANK(I34), I34=""),
                EOMONTH(DATE(LOHNTABELLE!$G$3, $A$1, 1), 0), I34)
            - MAX(D34, DATE(LOHNTABELLE!$G$3, $A$1, 1)) + 1)
        / DAY(EOMONTH(DATE(LOHNTABELLE!$G$3, $A$1, 1), 0)) * F34,
        2
    ),
    ""
)</f>
        <v>173</v>
      </c>
      <c r="I34" s="19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66"/>
      <c r="P34" s="267"/>
      <c r="Q34" s="364"/>
      <c r="R34" s="364"/>
      <c r="S34" s="365"/>
      <c r="T34" s="365"/>
      <c r="U34" s="365"/>
      <c r="V34" s="365"/>
    </row>
    <row r="35" spans="1:24" ht="16" customHeight="1">
      <c r="A35" s="130" t="s">
        <v>112</v>
      </c>
      <c r="B35" s="170">
        <v>401703</v>
      </c>
      <c r="C35" s="137" t="s">
        <v>293</v>
      </c>
      <c r="D35" s="193">
        <v>45616</v>
      </c>
      <c r="E35" s="134" t="s">
        <v>4</v>
      </c>
      <c r="F35" s="136">
        <v>173</v>
      </c>
      <c r="G35" s="185">
        <v>2021</v>
      </c>
      <c r="H35" s="158">
        <f>IF(AND(ISNUMBER(D35), ISNUMBER(F35)),
    ROUNDDOWN(
        MIN(
            IF(OR(ISBLANK(I35), I35=""),
                EOMONTH(DATE(LOHNTABELLE!$G$3, $A$1, 1), 0), I35)
            - MAX(D35, DATE(LOHNTABELLE!$G$3, $A$1, 1)) + 1)
        / DAY(EOMONTH(DATE(LOHNTABELLE!$G$3, $A$1, 1), 0)) * F35,
        2
    ),
    ""
)</f>
        <v>173</v>
      </c>
      <c r="I35" s="19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55" t="s">
        <v>113</v>
      </c>
      <c r="P35" s="256"/>
      <c r="Q35" s="257">
        <f>EINSTELLUNG!C8</f>
        <v>3</v>
      </c>
      <c r="R35" s="257"/>
      <c r="S35" s="257">
        <f>EINSTELLUNG!C24</f>
        <v>3</v>
      </c>
      <c r="T35" s="257"/>
      <c r="U35" s="258">
        <f>S35-Q35</f>
        <v>0</v>
      </c>
      <c r="V35" s="258"/>
    </row>
    <row r="36" spans="1:24" ht="16" customHeight="1">
      <c r="A36" s="130" t="s">
        <v>114</v>
      </c>
      <c r="B36" s="170">
        <v>401715</v>
      </c>
      <c r="C36" s="137" t="s">
        <v>295</v>
      </c>
      <c r="D36" s="193">
        <v>45755</v>
      </c>
      <c r="E36" s="134" t="s">
        <v>4</v>
      </c>
      <c r="F36" s="136">
        <v>173</v>
      </c>
      <c r="G36" s="185">
        <v>2021</v>
      </c>
      <c r="H36" s="158">
        <f>IF(AND(ISNUMBER(D36), ISNUMBER(F36)),
    ROUNDDOWN(
        MIN(
            IF(OR(ISBLANK(I36), I36=""),
                EOMONTH(DATE(LOHNTABELLE!$G$3, $A$1, 1), 0), I36)
            - MAX(D36, DATE(LOHNTABELLE!$G$3, $A$1, 1)) + 1)
        / DAY(EOMONTH(DATE(LOHNTABELLE!$G$3, $A$1, 1), 0)) * F36,
        2
    ),
    ""
)</f>
        <v>173</v>
      </c>
      <c r="I36" s="19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55" t="s">
        <v>115</v>
      </c>
      <c r="P36" s="256"/>
      <c r="Q36" s="257">
        <f>EINSTELLUNG!D8</f>
        <v>3</v>
      </c>
      <c r="R36" s="257"/>
      <c r="S36" s="257" cm="1">
        <f t="array" ref="S36">SumMergedCells(Q17:R29)</f>
        <v>109299.0058</v>
      </c>
      <c r="T36" s="257"/>
      <c r="U36" s="258">
        <f t="shared" ref="U36:U41" si="2">S36-Q36</f>
        <v>109296.0058</v>
      </c>
      <c r="V36" s="258"/>
    </row>
    <row r="37" spans="1:24" ht="16" customHeight="1">
      <c r="A37" s="131" t="s">
        <v>116</v>
      </c>
      <c r="B37" s="170">
        <v>401716</v>
      </c>
      <c r="C37" s="137" t="s">
        <v>296</v>
      </c>
      <c r="D37" s="193">
        <v>45800</v>
      </c>
      <c r="E37" s="134" t="s">
        <v>4</v>
      </c>
      <c r="F37" s="136">
        <v>173</v>
      </c>
      <c r="G37" s="185">
        <v>2021</v>
      </c>
      <c r="H37" s="158">
        <f>IF(AND(ISNUMBER(D37), ISNUMBER(F37)),
    ROUNDDOWN(
        MIN(
            IF(OR(ISBLANK(I37), I37=""),
                EOMONTH(DATE(LOHNTABELLE!$G$3, $A$1, 1), 0), I37)
            - MAX(D37, DATE(LOHNTABELLE!$G$3, $A$1, 1)) + 1)
        / DAY(EOMONTH(DATE(LOHNTABELLE!$G$3, $A$1, 1), 0)) * F37,
        2
    ),
    ""
)</f>
        <v>173</v>
      </c>
      <c r="I37" s="19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55" t="s">
        <v>117</v>
      </c>
      <c r="P37" s="256"/>
      <c r="Q37" s="264">
        <f>IF(ISERROR(Q36/Q35), 0, Q36/Q35)</f>
        <v>1</v>
      </c>
      <c r="R37" s="264"/>
      <c r="S37" s="264">
        <f>IF(ISERROR(S36/S35), 0, S36/S35)</f>
        <v>36433.001933333333</v>
      </c>
      <c r="T37" s="264"/>
      <c r="U37" s="265">
        <f t="shared" si="2"/>
        <v>36432.001933333333</v>
      </c>
      <c r="V37" s="265"/>
    </row>
    <row r="38" spans="1:24" ht="16" customHeight="1">
      <c r="A38" s="130" t="s">
        <v>118</v>
      </c>
      <c r="B38" s="170">
        <v>401717</v>
      </c>
      <c r="C38" s="137" t="s">
        <v>297</v>
      </c>
      <c r="D38" s="193">
        <v>45814</v>
      </c>
      <c r="E38" s="134" t="s">
        <v>4</v>
      </c>
      <c r="F38" s="136">
        <v>173</v>
      </c>
      <c r="G38" s="185">
        <v>2021</v>
      </c>
      <c r="H38" s="158">
        <f>IF(AND(ISNUMBER(D38), ISNUMBER(F38)),
    ROUNDDOWN(
        MIN(
            IF(OR(ISBLANK(I39), I39=""),
                EOMONTH(DATE(LOHNTABELLE!$G$3, $A$1, 1), 0), I39)
            - MAX(D38, DATE(LOHNTABELLE!$G$3, $A$1, 1)) + 1)
        / DAY(EOMONTH(DATE(LOHNTABELLE!$G$3, $A$1, 1), 0)) * F38,
        2
    ),
    ""
)</f>
        <v>173</v>
      </c>
      <c r="I38" s="19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55" t="s">
        <v>119</v>
      </c>
      <c r="P38" s="256"/>
      <c r="Q38" s="259">
        <f>EINSTELLUNG!F8</f>
        <v>3</v>
      </c>
      <c r="R38" s="259"/>
      <c r="S38" s="259">
        <f>EINSTELLUNG!F24</f>
        <v>3</v>
      </c>
      <c r="T38" s="259"/>
      <c r="U38" s="260">
        <f t="shared" si="2"/>
        <v>0</v>
      </c>
      <c r="V38" s="260"/>
    </row>
    <row r="39" spans="1:24" ht="16" customHeight="1">
      <c r="A39" s="130" t="s">
        <v>120</v>
      </c>
      <c r="B39" s="170">
        <v>401722</v>
      </c>
      <c r="C39" s="137" t="s">
        <v>298</v>
      </c>
      <c r="D39" s="193">
        <v>45848</v>
      </c>
      <c r="E39" s="134" t="s">
        <v>4</v>
      </c>
      <c r="F39" s="136">
        <v>86.5</v>
      </c>
      <c r="G39" s="185">
        <v>1010.5</v>
      </c>
      <c r="H39" s="158">
        <f>IF(AND(ISNUMBER(D39), ISNUMBER(F39)),
    ROUNDDOWN(
        MIN(
            IF(OR(ISBLANK(I40), I40=""),
                EOMONTH(DATE(LOHNTABELLE!$G$3, $A$1, 1), 0), I40)
            - MAX(D39, DATE(LOHNTABELLE!$G$3, $A$1, 1)) + 1)
        / DAY(EOMONTH(DATE(LOHNTABELLE!$G$3, $A$1, 1), 0)) * F39,
        2
    ),
    ""
)</f>
        <v>86.5</v>
      </c>
      <c r="I39" s="19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55" t="s">
        <v>121</v>
      </c>
      <c r="P39" s="256"/>
      <c r="Q39" s="257">
        <f>IF(Q38=0, 0, Q35/Q38)</f>
        <v>1</v>
      </c>
      <c r="R39" s="257"/>
      <c r="S39" s="257">
        <f>IF(S38=0, 0, S35/S38)</f>
        <v>1</v>
      </c>
      <c r="T39" s="257"/>
      <c r="U39" s="258">
        <f t="shared" si="2"/>
        <v>0</v>
      </c>
      <c r="V39" s="258"/>
    </row>
    <row r="40" spans="1:24" ht="16" customHeight="1">
      <c r="A40" s="130" t="s">
        <v>122</v>
      </c>
      <c r="B40" s="170">
        <v>401723</v>
      </c>
      <c r="C40" s="137" t="s">
        <v>299</v>
      </c>
      <c r="D40" s="193">
        <v>45852</v>
      </c>
      <c r="E40" s="134" t="s">
        <v>4</v>
      </c>
      <c r="F40" s="136">
        <v>86.5</v>
      </c>
      <c r="G40" s="185">
        <v>1010.5</v>
      </c>
      <c r="H40" s="158">
        <f>IF(AND(ISNUMBER(D40), ISNUMBER(F40)),
    ROUNDDOWN(
        MIN(
            IF(OR(ISBLANK(I40), I40=""),
                EOMONTH(DATE(LOHNTABELLE!$G$3, $A$1, 1), 0), I40)
            - MAX(D40, DATE(LOHNTABELLE!$G$3, $A$1, 1)) + 1)
        / DAY(EOMONTH(DATE(LOHNTABELLE!$G$3, $A$1, 1), 0)) * F40,
        2
    ),
    ""
)</f>
        <v>86.5</v>
      </c>
      <c r="I40" s="19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55" t="s">
        <v>123</v>
      </c>
      <c r="P40" s="256"/>
      <c r="Q40" s="257">
        <f>IF(Q13=0, 0, Q35/Q13)</f>
        <v>3.2882009485363673E-4</v>
      </c>
      <c r="R40" s="257"/>
      <c r="S40" s="257">
        <f>IF(Q13=0, 0, S35/Q13)</f>
        <v>3.2882009485363673E-4</v>
      </c>
      <c r="T40" s="257"/>
      <c r="U40" s="258">
        <f t="shared" si="2"/>
        <v>0</v>
      </c>
      <c r="V40" s="258"/>
    </row>
    <row r="41" spans="1:24" ht="16" customHeight="1">
      <c r="A41" s="131" t="s">
        <v>124</v>
      </c>
      <c r="B41" s="170">
        <v>401726</v>
      </c>
      <c r="C41" s="137" t="s">
        <v>300</v>
      </c>
      <c r="D41" s="193">
        <v>45870</v>
      </c>
      <c r="E41" s="134" t="s">
        <v>4</v>
      </c>
      <c r="F41" s="136">
        <v>86.5</v>
      </c>
      <c r="G41" s="185">
        <v>1010.5</v>
      </c>
      <c r="H41" s="158">
        <f>IF(AND(ISNUMBER(D41), ISNUMBER(F41)),
    ROUNDDOWN(
        MIN(
            IF(OR(ISBLANK(I41), I41=""),
                EOMONTH(DATE(LOHNTABELLE!$G$3, $A$1, 1), 0), I41)
            - MAX(D41, DATE(LOHNTABELLE!$G$3, $A$1, 1)) + 1)
        / DAY(EOMONTH(DATE(LOHNTABELLE!$G$3, $A$1, 1), 0)) * F41,
        2
    ),
    ""
)</f>
        <v>86.5</v>
      </c>
      <c r="I41" s="19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55" t="s">
        <v>125</v>
      </c>
      <c r="P41" s="256"/>
      <c r="Q41" s="259">
        <f>IF(Q13=0, 0, Q38/Q13)</f>
        <v>3.2882009485363673E-4</v>
      </c>
      <c r="R41" s="259"/>
      <c r="S41" s="259">
        <f>IF(Q13=0, 0, S38/Q13)</f>
        <v>3.2882009485363673E-4</v>
      </c>
      <c r="T41" s="259"/>
      <c r="U41" s="260">
        <f t="shared" si="2"/>
        <v>0</v>
      </c>
      <c r="V41" s="260"/>
    </row>
    <row r="42" spans="1:24" ht="16" customHeight="1">
      <c r="A42" s="130" t="s">
        <v>126</v>
      </c>
      <c r="B42" s="170">
        <v>401730</v>
      </c>
      <c r="C42" s="137" t="s">
        <v>302</v>
      </c>
      <c r="D42" s="193">
        <v>45895</v>
      </c>
      <c r="E42" s="134" t="s">
        <v>4</v>
      </c>
      <c r="F42" s="136">
        <v>86.5</v>
      </c>
      <c r="G42" s="185">
        <v>1010.5</v>
      </c>
      <c r="H42" s="158">
        <f>IF(AND(ISNUMBER(D42), ISNUMBER(F42)),
    ROUNDDOWN(
        MIN(
            IF(OR(ISBLANK(I42), I42=""),
                EOMONTH(DATE(LOHNTABELLE!$G$3, $A$1, 1), 0), I42)
            - MAX(D42, DATE(LOHNTABELLE!$G$3, $A$1, 1)) + 1)
        / DAY(EOMONTH(DATE(LOHNTABELLE!$G$3, $A$1, 1), 0)) * F42,
        2
    ),
    ""
)</f>
        <v>86.5</v>
      </c>
      <c r="I42" s="19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55" t="s">
        <v>127</v>
      </c>
      <c r="P42" s="256"/>
      <c r="Q42" s="261">
        <f>IFERROR(Q17/Q8, 0)</f>
        <v>12.005254175404474</v>
      </c>
      <c r="R42" s="262"/>
      <c r="S42" s="262"/>
      <c r="T42" s="262"/>
      <c r="U42" s="262"/>
      <c r="V42" s="263"/>
    </row>
    <row r="43" spans="1:24" ht="16" customHeight="1">
      <c r="A43" s="130" t="s">
        <v>128</v>
      </c>
      <c r="B43" s="170">
        <v>401731</v>
      </c>
      <c r="C43" s="137" t="s">
        <v>301</v>
      </c>
      <c r="D43" s="193">
        <v>45899</v>
      </c>
      <c r="E43" s="134" t="s">
        <v>4</v>
      </c>
      <c r="F43" s="136">
        <v>86.5</v>
      </c>
      <c r="G43" s="185">
        <v>1010.5</v>
      </c>
      <c r="H43" s="158">
        <f>IF(AND(ISNUMBER(D43), ISNUMBER(F43)),
    ROUNDDOWN(
        MIN(
            IF(OR(ISBLANK(I43), I43=""),
                EOMONTH(DATE(LOHNTABELLE!$G$3, $A$1, 1), 0), I43)
            - MAX(D43, DATE(LOHNTABELLE!$G$3, $A$1, 1)) + 1)
        / DAY(EOMONTH(DATE(LOHNTABELLE!$G$3, $A$1, 1), 0)) * F43,
        2
    ),
    ""
)</f>
        <v>86.5</v>
      </c>
      <c r="I43" s="19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193">
        <v>45904</v>
      </c>
      <c r="E44" s="134" t="s">
        <v>4</v>
      </c>
      <c r="F44" s="136">
        <v>86.5</v>
      </c>
      <c r="G44" s="185">
        <v>1010.5</v>
      </c>
      <c r="H44" s="158">
        <f>IF(AND(ISNUMBER(D44), ISNUMBER(F44)),
    ROUNDDOWN(
        MIN(
            IF(OR(ISBLANK(I44), I44=""),
                EOMONTH(DATE(LOHNTABELLE!$G$3, $A$1, 1), 0), I44)
            - MAX(D44, DATE(LOHNTABELLE!$G$3, $A$1, 1)) + 1)
        / DAY(EOMONTH(DATE(LOHNTABELLE!$G$3, $A$1, 1), 0)) * F44,
        2
    ),
    ""
)</f>
        <v>86.5</v>
      </c>
      <c r="I44" s="19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19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9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193">
        <v>45906</v>
      </c>
      <c r="E46" s="134" t="s">
        <v>4</v>
      </c>
      <c r="F46" s="136">
        <v>86.5</v>
      </c>
      <c r="G46" s="185">
        <v>1010.5</v>
      </c>
      <c r="H46" s="158">
        <f>IF(AND(ISNUMBER(D46), ISNUMBER(F46)),
    ROUNDDOWN(
        MIN(
            IF(OR(ISBLANK(I46), I46=""),
                EOMONTH(DATE(LOHNTABELLE!$G$3, $A$1, 1), 0), I46)
            - MAX(D46, DATE(LOHNTABELLE!$G$3, $A$1, 1)) + 1)
        / DAY(EOMONTH(DATE(LOHNTABELLE!$G$3, $A$1, 1), 0)) * F46,
        2
    ),
    ""
)</f>
        <v>86.5</v>
      </c>
      <c r="I46" s="19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193">
        <v>45909</v>
      </c>
      <c r="E47" s="134" t="s">
        <v>4</v>
      </c>
      <c r="F47" s="136">
        <v>86.5</v>
      </c>
      <c r="G47" s="185">
        <v>1010.5</v>
      </c>
      <c r="H47" s="158">
        <f>IF(AND(ISNUMBER(D47), ISNUMBER(F47)),
    ROUNDDOWN(
        MIN(
            IF(OR(ISBLANK(I47), I47=""),
                EOMONTH(DATE(LOHNTABELLE!$G$3, $A$1, 1), 0), I47)
            - MAX(D47, DATE(LOHNTABELLE!$G$3, $A$1, 1)) + 1)
        / DAY(EOMONTH(DATE(LOHNTABELLE!$G$3, $A$1, 1), 0)) * F47,
        2
    ),
    ""
)</f>
        <v>86.5</v>
      </c>
      <c r="I47" s="19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193">
        <v>45934</v>
      </c>
      <c r="E48" s="134" t="s">
        <v>4</v>
      </c>
      <c r="F48" s="136">
        <v>86.5</v>
      </c>
      <c r="G48" s="185">
        <v>1010.5</v>
      </c>
      <c r="H48" s="158">
        <f>IF(AND(ISNUMBER(D48), ISNUMBER(F48)),
    ROUNDDOWN(
        MIN(
            IF(OR(ISBLANK(I48), I48=""),
                EOMONTH(DATE(LOHNTABELLE!$G$3, $A$1, 1), 0), I48)
            - MAX(D48, DATE(LOHNTABELLE!$G$3, $A$1, 1)) + 1)
        / DAY(EOMONTH(DATE(LOHNTABELLE!$G$3, $A$1, 1), 0)) * F48,
        2
    ),
    ""
)</f>
        <v>86.5</v>
      </c>
      <c r="I48" s="19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193">
        <v>45941</v>
      </c>
      <c r="E49" s="134" t="s">
        <v>4</v>
      </c>
      <c r="F49" s="136">
        <v>86.5</v>
      </c>
      <c r="G49" s="185">
        <v>1010.5</v>
      </c>
      <c r="H49" s="158">
        <f>IF(AND(ISNUMBER(D49), ISNUMBER(F49)),
    ROUNDDOWN(
        MIN(
            IF(OR(ISBLANK(I49), I49=""),
                EOMONTH(DATE(LOHNTABELLE!$G$3, $A$1, 1), 0), I49)
            - MAX(D49, DATE(LOHNTABELLE!$G$3, $A$1, 1)) + 1)
        / DAY(EOMONTH(DATE(LOHNTABELLE!$G$3, $A$1, 1), 0)) * F49,
        2
    ),
    ""
)</f>
        <v>86.5</v>
      </c>
      <c r="I49" s="19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193">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9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193">
        <v>45941</v>
      </c>
      <c r="E51" s="134" t="s">
        <v>4</v>
      </c>
      <c r="F51" s="136">
        <v>86.5</v>
      </c>
      <c r="G51" s="185">
        <v>1010.5</v>
      </c>
      <c r="H51" s="158">
        <f>IF(AND(ISNUMBER(D51), ISNUMBER(F51)),
    ROUNDDOWN(
        MIN(
            IF(OR(ISBLANK(I51), I51=""),
                EOMONTH(DATE(LOHNTABELLE!$G$3, $A$1, 1), 0), I51)
            - MAX(D51, DATE(LOHNTABELLE!$G$3, $A$1, 1)) + 1)
        / DAY(EOMONTH(DATE(LOHNTABELLE!$G$3, $A$1, 1), 0)) * F51,
        2
    ),
    ""
)</f>
        <v>86.5</v>
      </c>
      <c r="I51" s="19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193">
        <v>45961</v>
      </c>
      <c r="E52" s="134" t="s">
        <v>4</v>
      </c>
      <c r="F52" s="136">
        <v>86.5</v>
      </c>
      <c r="G52" s="185">
        <v>1010.5</v>
      </c>
      <c r="H52" s="158">
        <f>IF(AND(ISNUMBER(D52), ISNUMBER(F52)),
    ROUNDDOWN(
        MIN(
            IF(OR(ISBLANK(I52), I52=""),
                EOMONTH(DATE(LOHNTABELLE!$G$3, $A$1, 1), 0), I52)
            - MAX(D52, DATE(LOHNTABELLE!$G$3, $A$1, 1)) + 1)
        / DAY(EOMONTH(DATE(LOHNTABELLE!$G$3, $A$1, 1), 0)) * F52,
        2
    ),
    ""
)</f>
        <v>86.5</v>
      </c>
      <c r="I52" s="19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193">
        <v>45986</v>
      </c>
      <c r="E53" s="134" t="s">
        <v>4</v>
      </c>
      <c r="F53" s="136">
        <v>86.5</v>
      </c>
      <c r="G53" s="185">
        <v>1010.5</v>
      </c>
      <c r="H53" s="158">
        <f>IF(AND(ISNUMBER(D53), ISNUMBER(F53)),
    ROUNDDOWN(
        MIN(
            IF(OR(ISBLANK(I53), I53=""),
                EOMONTH(DATE(LOHNTABELLE!$G$3, $A$1, 1), 0), I53)
            - MAX(D53, DATE(LOHNTABELLE!$G$3, $A$1, 1)) + 1)
        / DAY(EOMONTH(DATE(LOHNTABELLE!$G$3, $A$1, 1), 0)) * F53,
        2
    ),
    ""
)</f>
        <v>86.5</v>
      </c>
      <c r="I53" s="19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401754</v>
      </c>
      <c r="C54" s="137" t="s">
        <v>313</v>
      </c>
      <c r="D54" s="193">
        <v>46014</v>
      </c>
      <c r="E54" s="134" t="s">
        <v>4</v>
      </c>
      <c r="F54" s="136">
        <v>86.5</v>
      </c>
      <c r="G54" s="185">
        <v>1010.5</v>
      </c>
      <c r="H54" s="158">
        <f>IF(AND(ISNUMBER(D54), ISNUMBER(F54)),
    ROUNDDOWN(
        MIN(
            IF(OR(ISBLANK(I54), I54=""),
                EOMONTH(DATE(LOHNTABELLE!$G$3, $A$1, 1), 0), I54)
            - MAX(D54, DATE(LOHNTABELLE!$G$3, $A$1, 1)) + 1)
        / DAY(EOMONTH(DATE(LOHNTABELLE!$G$3, $A$1, 1), 0)) * F54,
        2
    ),
    ""
)</f>
        <v>41.85</v>
      </c>
      <c r="I54" s="196">
        <v>46096</v>
      </c>
      <c r="J54" s="135">
        <v>8</v>
      </c>
      <c r="K54" s="161">
        <f t="shared" si="1"/>
        <v>260.77419354838707</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749.72580645161281</v>
      </c>
      <c r="M54" s="164"/>
      <c r="N54" s="147" t="s">
        <v>219</v>
      </c>
    </row>
    <row r="55" spans="1:14" ht="16" customHeight="1">
      <c r="A55" s="130" t="s">
        <v>141</v>
      </c>
      <c r="B55" s="170">
        <v>401999</v>
      </c>
      <c r="C55" s="137" t="s">
        <v>355</v>
      </c>
      <c r="D55" s="193">
        <v>46082</v>
      </c>
      <c r="E55" s="134" t="s">
        <v>4</v>
      </c>
      <c r="F55" s="136">
        <v>173</v>
      </c>
      <c r="G55" s="185">
        <v>2021</v>
      </c>
      <c r="H55" s="158">
        <f>IF(AND(ISNUMBER(D55), ISNUMBER(F55)),
    ROUNDDOWN(
        MIN(
            IF(OR(ISBLANK(I55), I55=""),
                EOMONTH(DATE(LOHNTABELLE!$G$3, $A$1, 1), 0), I55)
            - MAX(D55, DATE(LOHNTABELLE!$G$3, $A$1, 1)) + 1)
        / DAY(EOMONTH(DATE(LOHNTABELLE!$G$3, $A$1, 1), 0)) * F55,
        2
    ),
    ""
)</f>
        <v>173</v>
      </c>
      <c r="I55" s="19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2020.9999999999998</v>
      </c>
      <c r="M55" s="164"/>
      <c r="N55" s="147"/>
    </row>
    <row r="56" spans="1:14" ht="16" customHeight="1">
      <c r="A56" s="130" t="s">
        <v>142</v>
      </c>
      <c r="B56" s="170">
        <v>402405</v>
      </c>
      <c r="C56" s="137" t="s">
        <v>366</v>
      </c>
      <c r="D56" s="193">
        <v>46054</v>
      </c>
      <c r="E56" s="134" t="s">
        <v>4</v>
      </c>
      <c r="F56" s="136">
        <v>173</v>
      </c>
      <c r="G56" s="185">
        <v>2021</v>
      </c>
      <c r="H56" s="158">
        <f>IF(AND(ISNUMBER(D56), ISNUMBER(F56)),
    ROUNDDOWN(
        MIN(
            IF(OR(ISBLANK(I56), I56=""),
                EOMONTH(DATE(LOHNTABELLE!$G$3, $A$1, 1), 0), I56)
            - MAX(D56, DATE(LOHNTABELLE!$G$3, $A$1, 1)) + 1)
        / DAY(EOMONTH(DATE(LOHNTABELLE!$G$3, $A$1, 1), 0)) * F56,
        2
    ),
    ""
)</f>
        <v>173</v>
      </c>
      <c r="I56" s="19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2021</v>
      </c>
      <c r="M56" s="164"/>
      <c r="N56" s="147"/>
    </row>
    <row r="57" spans="1:14" ht="16" customHeight="1">
      <c r="A57" s="131" t="s">
        <v>143</v>
      </c>
      <c r="B57" s="170">
        <v>500600</v>
      </c>
      <c r="C57" s="137" t="s">
        <v>371</v>
      </c>
      <c r="D57" s="193">
        <v>46054</v>
      </c>
      <c r="E57" s="134" t="s">
        <v>4</v>
      </c>
      <c r="F57" s="136">
        <v>173</v>
      </c>
      <c r="G57" s="185">
        <v>2021</v>
      </c>
      <c r="H57" s="158">
        <f>IF(AND(ISNUMBER(D57), ISNUMBER(F57)),
    ROUNDDOWN(
        MIN(
            IF(OR(ISBLANK(I57), I57=""),
                EOMONTH(DATE(LOHNTABELLE!$G$3, $A$1, 1), 0), I57)
            - MAX(D57, DATE(LOHNTABELLE!$G$3, $A$1, 1)) + 1)
        / DAY(EOMONTH(DATE(LOHNTABELLE!$G$3, $A$1, 1), 0)) * F57,
        2
    ),
    ""
)</f>
        <v>173</v>
      </c>
      <c r="I57" s="19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2021</v>
      </c>
      <c r="M57" s="164"/>
      <c r="N57" s="147"/>
    </row>
    <row r="58" spans="1:14" ht="16" customHeight="1">
      <c r="A58" s="130" t="s">
        <v>144</v>
      </c>
      <c r="B58" s="170">
        <v>503000</v>
      </c>
      <c r="C58" s="137" t="s">
        <v>368</v>
      </c>
      <c r="D58" s="193">
        <v>42401</v>
      </c>
      <c r="E58" s="134" t="s">
        <v>4</v>
      </c>
      <c r="F58" s="136">
        <v>173</v>
      </c>
      <c r="G58" s="185">
        <v>2021</v>
      </c>
      <c r="H58" s="158">
        <f>IF(AND(ISNUMBER(D58), ISNUMBER(F58)),
    ROUNDDOWN(
        MIN(
            IF(OR(ISBLANK(I58), I58=""),
                EOMONTH(DATE(LOHNTABELLE!$G$3, $A$1, 1), 0), I58)
            - MAX(D58, DATE(LOHNTABELLE!$G$3, $A$1, 1)) + 1)
        / DAY(EOMONTH(DATE(LOHNTABELLE!$G$3, $A$1, 1), 0)) * F58,
        2
    ),
    ""
)</f>
        <v>173</v>
      </c>
      <c r="I58" s="19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2021</v>
      </c>
      <c r="M58" s="164"/>
      <c r="N58" s="147"/>
    </row>
    <row r="59" spans="1:14" ht="16" customHeight="1">
      <c r="A59" s="130" t="s">
        <v>145</v>
      </c>
      <c r="B59" s="170">
        <v>504000</v>
      </c>
      <c r="C59" s="139" t="s">
        <v>369</v>
      </c>
      <c r="D59" s="193">
        <v>46054</v>
      </c>
      <c r="E59" s="134" t="s">
        <v>8</v>
      </c>
      <c r="F59" s="136">
        <v>138.4</v>
      </c>
      <c r="G59" s="185">
        <v>1665.6</v>
      </c>
      <c r="H59" s="158">
        <f>IF(AND(ISNUMBER(D59), ISNUMBER(F59)),
    ROUNDDOWN(
        MIN(
            IF(OR(ISBLANK(I59), I59=""),
                EOMONTH(DATE(LOHNTABELLE!$G$3, $A$1, 1), 0), I59)
            - MAX(D59, DATE(LOHNTABELLE!$G$3, $A$1, 1)) + 1)
        / DAY(EOMONTH(DATE(LOHNTABELLE!$G$3, $A$1, 1), 0)) * F59,
        2
    ),
    ""
)</f>
        <v>138.4</v>
      </c>
      <c r="I59" s="19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1665.6</v>
      </c>
      <c r="M59" s="164"/>
      <c r="N59" s="147"/>
    </row>
    <row r="60" spans="1:14" ht="16" customHeight="1">
      <c r="A60" s="130" t="s">
        <v>146</v>
      </c>
      <c r="B60" s="170">
        <v>505000</v>
      </c>
      <c r="C60" s="137" t="s">
        <v>370</v>
      </c>
      <c r="D60" s="193">
        <v>46054</v>
      </c>
      <c r="E60" s="134" t="s">
        <v>4</v>
      </c>
      <c r="F60" s="136">
        <v>138.4</v>
      </c>
      <c r="G60" s="185">
        <v>1616.8</v>
      </c>
      <c r="H60" s="158">
        <f>IF(AND(ISNUMBER(D60), ISNUMBER(F60)),
    ROUNDDOWN(
        MIN(
            IF(OR(ISBLANK(I60), I60=""),
                EOMONTH(DATE(LOHNTABELLE!$G$3, $A$1, 1), 0), I60)
            - MAX(D60, DATE(LOHNTABELLE!$G$3, $A$1, 1)) + 1)
        / DAY(EOMONTH(DATE(LOHNTABELLE!$G$3, $A$1, 1), 0)) * F60,
        2
    ),
    ""
)</f>
        <v>138.4</v>
      </c>
      <c r="I60" s="19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1616.8</v>
      </c>
      <c r="M60" s="164"/>
      <c r="N60" s="147"/>
    </row>
    <row r="61" spans="1:14" ht="16" customHeight="1">
      <c r="A61" s="131" t="s">
        <v>147</v>
      </c>
      <c r="B61" s="170">
        <v>600000</v>
      </c>
      <c r="C61" s="137" t="s">
        <v>372</v>
      </c>
      <c r="D61" s="193">
        <v>46054</v>
      </c>
      <c r="E61" s="134" t="s">
        <v>4</v>
      </c>
      <c r="F61" s="136">
        <v>151.38</v>
      </c>
      <c r="G61" s="185">
        <v>1768.38</v>
      </c>
      <c r="H61" s="158">
        <f>IF(AND(ISNUMBER(D61), ISNUMBER(F61)),
    ROUNDDOWN(
        MIN(
            IF(OR(ISBLANK(I61), I61=""),
                EOMONTH(DATE(LOHNTABELLE!$G$3, $A$1, 1), 0), I61)
            - MAX(D61, DATE(LOHNTABELLE!$G$3, $A$1, 1)) + 1)
        / DAY(EOMONTH(DATE(LOHNTABELLE!$G$3, $A$1, 1), 0)) * F61,
        2
    ),
    ""
)</f>
        <v>151.38</v>
      </c>
      <c r="I61" s="19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1768.38</v>
      </c>
      <c r="M61" s="164"/>
      <c r="N61" s="147"/>
    </row>
    <row r="62" spans="1:14" ht="16" customHeight="1">
      <c r="A62" s="130" t="s">
        <v>148</v>
      </c>
      <c r="B62" s="170"/>
      <c r="C62" s="137"/>
      <c r="D62" s="193"/>
      <c r="E62" s="134"/>
      <c r="F62" s="136"/>
      <c r="G62" s="185"/>
      <c r="H62" s="158" t="str">
        <f>IF(AND(ISNUMBER(D62), ISNUMBER(F62)),
    ROUNDDOWN(
        MIN(
            IF(OR(ISBLANK(I62), I62=""),
                EOMONTH(DATE(LOHNTABELLE!$G$3, $A$1, 1), 0), I62)
            - MAX(D62, DATE(LOHNTABELLE!$G$3, $A$1, 1)) + 1)
        / DAY(EOMONTH(DATE(LOHNTABELLE!$G$3, $A$1, 1), 0)) * F62,
        2
    ),
    ""
)</f>
        <v/>
      </c>
      <c r="I62" s="19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193"/>
      <c r="E63" s="134"/>
      <c r="F63" s="136"/>
      <c r="G63" s="185"/>
      <c r="H63" s="158" t="str">
        <f>IF(AND(ISNUMBER(D63), ISNUMBER(F63)),
    ROUNDDOWN(
        MIN(
            IF(OR(ISBLANK(I63), I63=""),
                EOMONTH(DATE(LOHNTABELLE!$G$3, $A$1, 1), 0), I63)
            - MAX(D63, DATE(LOHNTABELLE!$G$3, $A$1, 1)) + 1)
        / DAY(EOMONTH(DATE(LOHNTABELLE!$G$3, $A$1, 1), 0)) * F63,
        2
    ),
    ""
)</f>
        <v/>
      </c>
      <c r="I63" s="19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193"/>
      <c r="E64" s="134"/>
      <c r="F64" s="136"/>
      <c r="G64" s="185"/>
      <c r="H64" s="158" t="str">
        <f>IF(AND(ISNUMBER(D64), ISNUMBER(F64)),
    ROUNDDOWN(
        MIN(
            IF(OR(ISBLANK(I64), I64=""),
                EOMONTH(DATE(LOHNTABELLE!$G$3, $A$1, 1), 0), I64)
            - MAX(D64, DATE(LOHNTABELLE!$G$3, $A$1, 1)) + 1)
        / DAY(EOMONTH(DATE(LOHNTABELLE!$G$3, $A$1, 1), 0)) * F64,
        2
    ),
    ""
)</f>
        <v/>
      </c>
      <c r="I64" s="19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93"/>
      <c r="E65" s="134"/>
      <c r="F65" s="136"/>
      <c r="G65" s="185"/>
      <c r="H65" s="158" t="str">
        <f>IF(AND(ISNUMBER(D65), ISNUMBER(F65)),
    ROUNDDOWN(
        MIN(
            IF(OR(ISBLANK(I65), I65=""),
                EOMONTH(DATE(LOHNTABELLE!$G$3, $A$1, 1), 0), I65)
            - MAX(D65, DATE(LOHNTABELLE!$G$3, $A$1, 1)) + 1)
        / DAY(EOMONTH(DATE(LOHNTABELLE!$G$3, $A$1, 1), 0)) * F65,
        2
    ),
    ""
)</f>
        <v/>
      </c>
      <c r="I65" s="19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93"/>
      <c r="E66" s="134"/>
      <c r="F66" s="136"/>
      <c r="G66" s="185"/>
      <c r="H66" s="158" t="str">
        <f>IF(AND(ISNUMBER(D66), ISNUMBER(F66)),
    ROUNDDOWN(
        MIN(
            IF(OR(ISBLANK(I66), I66=""),
                EOMONTH(DATE(LOHNTABELLE!$G$3, $A$1, 1), 0), I66)
            - MAX(D66, DATE(LOHNTABELLE!$G$3, $A$1, 1)) + 1)
        / DAY(EOMONTH(DATE(LOHNTABELLE!$G$3, $A$1, 1), 0)) * F66,
        2
    ),
    ""
)</f>
        <v/>
      </c>
      <c r="I66" s="19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93"/>
      <c r="E67" s="134"/>
      <c r="F67" s="136"/>
      <c r="G67" s="185"/>
      <c r="H67" s="158" t="str">
        <f>IF(AND(ISNUMBER(D67), ISNUMBER(F67)),
    ROUNDDOWN(
        MIN(
            IF(OR(ISBLANK(I67), I67=""),
                EOMONTH(DATE(LOHNTABELLE!$G$3, $A$1, 1), 0), I67)
            - MAX(D67, DATE(LOHNTABELLE!$G$3, $A$1, 1)) + 1)
        / DAY(EOMONTH(DATE(LOHNTABELLE!$G$3, $A$1, 1), 0)) * F67,
        2
    ),
    ""
)</f>
        <v/>
      </c>
      <c r="I67" s="19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93"/>
      <c r="E68" s="134"/>
      <c r="F68" s="136"/>
      <c r="G68" s="185"/>
      <c r="H68" s="158" t="str">
        <f>IF(AND(ISNUMBER(D68), ISNUMBER(F68)),
    ROUNDDOWN(
        MIN(
            IF(OR(ISBLANK(I68), I68=""),
                EOMONTH(DATE(LOHNTABELLE!$G$3, $A$1, 1), 0), I68)
            - MAX(D68, DATE(LOHNTABELLE!$G$3, $A$1, 1)) + 1)
        / DAY(EOMONTH(DATE(LOHNTABELLE!$G$3, $A$1, 1), 0)) * F68,
        2
    ),
    ""
)</f>
        <v/>
      </c>
      <c r="I68" s="19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93"/>
      <c r="E69" s="134"/>
      <c r="F69" s="136"/>
      <c r="G69" s="185"/>
      <c r="H69" s="158" t="str">
        <f>IF(AND(ISNUMBER(D69), ISNUMBER(F69)),
    ROUNDDOWN(
        MIN(
            IF(OR(ISBLANK(I69), I69=""),
                EOMONTH(DATE(LOHNTABELLE!$G$3, $A$1, 1), 0), I69)
            - MAX(D69, DATE(LOHNTABELLE!$G$3, $A$1, 1)) + 1)
        / DAY(EOMONTH(DATE(LOHNTABELLE!$G$3, $A$1, 1), 0)) * F69,
        2
    ),
    ""
)</f>
        <v/>
      </c>
      <c r="I69" s="19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93"/>
      <c r="E70" s="134"/>
      <c r="F70" s="136"/>
      <c r="G70" s="185"/>
      <c r="H70" s="158" t="str">
        <f>IF(AND(ISNUMBER(D70), ISNUMBER(F70)),
    ROUNDDOWN(
        MIN(
            IF(OR(ISBLANK(I70), I70=""),
                EOMONTH(DATE(LOHNTABELLE!$G$3, $A$1, 1), 0), I70)
            - MAX(D70, DATE(LOHNTABELLE!$G$3, $A$1, 1)) + 1)
        / DAY(EOMONTH(DATE(LOHNTABELLE!$G$3, $A$1, 1), 0)) * F70,
        2
    ),
    ""
)</f>
        <v/>
      </c>
      <c r="I70" s="19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93"/>
      <c r="E71" s="134"/>
      <c r="F71" s="136"/>
      <c r="G71" s="185"/>
      <c r="H71" s="158" t="str">
        <f>IF(AND(ISNUMBER(D71), ISNUMBER(F71)),
    ROUNDDOWN(
        MIN(
            IF(OR(ISBLANK(I71), I71=""),
                EOMONTH(DATE(LOHNTABELLE!$G$3, $A$1, 1), 0), I71)
            - MAX(D71, DATE(LOHNTABELLE!$G$3, $A$1, 1)) + 1)
        / DAY(EOMONTH(DATE(LOHNTABELLE!$G$3, $A$1, 1), 0)) * F71,
        2
    ),
    ""
)</f>
        <v/>
      </c>
      <c r="I71" s="19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93"/>
      <c r="E72" s="134"/>
      <c r="F72" s="136"/>
      <c r="G72" s="185"/>
      <c r="H72" s="158" t="str">
        <f>IF(AND(ISNUMBER(D72), ISNUMBER(F72)),
    ROUNDDOWN(
        MIN(
            IF(OR(ISBLANK(I72), I72=""),
                EOMONTH(DATE(LOHNTABELLE!$G$3, $A$1, 1), 0), I72)
            - MAX(D72, DATE(LOHNTABELLE!$G$3, $A$1, 1)) + 1)
        / DAY(EOMONTH(DATE(LOHNTABELLE!$G$3, $A$1, 1), 0)) * F72,
        2
    ),
    ""
)</f>
        <v/>
      </c>
      <c r="I72" s="19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93"/>
      <c r="E73" s="134"/>
      <c r="F73" s="136"/>
      <c r="G73" s="185"/>
      <c r="H73" s="158" t="str">
        <f>IF(AND(ISNUMBER(D73), ISNUMBER(F73)),
    ROUNDDOWN(
        MIN(
            IF(OR(ISBLANK(I73), I73=""),
                EOMONTH(DATE(LOHNTABELLE!$G$3, $A$1, 1), 0), I73)
            - MAX(D73, DATE(LOHNTABELLE!$G$3, $A$1, 1)) + 1)
        / DAY(EOMONTH(DATE(LOHNTABELLE!$G$3, $A$1, 1), 0)) * F73,
        2
    ),
    ""
)</f>
        <v/>
      </c>
      <c r="I73" s="19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93"/>
      <c r="E74" s="134"/>
      <c r="F74" s="136"/>
      <c r="G74" s="185"/>
      <c r="H74" s="158" t="str">
        <f>IF(AND(ISNUMBER(D74), ISNUMBER(F74)),
    ROUNDDOWN(
        MIN(
            IF(OR(ISBLANK(I74), I74=""),
                EOMONTH(DATE(LOHNTABELLE!$G$3, $A$1, 1), 0), I74)
            - MAX(D74, DATE(LOHNTABELLE!$G$3, $A$1, 1)) + 1)
        / DAY(EOMONTH(DATE(LOHNTABELLE!$G$3, $A$1, 1), 0)) * F74,
        2
    ),
    ""
)</f>
        <v/>
      </c>
      <c r="I74" s="19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93"/>
      <c r="E75" s="134"/>
      <c r="F75" s="136"/>
      <c r="G75" s="185"/>
      <c r="H75" s="158" t="str">
        <f>IF(AND(ISNUMBER(D75), ISNUMBER(F75)),
    ROUNDDOWN(
        MIN(
            IF(OR(ISBLANK(I75), I75=""),
                EOMONTH(DATE(LOHNTABELLE!$G$3, $A$1, 1), 0), I75)
            - MAX(D75, DATE(LOHNTABELLE!$G$3, $A$1, 1)) + 1)
        / DAY(EOMONTH(DATE(LOHNTABELLE!$G$3, $A$1, 1), 0)) * F75,
        2
    ),
    ""
)</f>
        <v/>
      </c>
      <c r="I75" s="19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93"/>
      <c r="E76" s="134"/>
      <c r="F76" s="136"/>
      <c r="G76" s="185"/>
      <c r="H76" s="158" t="str">
        <f>IF(AND(ISNUMBER(D76), ISNUMBER(F76)),
    ROUNDDOWN(
        MIN(
            IF(OR(ISBLANK(I76), I76=""),
                EOMONTH(DATE(LOHNTABELLE!$G$3, $A$1, 1), 0), I76)
            - MAX(D76, DATE(LOHNTABELLE!$G$3, $A$1, 1)) + 1)
        / DAY(EOMONTH(DATE(LOHNTABELLE!$G$3, $A$1, 1), 0)) * F76,
        2
    ),
    ""
)</f>
        <v/>
      </c>
      <c r="I76" s="19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93"/>
      <c r="E77" s="134"/>
      <c r="F77" s="136"/>
      <c r="G77" s="185"/>
      <c r="H77" s="158" t="str">
        <f>IF(AND(ISNUMBER(D77), ISNUMBER(F77)),
    ROUNDDOWN(
        MIN(
            IF(OR(ISBLANK(I77), I77=""),
                EOMONTH(DATE(LOHNTABELLE!$G$3, $A$1, 1), 0), I77)
            - MAX(D77, DATE(LOHNTABELLE!$G$3, $A$1, 1)) + 1)
        / DAY(EOMONTH(DATE(LOHNTABELLE!$G$3, $A$1, 1), 0)) * F77,
        2
    ),
    ""
)</f>
        <v/>
      </c>
      <c r="I77" s="19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93"/>
      <c r="E78" s="134"/>
      <c r="F78" s="136"/>
      <c r="G78" s="185"/>
      <c r="H78" s="158" t="str">
        <f>IF(AND(ISNUMBER(D78), ISNUMBER(F78)),
    ROUNDDOWN(
        MIN(
            IF(OR(ISBLANK(I78), I78=""),
                EOMONTH(DATE(LOHNTABELLE!$G$3, $A$1, 1), 0), I78)
            - MAX(D78, DATE(LOHNTABELLE!$G$3, $A$1, 1)) + 1)
        / DAY(EOMONTH(DATE(LOHNTABELLE!$G$3, $A$1, 1), 0)) * F78,
        2
    ),
    ""
)</f>
        <v/>
      </c>
      <c r="I78" s="19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93"/>
      <c r="E79" s="134"/>
      <c r="F79" s="136"/>
      <c r="G79" s="185"/>
      <c r="H79" s="158" t="str">
        <f>IF(AND(ISNUMBER(D79), ISNUMBER(F79)),
    ROUNDDOWN(
        MIN(
            IF(OR(ISBLANK(I79), I79=""),
                EOMONTH(DATE(LOHNTABELLE!$G$3, $A$1, 1), 0), I79)
            - MAX(D79, DATE(LOHNTABELLE!$G$3, $A$1, 1)) + 1)
        / DAY(EOMONTH(DATE(LOHNTABELLE!$G$3, $A$1, 1), 0)) * F79,
        2
    ),
    ""
)</f>
        <v/>
      </c>
      <c r="I79" s="19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93"/>
      <c r="E80" s="134"/>
      <c r="F80" s="136"/>
      <c r="G80" s="185"/>
      <c r="H80" s="158" t="str">
        <f>IF(AND(ISNUMBER(D80), ISNUMBER(F80)),
    ROUNDDOWN(
        MIN(
            IF(OR(ISBLANK(I80), I80=""),
                EOMONTH(DATE(LOHNTABELLE!$G$3, $A$1, 1), 0), I80)
            - MAX(D80, DATE(LOHNTABELLE!$G$3, $A$1, 1)) + 1)
        / DAY(EOMONTH(DATE(LOHNTABELLE!$G$3, $A$1, 1), 0)) * F80,
        2
    ),
    ""
)</f>
        <v/>
      </c>
      <c r="I80" s="19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93"/>
      <c r="E81" s="134"/>
      <c r="F81" s="136"/>
      <c r="G81" s="185"/>
      <c r="H81" s="158" t="str">
        <f>IF(AND(ISNUMBER(D81), ISNUMBER(F81)),
    ROUNDDOWN(
        MIN(
            IF(OR(ISBLANK(I81), I81=""),
                EOMONTH(DATE(LOHNTABELLE!$G$3, $A$1, 1), 0), I81)
            - MAX(D81, DATE(LOHNTABELLE!$G$3, $A$1, 1)) + 1)
        / DAY(EOMONTH(DATE(LOHNTABELLE!$G$3, $A$1, 1), 0)) * F81,
        2
    ),
    ""
)</f>
        <v/>
      </c>
      <c r="I81" s="19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94"/>
      <c r="E82" s="150"/>
      <c r="F82" s="151"/>
      <c r="G82" s="186"/>
      <c r="H82" s="159" t="str">
        <f>IF(AND(ISNUMBER(D82), ISNUMBER(F82)),
    ROUNDDOWN(
        MIN(
            IF(OR(ISBLANK(I82), I82=""),
                EOMONTH(DATE(LOHNTABELLE!$G$3, $A$1, 1), 0), I82)
            - MAX(D82, DATE(LOHNTABELLE!$G$3, $A$1, 1)) + 1)
        / DAY(EOMONTH(DATE(LOHNTABELLE!$G$3, $A$1, 1), 0)) * F82,
        2
    ),
    ""
)</f>
        <v/>
      </c>
      <c r="I82" s="19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IDn6yUgcf3jraQ0qg32czyga8koCD95EmbN6y5wA/lEthclQEGOtO8KrPXMfctdO24sc9wJiZYiRDhL3vkADkQ==" saltValue="SQVDyBHFEwR6yZOZ0qOgqQ==" spinCount="100000" sheet="1" objects="1" scenarios="1" sort="0" autoFilter="0"/>
  <sortState xmlns:xlrd2="http://schemas.microsoft.com/office/spreadsheetml/2017/richdata2" ref="B3:N82">
    <sortCondition ref="B3:B82"/>
    <sortCondition ref="C3:C82"/>
  </sortState>
  <mergeCells count="98">
    <mergeCell ref="B1:B2"/>
    <mergeCell ref="N1:N2"/>
    <mergeCell ref="H1:H2"/>
    <mergeCell ref="C1:C2"/>
    <mergeCell ref="D1:D2"/>
    <mergeCell ref="E1:E2"/>
    <mergeCell ref="F1:F2"/>
    <mergeCell ref="G1:G2"/>
    <mergeCell ref="O16:R16"/>
    <mergeCell ref="Q3:Q4"/>
    <mergeCell ref="R3:R4"/>
    <mergeCell ref="O6:R6"/>
    <mergeCell ref="O8:P8"/>
    <mergeCell ref="Q8:R8"/>
    <mergeCell ref="O12:P12"/>
    <mergeCell ref="Q12:R12"/>
    <mergeCell ref="Q9:R9"/>
    <mergeCell ref="O10:P10"/>
    <mergeCell ref="Q10:R10"/>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11:P11"/>
    <mergeCell ref="Q11:R11"/>
    <mergeCell ref="O13:P13"/>
    <mergeCell ref="Q13:R13"/>
    <mergeCell ref="O14:P14"/>
    <mergeCell ref="Q14:R14"/>
    <mergeCell ref="O15:P15"/>
    <mergeCell ref="Q15:R15"/>
    <mergeCell ref="O17:P17"/>
    <mergeCell ref="Q17:R17"/>
    <mergeCell ref="O18:P18"/>
    <mergeCell ref="Q18:R18"/>
    <mergeCell ref="O25:P25"/>
    <mergeCell ref="Q25:R25"/>
    <mergeCell ref="O26:P26"/>
    <mergeCell ref="Q26:R26"/>
    <mergeCell ref="Q27:R27"/>
    <mergeCell ref="O22:P22"/>
    <mergeCell ref="Q22:R22"/>
    <mergeCell ref="O23:P23"/>
    <mergeCell ref="Q23:R23"/>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dataValidations count="61">
    <dataValidation type="date" showInputMessage="1" showErrorMessage="1" sqref="I3:I82" xr:uid="{2918CEC5-FC82-439B-8BD4-856E8E048A6F}">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C2C64B2F-7D14-2C4C-ADDB-1E663902A46A}">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05EDB937-6384-A94F-BADA-5A43074F0B86}">
      <formula1>KV_DD_MARZ_3</formula1>
    </dataValidation>
    <dataValidation type="list" allowBlank="1" showInputMessage="1" showErrorMessage="1" sqref="F4" xr:uid="{FADAD080-A45A-904B-840F-BA598E7D6C23}">
      <formula1>KV_DD_MARZ_4</formula1>
    </dataValidation>
    <dataValidation type="list" allowBlank="1" showInputMessage="1" showErrorMessage="1" sqref="F5" xr:uid="{A0022542-8E36-D040-8A1B-7105160162EC}">
      <formula1>KV_DD_MARZ_5</formula1>
    </dataValidation>
    <dataValidation type="list" allowBlank="1" showInputMessage="1" showErrorMessage="1" sqref="F6" xr:uid="{4F2D8BBF-C601-F647-8FF0-BFCA9060DFCD}">
      <formula1>KV_DD_MARZ_6</formula1>
    </dataValidation>
    <dataValidation type="list" allowBlank="1" showInputMessage="1" showErrorMessage="1" sqref="F7" xr:uid="{647A791F-6703-354A-BFC8-D273184D863B}">
      <formula1>KV_DD_MARZ_7</formula1>
    </dataValidation>
    <dataValidation type="list" allowBlank="1" showInputMessage="1" showErrorMessage="1" sqref="F8" xr:uid="{A64FFE14-34CA-8B4F-9E40-9312722AFDBE}">
      <formula1>KV_DD_MARZ_8</formula1>
    </dataValidation>
    <dataValidation type="list" allowBlank="1" showInputMessage="1" showErrorMessage="1" sqref="F9" xr:uid="{096E3875-0DB7-C04B-9A6C-DEC48929D9CC}">
      <formula1>KV_DD_MARZ_9</formula1>
    </dataValidation>
    <dataValidation type="list" allowBlank="1" showInputMessage="1" showErrorMessage="1" sqref="F10" xr:uid="{D43251D3-EC88-9544-9B9B-31A7B2FBAE78}">
      <formula1>KV_DD_MARZ_10</formula1>
    </dataValidation>
    <dataValidation type="list" allowBlank="1" showInputMessage="1" showErrorMessage="1" sqref="F11" xr:uid="{0A370C0E-CD92-BD41-A002-D4697FD67CF2}">
      <formula1>KV_DD_MARZ_11</formula1>
    </dataValidation>
    <dataValidation type="list" allowBlank="1" showInputMessage="1" showErrorMessage="1" sqref="F12" xr:uid="{7DBEE388-FE93-3F4E-B64D-1BAC3F8D5D1F}">
      <formula1>KV_DD_MARZ_12</formula1>
    </dataValidation>
    <dataValidation type="list" allowBlank="1" showInputMessage="1" showErrorMessage="1" sqref="F13" xr:uid="{B75BED5C-8D8A-4A4E-8BD2-8B978C188A84}">
      <formula1>KV_DD_MARZ_13</formula1>
    </dataValidation>
    <dataValidation type="list" allowBlank="1" showInputMessage="1" showErrorMessage="1" sqref="F14" xr:uid="{1064DC0C-18A2-2142-8C05-CFCDFDB83C91}">
      <formula1>KV_DD_MARZ_14</formula1>
    </dataValidation>
    <dataValidation type="list" allowBlank="1" showInputMessage="1" showErrorMessage="1" sqref="F15" xr:uid="{C25E7601-31E5-5042-A6E6-DFC08E0BF158}">
      <formula1>KV_DD_MARZ_15</formula1>
    </dataValidation>
    <dataValidation type="list" allowBlank="1" showInputMessage="1" showErrorMessage="1" sqref="F16" xr:uid="{892CC97F-727C-DA4A-A450-D2DA5B64BB5A}">
      <formula1>KV_DD_MARZ_16</formula1>
    </dataValidation>
    <dataValidation type="list" allowBlank="1" showInputMessage="1" showErrorMessage="1" sqref="F17" xr:uid="{37B8A3F8-4E97-7646-BF25-A17AFC4768DA}">
      <formula1>KV_DD_MARZ_17</formula1>
    </dataValidation>
    <dataValidation type="list" allowBlank="1" showInputMessage="1" showErrorMessage="1" sqref="F18" xr:uid="{1BED2DD4-57B5-9749-8C57-7D7DE105E7B8}">
      <formula1>KV_DD_MARZ_18</formula1>
    </dataValidation>
    <dataValidation type="list" allowBlank="1" showInputMessage="1" showErrorMessage="1" sqref="F19" xr:uid="{4ADF56D9-79DD-424D-AD6C-E5CC3BCB346C}">
      <formula1>KV_DD_MARZ_19</formula1>
    </dataValidation>
    <dataValidation type="list" allowBlank="1" showInputMessage="1" showErrorMessage="1" sqref="F20" xr:uid="{281F70E3-9067-A049-A712-375CA78856A4}">
      <formula1>KV_DD_MARZ_20</formula1>
    </dataValidation>
    <dataValidation type="list" allowBlank="1" showInputMessage="1" showErrorMessage="1" sqref="F21" xr:uid="{71A3ACEE-8FB2-EF46-9C35-6978F986B78A}">
      <formula1>KV_DD_MARZ_21</formula1>
    </dataValidation>
    <dataValidation type="list" allowBlank="1" showInputMessage="1" showErrorMessage="1" sqref="F22" xr:uid="{3D85B5B8-9E8C-7F48-AE88-972AD66F5B41}">
      <formula1>KV_DD_MARZ_22</formula1>
    </dataValidation>
    <dataValidation type="list" allowBlank="1" showInputMessage="1" showErrorMessage="1" sqref="F23" xr:uid="{F8E741E8-71B2-4640-AF60-DCE154C0590C}">
      <formula1>KV_DD_MARZ_23</formula1>
    </dataValidation>
    <dataValidation type="list" allowBlank="1" showInputMessage="1" showErrorMessage="1" sqref="F24" xr:uid="{53FDB4A5-0E8D-E247-AFAB-ADE2799A4949}">
      <formula1>KV_DD_MARZ_24</formula1>
    </dataValidation>
    <dataValidation type="list" allowBlank="1" showInputMessage="1" showErrorMessage="1" sqref="F25" xr:uid="{0B1F669E-D10C-1F45-BACB-686361D0EC2A}">
      <formula1>KV_DD_MARZ_25</formula1>
    </dataValidation>
    <dataValidation type="list" allowBlank="1" showInputMessage="1" showErrorMessage="1" sqref="F26" xr:uid="{7E8DDA1A-9C91-2042-B623-D7E81B335DE4}">
      <formula1>KV_DD_MARZ_26</formula1>
    </dataValidation>
    <dataValidation type="list" allowBlank="1" showInputMessage="1" showErrorMessage="1" sqref="F27" xr:uid="{5CB5A555-D4CD-804D-A3BB-5615188F9402}">
      <formula1>KV_DD_MARZ_27</formula1>
    </dataValidation>
    <dataValidation type="list" allowBlank="1" showInputMessage="1" showErrorMessage="1" sqref="F28" xr:uid="{D97D7F22-A8C7-1346-B476-3646E43F00D6}">
      <formula1>KV_DD_MARZ_28</formula1>
    </dataValidation>
    <dataValidation type="list" allowBlank="1" showInputMessage="1" showErrorMessage="1" sqref="F29" xr:uid="{4B9B01FE-440D-C44D-8EC1-B6E172AB46E0}">
      <formula1>KV_DD_MARZ_29</formula1>
    </dataValidation>
    <dataValidation type="list" allowBlank="1" showInputMessage="1" showErrorMessage="1" sqref="F30" xr:uid="{7BA4BD6F-6F5F-FA4E-93DC-B59F9DC7344D}">
      <formula1>KV_DD_MARZ_30</formula1>
    </dataValidation>
    <dataValidation type="list" allowBlank="1" showInputMessage="1" showErrorMessage="1" sqref="F31" xr:uid="{3BDF71AE-2D15-5B4D-ABAC-09718C1DCAA6}">
      <formula1>KV_DD_MARZ_31</formula1>
    </dataValidation>
    <dataValidation type="list" allowBlank="1" showInputMessage="1" showErrorMessage="1" sqref="F32" xr:uid="{2E13F390-E9D2-8643-AA96-E750C34A1DB6}">
      <formula1>KV_DD_MARZ_32</formula1>
    </dataValidation>
    <dataValidation type="list" allowBlank="1" showInputMessage="1" showErrorMessage="1" sqref="F33" xr:uid="{3A42B839-A8F1-D148-AA01-FA369555AC09}">
      <formula1>KV_DD_MARZ_33</formula1>
    </dataValidation>
    <dataValidation type="list" allowBlank="1" showInputMessage="1" showErrorMessage="1" sqref="F34" xr:uid="{308A6FFA-51F9-3C49-AFB8-DF8BF7AD9975}">
      <formula1>KV_DD_MARZ_34</formula1>
    </dataValidation>
    <dataValidation type="list" allowBlank="1" showInputMessage="1" showErrorMessage="1" sqref="F35" xr:uid="{98C045FD-E3E5-B140-835D-3C3F58AE293F}">
      <formula1>KV_DD_MARZ_35</formula1>
    </dataValidation>
    <dataValidation type="list" allowBlank="1" showInputMessage="1" showErrorMessage="1" sqref="F36" xr:uid="{581AE79B-E44B-794F-A77B-9AE0B547B060}">
      <formula1>KV_DD_MARZ_36</formula1>
    </dataValidation>
    <dataValidation type="list" allowBlank="1" showInputMessage="1" showErrorMessage="1" sqref="F37" xr:uid="{26CA3630-1208-2048-BE68-4A882BAD47BD}">
      <formula1>KV_DD_MARZ_37</formula1>
    </dataValidation>
    <dataValidation type="list" allowBlank="1" showInputMessage="1" showErrorMessage="1" sqref="F38" xr:uid="{86B70E51-4A46-FD4C-905B-4E0DC0CBB24C}">
      <formula1>KV_DD_MARZ_38</formula1>
    </dataValidation>
    <dataValidation type="list" allowBlank="1" showInputMessage="1" showErrorMessage="1" sqref="F39" xr:uid="{70C594DA-D6F4-C04D-B732-F6F2115FDA52}">
      <formula1>KV_DD_MARZ_39</formula1>
    </dataValidation>
    <dataValidation type="list" allowBlank="1" showInputMessage="1" showErrorMessage="1" sqref="F40" xr:uid="{32F16A32-9CB3-7545-9324-E0E6C47E4416}">
      <formula1>KV_DD_MARZ_40</formula1>
    </dataValidation>
    <dataValidation type="list" allowBlank="1" showInputMessage="1" showErrorMessage="1" sqref="F41" xr:uid="{99A0AF96-B7BF-904A-A70B-1494007672CA}">
      <formula1>KV_DD_MARZ_41</formula1>
    </dataValidation>
    <dataValidation type="list" allowBlank="1" showInputMessage="1" showErrorMessage="1" sqref="F42" xr:uid="{59CFE85A-78FD-B046-B1E5-EBE4A97891A2}">
      <formula1>KV_DD_MARZ_42</formula1>
    </dataValidation>
    <dataValidation type="list" allowBlank="1" showInputMessage="1" showErrorMessage="1" sqref="F43" xr:uid="{CAE46CC6-0741-0646-AED3-C676A9B2E31F}">
      <formula1>KV_DD_MARZ_43</formula1>
    </dataValidation>
    <dataValidation type="list" allowBlank="1" showInputMessage="1" showErrorMessage="1" sqref="F44" xr:uid="{6F06D93E-F271-5842-8594-7E9AC47B1A89}">
      <formula1>KV_DD_MARZ_44</formula1>
    </dataValidation>
    <dataValidation type="list" allowBlank="1" showInputMessage="1" showErrorMessage="1" sqref="F45" xr:uid="{0CC345F5-6AD8-704D-AAF5-CC7D58A83197}">
      <formula1>KV_DD_MARZ_45</formula1>
    </dataValidation>
    <dataValidation type="list" allowBlank="1" showInputMessage="1" showErrorMessage="1" sqref="F46" xr:uid="{BA04E2C5-1791-2A4F-9ECA-88B96CA0A6B9}">
      <formula1>KV_DD_MARZ_46</formula1>
    </dataValidation>
    <dataValidation type="list" allowBlank="1" showInputMessage="1" showErrorMessage="1" sqref="F47" xr:uid="{4DD643EE-72FD-7D4B-982C-FF47124B8254}">
      <formula1>KV_DD_MARZ_47</formula1>
    </dataValidation>
    <dataValidation type="list" allowBlank="1" showInputMessage="1" showErrorMessage="1" sqref="F48" xr:uid="{F158B372-34E7-3948-A4EF-C3102D4EA0EE}">
      <formula1>KV_DD_MARZ_48</formula1>
    </dataValidation>
    <dataValidation type="list" allowBlank="1" showInputMessage="1" showErrorMessage="1" sqref="F49" xr:uid="{558F6DDF-FCB8-B24E-9B0A-BB3764F1D0DD}">
      <formula1>KV_DD_MARZ_49</formula1>
    </dataValidation>
    <dataValidation type="list" allowBlank="1" showInputMessage="1" showErrorMessage="1" sqref="F50" xr:uid="{1885B0B6-F663-9940-AA6E-F570EF320212}">
      <formula1>KV_DD_MARZ_50</formula1>
    </dataValidation>
    <dataValidation type="list" allowBlank="1" showInputMessage="1" showErrorMessage="1" sqref="F51" xr:uid="{8B5794B4-D969-B447-BB69-9BE146C0DCD9}">
      <formula1>KV_DD_MARZ_51</formula1>
    </dataValidation>
    <dataValidation type="list" allowBlank="1" showInputMessage="1" showErrorMessage="1" sqref="F52" xr:uid="{98606CBE-8AD1-7444-9942-9B6F47FC9935}">
      <formula1>KV_DD_MARZ_52</formula1>
    </dataValidation>
    <dataValidation type="list" allowBlank="1" showInputMessage="1" showErrorMessage="1" sqref="F53" xr:uid="{4153FF0A-4EE4-9246-8A11-F3F8DF9E3A67}">
      <formula1>KV_DD_MARZ_53</formula1>
    </dataValidation>
    <dataValidation type="list" allowBlank="1" showInputMessage="1" showErrorMessage="1" sqref="F54" xr:uid="{BECAE541-7169-9B40-ACBE-8D62775EFD9C}">
      <formula1>KV_DD_MARZ_54</formula1>
    </dataValidation>
    <dataValidation type="list" allowBlank="1" showInputMessage="1" showErrorMessage="1" sqref="F55" xr:uid="{733F0598-E476-034C-B6F6-4BBC1AF0E94D}">
      <formula1>KV_DD_MARZ_55</formula1>
    </dataValidation>
    <dataValidation type="list" allowBlank="1" showInputMessage="1" showErrorMessage="1" sqref="F56" xr:uid="{24178593-D739-E14A-BCE8-6D5C2FBD6196}">
      <formula1>KV_DD_MARZ_56</formula1>
    </dataValidation>
    <dataValidation type="list" allowBlank="1" showInputMessage="1" showErrorMessage="1" sqref="F57" xr:uid="{E55816ED-1987-D34C-818E-348B3E9B06D2}">
      <formula1>KV_DD_MARZ_57</formula1>
    </dataValidation>
    <dataValidation type="list" allowBlank="1" showInputMessage="1" showErrorMessage="1" sqref="F58" xr:uid="{EA33CB3F-9AD4-A443-8A6A-49FFE12CDC74}">
      <formula1>KV_DD_MARZ_58</formula1>
    </dataValidation>
    <dataValidation type="list" allowBlank="1" showInputMessage="1" showErrorMessage="1" sqref="F59" xr:uid="{A10602DA-1074-2349-B684-1A60F243E693}">
      <formula1>KV_DD_MARZ_59</formula1>
    </dataValidation>
    <dataValidation type="list" allowBlank="1" showInputMessage="1" showErrorMessage="1" sqref="F60" xr:uid="{40E4C185-BFB5-1A49-81FE-833A47CBB682}">
      <formula1>KV_DD_MARZ_60</formula1>
    </dataValidation>
    <dataValidation type="list" allowBlank="1" showInputMessage="1" showErrorMessage="1" sqref="F61" xr:uid="{67B4AEB2-99C3-3943-AC3F-59F5EBAB1FBD}">
      <formula1>KV_DD_MARZ_61</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3314" r:id="rId4" name="Button 2">
              <controlPr defaultSize="0" print="0" autoFill="0" autoPict="0" macro="[0]!CopyData">
                <anchor moveWithCells="1" sizeWithCells="1">
                  <from>
                    <xdr:col>14</xdr:col>
                    <xdr:colOff>38100</xdr:colOff>
                    <xdr:row>0</xdr:row>
                    <xdr:rowOff>50800</xdr:rowOff>
                  </from>
                  <to>
                    <xdr:col>18</xdr:col>
                    <xdr:colOff>571500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B98161FA-8E91-4AE4-9111-0200024BE365}">
          <x14:formula1>
            <xm:f>LOHNTABELLE!$Q$4:$Q$17</xm:f>
          </x14:formula1>
          <xm:sqref>E3:E82</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575F9-786C-4425-96E4-E30C2373A72A}">
  <sheetPr codeName="Tabelle6"/>
  <dimension ref="A1:AC82"/>
  <sheetViews>
    <sheetView showGridLines="0" showRowColHeaders="0" zoomScaleNormal="100" workbookViewId="0">
      <pane ySplit="2" topLeftCell="A22"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4</v>
      </c>
      <c r="B1" s="302" t="s">
        <v>205</v>
      </c>
      <c r="C1" s="310" t="s">
        <v>52</v>
      </c>
      <c r="D1" s="308" t="s">
        <v>206</v>
      </c>
      <c r="E1" s="308" t="s">
        <v>0</v>
      </c>
      <c r="F1" s="308" t="s">
        <v>53</v>
      </c>
      <c r="G1" s="312" t="s">
        <v>54</v>
      </c>
      <c r="H1" s="314" t="s">
        <v>55</v>
      </c>
      <c r="I1" s="316" t="s">
        <v>207</v>
      </c>
      <c r="J1" s="318" t="s">
        <v>56</v>
      </c>
      <c r="K1" s="320" t="s">
        <v>57</v>
      </c>
      <c r="L1" s="322" t="s">
        <v>58</v>
      </c>
      <c r="M1" s="306" t="s">
        <v>59</v>
      </c>
      <c r="N1" s="303" t="s">
        <v>208</v>
      </c>
      <c r="AB1" s="41">
        <f>DATE(LOHNTABELLE!$G$3, $A$1, 1)</f>
        <v>46113</v>
      </c>
    </row>
    <row r="2" spans="1:28" ht="16" customHeight="1" thickBot="1">
      <c r="A2" s="129"/>
      <c r="B2" s="302"/>
      <c r="C2" s="311"/>
      <c r="D2" s="309"/>
      <c r="E2" s="309"/>
      <c r="F2" s="309"/>
      <c r="G2" s="313"/>
      <c r="H2" s="315"/>
      <c r="I2" s="317"/>
      <c r="J2" s="319"/>
      <c r="K2" s="321"/>
      <c r="L2" s="323"/>
      <c r="M2" s="307"/>
      <c r="N2" s="303"/>
      <c r="AB2" s="41">
        <f>EOMONTH(DATE(LOHNTABELLE!$G$3, $A$1, 1), 0)</f>
        <v>46142</v>
      </c>
    </row>
    <row r="3" spans="1:28" ht="16" customHeight="1">
      <c r="A3" s="130" t="s">
        <v>60</v>
      </c>
      <c r="B3" s="169">
        <v>55</v>
      </c>
      <c r="C3" s="166" t="s">
        <v>367</v>
      </c>
      <c r="D3" s="192">
        <v>46054</v>
      </c>
      <c r="E3" s="142" t="s">
        <v>4</v>
      </c>
      <c r="F3" s="167">
        <v>173</v>
      </c>
      <c r="G3" s="184">
        <v>2021</v>
      </c>
      <c r="H3" s="157">
        <f>IF(AND(ISNUMBER(D3), ISNUMBER(F3)),
    ROUNDDOWN(
        MIN(
            IF(OR(ISBLANK(I3), I3=""),
                EOMONTH(DATE(LOHNTABELLE!$G$3, $A$1, 1), 0), I3)
            - MAX(D3, DATE(LOHNTABELLE!$G$3, $A$1, 1)) + 1)
        / DAY(EOMONTH(DATE(LOHNTABELLE!$G$3, $A$1, 1), 0)) * F3,
        2
    ),
    ""
)</f>
        <v>173</v>
      </c>
      <c r="I3" s="19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2021</v>
      </c>
      <c r="M3" s="163"/>
      <c r="N3" s="146"/>
      <c r="O3" s="242" t="s">
        <v>61</v>
      </c>
      <c r="P3" s="242" t="s">
        <v>62</v>
      </c>
      <c r="Q3" s="240" t="s">
        <v>63</v>
      </c>
      <c r="R3" s="280" t="s">
        <v>64</v>
      </c>
      <c r="AB3" s="43"/>
    </row>
    <row r="4" spans="1:28" ht="16" customHeight="1">
      <c r="A4" s="130" t="s">
        <v>65</v>
      </c>
      <c r="B4" s="170">
        <v>401006</v>
      </c>
      <c r="C4" s="137" t="s">
        <v>262</v>
      </c>
      <c r="D4" s="193">
        <v>38188</v>
      </c>
      <c r="E4" s="134" t="s">
        <v>24</v>
      </c>
      <c r="F4" s="136">
        <v>173</v>
      </c>
      <c r="G4" s="185">
        <v>2328</v>
      </c>
      <c r="H4" s="158">
        <f>IF(AND(ISNUMBER(D4), ISNUMBER(F4)),
    ROUNDDOWN(
        MIN(
            IF(OR(ISBLANK(I4), I4=""),
                EOMONTH(DATE(LOHNTABELLE!$G$3, $A$1, 1), 0), I4)
            - MAX(D4, DATE(LOHNTABELLE!$G$3, $A$1, 1)) + 1)
        / DAY(EOMONTH(DATE(LOHNTABELLE!$G$3, $A$1, 1), 0)) * F4,
        2
    ),
    ""
)</f>
        <v>173</v>
      </c>
      <c r="I4" s="19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43"/>
      <c r="P4" s="243"/>
      <c r="Q4" s="241"/>
      <c r="R4" s="281"/>
    </row>
    <row r="5" spans="1:28" ht="16" customHeight="1">
      <c r="A5" s="131" t="s">
        <v>66</v>
      </c>
      <c r="B5" s="170">
        <v>401010</v>
      </c>
      <c r="C5" s="137" t="s">
        <v>263</v>
      </c>
      <c r="D5" s="193">
        <v>39388</v>
      </c>
      <c r="E5" s="134" t="s">
        <v>12</v>
      </c>
      <c r="F5" s="136">
        <v>173</v>
      </c>
      <c r="G5" s="185">
        <v>2183</v>
      </c>
      <c r="H5" s="158">
        <f>IF(AND(ISNUMBER(D5), ISNUMBER(F5)),
    ROUNDDOWN(
        MIN(
            IF(OR(ISBLANK(I5), I5=""),
                EOMONTH(DATE(LOHNTABELLE!$G$3, $A$1, 1), 0), I5)
            - MAX(D5, DATE(LOHNTABELLE!$G$3, $A$1, 1)) + 1)
        / DAY(EOMONTH(DATE(LOHNTABELLE!$G$3, $A$1, 1), 0)) * F5,
        2
    ),
    ""
)</f>
        <v>173</v>
      </c>
      <c r="I5" s="19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851.01699727754055</v>
      </c>
      <c r="P5" s="49">
        <f>EINSTELLUNG!I9</f>
        <v>4</v>
      </c>
      <c r="Q5" s="48">
        <f>P5-O5</f>
        <v>-847.01699727754055</v>
      </c>
      <c r="R5" s="52">
        <f>IFERROR(Q5*Q42, 0)</f>
        <v>-10140.979254744389</v>
      </c>
    </row>
    <row r="6" spans="1:28" ht="16" customHeight="1">
      <c r="A6" s="130" t="s">
        <v>67</v>
      </c>
      <c r="B6" s="170">
        <v>401047</v>
      </c>
      <c r="C6" s="137" t="s">
        <v>265</v>
      </c>
      <c r="D6" s="193">
        <v>41154</v>
      </c>
      <c r="E6" s="134" t="s">
        <v>10</v>
      </c>
      <c r="F6" s="136">
        <v>173</v>
      </c>
      <c r="G6" s="185">
        <v>2123</v>
      </c>
      <c r="H6" s="158">
        <f>IF(AND(ISNUMBER(D6), ISNUMBER(F6)),
    ROUNDDOWN(
        MIN(
            IF(OR(ISBLANK(I6), I6=""),
                EOMONTH(DATE(LOHNTABELLE!$G$3, $A$1, 1), 0), I6)
            - MAX(D6, DATE(LOHNTABELLE!$G$3, $A$1, 1)) + 1)
        / DAY(EOMONTH(DATE(LOHNTABELLE!$G$3, $A$1, 1), 0)) * F6,
        2
    ),
    ""
)</f>
        <v>173</v>
      </c>
      <c r="I6" s="19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37" t="str">
        <f>IF(Q5&lt;0, "Schlecht! Zu wenig Urlaub abgebaut.", IF(Q5&gt;0, "Gut! Mehr Urlaub abgebaut als aufgebaut.", ""))</f>
        <v>Schlecht! Zu wenig Urlaub abgebaut.</v>
      </c>
      <c r="P6" s="238"/>
      <c r="Q6" s="238"/>
      <c r="R6" s="239"/>
    </row>
    <row r="7" spans="1:28" ht="16" customHeight="1">
      <c r="A7" s="130" t="s">
        <v>68</v>
      </c>
      <c r="B7" s="170">
        <v>401049</v>
      </c>
      <c r="C7" s="137" t="s">
        <v>264</v>
      </c>
      <c r="D7" s="193">
        <v>41130</v>
      </c>
      <c r="E7" s="134" t="s">
        <v>10</v>
      </c>
      <c r="F7" s="136">
        <v>173</v>
      </c>
      <c r="G7" s="185">
        <v>2123</v>
      </c>
      <c r="H7" s="158">
        <f>IF(AND(ISNUMBER(D7), ISNUMBER(F7)),
    ROUNDDOWN(
        MIN(
            IF(OR(ISBLANK(I7), I7=""),
                EOMONTH(DATE(LOHNTABELLE!$G$3, $A$1, 1), 0), I7)
            - MAX(D7, DATE(LOHNTABELLE!$G$3, $A$1, 1)) + 1)
        / DAY(EOMONTH(DATE(LOHNTABELLE!$G$3, $A$1, 1), 0)) * F7,
        2
    ),
    ""
)</f>
        <v>173</v>
      </c>
      <c r="I7" s="19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193">
        <v>41176</v>
      </c>
      <c r="E8" s="134" t="s">
        <v>10</v>
      </c>
      <c r="F8" s="136">
        <v>173</v>
      </c>
      <c r="G8" s="185">
        <v>2123</v>
      </c>
      <c r="H8" s="158">
        <f>IF(AND(ISNUMBER(D8), ISNUMBER(F8)),
    ROUNDDOWN(
        MIN(
            IF(OR(ISBLANK(I8), I8=""),
                EOMONTH(DATE(LOHNTABELLE!$G$3, $A$1, 1), 0), I8)
            - MAX(D8, DATE(LOHNTABELLE!$G$3, $A$1, 1)) + 1)
        / DAY(EOMONTH(DATE(LOHNTABELLE!$G$3, $A$1, 1), 0)) * F8,
        2
    ),
    ""
)</f>
        <v>173</v>
      </c>
      <c r="I8" s="19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45" t="s">
        <v>70</v>
      </c>
      <c r="P8" s="246"/>
      <c r="Q8" s="247">
        <f>SUM(H3:H82)</f>
        <v>8766.7799999999988</v>
      </c>
      <c r="R8" s="247"/>
    </row>
    <row r="9" spans="1:28" ht="16" customHeight="1">
      <c r="A9" s="131" t="s">
        <v>71</v>
      </c>
      <c r="B9" s="170">
        <v>401089</v>
      </c>
      <c r="C9" s="137" t="s">
        <v>280</v>
      </c>
      <c r="D9" s="193">
        <v>44868</v>
      </c>
      <c r="E9" s="134" t="s">
        <v>8</v>
      </c>
      <c r="F9" s="136">
        <v>173</v>
      </c>
      <c r="G9" s="185">
        <v>2082</v>
      </c>
      <c r="H9" s="158">
        <f>IF(AND(ISNUMBER(D9), ISNUMBER(F9)),
    ROUNDDOWN(
        MIN(
            IF(OR(ISBLANK(I9), I9=""),
                EOMONTH(DATE(LOHNTABELLE!$G$3, $A$1, 1), 0), I9)
            - MAX(D9, DATE(LOHNTABELLE!$G$3, $A$1, 1)) + 1)
        / DAY(EOMONTH(DATE(LOHNTABELLE!$G$3, $A$1, 1), 0)) * F9,
        2
    ),
    ""
)</f>
        <v>173</v>
      </c>
      <c r="I9" s="19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45" t="s">
        <v>72</v>
      </c>
      <c r="P9" s="246"/>
      <c r="Q9" s="247">
        <f>EINSTELLUNG!L25</f>
        <v>4</v>
      </c>
      <c r="R9" s="247"/>
      <c r="S9" s="53">
        <f>IFERROR(Q9/Q8, 0)</f>
        <v>4.5626786573861789E-4</v>
      </c>
    </row>
    <row r="10" spans="1:28" ht="16" customHeight="1">
      <c r="A10" s="130" t="s">
        <v>73</v>
      </c>
      <c r="B10" s="170">
        <v>401138</v>
      </c>
      <c r="C10" s="137" t="s">
        <v>267</v>
      </c>
      <c r="D10" s="193">
        <v>42006</v>
      </c>
      <c r="E10" s="134" t="s">
        <v>10</v>
      </c>
      <c r="F10" s="136">
        <v>173</v>
      </c>
      <c r="G10" s="185">
        <v>2123</v>
      </c>
      <c r="H10" s="158">
        <f>IF(AND(ISNUMBER(D10), ISNUMBER(F10)),
    ROUNDDOWN(
        MIN(
            IF(OR(ISBLANK(I10), I10=""),
                EOMONTH(DATE(LOHNTABELLE!$G$3, $A$1, 1), 0), I10)
            - MAX(D10, DATE(LOHNTABELLE!$G$3, $A$1, 1)) + 1)
        / DAY(EOMONTH(DATE(LOHNTABELLE!$G$3, $A$1, 1), 0)) * F10,
        2
    ),
    ""
)</f>
        <v>173</v>
      </c>
      <c r="I10" s="19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45" t="s">
        <v>74</v>
      </c>
      <c r="P10" s="246"/>
      <c r="Q10" s="247">
        <f>EINSTELLUNG!I25</f>
        <v>4</v>
      </c>
      <c r="R10" s="247"/>
    </row>
    <row r="11" spans="1:28" ht="16" customHeight="1">
      <c r="A11" s="130" t="s">
        <v>75</v>
      </c>
      <c r="B11" s="170">
        <v>401197</v>
      </c>
      <c r="C11" s="137" t="s">
        <v>268</v>
      </c>
      <c r="D11" s="193">
        <v>42644</v>
      </c>
      <c r="E11" s="134" t="s">
        <v>8</v>
      </c>
      <c r="F11" s="136">
        <v>173</v>
      </c>
      <c r="G11" s="185">
        <v>2082</v>
      </c>
      <c r="H11" s="158">
        <f>IF(AND(ISNUMBER(D11), ISNUMBER(F11)),
    ROUNDDOWN(
        MIN(
            IF(OR(ISBLANK(I11), I11=""),
                EOMONTH(DATE(LOHNTABELLE!$G$3, $A$1, 1), 0), I11)
            - MAX(D11, DATE(LOHNTABELLE!$G$3, $A$1, 1)) + 1)
        / DAY(EOMONTH(DATE(LOHNTABELLE!$G$3, $A$1, 1), 0)) * F11,
        2
    ),
    ""
)</f>
        <v>173</v>
      </c>
      <c r="I11" s="19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45" t="s">
        <v>76</v>
      </c>
      <c r="P11" s="246"/>
      <c r="Q11" s="247">
        <f>P5</f>
        <v>4</v>
      </c>
      <c r="R11" s="247"/>
    </row>
    <row r="12" spans="1:28" ht="16" customHeight="1">
      <c r="A12" s="130" t="s">
        <v>77</v>
      </c>
      <c r="B12" s="170">
        <v>401214</v>
      </c>
      <c r="C12" s="137" t="s">
        <v>294</v>
      </c>
      <c r="D12" s="193">
        <v>45636</v>
      </c>
      <c r="E12" s="134" t="s">
        <v>8</v>
      </c>
      <c r="F12" s="136">
        <v>173</v>
      </c>
      <c r="G12" s="185">
        <v>2082</v>
      </c>
      <c r="H12" s="158">
        <f>IF(AND(ISNUMBER(D12), ISNUMBER(F12)),
    ROUNDDOWN(
        MIN(
            IF(OR(ISBLANK(I12), I12=""),
                EOMONTH(DATE(LOHNTABELLE!$G$3, $A$1, 1), 0), I12)
            - MAX(D12, DATE(LOHNTABELLE!$G$3, $A$1, 1)) + 1)
        / DAY(EOMONTH(DATE(LOHNTABELLE!$G$3, $A$1, 1), 0)) * F12,
        2
    ),
    ""
)</f>
        <v>173</v>
      </c>
      <c r="I12" s="19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45" t="s">
        <v>78</v>
      </c>
      <c r="P12" s="246"/>
      <c r="Q12" s="276">
        <v>-255</v>
      </c>
      <c r="R12" s="276"/>
    </row>
    <row r="13" spans="1:28" ht="16" customHeight="1">
      <c r="A13" s="131" t="s">
        <v>79</v>
      </c>
      <c r="B13" s="170">
        <v>401276</v>
      </c>
      <c r="C13" s="137" t="s">
        <v>269</v>
      </c>
      <c r="D13" s="193">
        <v>43252</v>
      </c>
      <c r="E13" s="134" t="s">
        <v>8</v>
      </c>
      <c r="F13" s="136">
        <v>173</v>
      </c>
      <c r="G13" s="185">
        <v>2082</v>
      </c>
      <c r="H13" s="158">
        <f>IF(AND(ISNUMBER(D13), ISNUMBER(F13)),
    ROUNDDOWN(
        MIN(
            IF(OR(ISBLANK(I13), I13=""),
                EOMONTH(DATE(LOHNTABELLE!$G$3, $A$1, 1), 0), I13)
            - MAX(D13, DATE(LOHNTABELLE!$G$3, $A$1, 1)) + 1)
        / DAY(EOMONTH(DATE(LOHNTABELLE!$G$3, $A$1, 1), 0)) * F13,
        2
    ),
    ""
)</f>
        <v>173</v>
      </c>
      <c r="I13" s="19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45" t="s">
        <v>80</v>
      </c>
      <c r="P13" s="246"/>
      <c r="Q13" s="247">
        <f>Q8-Q9-Q10-Q11-Q12</f>
        <v>9009.7799999999988</v>
      </c>
      <c r="R13" s="247"/>
    </row>
    <row r="14" spans="1:28" ht="16" customHeight="1">
      <c r="A14" s="130" t="s">
        <v>81</v>
      </c>
      <c r="B14" s="170">
        <v>401307</v>
      </c>
      <c r="C14" s="137" t="s">
        <v>270</v>
      </c>
      <c r="D14" s="193">
        <v>43571</v>
      </c>
      <c r="E14" s="134" t="s">
        <v>8</v>
      </c>
      <c r="F14" s="136">
        <v>173</v>
      </c>
      <c r="G14" s="185">
        <v>2082</v>
      </c>
      <c r="H14" s="158">
        <f>IF(AND(ISNUMBER(D14), ISNUMBER(F14)),
    ROUNDDOWN(
        MIN(
            IF(OR(ISBLANK(I14), I14=""),
                EOMONTH(DATE(LOHNTABELLE!$G$3, $A$1, 1), 0), I14)
            - MAX(D14, DATE(LOHNTABELLE!$G$3, $A$1, 1)) + 1)
        / DAY(EOMONTH(DATE(LOHNTABELLE!$G$3, $A$1, 1), 0)) * F14,
        2
    ),
    ""
)</f>
        <v>173</v>
      </c>
      <c r="I14" s="19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45" t="s">
        <v>82</v>
      </c>
      <c r="P14" s="246"/>
      <c r="Q14" s="247">
        <f>EINSTELLUNG!L9</f>
        <v>4</v>
      </c>
      <c r="R14" s="247"/>
    </row>
    <row r="15" spans="1:28" ht="16" customHeight="1">
      <c r="A15" s="130" t="s">
        <v>83</v>
      </c>
      <c r="B15" s="170">
        <v>401308</v>
      </c>
      <c r="C15" s="137" t="s">
        <v>271</v>
      </c>
      <c r="D15" s="193">
        <v>43579</v>
      </c>
      <c r="E15" s="134" t="s">
        <v>8</v>
      </c>
      <c r="F15" s="136">
        <v>173</v>
      </c>
      <c r="G15" s="185">
        <v>2082</v>
      </c>
      <c r="H15" s="158">
        <f>IF(AND(ISNUMBER(D15), ISNUMBER(F15)),
    ROUNDDOWN(
        MIN(
            IF(OR(ISBLANK(I15), I15=""),
                EOMONTH(DATE(LOHNTABELLE!$G$3, $A$1, 1), 0), I15)
            - MAX(D15, DATE(LOHNTABELLE!$G$3, $A$1, 1)) + 1)
        / DAY(EOMONTH(DATE(LOHNTABELLE!$G$3, $A$1, 1), 0)) * F15,
        2
    ),
    ""
)</f>
        <v>173</v>
      </c>
      <c r="I15" s="19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45" t="s">
        <v>84</v>
      </c>
      <c r="P15" s="246"/>
      <c r="Q15" s="247">
        <f>Q13-Q14</f>
        <v>9005.7799999999988</v>
      </c>
      <c r="R15" s="247"/>
      <c r="S15" s="100"/>
      <c r="T15" s="100"/>
      <c r="U15" s="100"/>
    </row>
    <row r="16" spans="1:28" ht="16" customHeight="1">
      <c r="A16" s="130" t="s">
        <v>85</v>
      </c>
      <c r="B16" s="170">
        <v>401389</v>
      </c>
      <c r="C16" s="137" t="s">
        <v>273</v>
      </c>
      <c r="D16" s="193">
        <v>44384</v>
      </c>
      <c r="E16" s="134" t="s">
        <v>22</v>
      </c>
      <c r="F16" s="136">
        <v>173</v>
      </c>
      <c r="G16" s="185">
        <v>2300</v>
      </c>
      <c r="H16" s="158">
        <f>IF(AND(ISNUMBER(D16), ISNUMBER(F16)),
    ROUNDDOWN(
        MIN(
            IF(OR(ISBLANK(I16), I16=""),
                EOMONTH(DATE(LOHNTABELLE!$G$3, $A$1, 1), 0), I16)
            - MAX(D16, DATE(LOHNTABELLE!$G$3, $A$1, 1)) + 1)
        / DAY(EOMONTH(DATE(LOHNTABELLE!$G$3, $A$1, 1), 0)) * F16,
        2
    ),
    ""
)</f>
        <v>173</v>
      </c>
      <c r="I16" s="19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248" t="str">
        <f>IF(Q15&lt;0, "Schlecht! Zu wenig Stunden für Dienstplan.", IF(Q15&gt;0, "Du hast mehr als genug Stunden für Dienstplan.", ""))</f>
        <v>Du hast mehr als genug Stunden für Dienstplan.</v>
      </c>
      <c r="P16" s="248"/>
      <c r="Q16" s="248"/>
      <c r="R16" s="248"/>
      <c r="W16" s="45"/>
    </row>
    <row r="17" spans="1:29" ht="16" customHeight="1">
      <c r="A17" s="131" t="s">
        <v>86</v>
      </c>
      <c r="B17" s="170">
        <v>401394</v>
      </c>
      <c r="C17" s="137" t="s">
        <v>272</v>
      </c>
      <c r="D17" s="193">
        <v>44379</v>
      </c>
      <c r="E17" s="134" t="s">
        <v>4</v>
      </c>
      <c r="F17" s="136">
        <v>173</v>
      </c>
      <c r="G17" s="185">
        <v>2021</v>
      </c>
      <c r="H17" s="158">
        <f>IF(AND(ISNUMBER(D17), ISNUMBER(F17)),
    ROUNDDOWN(
        MIN(
            IF(OR(ISBLANK(I17), I17=""),
                EOMONTH(DATE(LOHNTABELLE!$G$3, $A$1, 1), 0), I17)
            - MAX(D17, DATE(LOHNTABELLE!$G$3, $A$1, 1)) + 1)
        / DAY(EOMONTH(DATE(LOHNTABELLE!$G$3, $A$1, 1), 0)) * F17,
        2
    ),
    ""
)</f>
        <v>173</v>
      </c>
      <c r="I17" s="19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253" t="s">
        <v>87</v>
      </c>
      <c r="P17" s="254"/>
      <c r="Q17" s="277">
        <f>SUM(L3:L82)</f>
        <v>104960.98000000001</v>
      </c>
      <c r="R17" s="277"/>
      <c r="W17" s="45"/>
    </row>
    <row r="18" spans="1:29" ht="16" customHeight="1">
      <c r="A18" s="130" t="s">
        <v>88</v>
      </c>
      <c r="B18" s="170">
        <v>401432</v>
      </c>
      <c r="C18" s="137" t="s">
        <v>274</v>
      </c>
      <c r="D18" s="193">
        <v>44441</v>
      </c>
      <c r="E18" s="134" t="s">
        <v>4</v>
      </c>
      <c r="F18" s="136">
        <v>173</v>
      </c>
      <c r="G18" s="185">
        <v>2021</v>
      </c>
      <c r="H18" s="158">
        <f>IF(AND(ISNUMBER(D18), ISNUMBER(F18)),
    ROUNDDOWN(
        MIN(
            IF(OR(ISBLANK(I18), I18=""),
                EOMONTH(DATE(LOHNTABELLE!$G$3, $A$1, 1), 0), I18)
            - MAX(D18, DATE(LOHNTABELLE!$G$3, $A$1, 1)) + 1)
        / DAY(EOMONTH(DATE(LOHNTABELLE!$G$3, $A$1, 1), 0)) * F18,
        2
    ),
    ""
)</f>
        <v>173</v>
      </c>
      <c r="I18" s="19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335"/>
      <c r="P18" s="366"/>
      <c r="Q18" s="367"/>
      <c r="R18" s="244"/>
    </row>
    <row r="19" spans="1:29" ht="16" customHeight="1">
      <c r="A19" s="130" t="s">
        <v>89</v>
      </c>
      <c r="B19" s="170">
        <v>401476</v>
      </c>
      <c r="C19" s="137" t="s">
        <v>276</v>
      </c>
      <c r="D19" s="193">
        <v>44504</v>
      </c>
      <c r="E19" s="134" t="s">
        <v>4</v>
      </c>
      <c r="F19" s="136">
        <v>173</v>
      </c>
      <c r="G19" s="185">
        <v>2021</v>
      </c>
      <c r="H19" s="158">
        <f>IF(AND(ISNUMBER(D19), ISNUMBER(F19)),
    ROUNDDOWN(
        MIN(
            IF(OR(ISBLANK(I19), I19=""),
                EOMONTH(DATE(LOHNTABELLE!$G$3, $A$1, 1), 0), I19)
            - MAX(D19, DATE(LOHNTABELLE!$G$3, $A$1, 1)) + 1)
        / DAY(EOMONTH(DATE(LOHNTABELLE!$G$3, $A$1, 1), 0)) * F19,
        2
    ),
    ""
)</f>
        <v>173</v>
      </c>
      <c r="I19" s="19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335"/>
      <c r="P19" s="366"/>
      <c r="Q19" s="367"/>
      <c r="R19" s="244"/>
    </row>
    <row r="20" spans="1:29" ht="16" customHeight="1">
      <c r="A20" s="130" t="s">
        <v>90</v>
      </c>
      <c r="B20" s="170">
        <v>401479</v>
      </c>
      <c r="C20" s="137" t="s">
        <v>277</v>
      </c>
      <c r="D20" s="193">
        <v>44511</v>
      </c>
      <c r="E20" s="134" t="s">
        <v>13</v>
      </c>
      <c r="F20" s="136">
        <v>173</v>
      </c>
      <c r="G20" s="185">
        <v>2160</v>
      </c>
      <c r="H20" s="158">
        <f>IF(AND(ISNUMBER(D20), ISNUMBER(F20)),
    ROUNDDOWN(
        MIN(
            IF(OR(ISBLANK(I20), I20=""),
                EOMONTH(DATE(LOHNTABELLE!$G$3, $A$1, 1), 0), I20)
            - MAX(D20, DATE(LOHNTABELLE!$G$3, $A$1, 1)) + 1)
        / DAY(EOMONTH(DATE(LOHNTABELLE!$G$3, $A$1, 1), 0)) * F20,
        2
    ),
    ""
)</f>
        <v>173</v>
      </c>
      <c r="I20" s="19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335"/>
      <c r="P20" s="366"/>
      <c r="Q20" s="367"/>
      <c r="R20" s="244"/>
    </row>
    <row r="21" spans="1:29" ht="16" customHeight="1">
      <c r="A21" s="131" t="s">
        <v>92</v>
      </c>
      <c r="B21" s="170">
        <v>401481</v>
      </c>
      <c r="C21" s="137" t="s">
        <v>278</v>
      </c>
      <c r="D21" s="193">
        <v>44531</v>
      </c>
      <c r="E21" s="134" t="s">
        <v>4</v>
      </c>
      <c r="F21" s="136">
        <v>173</v>
      </c>
      <c r="G21" s="185">
        <v>2021</v>
      </c>
      <c r="H21" s="158">
        <f>IF(AND(ISNUMBER(D21), ISNUMBER(F21)),
    ROUNDDOWN(
        MIN(
            IF(OR(ISBLANK(I21), I21=""),
                EOMONTH(DATE(LOHNTABELLE!$G$3, $A$1, 1), 0), I21)
            - MAX(D21, DATE(LOHNTABELLE!$G$3, $A$1, 1)) + 1)
        / DAY(EOMONTH(DATE(LOHNTABELLE!$G$3, $A$1, 1), 0)) * F21,
        2
    ),
    ""
)</f>
        <v>173</v>
      </c>
      <c r="I21" s="19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335" t="s">
        <v>356</v>
      </c>
      <c r="P21" s="366"/>
      <c r="Q21" s="367">
        <v>5000</v>
      </c>
      <c r="R21" s="244"/>
    </row>
    <row r="22" spans="1:29" ht="16" customHeight="1">
      <c r="A22" s="130" t="s">
        <v>93</v>
      </c>
      <c r="B22" s="170">
        <v>401558</v>
      </c>
      <c r="C22" s="137" t="s">
        <v>275</v>
      </c>
      <c r="D22" s="193">
        <v>44460</v>
      </c>
      <c r="E22" s="134" t="s">
        <v>4</v>
      </c>
      <c r="F22" s="136">
        <v>173</v>
      </c>
      <c r="G22" s="185">
        <v>2021</v>
      </c>
      <c r="H22" s="158">
        <f>IF(AND(ISNUMBER(D22), ISNUMBER(F22)),
    ROUNDDOWN(
        MIN(
            IF(OR(ISBLANK(I22), I22=""),
                EOMONTH(DATE(LOHNTABELLE!$G$3, $A$1, 1), 0), I22)
            - MAX(D22, DATE(LOHNTABELLE!$G$3, $A$1, 1)) + 1)
        / DAY(EOMONTH(DATE(LOHNTABELLE!$G$3, $A$1, 1), 0)) * F22,
        2
    ),
    ""
)</f>
        <v>173</v>
      </c>
      <c r="I22" s="19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335"/>
      <c r="P22" s="366"/>
      <c r="Q22" s="367"/>
      <c r="R22" s="244"/>
    </row>
    <row r="23" spans="1:29" ht="16" customHeight="1">
      <c r="A23" s="130" t="s">
        <v>94</v>
      </c>
      <c r="B23" s="170">
        <v>401564</v>
      </c>
      <c r="C23" s="137" t="s">
        <v>279</v>
      </c>
      <c r="D23" s="193">
        <v>44824</v>
      </c>
      <c r="E23" s="134" t="s">
        <v>4</v>
      </c>
      <c r="F23" s="136">
        <v>173</v>
      </c>
      <c r="G23" s="185">
        <v>2021</v>
      </c>
      <c r="H23" s="158">
        <f>IF(AND(ISNUMBER(D23), ISNUMBER(F23)),
    ROUNDDOWN(
        MIN(
            IF(OR(ISBLANK(I23), I23=""),
                EOMONTH(DATE(LOHNTABELLE!$G$3, $A$1, 1), 0), I23)
            - MAX(D23, DATE(LOHNTABELLE!$G$3, $A$1, 1)) + 1)
        / DAY(EOMONTH(DATE(LOHNTABELLE!$G$3, $A$1, 1), 0)) * F23,
        2
    ),
    ""
)</f>
        <v>173</v>
      </c>
      <c r="I23" s="19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2021</v>
      </c>
      <c r="M23" s="164"/>
      <c r="N23" s="147"/>
      <c r="O23" s="335"/>
      <c r="P23" s="366"/>
      <c r="Q23" s="367"/>
      <c r="R23" s="244"/>
      <c r="W23" s="45"/>
    </row>
    <row r="24" spans="1:29" ht="16" customHeight="1">
      <c r="A24" s="130" t="s">
        <v>95</v>
      </c>
      <c r="B24" s="170">
        <v>401583</v>
      </c>
      <c r="C24" s="137" t="s">
        <v>281</v>
      </c>
      <c r="D24" s="193">
        <v>44900</v>
      </c>
      <c r="E24" s="134" t="s">
        <v>21</v>
      </c>
      <c r="F24" s="136">
        <v>173</v>
      </c>
      <c r="G24" s="185">
        <v>2300</v>
      </c>
      <c r="H24" s="158">
        <f>IF(AND(ISNUMBER(D24), ISNUMBER(F24)),
    ROUNDDOWN(
        MIN(
            IF(OR(ISBLANK(I24), I24=""),
                EOMONTH(DATE(LOHNTABELLE!$G$3, $A$1, 1), 0), I24)
            - MAX(D24, DATE(LOHNTABELLE!$G$3, $A$1, 1)) + 1)
        / DAY(EOMONTH(DATE(LOHNTABELLE!$G$3, $A$1, 1), 0)) * F24,
        2
    ),
    ""
)</f>
        <v>173</v>
      </c>
      <c r="I24" s="19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35"/>
      <c r="P24" s="366"/>
      <c r="Q24" s="367"/>
      <c r="R24" s="244"/>
      <c r="W24" s="45"/>
    </row>
    <row r="25" spans="1:29" ht="16" customHeight="1" thickBot="1">
      <c r="A25" s="131" t="s">
        <v>96</v>
      </c>
      <c r="B25" s="170">
        <v>401589</v>
      </c>
      <c r="C25" s="137" t="s">
        <v>282</v>
      </c>
      <c r="D25" s="193">
        <v>44926</v>
      </c>
      <c r="E25" s="134" t="s">
        <v>21</v>
      </c>
      <c r="F25" s="136">
        <v>173</v>
      </c>
      <c r="G25" s="185">
        <v>2300</v>
      </c>
      <c r="H25" s="158">
        <f>IF(AND(ISNUMBER(D25), ISNUMBER(F25)),
    ROUNDDOWN(
        MIN(
            IF(OR(ISBLANK(I25), I25=""),
                EOMONTH(DATE(LOHNTABELLE!$G$3, $A$1, 1), 0), I25)
            - MAX(D25, DATE(LOHNTABELLE!$G$3, $A$1, 1)) + 1)
        / DAY(EOMONTH(DATE(LOHNTABELLE!$G$3, $A$1, 1), 0)) * F25,
        2
    ),
    ""
)</f>
        <v>173</v>
      </c>
      <c r="I25" s="19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350"/>
      <c r="P25" s="368"/>
      <c r="Q25" s="369"/>
      <c r="R25" s="286"/>
    </row>
    <row r="26" spans="1:29" ht="16" customHeight="1">
      <c r="A26" s="130" t="s">
        <v>97</v>
      </c>
      <c r="B26" s="170">
        <v>401602</v>
      </c>
      <c r="C26" s="139" t="s">
        <v>283</v>
      </c>
      <c r="D26" s="193">
        <v>45975</v>
      </c>
      <c r="E26" s="134" t="s">
        <v>4</v>
      </c>
      <c r="F26" s="136">
        <v>173</v>
      </c>
      <c r="G26" s="185">
        <v>2021</v>
      </c>
      <c r="H26" s="158">
        <f>IF(AND(ISNUMBER(D26), ISNUMBER(F26)),
    ROUNDDOWN(
        MIN(
            IF(OR(ISBLANK(I26), I26=""),
                EOMONTH(DATE(LOHNTABELLE!$G$3, $A$1, 1), 0), I26)
            - MAX(D26, DATE(LOHNTABELLE!$G$3, $A$1, 1)) + 1)
        / DAY(EOMONTH(DATE(LOHNTABELLE!$G$3, $A$1, 1), 0)) * F26,
        2
    ),
    ""
)</f>
        <v>173</v>
      </c>
      <c r="I26" s="19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96"/>
      <c r="P26" s="297"/>
      <c r="Q26" s="287"/>
      <c r="R26" s="288"/>
    </row>
    <row r="27" spans="1:29" ht="16" customHeight="1">
      <c r="A27" s="130" t="s">
        <v>98</v>
      </c>
      <c r="B27" s="170">
        <v>401605</v>
      </c>
      <c r="C27" s="137" t="s">
        <v>284</v>
      </c>
      <c r="D27" s="193">
        <v>44986</v>
      </c>
      <c r="E27" s="134" t="s">
        <v>4</v>
      </c>
      <c r="F27" s="136">
        <v>173</v>
      </c>
      <c r="G27" s="185">
        <v>2021</v>
      </c>
      <c r="H27" s="158">
        <f>IF(AND(ISNUMBER(D27), ISNUMBER(F27)),
    ROUNDDOWN(
        MIN(
            IF(OR(ISBLANK(I27), I27=""),
                EOMONTH(DATE(LOHNTABELLE!$G$3, $A$1, 1), 0), I27)
            - MAX(D27, DATE(LOHNTABELLE!$G$3, $A$1, 1)) + 1)
        / DAY(EOMONTH(DATE(LOHNTABELLE!$G$3, $A$1, 1), 0)) * F27,
        2
    ),
    ""
)</f>
        <v>173</v>
      </c>
      <c r="I27" s="19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251"/>
      <c r="P27" s="252"/>
      <c r="Q27" s="244"/>
      <c r="R27" s="289"/>
      <c r="S27" s="249" t="s">
        <v>99</v>
      </c>
      <c r="T27" s="250"/>
      <c r="U27" s="250"/>
      <c r="V27" s="250"/>
    </row>
    <row r="28" spans="1:29" ht="16" customHeight="1" thickBot="1">
      <c r="A28" s="130" t="s">
        <v>100</v>
      </c>
      <c r="B28" s="170">
        <v>401626</v>
      </c>
      <c r="C28" s="137" t="s">
        <v>285</v>
      </c>
      <c r="D28" s="193">
        <v>45063</v>
      </c>
      <c r="E28" s="134" t="s">
        <v>4</v>
      </c>
      <c r="F28" s="136">
        <v>173</v>
      </c>
      <c r="G28" s="185">
        <v>2021</v>
      </c>
      <c r="H28" s="158">
        <f>IF(AND(ISNUMBER(D28), ISNUMBER(F28)),
    ROUNDDOWN(
        MIN(
            IF(OR(ISBLANK(I28), I28=""),
                EOMONTH(DATE(LOHNTABELLE!$G$3, $A$1, 1), 0), I28)
            - MAX(D28, DATE(LOHNTABELLE!$G$3, $A$1, 1)) + 1)
        / DAY(EOMONTH(DATE(LOHNTABELLE!$G$3, $A$1, 1), 0)) * F28,
        2
    ),
    ""
)</f>
        <v>173</v>
      </c>
      <c r="I28" s="19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290"/>
      <c r="P28" s="291"/>
      <c r="Q28" s="292"/>
      <c r="R28" s="293"/>
    </row>
    <row r="29" spans="1:29" ht="16" customHeight="1" thickBot="1">
      <c r="A29" s="131" t="s">
        <v>101</v>
      </c>
      <c r="B29" s="170">
        <v>401633</v>
      </c>
      <c r="C29" s="137" t="s">
        <v>286</v>
      </c>
      <c r="D29" s="193">
        <v>45089</v>
      </c>
      <c r="E29" s="134" t="s">
        <v>21</v>
      </c>
      <c r="F29" s="136">
        <v>173</v>
      </c>
      <c r="G29" s="185">
        <v>2300</v>
      </c>
      <c r="H29" s="158">
        <f>IF(AND(ISNUMBER(D29), ISNUMBER(F29)),
    ROUNDDOWN(
        MIN(
            IF(OR(ISBLANK(I29), I29=""),
                EOMONTH(DATE(LOHNTABELLE!$G$3, $A$1, 1), 0), I29)
            - MAX(D29, DATE(LOHNTABELLE!$G$3, $A$1, 1)) + 1)
        / DAY(EOMONTH(DATE(LOHNTABELLE!$G$3, $A$1, 1), 0)) * F29,
        2
    ),
    ""
)</f>
        <v>173</v>
      </c>
      <c r="I29" s="19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82" t="s">
        <v>102</v>
      </c>
      <c r="P29" s="283"/>
      <c r="Q29" s="284">
        <f>EINSTELLUNG!O9</f>
        <v>4</v>
      </c>
      <c r="R29" s="285"/>
    </row>
    <row r="30" spans="1:29" ht="16" customHeight="1">
      <c r="A30" s="130" t="s">
        <v>103</v>
      </c>
      <c r="B30" s="170">
        <v>401647</v>
      </c>
      <c r="C30" s="137" t="s">
        <v>287</v>
      </c>
      <c r="D30" s="193">
        <v>45182</v>
      </c>
      <c r="E30" s="134" t="s">
        <v>4</v>
      </c>
      <c r="F30" s="136">
        <v>173</v>
      </c>
      <c r="G30" s="185">
        <v>2021</v>
      </c>
      <c r="H30" s="158">
        <f>IF(AND(ISNUMBER(D30), ISNUMBER(F30)),
    ROUNDDOWN(
        MIN(
            IF(OR(ISBLANK(I30), I30=""),
                EOMONTH(DATE(LOHNTABELLE!$G$3, $A$1, 1), 0), I30)
            - MAX(D30, DATE(LOHNTABELLE!$G$3, $A$1, 1)) + 1)
        / DAY(EOMONTH(DATE(LOHNTABELLE!$G$3, $A$1, 1), 0)) * F30,
        2
    ),
    ""
)</f>
        <v>173</v>
      </c>
      <c r="I30" s="19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401661</v>
      </c>
      <c r="C31" s="137" t="s">
        <v>288</v>
      </c>
      <c r="D31" s="193">
        <v>45261</v>
      </c>
      <c r="E31" s="134" t="s">
        <v>4</v>
      </c>
      <c r="F31" s="136">
        <v>173</v>
      </c>
      <c r="G31" s="185">
        <v>2021</v>
      </c>
      <c r="H31" s="158">
        <f>IF(AND(ISNUMBER(D31), ISNUMBER(F31)),
    ROUNDDOWN(
        MIN(
            IF(OR(ISBLANK(I31), I31=""),
                EOMONTH(DATE(LOHNTABELLE!$G$3, $A$1, 1), 0), I31)
            - MAX(D31, DATE(LOHNTABELLE!$G$3, $A$1, 1)) + 1)
        / DAY(EOMONTH(DATE(LOHNTABELLE!$G$3, $A$1, 1), 0)) * F31,
        2
    ),
    ""
)</f>
        <v>173</v>
      </c>
      <c r="I31" s="19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98">
        <v>0</v>
      </c>
      <c r="P31" s="299"/>
      <c r="Q31" s="300">
        <v>0</v>
      </c>
      <c r="R31" s="301"/>
    </row>
    <row r="32" spans="1:29" ht="16" customHeight="1">
      <c r="A32" s="130" t="s">
        <v>106</v>
      </c>
      <c r="B32" s="170">
        <v>401670</v>
      </c>
      <c r="C32" s="137" t="s">
        <v>289</v>
      </c>
      <c r="D32" s="193">
        <v>45358</v>
      </c>
      <c r="E32" s="134" t="s">
        <v>4</v>
      </c>
      <c r="F32" s="136">
        <v>173</v>
      </c>
      <c r="G32" s="185">
        <v>2021</v>
      </c>
      <c r="H32" s="158">
        <f>IF(AND(ISNUMBER(D32), ISNUMBER(F32)),
    ROUNDDOWN(
        MIN(
            IF(OR(ISBLANK(I32), I32=""),
                EOMONTH(DATE(LOHNTABELLE!$G$3, $A$1, 1), 0), I32)
            - MAX(D32, DATE(LOHNTABELLE!$G$3, $A$1, 1)) + 1)
        / DAY(EOMONTH(DATE(LOHNTABELLE!$G$3, $A$1, 1), 0)) * F32,
        2
    ),
    ""
)</f>
        <v>173</v>
      </c>
      <c r="I32" s="19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401678</v>
      </c>
      <c r="C33" s="137" t="s">
        <v>290</v>
      </c>
      <c r="D33" s="193">
        <v>45414</v>
      </c>
      <c r="E33" s="134" t="s">
        <v>4</v>
      </c>
      <c r="F33" s="136">
        <v>173</v>
      </c>
      <c r="G33" s="185">
        <v>2021</v>
      </c>
      <c r="H33" s="158">
        <f>IF(AND(ISNUMBER(D33), ISNUMBER(F33)),
    ROUNDDOWN(
        MIN(
            IF(OR(ISBLANK(I33), I33=""),
                EOMONTH(DATE(LOHNTABELLE!$G$3, $A$1, 1), 0), I33)
            - MAX(D33, DATE(LOHNTABELLE!$G$3, $A$1, 1)) + 1)
        / DAY(EOMONTH(DATE(LOHNTABELLE!$G$3, $A$1, 1), 0)) * F33,
        2
    ),
    ""
)</f>
        <v>173</v>
      </c>
      <c r="I33" s="19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66"/>
      <c r="P33" s="267"/>
      <c r="Q33" s="364" t="str">
        <f>EINSTELLUNG!B3</f>
        <v>Budget Zahlen</v>
      </c>
      <c r="R33" s="364"/>
      <c r="S33" s="365" t="str">
        <f>EINSTELLUNG!B19</f>
        <v>Projection/Aktuell Zahlen</v>
      </c>
      <c r="T33" s="365"/>
      <c r="U33" s="365" t="s">
        <v>110</v>
      </c>
      <c r="V33" s="365"/>
    </row>
    <row r="34" spans="1:24" ht="16" customHeight="1">
      <c r="A34" s="130" t="s">
        <v>111</v>
      </c>
      <c r="B34" s="170">
        <v>401690</v>
      </c>
      <c r="C34" s="137" t="s">
        <v>292</v>
      </c>
      <c r="D34" s="193">
        <v>45536</v>
      </c>
      <c r="E34" s="134" t="s">
        <v>4</v>
      </c>
      <c r="F34" s="136">
        <v>173</v>
      </c>
      <c r="G34" s="185">
        <v>2021</v>
      </c>
      <c r="H34" s="158">
        <f>IF(AND(ISNUMBER(D34), ISNUMBER(F34)),
    ROUNDDOWN(
        MIN(
            IF(OR(ISBLANK(I34), I34=""),
                EOMONTH(DATE(LOHNTABELLE!$G$3, $A$1, 1), 0), I34)
            - MAX(D34, DATE(LOHNTABELLE!$G$3, $A$1, 1)) + 1)
        / DAY(EOMONTH(DATE(LOHNTABELLE!$G$3, $A$1, 1), 0)) * F34,
        2
    ),
    ""
)</f>
        <v>173</v>
      </c>
      <c r="I34" s="19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66"/>
      <c r="P34" s="267"/>
      <c r="Q34" s="364"/>
      <c r="R34" s="364"/>
      <c r="S34" s="365"/>
      <c r="T34" s="365"/>
      <c r="U34" s="365"/>
      <c r="V34" s="365"/>
    </row>
    <row r="35" spans="1:24" ht="16" customHeight="1">
      <c r="A35" s="130" t="s">
        <v>112</v>
      </c>
      <c r="B35" s="170">
        <v>401703</v>
      </c>
      <c r="C35" s="137" t="s">
        <v>293</v>
      </c>
      <c r="D35" s="193">
        <v>45616</v>
      </c>
      <c r="E35" s="134" t="s">
        <v>4</v>
      </c>
      <c r="F35" s="136">
        <v>173</v>
      </c>
      <c r="G35" s="185">
        <v>2021</v>
      </c>
      <c r="H35" s="158">
        <f>IF(AND(ISNUMBER(D35), ISNUMBER(F35)),
    ROUNDDOWN(
        MIN(
            IF(OR(ISBLANK(I35), I35=""),
                EOMONTH(DATE(LOHNTABELLE!$G$3, $A$1, 1), 0), I35)
            - MAX(D35, DATE(LOHNTABELLE!$G$3, $A$1, 1)) + 1)
        / DAY(EOMONTH(DATE(LOHNTABELLE!$G$3, $A$1, 1), 0)) * F35,
        2
    ),
    ""
)</f>
        <v>173</v>
      </c>
      <c r="I35" s="19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55" t="s">
        <v>113</v>
      </c>
      <c r="P35" s="256"/>
      <c r="Q35" s="257">
        <f>EINSTELLUNG!C9</f>
        <v>4</v>
      </c>
      <c r="R35" s="257"/>
      <c r="S35" s="257">
        <f>EINSTELLUNG!C25</f>
        <v>4</v>
      </c>
      <c r="T35" s="257"/>
      <c r="U35" s="258">
        <f>S35-Q35</f>
        <v>0</v>
      </c>
      <c r="V35" s="258"/>
    </row>
    <row r="36" spans="1:24" ht="16" customHeight="1">
      <c r="A36" s="130" t="s">
        <v>114</v>
      </c>
      <c r="B36" s="170">
        <v>401715</v>
      </c>
      <c r="C36" s="137" t="s">
        <v>295</v>
      </c>
      <c r="D36" s="193">
        <v>45755</v>
      </c>
      <c r="E36" s="134" t="s">
        <v>4</v>
      </c>
      <c r="F36" s="136">
        <v>173</v>
      </c>
      <c r="G36" s="185">
        <v>2021</v>
      </c>
      <c r="H36" s="158">
        <f>IF(AND(ISNUMBER(D36), ISNUMBER(F36)),
    ROUNDDOWN(
        MIN(
            IF(OR(ISBLANK(I36), I36=""),
                EOMONTH(DATE(LOHNTABELLE!$G$3, $A$1, 1), 0), I36)
            - MAX(D36, DATE(LOHNTABELLE!$G$3, $A$1, 1)) + 1)
        / DAY(EOMONTH(DATE(LOHNTABELLE!$G$3, $A$1, 1), 0)) * F36,
        2
    ),
    ""
)</f>
        <v>173</v>
      </c>
      <c r="I36" s="19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55" t="s">
        <v>115</v>
      </c>
      <c r="P36" s="256"/>
      <c r="Q36" s="257">
        <f>EINSTELLUNG!D9</f>
        <v>4</v>
      </c>
      <c r="R36" s="257"/>
      <c r="S36" s="257" cm="1">
        <f t="array" ref="S36">SumMergedCells(Q17:R29)</f>
        <v>109964.98</v>
      </c>
      <c r="T36" s="257"/>
      <c r="U36" s="258">
        <f t="shared" ref="U36:U41" si="2">S36-Q36</f>
        <v>109960.98</v>
      </c>
      <c r="V36" s="258"/>
    </row>
    <row r="37" spans="1:24" ht="16" customHeight="1">
      <c r="A37" s="131" t="s">
        <v>116</v>
      </c>
      <c r="B37" s="170">
        <v>401716</v>
      </c>
      <c r="C37" s="137" t="s">
        <v>296</v>
      </c>
      <c r="D37" s="193">
        <v>45800</v>
      </c>
      <c r="E37" s="134" t="s">
        <v>4</v>
      </c>
      <c r="F37" s="136">
        <v>173</v>
      </c>
      <c r="G37" s="185">
        <v>2021</v>
      </c>
      <c r="H37" s="158">
        <f>IF(AND(ISNUMBER(D37), ISNUMBER(F37)),
    ROUNDDOWN(
        MIN(
            IF(OR(ISBLANK(I37), I37=""),
                EOMONTH(DATE(LOHNTABELLE!$G$3, $A$1, 1), 0), I37)
            - MAX(D37, DATE(LOHNTABELLE!$G$3, $A$1, 1)) + 1)
        / DAY(EOMONTH(DATE(LOHNTABELLE!$G$3, $A$1, 1), 0)) * F37,
        2
    ),
    ""
)</f>
        <v>173</v>
      </c>
      <c r="I37" s="19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55" t="s">
        <v>117</v>
      </c>
      <c r="P37" s="256"/>
      <c r="Q37" s="264">
        <f>IF(ISERROR(Q36/Q35), 0, Q36/Q35)</f>
        <v>1</v>
      </c>
      <c r="R37" s="264"/>
      <c r="S37" s="264">
        <f>IF(ISERROR(S36/S35), 0, S36/S35)</f>
        <v>27491.244999999999</v>
      </c>
      <c r="T37" s="264"/>
      <c r="U37" s="265">
        <f t="shared" si="2"/>
        <v>27490.244999999999</v>
      </c>
      <c r="V37" s="265"/>
    </row>
    <row r="38" spans="1:24" ht="16" customHeight="1">
      <c r="A38" s="130" t="s">
        <v>118</v>
      </c>
      <c r="B38" s="170">
        <v>401717</v>
      </c>
      <c r="C38" s="137" t="s">
        <v>297</v>
      </c>
      <c r="D38" s="193">
        <v>45814</v>
      </c>
      <c r="E38" s="134" t="s">
        <v>4</v>
      </c>
      <c r="F38" s="136">
        <v>173</v>
      </c>
      <c r="G38" s="185">
        <v>2021</v>
      </c>
      <c r="H38" s="158">
        <f>IF(AND(ISNUMBER(D38), ISNUMBER(F38)),
    ROUNDDOWN(
        MIN(
            IF(OR(ISBLANK(I39), I39=""),
                EOMONTH(DATE(LOHNTABELLE!$G$3, $A$1, 1), 0), I39)
            - MAX(D38, DATE(LOHNTABELLE!$G$3, $A$1, 1)) + 1)
        / DAY(EOMONTH(DATE(LOHNTABELLE!$G$3, $A$1, 1), 0)) * F38,
        2
    ),
    ""
)</f>
        <v>173</v>
      </c>
      <c r="I38" s="19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55" t="s">
        <v>119</v>
      </c>
      <c r="P38" s="256"/>
      <c r="Q38" s="259">
        <f>EINSTELLUNG!F9</f>
        <v>4</v>
      </c>
      <c r="R38" s="259"/>
      <c r="S38" s="259">
        <f>EINSTELLUNG!F25</f>
        <v>4</v>
      </c>
      <c r="T38" s="259"/>
      <c r="U38" s="260">
        <f t="shared" si="2"/>
        <v>0</v>
      </c>
      <c r="V38" s="260"/>
    </row>
    <row r="39" spans="1:24" ht="16" customHeight="1">
      <c r="A39" s="130" t="s">
        <v>120</v>
      </c>
      <c r="B39" s="170">
        <v>401722</v>
      </c>
      <c r="C39" s="137" t="s">
        <v>298</v>
      </c>
      <c r="D39" s="193">
        <v>45848</v>
      </c>
      <c r="E39" s="134" t="s">
        <v>4</v>
      </c>
      <c r="F39" s="136">
        <v>86.5</v>
      </c>
      <c r="G39" s="185">
        <v>1010.5</v>
      </c>
      <c r="H39" s="158">
        <f>IF(AND(ISNUMBER(D39), ISNUMBER(F39)),
    ROUNDDOWN(
        MIN(
            IF(OR(ISBLANK(I40), I40=""),
                EOMONTH(DATE(LOHNTABELLE!$G$3, $A$1, 1), 0), I40)
            - MAX(D39, DATE(LOHNTABELLE!$G$3, $A$1, 1)) + 1)
        / DAY(EOMONTH(DATE(LOHNTABELLE!$G$3, $A$1, 1), 0)) * F39,
        2
    ),
    ""
)</f>
        <v>86.5</v>
      </c>
      <c r="I39" s="19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55" t="s">
        <v>121</v>
      </c>
      <c r="P39" s="256"/>
      <c r="Q39" s="257">
        <f>IF(Q38=0, 0, Q35/Q38)</f>
        <v>1</v>
      </c>
      <c r="R39" s="257"/>
      <c r="S39" s="257">
        <f>IF(S38=0, 0, S35/S38)</f>
        <v>1</v>
      </c>
      <c r="T39" s="257"/>
      <c r="U39" s="258">
        <f t="shared" si="2"/>
        <v>0</v>
      </c>
      <c r="V39" s="258"/>
    </row>
    <row r="40" spans="1:24" ht="16" customHeight="1">
      <c r="A40" s="130" t="s">
        <v>122</v>
      </c>
      <c r="B40" s="170">
        <v>401723</v>
      </c>
      <c r="C40" s="137" t="s">
        <v>299</v>
      </c>
      <c r="D40" s="193">
        <v>45852</v>
      </c>
      <c r="E40" s="134" t="s">
        <v>4</v>
      </c>
      <c r="F40" s="136">
        <v>86.5</v>
      </c>
      <c r="G40" s="185">
        <v>1010.5</v>
      </c>
      <c r="H40" s="158">
        <f>IF(AND(ISNUMBER(D40), ISNUMBER(F40)),
    ROUNDDOWN(
        MIN(
            IF(OR(ISBLANK(I40), I40=""),
                EOMONTH(DATE(LOHNTABELLE!$G$3, $A$1, 1), 0), I40)
            - MAX(D40, DATE(LOHNTABELLE!$G$3, $A$1, 1)) + 1)
        / DAY(EOMONTH(DATE(LOHNTABELLE!$G$3, $A$1, 1), 0)) * F40,
        2
    ),
    ""
)</f>
        <v>86.5</v>
      </c>
      <c r="I40" s="19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55" t="s">
        <v>123</v>
      </c>
      <c r="P40" s="256"/>
      <c r="Q40" s="257">
        <f>IF(Q13=0, 0, Q35/Q13)</f>
        <v>4.4396200573154957E-4</v>
      </c>
      <c r="R40" s="257"/>
      <c r="S40" s="257">
        <f>IF(Q13=0, 0, S35/Q13)</f>
        <v>4.4396200573154957E-4</v>
      </c>
      <c r="T40" s="257"/>
      <c r="U40" s="258">
        <f t="shared" si="2"/>
        <v>0</v>
      </c>
      <c r="V40" s="258"/>
    </row>
    <row r="41" spans="1:24" ht="16" customHeight="1">
      <c r="A41" s="131" t="s">
        <v>124</v>
      </c>
      <c r="B41" s="170">
        <v>401726</v>
      </c>
      <c r="C41" s="137" t="s">
        <v>300</v>
      </c>
      <c r="D41" s="193">
        <v>45870</v>
      </c>
      <c r="E41" s="134" t="s">
        <v>4</v>
      </c>
      <c r="F41" s="136">
        <v>86.5</v>
      </c>
      <c r="G41" s="185">
        <v>1010.5</v>
      </c>
      <c r="H41" s="158">
        <f>IF(AND(ISNUMBER(D41), ISNUMBER(F41)),
    ROUNDDOWN(
        MIN(
            IF(OR(ISBLANK(I41), I41=""),
                EOMONTH(DATE(LOHNTABELLE!$G$3, $A$1, 1), 0), I41)
            - MAX(D41, DATE(LOHNTABELLE!$G$3, $A$1, 1)) + 1)
        / DAY(EOMONTH(DATE(LOHNTABELLE!$G$3, $A$1, 1), 0)) * F41,
        2
    ),
    ""
)</f>
        <v>86.5</v>
      </c>
      <c r="I41" s="19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55" t="s">
        <v>125</v>
      </c>
      <c r="P41" s="256"/>
      <c r="Q41" s="259">
        <f>IF(Q13=0, 0, Q38/Q13)</f>
        <v>4.4396200573154957E-4</v>
      </c>
      <c r="R41" s="259"/>
      <c r="S41" s="259">
        <f>IF(Q13=0, 0, S38/Q13)</f>
        <v>4.4396200573154957E-4</v>
      </c>
      <c r="T41" s="259"/>
      <c r="U41" s="260">
        <f t="shared" si="2"/>
        <v>0</v>
      </c>
      <c r="V41" s="260"/>
    </row>
    <row r="42" spans="1:24" ht="16" customHeight="1">
      <c r="A42" s="130" t="s">
        <v>126</v>
      </c>
      <c r="B42" s="170">
        <v>401730</v>
      </c>
      <c r="C42" s="137" t="s">
        <v>302</v>
      </c>
      <c r="D42" s="193">
        <v>45895</v>
      </c>
      <c r="E42" s="134" t="s">
        <v>4</v>
      </c>
      <c r="F42" s="136">
        <v>86.5</v>
      </c>
      <c r="G42" s="185">
        <v>1010.5</v>
      </c>
      <c r="H42" s="158">
        <f>IF(AND(ISNUMBER(D42), ISNUMBER(F42)),
    ROUNDDOWN(
        MIN(
            IF(OR(ISBLANK(I42), I42=""),
                EOMONTH(DATE(LOHNTABELLE!$G$3, $A$1, 1), 0), I42)
            - MAX(D42, DATE(LOHNTABELLE!$G$3, $A$1, 1)) + 1)
        / DAY(EOMONTH(DATE(LOHNTABELLE!$G$3, $A$1, 1), 0)) * F42,
        2
    ),
    ""
)</f>
        <v>86.5</v>
      </c>
      <c r="I42" s="19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55" t="s">
        <v>127</v>
      </c>
      <c r="P42" s="256"/>
      <c r="Q42" s="261">
        <f>IFERROR(Q17/Q8, 0)</f>
        <v>11.97258058260844</v>
      </c>
      <c r="R42" s="262"/>
      <c r="S42" s="262"/>
      <c r="T42" s="262"/>
      <c r="U42" s="262"/>
      <c r="V42" s="263"/>
    </row>
    <row r="43" spans="1:24" ht="16" customHeight="1">
      <c r="A43" s="130" t="s">
        <v>128</v>
      </c>
      <c r="B43" s="170">
        <v>401731</v>
      </c>
      <c r="C43" s="137" t="s">
        <v>301</v>
      </c>
      <c r="D43" s="193">
        <v>45899</v>
      </c>
      <c r="E43" s="134" t="s">
        <v>4</v>
      </c>
      <c r="F43" s="136">
        <v>86.5</v>
      </c>
      <c r="G43" s="185">
        <v>1010.5</v>
      </c>
      <c r="H43" s="158">
        <f>IF(AND(ISNUMBER(D43), ISNUMBER(F43)),
    ROUNDDOWN(
        MIN(
            IF(OR(ISBLANK(I43), I43=""),
                EOMONTH(DATE(LOHNTABELLE!$G$3, $A$1, 1), 0), I43)
            - MAX(D43, DATE(LOHNTABELLE!$G$3, $A$1, 1)) + 1)
        / DAY(EOMONTH(DATE(LOHNTABELLE!$G$3, $A$1, 1), 0)) * F43,
        2
    ),
    ""
)</f>
        <v>86.5</v>
      </c>
      <c r="I43" s="19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193">
        <v>45904</v>
      </c>
      <c r="E44" s="134" t="s">
        <v>4</v>
      </c>
      <c r="F44" s="136">
        <v>86.5</v>
      </c>
      <c r="G44" s="185">
        <v>1010.5</v>
      </c>
      <c r="H44" s="158">
        <f>IF(AND(ISNUMBER(D44), ISNUMBER(F44)),
    ROUNDDOWN(
        MIN(
            IF(OR(ISBLANK(I44), I44=""),
                EOMONTH(DATE(LOHNTABELLE!$G$3, $A$1, 1), 0), I44)
            - MAX(D44, DATE(LOHNTABELLE!$G$3, $A$1, 1)) + 1)
        / DAY(EOMONTH(DATE(LOHNTABELLE!$G$3, $A$1, 1), 0)) * F44,
        2
    ),
    ""
)</f>
        <v>86.5</v>
      </c>
      <c r="I44" s="19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19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9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193">
        <v>45906</v>
      </c>
      <c r="E46" s="134" t="s">
        <v>4</v>
      </c>
      <c r="F46" s="136">
        <v>86.5</v>
      </c>
      <c r="G46" s="185">
        <v>1010.5</v>
      </c>
      <c r="H46" s="158">
        <f>IF(AND(ISNUMBER(D46), ISNUMBER(F46)),
    ROUNDDOWN(
        MIN(
            IF(OR(ISBLANK(I46), I46=""),
                EOMONTH(DATE(LOHNTABELLE!$G$3, $A$1, 1), 0), I46)
            - MAX(D46, DATE(LOHNTABELLE!$G$3, $A$1, 1)) + 1)
        / DAY(EOMONTH(DATE(LOHNTABELLE!$G$3, $A$1, 1), 0)) * F46,
        2
    ),
    ""
)</f>
        <v>86.5</v>
      </c>
      <c r="I46" s="19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193">
        <v>45909</v>
      </c>
      <c r="E47" s="134" t="s">
        <v>4</v>
      </c>
      <c r="F47" s="136">
        <v>86.5</v>
      </c>
      <c r="G47" s="185">
        <v>1010.5</v>
      </c>
      <c r="H47" s="158">
        <f>IF(AND(ISNUMBER(D47), ISNUMBER(F47)),
    ROUNDDOWN(
        MIN(
            IF(OR(ISBLANK(I47), I47=""),
                EOMONTH(DATE(LOHNTABELLE!$G$3, $A$1, 1), 0), I47)
            - MAX(D47, DATE(LOHNTABELLE!$G$3, $A$1, 1)) + 1)
        / DAY(EOMONTH(DATE(LOHNTABELLE!$G$3, $A$1, 1), 0)) * F47,
        2
    ),
    ""
)</f>
        <v>86.5</v>
      </c>
      <c r="I47" s="19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193">
        <v>45934</v>
      </c>
      <c r="E48" s="134" t="s">
        <v>4</v>
      </c>
      <c r="F48" s="136">
        <v>86.5</v>
      </c>
      <c r="G48" s="185">
        <v>1010.5</v>
      </c>
      <c r="H48" s="158">
        <f>IF(AND(ISNUMBER(D48), ISNUMBER(F48)),
    ROUNDDOWN(
        MIN(
            IF(OR(ISBLANK(I48), I48=""),
                EOMONTH(DATE(LOHNTABELLE!$G$3, $A$1, 1), 0), I48)
            - MAX(D48, DATE(LOHNTABELLE!$G$3, $A$1, 1)) + 1)
        / DAY(EOMONTH(DATE(LOHNTABELLE!$G$3, $A$1, 1), 0)) * F48,
        2
    ),
    ""
)</f>
        <v>86.5</v>
      </c>
      <c r="I48" s="19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193">
        <v>45941</v>
      </c>
      <c r="E49" s="134" t="s">
        <v>4</v>
      </c>
      <c r="F49" s="136">
        <v>86.5</v>
      </c>
      <c r="G49" s="185">
        <v>1010.5</v>
      </c>
      <c r="H49" s="158">
        <f>IF(AND(ISNUMBER(D49), ISNUMBER(F49)),
    ROUNDDOWN(
        MIN(
            IF(OR(ISBLANK(I49), I49=""),
                EOMONTH(DATE(LOHNTABELLE!$G$3, $A$1, 1), 0), I49)
            - MAX(D49, DATE(LOHNTABELLE!$G$3, $A$1, 1)) + 1)
        / DAY(EOMONTH(DATE(LOHNTABELLE!$G$3, $A$1, 1), 0)) * F49,
        2
    ),
    ""
)</f>
        <v>86.5</v>
      </c>
      <c r="I49" s="19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193">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9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193">
        <v>45941</v>
      </c>
      <c r="E51" s="134" t="s">
        <v>4</v>
      </c>
      <c r="F51" s="136">
        <v>86.5</v>
      </c>
      <c r="G51" s="185">
        <v>1010.5</v>
      </c>
      <c r="H51" s="158">
        <f>IF(AND(ISNUMBER(D51), ISNUMBER(F51)),
    ROUNDDOWN(
        MIN(
            IF(OR(ISBLANK(I51), I51=""),
                EOMONTH(DATE(LOHNTABELLE!$G$3, $A$1, 1), 0), I51)
            - MAX(D51, DATE(LOHNTABELLE!$G$3, $A$1, 1)) + 1)
        / DAY(EOMONTH(DATE(LOHNTABELLE!$G$3, $A$1, 1), 0)) * F51,
        2
    ),
    ""
)</f>
        <v>86.5</v>
      </c>
      <c r="I51" s="19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193">
        <v>45961</v>
      </c>
      <c r="E52" s="134" t="s">
        <v>4</v>
      </c>
      <c r="F52" s="136">
        <v>86.5</v>
      </c>
      <c r="G52" s="185">
        <v>1010.5</v>
      </c>
      <c r="H52" s="158">
        <f>IF(AND(ISNUMBER(D52), ISNUMBER(F52)),
    ROUNDDOWN(
        MIN(
            IF(OR(ISBLANK(I52), I52=""),
                EOMONTH(DATE(LOHNTABELLE!$G$3, $A$1, 1), 0), I52)
            - MAX(D52, DATE(LOHNTABELLE!$G$3, $A$1, 1)) + 1)
        / DAY(EOMONTH(DATE(LOHNTABELLE!$G$3, $A$1, 1), 0)) * F52,
        2
    ),
    ""
)</f>
        <v>86.5</v>
      </c>
      <c r="I52" s="19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193">
        <v>45986</v>
      </c>
      <c r="E53" s="134" t="s">
        <v>4</v>
      </c>
      <c r="F53" s="136">
        <v>86.5</v>
      </c>
      <c r="G53" s="185">
        <v>1010.5</v>
      </c>
      <c r="H53" s="158">
        <f>IF(AND(ISNUMBER(D53), ISNUMBER(F53)),
    ROUNDDOWN(
        MIN(
            IF(OR(ISBLANK(I53), I53=""),
                EOMONTH(DATE(LOHNTABELLE!$G$3, $A$1, 1), 0), I53)
            - MAX(D53, DATE(LOHNTABELLE!$G$3, $A$1, 1)) + 1)
        / DAY(EOMONTH(DATE(LOHNTABELLE!$G$3, $A$1, 1), 0)) * F53,
        2
    ),
    ""
)</f>
        <v>86.5</v>
      </c>
      <c r="I53" s="19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355</v>
      </c>
      <c r="D54" s="193">
        <v>46082</v>
      </c>
      <c r="E54" s="134" t="s">
        <v>4</v>
      </c>
      <c r="F54" s="136">
        <v>173</v>
      </c>
      <c r="G54" s="185">
        <v>2021</v>
      </c>
      <c r="H54" s="158">
        <f>IF(AND(ISNUMBER(D54), ISNUMBER(F54)),
    ROUNDDOWN(
        MIN(
            IF(OR(ISBLANK(I54), I54=""),
                EOMONTH(DATE(LOHNTABELLE!$G$3, $A$1, 1), 0), I54)
            - MAX(D54, DATE(LOHNTABELLE!$G$3, $A$1, 1)) + 1)
        / DAY(EOMONTH(DATE(LOHNTABELLE!$G$3, $A$1, 1), 0)) * F54,
        2
    ),
    ""
)</f>
        <v>173</v>
      </c>
      <c r="I54" s="19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2021</v>
      </c>
      <c r="M54" s="164"/>
      <c r="N54" s="147"/>
    </row>
    <row r="55" spans="1:14" ht="16" customHeight="1">
      <c r="A55" s="130" t="s">
        <v>141</v>
      </c>
      <c r="B55" s="170">
        <v>402004</v>
      </c>
      <c r="C55" s="137" t="s">
        <v>364</v>
      </c>
      <c r="D55" s="193">
        <v>46122</v>
      </c>
      <c r="E55" s="134" t="s">
        <v>4</v>
      </c>
      <c r="F55" s="136">
        <v>173</v>
      </c>
      <c r="G55" s="185">
        <v>2021</v>
      </c>
      <c r="H55" s="158">
        <f>IF(AND(ISNUMBER(D55), ISNUMBER(F55)),
    ROUNDDOWN(
        MIN(
            IF(OR(ISBLANK(I55), I55=""),
                EOMONTH(DATE(LOHNTABELLE!$G$3, $A$1, 1), 0), I55)
            - MAX(D55, DATE(LOHNTABELLE!$G$3, $A$1, 1)) + 1)
        / DAY(EOMONTH(DATE(LOHNTABELLE!$G$3, $A$1, 1), 0)) * F55,
        2
    ),
    ""
)</f>
        <v>121.1</v>
      </c>
      <c r="I55" s="19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1414.6999999999998</v>
      </c>
      <c r="M55" s="164"/>
      <c r="N55" s="147"/>
    </row>
    <row r="56" spans="1:14" ht="16" customHeight="1">
      <c r="A56" s="130" t="s">
        <v>142</v>
      </c>
      <c r="B56" s="170">
        <v>402405</v>
      </c>
      <c r="C56" s="137" t="s">
        <v>366</v>
      </c>
      <c r="D56" s="193">
        <v>46054</v>
      </c>
      <c r="E56" s="134" t="s">
        <v>4</v>
      </c>
      <c r="F56" s="136">
        <v>173</v>
      </c>
      <c r="G56" s="185">
        <v>2021</v>
      </c>
      <c r="H56" s="158">
        <f>IF(AND(ISNUMBER(D56), ISNUMBER(F56)),
    ROUNDDOWN(
        MIN(
            IF(OR(ISBLANK(I56), I56=""),
                EOMONTH(DATE(LOHNTABELLE!$G$3, $A$1, 1), 0), I56)
            - MAX(D56, DATE(LOHNTABELLE!$G$3, $A$1, 1)) + 1)
        / DAY(EOMONTH(DATE(LOHNTABELLE!$G$3, $A$1, 1), 0)) * F56,
        2
    ),
    ""
)</f>
        <v>173</v>
      </c>
      <c r="I56" s="19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2021</v>
      </c>
      <c r="M56" s="164"/>
      <c r="N56" s="147"/>
    </row>
    <row r="57" spans="1:14" ht="16" customHeight="1">
      <c r="A57" s="131" t="s">
        <v>143</v>
      </c>
      <c r="B57" s="170">
        <v>500600</v>
      </c>
      <c r="C57" s="137" t="s">
        <v>371</v>
      </c>
      <c r="D57" s="193">
        <v>46054</v>
      </c>
      <c r="E57" s="134" t="s">
        <v>4</v>
      </c>
      <c r="F57" s="136">
        <v>173</v>
      </c>
      <c r="G57" s="185">
        <v>2021</v>
      </c>
      <c r="H57" s="158">
        <f>IF(AND(ISNUMBER(D57), ISNUMBER(F57)),
    ROUNDDOWN(
        MIN(
            IF(OR(ISBLANK(I57), I57=""),
                EOMONTH(DATE(LOHNTABELLE!$G$3, $A$1, 1), 0), I57)
            - MAX(D57, DATE(LOHNTABELLE!$G$3, $A$1, 1)) + 1)
        / DAY(EOMONTH(DATE(LOHNTABELLE!$G$3, $A$1, 1), 0)) * F57,
        2
    ),
    ""
)</f>
        <v>173</v>
      </c>
      <c r="I57" s="19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2021</v>
      </c>
      <c r="M57" s="164"/>
      <c r="N57" s="147"/>
    </row>
    <row r="58" spans="1:14" ht="16" customHeight="1">
      <c r="A58" s="130" t="s">
        <v>144</v>
      </c>
      <c r="B58" s="170">
        <v>503000</v>
      </c>
      <c r="C58" s="137" t="s">
        <v>368</v>
      </c>
      <c r="D58" s="193">
        <v>42401</v>
      </c>
      <c r="E58" s="134" t="s">
        <v>4</v>
      </c>
      <c r="F58" s="136">
        <v>173</v>
      </c>
      <c r="G58" s="185">
        <v>2021</v>
      </c>
      <c r="H58" s="158">
        <f>IF(AND(ISNUMBER(D58), ISNUMBER(F58)),
    ROUNDDOWN(
        MIN(
            IF(OR(ISBLANK(I58), I58=""),
                EOMONTH(DATE(LOHNTABELLE!$G$3, $A$1, 1), 0), I58)
            - MAX(D58, DATE(LOHNTABELLE!$G$3, $A$1, 1)) + 1)
        / DAY(EOMONTH(DATE(LOHNTABELLE!$G$3, $A$1, 1), 0)) * F58,
        2
    ),
    ""
)</f>
        <v>173</v>
      </c>
      <c r="I58" s="19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2021</v>
      </c>
      <c r="M58" s="164"/>
      <c r="N58" s="147"/>
    </row>
    <row r="59" spans="1:14" ht="16" customHeight="1">
      <c r="A59" s="130" t="s">
        <v>145</v>
      </c>
      <c r="B59" s="170">
        <v>504000</v>
      </c>
      <c r="C59" s="137" t="s">
        <v>369</v>
      </c>
      <c r="D59" s="193">
        <v>46054</v>
      </c>
      <c r="E59" s="134" t="s">
        <v>8</v>
      </c>
      <c r="F59" s="136">
        <v>138.4</v>
      </c>
      <c r="G59" s="185">
        <v>1665.6</v>
      </c>
      <c r="H59" s="158">
        <f>IF(AND(ISNUMBER(D59), ISNUMBER(F59)),
    ROUNDDOWN(
        MIN(
            IF(OR(ISBLANK(I59), I59=""),
                EOMONTH(DATE(LOHNTABELLE!$G$3, $A$1, 1), 0), I59)
            - MAX(D59, DATE(LOHNTABELLE!$G$3, $A$1, 1)) + 1)
        / DAY(EOMONTH(DATE(LOHNTABELLE!$G$3, $A$1, 1), 0)) * F59,
        2
    ),
    ""
)</f>
        <v>138.4</v>
      </c>
      <c r="I59" s="19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1665.6</v>
      </c>
      <c r="M59" s="164"/>
      <c r="N59" s="147"/>
    </row>
    <row r="60" spans="1:14" ht="16" customHeight="1">
      <c r="A60" s="130" t="s">
        <v>146</v>
      </c>
      <c r="B60" s="170">
        <v>505000</v>
      </c>
      <c r="C60" s="137" t="s">
        <v>370</v>
      </c>
      <c r="D60" s="193">
        <v>46054</v>
      </c>
      <c r="E60" s="134" t="s">
        <v>4</v>
      </c>
      <c r="F60" s="136">
        <v>138.4</v>
      </c>
      <c r="G60" s="185">
        <v>1616.8</v>
      </c>
      <c r="H60" s="158">
        <f>IF(AND(ISNUMBER(D60), ISNUMBER(F60)),
    ROUNDDOWN(
        MIN(
            IF(OR(ISBLANK(I60), I60=""),
                EOMONTH(DATE(LOHNTABELLE!$G$3, $A$1, 1), 0), I60)
            - MAX(D60, DATE(LOHNTABELLE!$G$3, $A$1, 1)) + 1)
        / DAY(EOMONTH(DATE(LOHNTABELLE!$G$3, $A$1, 1), 0)) * F60,
        2
    ),
    ""
)</f>
        <v>138.4</v>
      </c>
      <c r="I60" s="19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1616.8</v>
      </c>
      <c r="M60" s="164"/>
      <c r="N60" s="147"/>
    </row>
    <row r="61" spans="1:14" ht="16" customHeight="1">
      <c r="A61" s="131" t="s">
        <v>147</v>
      </c>
      <c r="B61" s="170">
        <v>600000</v>
      </c>
      <c r="C61" s="137" t="s">
        <v>372</v>
      </c>
      <c r="D61" s="193">
        <v>46054</v>
      </c>
      <c r="E61" s="134" t="s">
        <v>4</v>
      </c>
      <c r="F61" s="136">
        <v>151.38</v>
      </c>
      <c r="G61" s="185">
        <v>1768.38</v>
      </c>
      <c r="H61" s="158">
        <f>IF(AND(ISNUMBER(D61), ISNUMBER(F61)),
    ROUNDDOWN(
        MIN(
            IF(OR(ISBLANK(I61), I61=""),
                EOMONTH(DATE(LOHNTABELLE!$G$3, $A$1, 1), 0), I61)
            - MAX(D61, DATE(LOHNTABELLE!$G$3, $A$1, 1)) + 1)
        / DAY(EOMONTH(DATE(LOHNTABELLE!$G$3, $A$1, 1), 0)) * F61,
        2
    ),
    ""
)</f>
        <v>151.38</v>
      </c>
      <c r="I61" s="19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1768.38</v>
      </c>
      <c r="M61" s="164"/>
      <c r="N61" s="147"/>
    </row>
    <row r="62" spans="1:14" ht="16" customHeight="1">
      <c r="A62" s="130" t="s">
        <v>148</v>
      </c>
      <c r="B62" s="170"/>
      <c r="C62" s="137"/>
      <c r="D62" s="193"/>
      <c r="E62" s="134"/>
      <c r="F62" s="136"/>
      <c r="G62" s="185"/>
      <c r="H62" s="158" t="str">
        <f>IF(AND(ISNUMBER(D62), ISNUMBER(F62)),
    ROUNDDOWN(
        MIN(
            IF(OR(ISBLANK(I62), I62=""),
                EOMONTH(DATE(LOHNTABELLE!$G$3, $A$1, 1), 0), I62)
            - MAX(D62, DATE(LOHNTABELLE!$G$3, $A$1, 1)) + 1)
        / DAY(EOMONTH(DATE(LOHNTABELLE!$G$3, $A$1, 1), 0)) * F62,
        2
    ),
    ""
)</f>
        <v/>
      </c>
      <c r="I62" s="19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193"/>
      <c r="E63" s="134"/>
      <c r="F63" s="136"/>
      <c r="G63" s="185"/>
      <c r="H63" s="158" t="str">
        <f>IF(AND(ISNUMBER(D63), ISNUMBER(F63)),
    ROUNDDOWN(
        MIN(
            IF(OR(ISBLANK(I63), I63=""),
                EOMONTH(DATE(LOHNTABELLE!$G$3, $A$1, 1), 0), I63)
            - MAX(D63, DATE(LOHNTABELLE!$G$3, $A$1, 1)) + 1)
        / DAY(EOMONTH(DATE(LOHNTABELLE!$G$3, $A$1, 1), 0)) * F63,
        2
    ),
    ""
)</f>
        <v/>
      </c>
      <c r="I63" s="19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193"/>
      <c r="E64" s="134"/>
      <c r="F64" s="136"/>
      <c r="G64" s="185"/>
      <c r="H64" s="158" t="str">
        <f>IF(AND(ISNUMBER(D64), ISNUMBER(F64)),
    ROUNDDOWN(
        MIN(
            IF(OR(ISBLANK(I64), I64=""),
                EOMONTH(DATE(LOHNTABELLE!$G$3, $A$1, 1), 0), I64)
            - MAX(D64, DATE(LOHNTABELLE!$G$3, $A$1, 1)) + 1)
        / DAY(EOMONTH(DATE(LOHNTABELLE!$G$3, $A$1, 1), 0)) * F64,
        2
    ),
    ""
)</f>
        <v/>
      </c>
      <c r="I64" s="19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93"/>
      <c r="E65" s="134"/>
      <c r="F65" s="136"/>
      <c r="G65" s="185"/>
      <c r="H65" s="158" t="str">
        <f>IF(AND(ISNUMBER(D65), ISNUMBER(F65)),
    ROUNDDOWN(
        MIN(
            IF(OR(ISBLANK(I65), I65=""),
                EOMONTH(DATE(LOHNTABELLE!$G$3, $A$1, 1), 0), I65)
            - MAX(D65, DATE(LOHNTABELLE!$G$3, $A$1, 1)) + 1)
        / DAY(EOMONTH(DATE(LOHNTABELLE!$G$3, $A$1, 1), 0)) * F65,
        2
    ),
    ""
)</f>
        <v/>
      </c>
      <c r="I65" s="19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93"/>
      <c r="E66" s="134"/>
      <c r="F66" s="136"/>
      <c r="G66" s="185"/>
      <c r="H66" s="158" t="str">
        <f>IF(AND(ISNUMBER(D66), ISNUMBER(F66)),
    ROUNDDOWN(
        MIN(
            IF(OR(ISBLANK(I66), I66=""),
                EOMONTH(DATE(LOHNTABELLE!$G$3, $A$1, 1), 0), I66)
            - MAX(D66, DATE(LOHNTABELLE!$G$3, $A$1, 1)) + 1)
        / DAY(EOMONTH(DATE(LOHNTABELLE!$G$3, $A$1, 1), 0)) * F66,
        2
    ),
    ""
)</f>
        <v/>
      </c>
      <c r="I66" s="19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93"/>
      <c r="E67" s="134"/>
      <c r="F67" s="136"/>
      <c r="G67" s="185"/>
      <c r="H67" s="158" t="str">
        <f>IF(AND(ISNUMBER(D67), ISNUMBER(F67)),
    ROUNDDOWN(
        MIN(
            IF(OR(ISBLANK(I67), I67=""),
                EOMONTH(DATE(LOHNTABELLE!$G$3, $A$1, 1), 0), I67)
            - MAX(D67, DATE(LOHNTABELLE!$G$3, $A$1, 1)) + 1)
        / DAY(EOMONTH(DATE(LOHNTABELLE!$G$3, $A$1, 1), 0)) * F67,
        2
    ),
    ""
)</f>
        <v/>
      </c>
      <c r="I67" s="19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93"/>
      <c r="E68" s="134"/>
      <c r="F68" s="136"/>
      <c r="G68" s="185"/>
      <c r="H68" s="158" t="str">
        <f>IF(AND(ISNUMBER(D68), ISNUMBER(F68)),
    ROUNDDOWN(
        MIN(
            IF(OR(ISBLANK(I68), I68=""),
                EOMONTH(DATE(LOHNTABELLE!$G$3, $A$1, 1), 0), I68)
            - MAX(D68, DATE(LOHNTABELLE!$G$3, $A$1, 1)) + 1)
        / DAY(EOMONTH(DATE(LOHNTABELLE!$G$3, $A$1, 1), 0)) * F68,
        2
    ),
    ""
)</f>
        <v/>
      </c>
      <c r="I68" s="19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93"/>
      <c r="E69" s="134"/>
      <c r="F69" s="136"/>
      <c r="G69" s="185"/>
      <c r="H69" s="158" t="str">
        <f>IF(AND(ISNUMBER(D69), ISNUMBER(F69)),
    ROUNDDOWN(
        MIN(
            IF(OR(ISBLANK(I69), I69=""),
                EOMONTH(DATE(LOHNTABELLE!$G$3, $A$1, 1), 0), I69)
            - MAX(D69, DATE(LOHNTABELLE!$G$3, $A$1, 1)) + 1)
        / DAY(EOMONTH(DATE(LOHNTABELLE!$G$3, $A$1, 1), 0)) * F69,
        2
    ),
    ""
)</f>
        <v/>
      </c>
      <c r="I69" s="19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93"/>
      <c r="E70" s="134"/>
      <c r="F70" s="136"/>
      <c r="G70" s="185"/>
      <c r="H70" s="158" t="str">
        <f>IF(AND(ISNUMBER(D70), ISNUMBER(F70)),
    ROUNDDOWN(
        MIN(
            IF(OR(ISBLANK(I70), I70=""),
                EOMONTH(DATE(LOHNTABELLE!$G$3, $A$1, 1), 0), I70)
            - MAX(D70, DATE(LOHNTABELLE!$G$3, $A$1, 1)) + 1)
        / DAY(EOMONTH(DATE(LOHNTABELLE!$G$3, $A$1, 1), 0)) * F70,
        2
    ),
    ""
)</f>
        <v/>
      </c>
      <c r="I70" s="19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93"/>
      <c r="E71" s="134"/>
      <c r="F71" s="136"/>
      <c r="G71" s="185"/>
      <c r="H71" s="158" t="str">
        <f>IF(AND(ISNUMBER(D71), ISNUMBER(F71)),
    ROUNDDOWN(
        MIN(
            IF(OR(ISBLANK(I71), I71=""),
                EOMONTH(DATE(LOHNTABELLE!$G$3, $A$1, 1), 0), I71)
            - MAX(D71, DATE(LOHNTABELLE!$G$3, $A$1, 1)) + 1)
        / DAY(EOMONTH(DATE(LOHNTABELLE!$G$3, $A$1, 1), 0)) * F71,
        2
    ),
    ""
)</f>
        <v/>
      </c>
      <c r="I71" s="19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93"/>
      <c r="E72" s="134"/>
      <c r="F72" s="136"/>
      <c r="G72" s="185"/>
      <c r="H72" s="158" t="str">
        <f>IF(AND(ISNUMBER(D72), ISNUMBER(F72)),
    ROUNDDOWN(
        MIN(
            IF(OR(ISBLANK(I72), I72=""),
                EOMONTH(DATE(LOHNTABELLE!$G$3, $A$1, 1), 0), I72)
            - MAX(D72, DATE(LOHNTABELLE!$G$3, $A$1, 1)) + 1)
        / DAY(EOMONTH(DATE(LOHNTABELLE!$G$3, $A$1, 1), 0)) * F72,
        2
    ),
    ""
)</f>
        <v/>
      </c>
      <c r="I72" s="19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93"/>
      <c r="E73" s="134"/>
      <c r="F73" s="136"/>
      <c r="G73" s="185"/>
      <c r="H73" s="158" t="str">
        <f>IF(AND(ISNUMBER(D73), ISNUMBER(F73)),
    ROUNDDOWN(
        MIN(
            IF(OR(ISBLANK(I73), I73=""),
                EOMONTH(DATE(LOHNTABELLE!$G$3, $A$1, 1), 0), I73)
            - MAX(D73, DATE(LOHNTABELLE!$G$3, $A$1, 1)) + 1)
        / DAY(EOMONTH(DATE(LOHNTABELLE!$G$3, $A$1, 1), 0)) * F73,
        2
    ),
    ""
)</f>
        <v/>
      </c>
      <c r="I73" s="19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93"/>
      <c r="E74" s="134"/>
      <c r="F74" s="136"/>
      <c r="G74" s="185"/>
      <c r="H74" s="158" t="str">
        <f>IF(AND(ISNUMBER(D74), ISNUMBER(F74)),
    ROUNDDOWN(
        MIN(
            IF(OR(ISBLANK(I74), I74=""),
                EOMONTH(DATE(LOHNTABELLE!$G$3, $A$1, 1), 0), I74)
            - MAX(D74, DATE(LOHNTABELLE!$G$3, $A$1, 1)) + 1)
        / DAY(EOMONTH(DATE(LOHNTABELLE!$G$3, $A$1, 1), 0)) * F74,
        2
    ),
    ""
)</f>
        <v/>
      </c>
      <c r="I74" s="19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93"/>
      <c r="E75" s="134"/>
      <c r="F75" s="136"/>
      <c r="G75" s="185"/>
      <c r="H75" s="158" t="str">
        <f>IF(AND(ISNUMBER(D75), ISNUMBER(F75)),
    ROUNDDOWN(
        MIN(
            IF(OR(ISBLANK(I75), I75=""),
                EOMONTH(DATE(LOHNTABELLE!$G$3, $A$1, 1), 0), I75)
            - MAX(D75, DATE(LOHNTABELLE!$G$3, $A$1, 1)) + 1)
        / DAY(EOMONTH(DATE(LOHNTABELLE!$G$3, $A$1, 1), 0)) * F75,
        2
    ),
    ""
)</f>
        <v/>
      </c>
      <c r="I75" s="19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93"/>
      <c r="E76" s="134"/>
      <c r="F76" s="136"/>
      <c r="G76" s="185"/>
      <c r="H76" s="158" t="str">
        <f>IF(AND(ISNUMBER(D76), ISNUMBER(F76)),
    ROUNDDOWN(
        MIN(
            IF(OR(ISBLANK(I76), I76=""),
                EOMONTH(DATE(LOHNTABELLE!$G$3, $A$1, 1), 0), I76)
            - MAX(D76, DATE(LOHNTABELLE!$G$3, $A$1, 1)) + 1)
        / DAY(EOMONTH(DATE(LOHNTABELLE!$G$3, $A$1, 1), 0)) * F76,
        2
    ),
    ""
)</f>
        <v/>
      </c>
      <c r="I76" s="19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93"/>
      <c r="E77" s="134"/>
      <c r="F77" s="136"/>
      <c r="G77" s="185"/>
      <c r="H77" s="158" t="str">
        <f>IF(AND(ISNUMBER(D77), ISNUMBER(F77)),
    ROUNDDOWN(
        MIN(
            IF(OR(ISBLANK(I77), I77=""),
                EOMONTH(DATE(LOHNTABELLE!$G$3, $A$1, 1), 0), I77)
            - MAX(D77, DATE(LOHNTABELLE!$G$3, $A$1, 1)) + 1)
        / DAY(EOMONTH(DATE(LOHNTABELLE!$G$3, $A$1, 1), 0)) * F77,
        2
    ),
    ""
)</f>
        <v/>
      </c>
      <c r="I77" s="19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93"/>
      <c r="E78" s="134"/>
      <c r="F78" s="136"/>
      <c r="G78" s="185"/>
      <c r="H78" s="158" t="str">
        <f>IF(AND(ISNUMBER(D78), ISNUMBER(F78)),
    ROUNDDOWN(
        MIN(
            IF(OR(ISBLANK(I78), I78=""),
                EOMONTH(DATE(LOHNTABELLE!$G$3, $A$1, 1), 0), I78)
            - MAX(D78, DATE(LOHNTABELLE!$G$3, $A$1, 1)) + 1)
        / DAY(EOMONTH(DATE(LOHNTABELLE!$G$3, $A$1, 1), 0)) * F78,
        2
    ),
    ""
)</f>
        <v/>
      </c>
      <c r="I78" s="19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93"/>
      <c r="E79" s="134"/>
      <c r="F79" s="136"/>
      <c r="G79" s="185"/>
      <c r="H79" s="158" t="str">
        <f>IF(AND(ISNUMBER(D79), ISNUMBER(F79)),
    ROUNDDOWN(
        MIN(
            IF(OR(ISBLANK(I79), I79=""),
                EOMONTH(DATE(LOHNTABELLE!$G$3, $A$1, 1), 0), I79)
            - MAX(D79, DATE(LOHNTABELLE!$G$3, $A$1, 1)) + 1)
        / DAY(EOMONTH(DATE(LOHNTABELLE!$G$3, $A$1, 1), 0)) * F79,
        2
    ),
    ""
)</f>
        <v/>
      </c>
      <c r="I79" s="19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93"/>
      <c r="E80" s="134"/>
      <c r="F80" s="136"/>
      <c r="G80" s="185"/>
      <c r="H80" s="158" t="str">
        <f>IF(AND(ISNUMBER(D80), ISNUMBER(F80)),
    ROUNDDOWN(
        MIN(
            IF(OR(ISBLANK(I80), I80=""),
                EOMONTH(DATE(LOHNTABELLE!$G$3, $A$1, 1), 0), I80)
            - MAX(D80, DATE(LOHNTABELLE!$G$3, $A$1, 1)) + 1)
        / DAY(EOMONTH(DATE(LOHNTABELLE!$G$3, $A$1, 1), 0)) * F80,
        2
    ),
    ""
)</f>
        <v/>
      </c>
      <c r="I80" s="19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93"/>
      <c r="E81" s="134"/>
      <c r="F81" s="136"/>
      <c r="G81" s="185"/>
      <c r="H81" s="158" t="str">
        <f>IF(AND(ISNUMBER(D81), ISNUMBER(F81)),
    ROUNDDOWN(
        MIN(
            IF(OR(ISBLANK(I81), I81=""),
                EOMONTH(DATE(LOHNTABELLE!$G$3, $A$1, 1), 0), I81)
            - MAX(D81, DATE(LOHNTABELLE!$G$3, $A$1, 1)) + 1)
        / DAY(EOMONTH(DATE(LOHNTABELLE!$G$3, $A$1, 1), 0)) * F81,
        2
    ),
    ""
)</f>
        <v/>
      </c>
      <c r="I81" s="19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94"/>
      <c r="E82" s="150"/>
      <c r="F82" s="151"/>
      <c r="G82" s="186"/>
      <c r="H82" s="159" t="str">
        <f>IF(AND(ISNUMBER(D82), ISNUMBER(F82)),
    ROUNDDOWN(
        MIN(
            IF(OR(ISBLANK(I82), I82=""),
                EOMONTH(DATE(LOHNTABELLE!$G$3, $A$1, 1), 0), I82)
            - MAX(D82, DATE(LOHNTABELLE!$G$3, $A$1, 1)) + 1)
        / DAY(EOMONTH(DATE(LOHNTABELLE!$G$3, $A$1, 1), 0)) * F82,
        2
    ),
    ""
)</f>
        <v/>
      </c>
      <c r="I82" s="19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L1gy/bgQgNRw+uDy61rQGE6x3qsc30MxUivn4V3QSCdpQdvmRB00yThRw0mRFuoVnSBrYSNqPNR+g7W8qTkOUA==" saltValue="pRY15nB62QvevfdRt0Cbgw==" spinCount="100000" sheet="1" objects="1" scenarios="1" sort="0" autoFilter="0"/>
  <sortState xmlns:xlrd2="http://schemas.microsoft.com/office/spreadsheetml/2017/richdata2" ref="B3:N82">
    <sortCondition ref="B3:B82"/>
    <sortCondition ref="C3:C82"/>
  </sortState>
  <mergeCells count="98">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O11:P11"/>
    <mergeCell ref="Q11:R11"/>
    <mergeCell ref="O12:P12"/>
    <mergeCell ref="Q12:R12"/>
    <mergeCell ref="O13:P13"/>
    <mergeCell ref="Q13:R13"/>
    <mergeCell ref="O14:P14"/>
    <mergeCell ref="Q14:R14"/>
    <mergeCell ref="O17:P17"/>
    <mergeCell ref="Q17:R17"/>
    <mergeCell ref="O18:P18"/>
    <mergeCell ref="Q18:R18"/>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dataValidations count="60">
    <dataValidation type="date" showInputMessage="1" showErrorMessage="1" sqref="I3:I82" xr:uid="{CF50196E-FE25-4757-A402-DB42694BF556}">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59081476-6B17-2E4B-BADC-2CC983EC6F1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A2530405-A0E8-B948-B226-01C2E841FC3D}">
      <formula1>KV_DD_APRIL_3</formula1>
    </dataValidation>
    <dataValidation type="list" allowBlank="1" showInputMessage="1" showErrorMessage="1" sqref="F4" xr:uid="{4C0D4915-BF3B-6047-ACD4-F740C319A92D}">
      <formula1>KV_DD_APRIL_4</formula1>
    </dataValidation>
    <dataValidation type="list" allowBlank="1" showInputMessage="1" showErrorMessage="1" sqref="F5" xr:uid="{8566E618-CF2E-854F-80B4-F08413398A55}">
      <formula1>KV_DD_APRIL_5</formula1>
    </dataValidation>
    <dataValidation type="list" allowBlank="1" showInputMessage="1" showErrorMessage="1" sqref="F6" xr:uid="{E2658AA1-7B43-D04E-B174-AA580EAB6929}">
      <formula1>KV_DD_APRIL_6</formula1>
    </dataValidation>
    <dataValidation type="list" allowBlank="1" showInputMessage="1" showErrorMessage="1" sqref="F7" xr:uid="{D034C1E3-F7FA-7F4B-A514-F740C08FCF22}">
      <formula1>KV_DD_APRIL_7</formula1>
    </dataValidation>
    <dataValidation type="list" allowBlank="1" showInputMessage="1" showErrorMessage="1" sqref="F8" xr:uid="{41F4B920-1D23-704D-B233-131502C76E17}">
      <formula1>KV_DD_APRIL_8</formula1>
    </dataValidation>
    <dataValidation type="list" allowBlank="1" showInputMessage="1" showErrorMessage="1" sqref="F9" xr:uid="{E22EEB0E-A18F-DE4F-88B3-33E927874517}">
      <formula1>KV_DD_APRIL_9</formula1>
    </dataValidation>
    <dataValidation type="list" allowBlank="1" showInputMessage="1" showErrorMessage="1" sqref="F10" xr:uid="{BF652B0D-544F-DF40-A397-A8A111933891}">
      <formula1>KV_DD_APRIL_10</formula1>
    </dataValidation>
    <dataValidation type="list" allowBlank="1" showInputMessage="1" showErrorMessage="1" sqref="F11" xr:uid="{9B7C8669-A9C9-1A46-8942-FDED6847E648}">
      <formula1>KV_DD_APRIL_11</formula1>
    </dataValidation>
    <dataValidation type="list" allowBlank="1" showInputMessage="1" showErrorMessage="1" sqref="F12" xr:uid="{5868D6C8-5FCE-9049-B079-8122C2697612}">
      <formula1>KV_DD_APRIL_12</formula1>
    </dataValidation>
    <dataValidation type="list" allowBlank="1" showInputMessage="1" showErrorMessage="1" sqref="F13" xr:uid="{037C1802-57F0-214C-9C1F-FDFEDD88E60D}">
      <formula1>KV_DD_APRIL_13</formula1>
    </dataValidation>
    <dataValidation type="list" allowBlank="1" showInputMessage="1" showErrorMessage="1" sqref="F14" xr:uid="{1A90BD3A-F68F-F445-A3D4-FF0EC0C01CE6}">
      <formula1>KV_DD_APRIL_14</formula1>
    </dataValidation>
    <dataValidation type="list" allowBlank="1" showInputMessage="1" showErrorMessage="1" sqref="F15" xr:uid="{BB626B80-7E92-504E-8E70-419D97FF9118}">
      <formula1>KV_DD_APRIL_15</formula1>
    </dataValidation>
    <dataValidation type="list" allowBlank="1" showInputMessage="1" showErrorMessage="1" sqref="F16" xr:uid="{81D7F3E3-1C9D-154C-97EF-75B2BA6B0CAB}">
      <formula1>KV_DD_APRIL_16</formula1>
    </dataValidation>
    <dataValidation type="list" allowBlank="1" showInputMessage="1" showErrorMessage="1" sqref="F17" xr:uid="{C0EC9DE4-363E-B444-B634-D385CD0320D3}">
      <formula1>KV_DD_APRIL_17</formula1>
    </dataValidation>
    <dataValidation type="list" allowBlank="1" showInputMessage="1" showErrorMessage="1" sqref="F18" xr:uid="{BD6D6BC1-087E-3A41-9DE7-9F4FBF6741AD}">
      <formula1>KV_DD_APRIL_18</formula1>
    </dataValidation>
    <dataValidation type="list" allowBlank="1" showInputMessage="1" showErrorMessage="1" sqref="F19" xr:uid="{A8F6D250-2987-354B-8AA9-FC54026CCAC2}">
      <formula1>KV_DD_APRIL_19</formula1>
    </dataValidation>
    <dataValidation type="list" allowBlank="1" showInputMessage="1" showErrorMessage="1" sqref="F20" xr:uid="{AEEBC354-9854-E648-90C9-C4EACAE2E990}">
      <formula1>KV_DD_APRIL_20</formula1>
    </dataValidation>
    <dataValidation type="list" allowBlank="1" showInputMessage="1" showErrorMessage="1" sqref="F21" xr:uid="{40027D7F-A166-024A-A1B9-8C79934277E8}">
      <formula1>KV_DD_APRIL_21</formula1>
    </dataValidation>
    <dataValidation type="list" allowBlank="1" showInputMessage="1" showErrorMessage="1" sqref="F22" xr:uid="{F5AE4293-923D-344C-9CFA-D69E3B5BCE3B}">
      <formula1>KV_DD_APRIL_22</formula1>
    </dataValidation>
    <dataValidation type="list" allowBlank="1" showInputMessage="1" showErrorMessage="1" sqref="F23" xr:uid="{58B0B8D8-5517-AB4C-9815-904B7BF7A09F}">
      <formula1>KV_DD_APRIL_23</formula1>
    </dataValidation>
    <dataValidation type="list" allowBlank="1" showInputMessage="1" showErrorMessage="1" sqref="F24" xr:uid="{6CA8417F-CC7F-484B-A6F0-E1C3ABE8E694}">
      <formula1>KV_DD_APRIL_24</formula1>
    </dataValidation>
    <dataValidation type="list" allowBlank="1" showInputMessage="1" showErrorMessage="1" sqref="F25" xr:uid="{D2EDF383-A68F-A04A-AEBA-AD73EA5D86BB}">
      <formula1>KV_DD_APRIL_25</formula1>
    </dataValidation>
    <dataValidation type="list" allowBlank="1" showInputMessage="1" showErrorMessage="1" sqref="F26" xr:uid="{A075348E-CE92-9145-B80C-26FC543A5073}">
      <formula1>KV_DD_APRIL_26</formula1>
    </dataValidation>
    <dataValidation type="list" allowBlank="1" showInputMessage="1" showErrorMessage="1" sqref="F27" xr:uid="{2262CF8D-BFFA-F140-A4AC-C93A64EBEB37}">
      <formula1>KV_DD_APRIL_27</formula1>
    </dataValidation>
    <dataValidation type="list" allowBlank="1" showInputMessage="1" showErrorMessage="1" sqref="F28" xr:uid="{752B6F61-3939-CB4D-AB32-24B558B0F27F}">
      <formula1>KV_DD_APRIL_28</formula1>
    </dataValidation>
    <dataValidation type="list" allowBlank="1" showInputMessage="1" showErrorMessage="1" sqref="F29" xr:uid="{A7E8CBF0-280B-8B4C-808C-1C12B18FE728}">
      <formula1>KV_DD_APRIL_29</formula1>
    </dataValidation>
    <dataValidation type="list" allowBlank="1" showInputMessage="1" showErrorMessage="1" sqref="F30" xr:uid="{05EE6C42-034B-1E47-9339-F749BE03D833}">
      <formula1>KV_DD_APRIL_30</formula1>
    </dataValidation>
    <dataValidation type="list" allowBlank="1" showInputMessage="1" showErrorMessage="1" sqref="F31" xr:uid="{AE99E832-862E-ED43-A78F-2AB599B90E51}">
      <formula1>KV_DD_APRIL_31</formula1>
    </dataValidation>
    <dataValidation type="list" allowBlank="1" showInputMessage="1" showErrorMessage="1" sqref="F32" xr:uid="{4DD05F43-78B0-5C4D-AA6F-A714B9C84051}">
      <formula1>KV_DD_APRIL_32</formula1>
    </dataValidation>
    <dataValidation type="list" allowBlank="1" showInputMessage="1" showErrorMessage="1" sqref="F33" xr:uid="{EB62AE3C-C4CD-EF4F-A80D-3C308335CBF5}">
      <formula1>KV_DD_APRIL_33</formula1>
    </dataValidation>
    <dataValidation type="list" allowBlank="1" showInputMessage="1" showErrorMessage="1" sqref="F34" xr:uid="{6C3AD7FE-6BC6-EC49-B168-00955F0EF393}">
      <formula1>KV_DD_APRIL_34</formula1>
    </dataValidation>
    <dataValidation type="list" allowBlank="1" showInputMessage="1" showErrorMessage="1" sqref="F35" xr:uid="{96F4558A-83DF-2E4D-A324-5246B3C94325}">
      <formula1>KV_DD_APRIL_35</formula1>
    </dataValidation>
    <dataValidation type="list" allowBlank="1" showInputMessage="1" showErrorMessage="1" sqref="F36" xr:uid="{A2981F80-1AD5-5A4C-BAE2-FC38031FC334}">
      <formula1>KV_DD_APRIL_36</formula1>
    </dataValidation>
    <dataValidation type="list" allowBlank="1" showInputMessage="1" showErrorMessage="1" sqref="F37" xr:uid="{D637B90A-8723-2B4F-A8D3-17DA4D178299}">
      <formula1>KV_DD_APRIL_37</formula1>
    </dataValidation>
    <dataValidation type="list" allowBlank="1" showInputMessage="1" showErrorMessage="1" sqref="F38" xr:uid="{A5B0A27B-2633-4143-9969-7C4B91078D21}">
      <formula1>KV_DD_APRIL_38</formula1>
    </dataValidation>
    <dataValidation type="list" allowBlank="1" showInputMessage="1" showErrorMessage="1" sqref="F39" xr:uid="{F11ED597-2DF9-5040-A1BA-71C8C3EE4DFC}">
      <formula1>KV_DD_APRIL_39</formula1>
    </dataValidation>
    <dataValidation type="list" allowBlank="1" showInputMessage="1" showErrorMessage="1" sqref="F40" xr:uid="{530972BA-9E6B-D045-9B29-33956ED7AFF7}">
      <formula1>KV_DD_APRIL_40</formula1>
    </dataValidation>
    <dataValidation type="list" allowBlank="1" showInputMessage="1" showErrorMessage="1" sqref="F41" xr:uid="{DF3579EE-B9E5-8843-9074-5EED9EA7305B}">
      <formula1>KV_DD_APRIL_41</formula1>
    </dataValidation>
    <dataValidation type="list" allowBlank="1" showInputMessage="1" showErrorMessage="1" sqref="F42" xr:uid="{04DFBEE1-8045-A14C-8C81-3B2D6571A72E}">
      <formula1>KV_DD_APRIL_42</formula1>
    </dataValidation>
    <dataValidation type="list" allowBlank="1" showInputMessage="1" showErrorMessage="1" sqref="F43" xr:uid="{B19EF4CB-CAB8-D741-B266-0DB94223E757}">
      <formula1>KV_DD_APRIL_43</formula1>
    </dataValidation>
    <dataValidation type="list" allowBlank="1" showInputMessage="1" showErrorMessage="1" sqref="F44" xr:uid="{C56FD08D-24B4-014E-8075-9F23CABEA87C}">
      <formula1>KV_DD_APRIL_44</formula1>
    </dataValidation>
    <dataValidation type="list" allowBlank="1" showInputMessage="1" showErrorMessage="1" sqref="F45" xr:uid="{1385A17A-18DF-C541-82B5-73E805BE7BC2}">
      <formula1>KV_DD_APRIL_45</formula1>
    </dataValidation>
    <dataValidation type="list" allowBlank="1" showInputMessage="1" showErrorMessage="1" sqref="F46" xr:uid="{F741FCDB-4B50-F346-AF9D-A2913E7FF833}">
      <formula1>KV_DD_APRIL_46</formula1>
    </dataValidation>
    <dataValidation type="list" allowBlank="1" showInputMessage="1" showErrorMessage="1" sqref="F47" xr:uid="{335ADBAE-64A1-5C4D-BFD3-71C9964CD5E9}">
      <formula1>KV_DD_APRIL_47</formula1>
    </dataValidation>
    <dataValidation type="list" allowBlank="1" showInputMessage="1" showErrorMessage="1" sqref="F48" xr:uid="{22338095-AED6-7748-B228-A1B7D627E889}">
      <formula1>KV_DD_APRIL_48</formula1>
    </dataValidation>
    <dataValidation type="list" allowBlank="1" showInputMessage="1" showErrorMessage="1" sqref="F49" xr:uid="{6BF2690E-1ADD-864F-822A-9E0D7E9EDA90}">
      <formula1>KV_DD_APRIL_49</formula1>
    </dataValidation>
    <dataValidation type="list" allowBlank="1" showInputMessage="1" showErrorMessage="1" sqref="F50" xr:uid="{7CEF66C2-CE81-1F43-9B5C-C598593E20FB}">
      <formula1>KV_DD_APRIL_50</formula1>
    </dataValidation>
    <dataValidation type="list" allowBlank="1" showInputMessage="1" showErrorMessage="1" sqref="F51" xr:uid="{38A3CCA1-DBD1-E24C-9764-A931F2FB9D5C}">
      <formula1>KV_DD_APRIL_51</formula1>
    </dataValidation>
    <dataValidation type="list" allowBlank="1" showInputMessage="1" showErrorMessage="1" sqref="F52" xr:uid="{2F9138A5-EA5B-FE46-A872-D657AB83477F}">
      <formula1>KV_DD_APRIL_52</formula1>
    </dataValidation>
    <dataValidation type="list" allowBlank="1" showInputMessage="1" showErrorMessage="1" sqref="F53" xr:uid="{9EFF2D90-F11D-C943-ACDB-52AA2E377A50}">
      <formula1>KV_DD_APRIL_53</formula1>
    </dataValidation>
    <dataValidation type="list" allowBlank="1" showInputMessage="1" showErrorMessage="1" sqref="F54" xr:uid="{CCB03D4E-6747-4BB5-856F-2440BDAA3A5B}">
      <formula1>KV_DD_APRIL_54</formula1>
    </dataValidation>
    <dataValidation type="list" allowBlank="1" showInputMessage="1" showErrorMessage="1" sqref="F55" xr:uid="{CA962C55-0322-744B-926B-8A448D869723}">
      <formula1>KV_DD_APRIL_55</formula1>
    </dataValidation>
    <dataValidation type="list" allowBlank="1" showInputMessage="1" showErrorMessage="1" sqref="F56" xr:uid="{43AD68A2-CF88-994C-A902-E34DDE7FF4F6}">
      <formula1>KV_DD_APRIL_56</formula1>
    </dataValidation>
    <dataValidation type="list" allowBlank="1" showInputMessage="1" showErrorMessage="1" sqref="F57" xr:uid="{06056554-8E2B-4C48-B0D4-893356C8910A}">
      <formula1>KV_DD_APRIL_57</formula1>
    </dataValidation>
    <dataValidation type="list" allowBlank="1" showInputMessage="1" showErrorMessage="1" sqref="F58" xr:uid="{9CA09149-3AC0-F447-9C53-A533AFB3EDF4}">
      <formula1>KV_DD_APRIL_58</formula1>
    </dataValidation>
    <dataValidation type="list" allowBlank="1" showInputMessage="1" showErrorMessage="1" sqref="F59" xr:uid="{27C0A78D-9E79-C845-B0CA-BA08072B2225}">
      <formula1>KV_DD_APRIL_59</formula1>
    </dataValidation>
    <dataValidation type="list" allowBlank="1" showInputMessage="1" showErrorMessage="1" sqref="F60" xr:uid="{FA70F3B6-4DA0-6949-AD36-4C99D3EF9400}">
      <formula1>KV_DD_APRIL_60</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4338" r:id="rId4" name="Button 2">
              <controlPr defaultSize="0" print="0" autoFill="0" autoPict="0" macro="[0]!CopyData">
                <anchor moveWithCells="1" sizeWithCells="1">
                  <from>
                    <xdr:col>14</xdr:col>
                    <xdr:colOff>38100</xdr:colOff>
                    <xdr:row>0</xdr:row>
                    <xdr:rowOff>76200</xdr:rowOff>
                  </from>
                  <to>
                    <xdr:col>18</xdr:col>
                    <xdr:colOff>571500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87B408B-C4E1-42EC-B59D-3862438C9A35}">
          <x14:formula1>
            <xm:f>LOHNTABELLE!$Q$4:$Q$17</xm:f>
          </x14:formula1>
          <xm:sqref>E3:E82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911FEA-CA19-4495-BE72-F4093B55D9A0}">
  <sheetPr codeName="Tabelle7"/>
  <dimension ref="A1:AC82"/>
  <sheetViews>
    <sheetView showGridLines="0" showRowColHeaders="0" zoomScaleNormal="100" workbookViewId="0">
      <pane ySplit="2" topLeftCell="A20"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5</v>
      </c>
      <c r="B1" s="302" t="s">
        <v>205</v>
      </c>
      <c r="C1" s="310" t="s">
        <v>52</v>
      </c>
      <c r="D1" s="308" t="s">
        <v>206</v>
      </c>
      <c r="E1" s="308" t="s">
        <v>0</v>
      </c>
      <c r="F1" s="308" t="s">
        <v>53</v>
      </c>
      <c r="G1" s="312" t="s">
        <v>54</v>
      </c>
      <c r="H1" s="314" t="s">
        <v>55</v>
      </c>
      <c r="I1" s="316" t="s">
        <v>207</v>
      </c>
      <c r="J1" s="318" t="s">
        <v>56</v>
      </c>
      <c r="K1" s="320" t="s">
        <v>57</v>
      </c>
      <c r="L1" s="322" t="s">
        <v>58</v>
      </c>
      <c r="M1" s="306" t="s">
        <v>59</v>
      </c>
      <c r="N1" s="303" t="s">
        <v>208</v>
      </c>
      <c r="AB1" s="41">
        <f>DATE(LOHNTABELLE!$G$3, $A$1, 1)</f>
        <v>46143</v>
      </c>
    </row>
    <row r="2" spans="1:28" ht="16" customHeight="1" thickBot="1">
      <c r="A2" s="129"/>
      <c r="B2" s="302"/>
      <c r="C2" s="311"/>
      <c r="D2" s="309"/>
      <c r="E2" s="309"/>
      <c r="F2" s="309"/>
      <c r="G2" s="313"/>
      <c r="H2" s="315"/>
      <c r="I2" s="317"/>
      <c r="J2" s="319"/>
      <c r="K2" s="321"/>
      <c r="L2" s="323"/>
      <c r="M2" s="307"/>
      <c r="N2" s="303"/>
      <c r="AB2" s="41">
        <f>EOMONTH(DATE(LOHNTABELLE!$G$3, $A$1, 1), 0)</f>
        <v>46173</v>
      </c>
    </row>
    <row r="3" spans="1:28" ht="16" customHeight="1">
      <c r="A3" s="130" t="s">
        <v>60</v>
      </c>
      <c r="B3" s="169">
        <v>55</v>
      </c>
      <c r="C3" s="166" t="s">
        <v>367</v>
      </c>
      <c r="D3" s="192">
        <v>46054</v>
      </c>
      <c r="E3" s="142" t="s">
        <v>4</v>
      </c>
      <c r="F3" s="167">
        <v>173</v>
      </c>
      <c r="G3" s="184">
        <v>3500</v>
      </c>
      <c r="H3" s="157">
        <f>IF(AND(ISNUMBER(D3), ISNUMBER(F3)),
    ROUNDDOWN(
        MIN(
            IF(OR(ISBLANK(I3), I3=""),
                EOMONTH(DATE(LOHNTABELLE!$G$3, $A$1, 1), 0), I3)
            - MAX(D3, DATE(LOHNTABELLE!$G$3, $A$1, 1)) + 1)
        / DAY(EOMONTH(DATE(LOHNTABELLE!$G$3, $A$1, 1), 0)) * F3,
        2
    ),
    ""
)</f>
        <v>173</v>
      </c>
      <c r="I3" s="19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42" t="s">
        <v>61</v>
      </c>
      <c r="P3" s="242" t="s">
        <v>62</v>
      </c>
      <c r="Q3" s="240" t="s">
        <v>63</v>
      </c>
      <c r="R3" s="280" t="s">
        <v>64</v>
      </c>
      <c r="AB3" s="43"/>
    </row>
    <row r="4" spans="1:28" ht="16" customHeight="1">
      <c r="A4" s="130" t="s">
        <v>65</v>
      </c>
      <c r="B4" s="170">
        <v>401006</v>
      </c>
      <c r="C4" s="137" t="s">
        <v>262</v>
      </c>
      <c r="D4" s="193">
        <v>38188</v>
      </c>
      <c r="E4" s="134" t="s">
        <v>24</v>
      </c>
      <c r="F4" s="136">
        <v>173</v>
      </c>
      <c r="G4" s="185">
        <v>2328</v>
      </c>
      <c r="H4" s="158">
        <f>IF(AND(ISNUMBER(D4), ISNUMBER(F4)),
    ROUNDDOWN(
        MIN(
            IF(OR(ISBLANK(I4), I4=""),
                EOMONTH(DATE(LOHNTABELLE!$G$3, $A$1, 1), 0), I4)
            - MAX(D4, DATE(LOHNTABELLE!$G$3, $A$1, 1)) + 1)
        / DAY(EOMONTH(DATE(LOHNTABELLE!$G$3, $A$1, 1), 0)) * F4,
        2
    ),
    ""
)</f>
        <v>173</v>
      </c>
      <c r="I4" s="19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43"/>
      <c r="P4" s="243"/>
      <c r="Q4" s="241"/>
      <c r="R4" s="281"/>
    </row>
    <row r="5" spans="1:28" ht="16" customHeight="1">
      <c r="A5" s="131" t="s">
        <v>66</v>
      </c>
      <c r="B5" s="170">
        <v>401010</v>
      </c>
      <c r="C5" s="137" t="s">
        <v>263</v>
      </c>
      <c r="D5" s="193">
        <v>39388</v>
      </c>
      <c r="E5" s="134" t="s">
        <v>12</v>
      </c>
      <c r="F5" s="136">
        <v>173</v>
      </c>
      <c r="G5" s="185">
        <v>2183</v>
      </c>
      <c r="H5" s="158">
        <f>IF(AND(ISNUMBER(D5), ISNUMBER(F5)),
    ROUNDDOWN(
        MIN(
            IF(OR(ISBLANK(I5), I5=""),
                EOMONTH(DATE(LOHNTABELLE!$G$3, $A$1, 1), 0), I5)
            - MAX(D5, DATE(LOHNTABELLE!$G$3, $A$1, 1)) + 1)
        / DAY(EOMONTH(DATE(LOHNTABELLE!$G$3, $A$1, 1), 0)) * F5,
        2
    ),
    ""
)</f>
        <v>173</v>
      </c>
      <c r="I5" s="19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882.31923110470257</v>
      </c>
      <c r="P5" s="49">
        <f>EINSTELLUNG!I10</f>
        <v>5</v>
      </c>
      <c r="Q5" s="48">
        <f>P5-O5</f>
        <v>-877.31923110470257</v>
      </c>
      <c r="R5" s="52">
        <f>IFERROR(Q5*Q42, 0)</f>
        <v>-14174.420124954089</v>
      </c>
    </row>
    <row r="6" spans="1:28" ht="16" customHeight="1">
      <c r="A6" s="130" t="s">
        <v>67</v>
      </c>
      <c r="B6" s="170">
        <v>401047</v>
      </c>
      <c r="C6" s="137" t="s">
        <v>265</v>
      </c>
      <c r="D6" s="193">
        <v>41154</v>
      </c>
      <c r="E6" s="134" t="s">
        <v>10</v>
      </c>
      <c r="F6" s="136">
        <v>173</v>
      </c>
      <c r="G6" s="185">
        <v>2123</v>
      </c>
      <c r="H6" s="158">
        <f>IF(AND(ISNUMBER(D6), ISNUMBER(F6)),
    ROUNDDOWN(
        MIN(
            IF(OR(ISBLANK(I6), I6=""),
                EOMONTH(DATE(LOHNTABELLE!$G$3, $A$1, 1), 0), I6)
            - MAX(D6, DATE(LOHNTABELLE!$G$3, $A$1, 1)) + 1)
        / DAY(EOMONTH(DATE(LOHNTABELLE!$G$3, $A$1, 1), 0)) * F6,
        2
    ),
    ""
)</f>
        <v>173</v>
      </c>
      <c r="I6" s="19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37" t="str">
        <f>IF(Q5&lt;0, "Schlecht! Zu wenig Urlaub abgebaut.", IF(Q5&gt;0, "Gut! Mehr Urlaub abgebaut als aufgebaut.", ""))</f>
        <v>Schlecht! Zu wenig Urlaub abgebaut.</v>
      </c>
      <c r="P6" s="238"/>
      <c r="Q6" s="238"/>
      <c r="R6" s="239"/>
    </row>
    <row r="7" spans="1:28" ht="16" customHeight="1">
      <c r="A7" s="130" t="s">
        <v>68</v>
      </c>
      <c r="B7" s="170">
        <v>401049</v>
      </c>
      <c r="C7" s="137" t="s">
        <v>264</v>
      </c>
      <c r="D7" s="193">
        <v>41130</v>
      </c>
      <c r="E7" s="134" t="s">
        <v>10</v>
      </c>
      <c r="F7" s="136">
        <v>173</v>
      </c>
      <c r="G7" s="185">
        <v>2123</v>
      </c>
      <c r="H7" s="158">
        <f>IF(AND(ISNUMBER(D7), ISNUMBER(F7)),
    ROUNDDOWN(
        MIN(
            IF(OR(ISBLANK(I7), I7=""),
                EOMONTH(DATE(LOHNTABELLE!$G$3, $A$1, 1), 0), I7)
            - MAX(D7, DATE(LOHNTABELLE!$G$3, $A$1, 1)) + 1)
        / DAY(EOMONTH(DATE(LOHNTABELLE!$G$3, $A$1, 1), 0)) * F7,
        2
    ),
    ""
)</f>
        <v>173</v>
      </c>
      <c r="I7" s="19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193">
        <v>41176</v>
      </c>
      <c r="E8" s="134" t="s">
        <v>10</v>
      </c>
      <c r="F8" s="136">
        <v>173</v>
      </c>
      <c r="G8" s="185">
        <v>2123</v>
      </c>
      <c r="H8" s="158">
        <f>IF(AND(ISNUMBER(D8), ISNUMBER(F8)),
    ROUNDDOWN(
        MIN(
            IF(OR(ISBLANK(I8), I8=""),
                EOMONTH(DATE(LOHNTABELLE!$G$3, $A$1, 1), 0), I8)
            - MAX(D8, DATE(LOHNTABELLE!$G$3, $A$1, 1)) + 1)
        / DAY(EOMONTH(DATE(LOHNTABELLE!$G$3, $A$1, 1), 0)) * F8,
        2
    ),
    ""
)</f>
        <v>173</v>
      </c>
      <c r="I8" s="19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45" t="s">
        <v>70</v>
      </c>
      <c r="P8" s="246"/>
      <c r="Q8" s="247">
        <f>SUM(H3:H82)</f>
        <v>9120.7199999999993</v>
      </c>
      <c r="R8" s="247"/>
    </row>
    <row r="9" spans="1:28" ht="16" customHeight="1">
      <c r="A9" s="131" t="s">
        <v>71</v>
      </c>
      <c r="B9" s="170">
        <v>401089</v>
      </c>
      <c r="C9" s="137" t="s">
        <v>280</v>
      </c>
      <c r="D9" s="193">
        <v>44868</v>
      </c>
      <c r="E9" s="134" t="s">
        <v>8</v>
      </c>
      <c r="F9" s="136">
        <v>173</v>
      </c>
      <c r="G9" s="185">
        <v>2082</v>
      </c>
      <c r="H9" s="158">
        <f>IF(AND(ISNUMBER(D9), ISNUMBER(F9)),
    ROUNDDOWN(
        MIN(
            IF(OR(ISBLANK(I9), I9=""),
                EOMONTH(DATE(LOHNTABELLE!$G$3, $A$1, 1), 0), I9)
            - MAX(D9, DATE(LOHNTABELLE!$G$3, $A$1, 1)) + 1)
        / DAY(EOMONTH(DATE(LOHNTABELLE!$G$3, $A$1, 1), 0)) * F9,
        2
    ),
    ""
)</f>
        <v>173</v>
      </c>
      <c r="I9" s="19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45" t="s">
        <v>72</v>
      </c>
      <c r="P9" s="246"/>
      <c r="Q9" s="247">
        <f>EINSTELLUNG!L26</f>
        <v>5</v>
      </c>
      <c r="R9" s="247"/>
      <c r="S9" s="53">
        <f>IFERROR(Q9/Q8, 0)</f>
        <v>5.4820233490338488E-4</v>
      </c>
    </row>
    <row r="10" spans="1:28" ht="16" customHeight="1">
      <c r="A10" s="130" t="s">
        <v>73</v>
      </c>
      <c r="B10" s="170">
        <v>401138</v>
      </c>
      <c r="C10" s="137" t="s">
        <v>267</v>
      </c>
      <c r="D10" s="193">
        <v>42006</v>
      </c>
      <c r="E10" s="134" t="s">
        <v>10</v>
      </c>
      <c r="F10" s="136">
        <v>173</v>
      </c>
      <c r="G10" s="185">
        <v>2123</v>
      </c>
      <c r="H10" s="158">
        <f>IF(AND(ISNUMBER(D10), ISNUMBER(F10)),
    ROUNDDOWN(
        MIN(
            IF(OR(ISBLANK(I10), I10=""),
                EOMONTH(DATE(LOHNTABELLE!$G$3, $A$1, 1), 0), I10)
            - MAX(D10, DATE(LOHNTABELLE!$G$3, $A$1, 1)) + 1)
        / DAY(EOMONTH(DATE(LOHNTABELLE!$G$3, $A$1, 1), 0)) * F10,
        2
    ),
    ""
)</f>
        <v>173</v>
      </c>
      <c r="I10" s="19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45" t="s">
        <v>74</v>
      </c>
      <c r="P10" s="246"/>
      <c r="Q10" s="247">
        <f>EINSTELLUNG!I26</f>
        <v>5</v>
      </c>
      <c r="R10" s="247"/>
    </row>
    <row r="11" spans="1:28" ht="16" customHeight="1">
      <c r="A11" s="130" t="s">
        <v>75</v>
      </c>
      <c r="B11" s="170">
        <v>401197</v>
      </c>
      <c r="C11" s="137" t="s">
        <v>268</v>
      </c>
      <c r="D11" s="193">
        <v>42644</v>
      </c>
      <c r="E11" s="134" t="s">
        <v>8</v>
      </c>
      <c r="F11" s="136">
        <v>173</v>
      </c>
      <c r="G11" s="185">
        <v>2082</v>
      </c>
      <c r="H11" s="158">
        <f>IF(AND(ISNUMBER(D11), ISNUMBER(F11)),
    ROUNDDOWN(
        MIN(
            IF(OR(ISBLANK(I11), I11=""),
                EOMONTH(DATE(LOHNTABELLE!$G$3, $A$1, 1), 0), I11)
            - MAX(D11, DATE(LOHNTABELLE!$G$3, $A$1, 1)) + 1)
        / DAY(EOMONTH(DATE(LOHNTABELLE!$G$3, $A$1, 1), 0)) * F11,
        2
    ),
    ""
)</f>
        <v>173</v>
      </c>
      <c r="I11" s="19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45" t="s">
        <v>76</v>
      </c>
      <c r="P11" s="246"/>
      <c r="Q11" s="247">
        <f>P5</f>
        <v>5</v>
      </c>
      <c r="R11" s="247"/>
    </row>
    <row r="12" spans="1:28" ht="16" customHeight="1">
      <c r="A12" s="130" t="s">
        <v>77</v>
      </c>
      <c r="B12" s="170">
        <v>401214</v>
      </c>
      <c r="C12" s="137" t="s">
        <v>294</v>
      </c>
      <c r="D12" s="193">
        <v>45636</v>
      </c>
      <c r="E12" s="134" t="s">
        <v>8</v>
      </c>
      <c r="F12" s="136">
        <v>173</v>
      </c>
      <c r="G12" s="185">
        <v>2082</v>
      </c>
      <c r="H12" s="158">
        <f>IF(AND(ISNUMBER(D12), ISNUMBER(F12)),
    ROUNDDOWN(
        MIN(
            IF(OR(ISBLANK(I12), I12=""),
                EOMONTH(DATE(LOHNTABELLE!$G$3, $A$1, 1), 0), I12)
            - MAX(D12, DATE(LOHNTABELLE!$G$3, $A$1, 1)) + 1)
        / DAY(EOMONTH(DATE(LOHNTABELLE!$G$3, $A$1, 1), 0)) * F12,
        2
    ),
    ""
)</f>
        <v>173</v>
      </c>
      <c r="I12" s="19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45" t="s">
        <v>80</v>
      </c>
      <c r="P12" s="246"/>
      <c r="Q12" s="247">
        <f>Q8-Q9-Q10-Q11</f>
        <v>9105.7199999999993</v>
      </c>
      <c r="R12" s="247"/>
    </row>
    <row r="13" spans="1:28" ht="16" customHeight="1">
      <c r="A13" s="131" t="s">
        <v>79</v>
      </c>
      <c r="B13" s="170">
        <v>401276</v>
      </c>
      <c r="C13" s="137" t="s">
        <v>269</v>
      </c>
      <c r="D13" s="193">
        <v>43252</v>
      </c>
      <c r="E13" s="134" t="s">
        <v>8</v>
      </c>
      <c r="F13" s="136">
        <v>173</v>
      </c>
      <c r="G13" s="185">
        <v>2082</v>
      </c>
      <c r="H13" s="158">
        <f>IF(AND(ISNUMBER(D13), ISNUMBER(F13)),
    ROUNDDOWN(
        MIN(
            IF(OR(ISBLANK(I13), I13=""),
                EOMONTH(DATE(LOHNTABELLE!$G$3, $A$1, 1), 0), I13)
            - MAX(D13, DATE(LOHNTABELLE!$G$3, $A$1, 1)) + 1)
        / DAY(EOMONTH(DATE(LOHNTABELLE!$G$3, $A$1, 1), 0)) * F13,
        2
    ),
    ""
)</f>
        <v>173</v>
      </c>
      <c r="I13" s="19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45" t="s">
        <v>82</v>
      </c>
      <c r="P13" s="246"/>
      <c r="Q13" s="247">
        <f>EINSTELLUNG!L10</f>
        <v>5</v>
      </c>
      <c r="R13" s="247"/>
    </row>
    <row r="14" spans="1:28" ht="16" customHeight="1">
      <c r="A14" s="130" t="s">
        <v>81</v>
      </c>
      <c r="B14" s="170">
        <v>401307</v>
      </c>
      <c r="C14" s="137" t="s">
        <v>270</v>
      </c>
      <c r="D14" s="193">
        <v>43571</v>
      </c>
      <c r="E14" s="134" t="s">
        <v>8</v>
      </c>
      <c r="F14" s="136">
        <v>173</v>
      </c>
      <c r="G14" s="185">
        <v>2082</v>
      </c>
      <c r="H14" s="158">
        <f>IF(AND(ISNUMBER(D14), ISNUMBER(F14)),
    ROUNDDOWN(
        MIN(
            IF(OR(ISBLANK(I14), I14=""),
                EOMONTH(DATE(LOHNTABELLE!$G$3, $A$1, 1), 0), I14)
            - MAX(D14, DATE(LOHNTABELLE!$G$3, $A$1, 1)) + 1)
        / DAY(EOMONTH(DATE(LOHNTABELLE!$G$3, $A$1, 1), 0)) * F14,
        2
    ),
    ""
)</f>
        <v>173</v>
      </c>
      <c r="I14" s="19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45" t="s">
        <v>84</v>
      </c>
      <c r="P14" s="246"/>
      <c r="Q14" s="247">
        <f>Q12-Q13</f>
        <v>9100.7199999999993</v>
      </c>
      <c r="R14" s="247"/>
    </row>
    <row r="15" spans="1:28" ht="16" customHeight="1">
      <c r="A15" s="130" t="s">
        <v>83</v>
      </c>
      <c r="B15" s="170">
        <v>401308</v>
      </c>
      <c r="C15" s="139" t="s">
        <v>271</v>
      </c>
      <c r="D15" s="193">
        <v>43579</v>
      </c>
      <c r="E15" s="134" t="s">
        <v>8</v>
      </c>
      <c r="F15" s="136">
        <v>173</v>
      </c>
      <c r="G15" s="185">
        <v>2082</v>
      </c>
      <c r="H15" s="158">
        <f>IF(AND(ISNUMBER(D15), ISNUMBER(F15)),
    ROUNDDOWN(
        MIN(
            IF(OR(ISBLANK(I15), I15=""),
                EOMONTH(DATE(LOHNTABELLE!$G$3, $A$1, 1), 0), I15)
            - MAX(D15, DATE(LOHNTABELLE!$G$3, $A$1, 1)) + 1)
        / DAY(EOMONTH(DATE(LOHNTABELLE!$G$3, $A$1, 1), 0)) * F15,
        2
    ),
    ""
)</f>
        <v>173</v>
      </c>
      <c r="I15" s="19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370" t="str">
        <f>IF(Q14&lt;0, "Schlecht! Zu wenig Stunden für Dienstplan.", IF(Q14&gt;0, "Du hast mehr als genug Stunden für Dienstplan.", ""))</f>
        <v>Du hast mehr als genug Stunden für Dienstplan.</v>
      </c>
      <c r="P15" s="370"/>
      <c r="Q15" s="370"/>
      <c r="R15" s="370"/>
      <c r="S15" s="100"/>
      <c r="T15" s="100"/>
      <c r="U15" s="100"/>
    </row>
    <row r="16" spans="1:28" ht="16" customHeight="1">
      <c r="A16" s="130" t="s">
        <v>85</v>
      </c>
      <c r="B16" s="170">
        <v>401389</v>
      </c>
      <c r="C16" s="137" t="s">
        <v>273</v>
      </c>
      <c r="D16" s="193">
        <v>44384</v>
      </c>
      <c r="E16" s="134" t="s">
        <v>22</v>
      </c>
      <c r="F16" s="136">
        <v>173</v>
      </c>
      <c r="G16" s="185">
        <v>2300</v>
      </c>
      <c r="H16" s="158">
        <f>IF(AND(ISNUMBER(D16), ISNUMBER(F16)),
    ROUNDDOWN(
        MIN(
            IF(OR(ISBLANK(I16), I16=""),
                EOMONTH(DATE(LOHNTABELLE!$G$3, $A$1, 1), 0), I16)
            - MAX(D16, DATE(LOHNTABELLE!$G$3, $A$1, 1)) + 1)
        / DAY(EOMONTH(DATE(LOHNTABELLE!$G$3, $A$1, 1), 0)) * F16,
        2
    ),
    ""
)</f>
        <v>173</v>
      </c>
      <c r="I16" s="19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W16" s="45"/>
    </row>
    <row r="17" spans="1:29" ht="16" customHeight="1">
      <c r="A17" s="131" t="s">
        <v>86</v>
      </c>
      <c r="B17" s="170">
        <v>401394</v>
      </c>
      <c r="C17" s="137" t="s">
        <v>272</v>
      </c>
      <c r="D17" s="193">
        <v>44379</v>
      </c>
      <c r="E17" s="134" t="s">
        <v>4</v>
      </c>
      <c r="F17" s="136">
        <v>173</v>
      </c>
      <c r="G17" s="185">
        <v>3500</v>
      </c>
      <c r="H17" s="158">
        <f>IF(AND(ISNUMBER(D17), ISNUMBER(F17)),
    ROUNDDOWN(
        MIN(
            IF(OR(ISBLANK(I17), I17=""),
                EOMONTH(DATE(LOHNTABELLE!$G$3, $A$1, 1), 0), I17)
            - MAX(D17, DATE(LOHNTABELLE!$G$3, $A$1, 1)) + 1)
        / DAY(EOMONTH(DATE(LOHNTABELLE!$G$3, $A$1, 1), 0)) * F17,
        2
    ),
    ""
)</f>
        <v>173</v>
      </c>
      <c r="I17" s="19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53" t="s">
        <v>87</v>
      </c>
      <c r="P17" s="254"/>
      <c r="Q17" s="277">
        <f>SUM(L3:L82)</f>
        <v>147359.03709677418</v>
      </c>
      <c r="R17" s="277"/>
      <c r="W17" s="45"/>
    </row>
    <row r="18" spans="1:29" ht="16" customHeight="1">
      <c r="A18" s="130" t="s">
        <v>88</v>
      </c>
      <c r="B18" s="170">
        <v>401432</v>
      </c>
      <c r="C18" s="137" t="s">
        <v>274</v>
      </c>
      <c r="D18" s="193">
        <v>44441</v>
      </c>
      <c r="E18" s="134" t="s">
        <v>4</v>
      </c>
      <c r="F18" s="136">
        <v>173</v>
      </c>
      <c r="G18" s="185">
        <v>3500</v>
      </c>
      <c r="H18" s="158">
        <f>IF(AND(ISNUMBER(D18), ISNUMBER(F18)),
    ROUNDDOWN(
        MIN(
            IF(OR(ISBLANK(I18), I18=""),
                EOMONTH(DATE(LOHNTABELLE!$G$3, $A$1, 1), 0), I18)
            - MAX(D18, DATE(LOHNTABELLE!$G$3, $A$1, 1)) + 1)
        / DAY(EOMONTH(DATE(LOHNTABELLE!$G$3, $A$1, 1), 0)) * F18,
        2
    ),
    ""
)</f>
        <v>173</v>
      </c>
      <c r="I18" s="19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335"/>
      <c r="P18" s="366"/>
      <c r="Q18" s="367"/>
      <c r="R18" s="244"/>
    </row>
    <row r="19" spans="1:29" ht="16" customHeight="1">
      <c r="A19" s="130" t="s">
        <v>89</v>
      </c>
      <c r="B19" s="170">
        <v>401476</v>
      </c>
      <c r="C19" s="137" t="s">
        <v>276</v>
      </c>
      <c r="D19" s="193">
        <v>44504</v>
      </c>
      <c r="E19" s="134" t="s">
        <v>4</v>
      </c>
      <c r="F19" s="136">
        <v>173</v>
      </c>
      <c r="G19" s="185">
        <v>3500</v>
      </c>
      <c r="H19" s="158">
        <f>IF(AND(ISNUMBER(D19), ISNUMBER(F19)),
    ROUNDDOWN(
        MIN(
            IF(OR(ISBLANK(I19), I19=""),
                EOMONTH(DATE(LOHNTABELLE!$G$3, $A$1, 1), 0), I19)
            - MAX(D19, DATE(LOHNTABELLE!$G$3, $A$1, 1)) + 1)
        / DAY(EOMONTH(DATE(LOHNTABELLE!$G$3, $A$1, 1), 0)) * F19,
        2
    ),
    ""
)</f>
        <v>173</v>
      </c>
      <c r="I19" s="19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335"/>
      <c r="P19" s="366"/>
      <c r="Q19" s="367"/>
      <c r="R19" s="244"/>
    </row>
    <row r="20" spans="1:29" ht="16" customHeight="1">
      <c r="A20" s="130" t="s">
        <v>90</v>
      </c>
      <c r="B20" s="170">
        <v>401479</v>
      </c>
      <c r="C20" s="137" t="s">
        <v>277</v>
      </c>
      <c r="D20" s="193">
        <v>44511</v>
      </c>
      <c r="E20" s="134" t="s">
        <v>13</v>
      </c>
      <c r="F20" s="136">
        <v>173</v>
      </c>
      <c r="G20" s="185">
        <v>2160</v>
      </c>
      <c r="H20" s="158">
        <f>IF(AND(ISNUMBER(D20), ISNUMBER(F20)),
    ROUNDDOWN(
        MIN(
            IF(OR(ISBLANK(I20), I20=""),
                EOMONTH(DATE(LOHNTABELLE!$G$3, $A$1, 1), 0), I20)
            - MAX(D20, DATE(LOHNTABELLE!$G$3, $A$1, 1)) + 1)
        / DAY(EOMONTH(DATE(LOHNTABELLE!$G$3, $A$1, 1), 0)) * F20,
        2
    ),
    ""
)</f>
        <v>173</v>
      </c>
      <c r="I20" s="19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335"/>
      <c r="P20" s="366"/>
      <c r="Q20" s="367"/>
      <c r="R20" s="244"/>
    </row>
    <row r="21" spans="1:29" ht="16" customHeight="1">
      <c r="A21" s="131" t="s">
        <v>92</v>
      </c>
      <c r="B21" s="170">
        <v>401481</v>
      </c>
      <c r="C21" s="137" t="s">
        <v>278</v>
      </c>
      <c r="D21" s="193">
        <v>44531</v>
      </c>
      <c r="E21" s="134" t="s">
        <v>4</v>
      </c>
      <c r="F21" s="136">
        <v>173</v>
      </c>
      <c r="G21" s="185">
        <v>3500</v>
      </c>
      <c r="H21" s="158">
        <f>IF(AND(ISNUMBER(D21), ISNUMBER(F21)),
    ROUNDDOWN(
        MIN(
            IF(OR(ISBLANK(I21), I21=""),
                EOMONTH(DATE(LOHNTABELLE!$G$3, $A$1, 1), 0), I21)
            - MAX(D21, DATE(LOHNTABELLE!$G$3, $A$1, 1)) + 1)
        / DAY(EOMONTH(DATE(LOHNTABELLE!$G$3, $A$1, 1), 0)) * F21,
        2
    ),
    ""
)</f>
        <v>173</v>
      </c>
      <c r="I21" s="19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335" t="s">
        <v>356</v>
      </c>
      <c r="P21" s="366"/>
      <c r="Q21" s="367">
        <v>5000</v>
      </c>
      <c r="R21" s="244"/>
    </row>
    <row r="22" spans="1:29" ht="16" customHeight="1">
      <c r="A22" s="130" t="s">
        <v>93</v>
      </c>
      <c r="B22" s="170">
        <v>401558</v>
      </c>
      <c r="C22" s="137" t="s">
        <v>275</v>
      </c>
      <c r="D22" s="193">
        <v>44460</v>
      </c>
      <c r="E22" s="134" t="s">
        <v>4</v>
      </c>
      <c r="F22" s="136">
        <v>173</v>
      </c>
      <c r="G22" s="185">
        <v>3500</v>
      </c>
      <c r="H22" s="158">
        <f>IF(AND(ISNUMBER(D22), ISNUMBER(F22)),
    ROUNDDOWN(
        MIN(
            IF(OR(ISBLANK(I22), I22=""),
                EOMONTH(DATE(LOHNTABELLE!$G$3, $A$1, 1), 0), I22)
            - MAX(D22, DATE(LOHNTABELLE!$G$3, $A$1, 1)) + 1)
        / DAY(EOMONTH(DATE(LOHNTABELLE!$G$3, $A$1, 1), 0)) * F22,
        2
    ),
    ""
)</f>
        <v>173</v>
      </c>
      <c r="I22" s="19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335"/>
      <c r="P22" s="366"/>
      <c r="Q22" s="367"/>
      <c r="R22" s="244"/>
    </row>
    <row r="23" spans="1:29" ht="16" customHeight="1">
      <c r="A23" s="130" t="s">
        <v>94</v>
      </c>
      <c r="B23" s="170">
        <v>401564</v>
      </c>
      <c r="C23" s="137" t="s">
        <v>279</v>
      </c>
      <c r="D23" s="193">
        <v>44824</v>
      </c>
      <c r="E23" s="134" t="s">
        <v>4</v>
      </c>
      <c r="F23" s="136">
        <v>173</v>
      </c>
      <c r="G23" s="185">
        <v>3500</v>
      </c>
      <c r="H23" s="158">
        <f>IF(AND(ISNUMBER(D23), ISNUMBER(F23)),
    ROUNDDOWN(
        MIN(
            IF(OR(ISBLANK(I23), I23=""),
                EOMONTH(DATE(LOHNTABELLE!$G$3, $A$1, 1), 0), I23)
            - MAX(D23, DATE(LOHNTABELLE!$G$3, $A$1, 1)) + 1)
        / DAY(EOMONTH(DATE(LOHNTABELLE!$G$3, $A$1, 1), 0)) * F23,
        2
    ),
    ""
)</f>
        <v>173</v>
      </c>
      <c r="I23" s="19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335"/>
      <c r="P23" s="366"/>
      <c r="Q23" s="367"/>
      <c r="R23" s="244"/>
      <c r="W23" s="45"/>
    </row>
    <row r="24" spans="1:29" ht="16" customHeight="1">
      <c r="A24" s="130" t="s">
        <v>95</v>
      </c>
      <c r="B24" s="170">
        <v>401583</v>
      </c>
      <c r="C24" s="137" t="s">
        <v>281</v>
      </c>
      <c r="D24" s="193">
        <v>44900</v>
      </c>
      <c r="E24" s="134" t="s">
        <v>21</v>
      </c>
      <c r="F24" s="136">
        <v>173</v>
      </c>
      <c r="G24" s="185">
        <v>2300</v>
      </c>
      <c r="H24" s="158">
        <f>IF(AND(ISNUMBER(D24), ISNUMBER(F24)),
    ROUNDDOWN(
        MIN(
            IF(OR(ISBLANK(I24), I24=""),
                EOMONTH(DATE(LOHNTABELLE!$G$3, $A$1, 1), 0), I24)
            - MAX(D24, DATE(LOHNTABELLE!$G$3, $A$1, 1)) + 1)
        / DAY(EOMONTH(DATE(LOHNTABELLE!$G$3, $A$1, 1), 0)) * F24,
        2
    ),
    ""
)</f>
        <v>173</v>
      </c>
      <c r="I24" s="19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35"/>
      <c r="P24" s="366"/>
      <c r="Q24" s="367"/>
      <c r="R24" s="244"/>
      <c r="W24" s="45"/>
    </row>
    <row r="25" spans="1:29" ht="16" customHeight="1" thickBot="1">
      <c r="A25" s="131" t="s">
        <v>96</v>
      </c>
      <c r="B25" s="170">
        <v>401589</v>
      </c>
      <c r="C25" s="137" t="s">
        <v>282</v>
      </c>
      <c r="D25" s="193">
        <v>44926</v>
      </c>
      <c r="E25" s="134" t="s">
        <v>21</v>
      </c>
      <c r="F25" s="136">
        <v>173</v>
      </c>
      <c r="G25" s="185">
        <v>2300</v>
      </c>
      <c r="H25" s="158">
        <f>IF(AND(ISNUMBER(D25), ISNUMBER(F25)),
    ROUNDDOWN(
        MIN(
            IF(OR(ISBLANK(I25), I25=""),
                EOMONTH(DATE(LOHNTABELLE!$G$3, $A$1, 1), 0), I25)
            - MAX(D25, DATE(LOHNTABELLE!$G$3, $A$1, 1)) + 1)
        / DAY(EOMONTH(DATE(LOHNTABELLE!$G$3, $A$1, 1), 0)) * F25,
        2
    ),
    ""
)</f>
        <v>173</v>
      </c>
      <c r="I25" s="19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350"/>
      <c r="P25" s="368"/>
      <c r="Q25" s="369"/>
      <c r="R25" s="286"/>
    </row>
    <row r="26" spans="1:29" ht="16" customHeight="1">
      <c r="A26" s="130" t="s">
        <v>97</v>
      </c>
      <c r="B26" s="170">
        <v>401602</v>
      </c>
      <c r="C26" s="139" t="s">
        <v>283</v>
      </c>
      <c r="D26" s="193">
        <v>45975</v>
      </c>
      <c r="E26" s="134" t="s">
        <v>4</v>
      </c>
      <c r="F26" s="136">
        <v>173</v>
      </c>
      <c r="G26" s="185">
        <v>3500</v>
      </c>
      <c r="H26" s="158">
        <f>IF(AND(ISNUMBER(D26), ISNUMBER(F26)),
    ROUNDDOWN(
        MIN(
            IF(OR(ISBLANK(I26), I26=""),
                EOMONTH(DATE(LOHNTABELLE!$G$3, $A$1, 1), 0), I26)
            - MAX(D26, DATE(LOHNTABELLE!$G$3, $A$1, 1)) + 1)
        / DAY(EOMONTH(DATE(LOHNTABELLE!$G$3, $A$1, 1), 0)) * F26,
        2
    ),
    ""
)</f>
        <v>173</v>
      </c>
      <c r="I26" s="19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96"/>
      <c r="P26" s="297"/>
      <c r="Q26" s="287"/>
      <c r="R26" s="288"/>
    </row>
    <row r="27" spans="1:29" ht="16" customHeight="1">
      <c r="A27" s="130" t="s">
        <v>98</v>
      </c>
      <c r="B27" s="170">
        <v>401605</v>
      </c>
      <c r="C27" s="137" t="s">
        <v>284</v>
      </c>
      <c r="D27" s="193">
        <v>44986</v>
      </c>
      <c r="E27" s="134" t="s">
        <v>4</v>
      </c>
      <c r="F27" s="136">
        <v>173</v>
      </c>
      <c r="G27" s="185">
        <v>3500</v>
      </c>
      <c r="H27" s="158">
        <f>IF(AND(ISNUMBER(D27), ISNUMBER(F27)),
    ROUNDDOWN(
        MIN(
            IF(OR(ISBLANK(I27), I27=""),
                EOMONTH(DATE(LOHNTABELLE!$G$3, $A$1, 1), 0), I27)
            - MAX(D27, DATE(LOHNTABELLE!$G$3, $A$1, 1)) + 1)
        / DAY(EOMONTH(DATE(LOHNTABELLE!$G$3, $A$1, 1), 0)) * F27,
        2
    ),
    ""
)</f>
        <v>173</v>
      </c>
      <c r="I27" s="19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51"/>
      <c r="P27" s="252"/>
      <c r="Q27" s="244"/>
      <c r="R27" s="289"/>
      <c r="S27" s="249" t="s">
        <v>99</v>
      </c>
      <c r="T27" s="250"/>
      <c r="U27" s="250"/>
      <c r="V27" s="250"/>
    </row>
    <row r="28" spans="1:29" ht="16" customHeight="1" thickBot="1">
      <c r="A28" s="130" t="s">
        <v>100</v>
      </c>
      <c r="B28" s="170">
        <v>401626</v>
      </c>
      <c r="C28" s="137" t="s">
        <v>285</v>
      </c>
      <c r="D28" s="193">
        <v>45063</v>
      </c>
      <c r="E28" s="134" t="s">
        <v>4</v>
      </c>
      <c r="F28" s="136">
        <v>173</v>
      </c>
      <c r="G28" s="185">
        <v>3500</v>
      </c>
      <c r="H28" s="158">
        <f>IF(AND(ISNUMBER(D28), ISNUMBER(F28)),
    ROUNDDOWN(
        MIN(
            IF(OR(ISBLANK(I28), I28=""),
                EOMONTH(DATE(LOHNTABELLE!$G$3, $A$1, 1), 0), I28)
            - MAX(D28, DATE(LOHNTABELLE!$G$3, $A$1, 1)) + 1)
        / DAY(EOMONTH(DATE(LOHNTABELLE!$G$3, $A$1, 1), 0)) * F28,
        2
    ),
    ""
)</f>
        <v>173</v>
      </c>
      <c r="I28" s="19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90"/>
      <c r="P28" s="291"/>
      <c r="Q28" s="292"/>
      <c r="R28" s="293"/>
    </row>
    <row r="29" spans="1:29" ht="16" customHeight="1" thickBot="1">
      <c r="A29" s="131" t="s">
        <v>101</v>
      </c>
      <c r="B29" s="170">
        <v>401633</v>
      </c>
      <c r="C29" s="137" t="s">
        <v>286</v>
      </c>
      <c r="D29" s="193">
        <v>45089</v>
      </c>
      <c r="E29" s="134" t="s">
        <v>21</v>
      </c>
      <c r="F29" s="136">
        <v>173</v>
      </c>
      <c r="G29" s="185">
        <v>2300</v>
      </c>
      <c r="H29" s="158">
        <f>IF(AND(ISNUMBER(D29), ISNUMBER(F29)),
    ROUNDDOWN(
        MIN(
            IF(OR(ISBLANK(I29), I29=""),
                EOMONTH(DATE(LOHNTABELLE!$G$3, $A$1, 1), 0), I29)
            - MAX(D29, DATE(LOHNTABELLE!$G$3, $A$1, 1)) + 1)
        / DAY(EOMONTH(DATE(LOHNTABELLE!$G$3, $A$1, 1), 0)) * F29,
        2
    ),
    ""
)</f>
        <v>173</v>
      </c>
      <c r="I29" s="19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82" t="s">
        <v>102</v>
      </c>
      <c r="P29" s="283"/>
      <c r="Q29" s="284">
        <f>EINSTELLUNG!O10</f>
        <v>5</v>
      </c>
      <c r="R29" s="285"/>
    </row>
    <row r="30" spans="1:29" ht="16" customHeight="1">
      <c r="A30" s="130" t="s">
        <v>103</v>
      </c>
      <c r="B30" s="170">
        <v>401647</v>
      </c>
      <c r="C30" s="137" t="s">
        <v>287</v>
      </c>
      <c r="D30" s="193">
        <v>45182</v>
      </c>
      <c r="E30" s="134" t="s">
        <v>4</v>
      </c>
      <c r="F30" s="136">
        <v>173</v>
      </c>
      <c r="G30" s="185">
        <v>3500</v>
      </c>
      <c r="H30" s="158">
        <f>IF(AND(ISNUMBER(D30), ISNUMBER(F30)),
    ROUNDDOWN(
        MIN(
            IF(OR(ISBLANK(I30), I30=""),
                EOMONTH(DATE(LOHNTABELLE!$G$3, $A$1, 1), 0), I30)
            - MAX(D30, DATE(LOHNTABELLE!$G$3, $A$1, 1)) + 1)
        / DAY(EOMONTH(DATE(LOHNTABELLE!$G$3, $A$1, 1), 0)) * F30,
        2
    ),
    ""
)</f>
        <v>173</v>
      </c>
      <c r="I30" s="19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193">
        <v>45261</v>
      </c>
      <c r="E31" s="134" t="s">
        <v>4</v>
      </c>
      <c r="F31" s="136">
        <v>173</v>
      </c>
      <c r="G31" s="185">
        <v>3500</v>
      </c>
      <c r="H31" s="158">
        <f>IF(AND(ISNUMBER(D31), ISNUMBER(F31)),
    ROUNDDOWN(
        MIN(
            IF(OR(ISBLANK(I31), I31=""),
                EOMONTH(DATE(LOHNTABELLE!$G$3, $A$1, 1), 0), I31)
            - MAX(D31, DATE(LOHNTABELLE!$G$3, $A$1, 1)) + 1)
        / DAY(EOMONTH(DATE(LOHNTABELLE!$G$3, $A$1, 1), 0)) * F31,
        2
    ),
    ""
)</f>
        <v>173</v>
      </c>
      <c r="I31" s="19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98">
        <v>0</v>
      </c>
      <c r="P31" s="299"/>
      <c r="Q31" s="300">
        <v>0</v>
      </c>
      <c r="R31" s="301"/>
    </row>
    <row r="32" spans="1:29" ht="16" customHeight="1">
      <c r="A32" s="130" t="s">
        <v>106</v>
      </c>
      <c r="B32" s="170">
        <v>401670</v>
      </c>
      <c r="C32" s="137" t="s">
        <v>289</v>
      </c>
      <c r="D32" s="193">
        <v>45358</v>
      </c>
      <c r="E32" s="134" t="s">
        <v>4</v>
      </c>
      <c r="F32" s="136">
        <v>173</v>
      </c>
      <c r="G32" s="185">
        <v>3500</v>
      </c>
      <c r="H32" s="158">
        <f>IF(AND(ISNUMBER(D32), ISNUMBER(F32)),
    ROUNDDOWN(
        MIN(
            IF(OR(ISBLANK(I32), I32=""),
                EOMONTH(DATE(LOHNTABELLE!$G$3, $A$1, 1), 0), I32)
            - MAX(D32, DATE(LOHNTABELLE!$G$3, $A$1, 1)) + 1)
        / DAY(EOMONTH(DATE(LOHNTABELLE!$G$3, $A$1, 1), 0)) * F32,
        2
    ),
    ""
)</f>
        <v>173</v>
      </c>
      <c r="I32" s="19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401678</v>
      </c>
      <c r="C33" s="137" t="s">
        <v>290</v>
      </c>
      <c r="D33" s="193">
        <v>45414</v>
      </c>
      <c r="E33" s="134" t="s">
        <v>4</v>
      </c>
      <c r="F33" s="136">
        <v>173</v>
      </c>
      <c r="G33" s="185">
        <v>3500</v>
      </c>
      <c r="H33" s="158">
        <f>IF(AND(ISNUMBER(D33), ISNUMBER(F33)),
    ROUNDDOWN(
        MIN(
            IF(OR(ISBLANK(I33), I33=""),
                EOMONTH(DATE(LOHNTABELLE!$G$3, $A$1, 1), 0), I33)
            - MAX(D33, DATE(LOHNTABELLE!$G$3, $A$1, 1)) + 1)
        / DAY(EOMONTH(DATE(LOHNTABELLE!$G$3, $A$1, 1), 0)) * F33,
        2
    ),
    ""
)</f>
        <v>173</v>
      </c>
      <c r="I33" s="19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66"/>
      <c r="P33" s="267"/>
      <c r="Q33" s="364" t="str">
        <f>EINSTELLUNG!B3</f>
        <v>Budget Zahlen</v>
      </c>
      <c r="R33" s="364"/>
      <c r="S33" s="365" t="str">
        <f>EINSTELLUNG!B19</f>
        <v>Projection/Aktuell Zahlen</v>
      </c>
      <c r="T33" s="365"/>
      <c r="U33" s="365" t="s">
        <v>110</v>
      </c>
      <c r="V33" s="365"/>
    </row>
    <row r="34" spans="1:24" ht="16" customHeight="1">
      <c r="A34" s="130" t="s">
        <v>111</v>
      </c>
      <c r="B34" s="170">
        <v>401690</v>
      </c>
      <c r="C34" s="137" t="s">
        <v>292</v>
      </c>
      <c r="D34" s="193">
        <v>45536</v>
      </c>
      <c r="E34" s="134" t="s">
        <v>4</v>
      </c>
      <c r="F34" s="136">
        <v>173</v>
      </c>
      <c r="G34" s="185">
        <v>3500</v>
      </c>
      <c r="H34" s="158">
        <f>IF(AND(ISNUMBER(D34), ISNUMBER(F34)),
    ROUNDDOWN(
        MIN(
            IF(OR(ISBLANK(I34), I34=""),
                EOMONTH(DATE(LOHNTABELLE!$G$3, $A$1, 1), 0), I34)
            - MAX(D34, DATE(LOHNTABELLE!$G$3, $A$1, 1)) + 1)
        / DAY(EOMONTH(DATE(LOHNTABELLE!$G$3, $A$1, 1), 0)) * F34,
        2
    ),
    ""
)</f>
        <v>173</v>
      </c>
      <c r="I34" s="19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66"/>
      <c r="P34" s="267"/>
      <c r="Q34" s="364"/>
      <c r="R34" s="364"/>
      <c r="S34" s="365"/>
      <c r="T34" s="365"/>
      <c r="U34" s="365"/>
      <c r="V34" s="365"/>
    </row>
    <row r="35" spans="1:24" ht="16" customHeight="1">
      <c r="A35" s="130" t="s">
        <v>112</v>
      </c>
      <c r="B35" s="170">
        <v>401703</v>
      </c>
      <c r="C35" s="137" t="s">
        <v>293</v>
      </c>
      <c r="D35" s="193">
        <v>45616</v>
      </c>
      <c r="E35" s="134" t="s">
        <v>4</v>
      </c>
      <c r="F35" s="136">
        <v>173</v>
      </c>
      <c r="G35" s="185">
        <v>3500</v>
      </c>
      <c r="H35" s="158">
        <f>IF(AND(ISNUMBER(D35), ISNUMBER(F35)),
    ROUNDDOWN(
        MIN(
            IF(OR(ISBLANK(I35), I35=""),
                EOMONTH(DATE(LOHNTABELLE!$G$3, $A$1, 1), 0), I35)
            - MAX(D35, DATE(LOHNTABELLE!$G$3, $A$1, 1)) + 1)
        / DAY(EOMONTH(DATE(LOHNTABELLE!$G$3, $A$1, 1), 0)) * F35,
        2
    ),
    ""
)</f>
        <v>173</v>
      </c>
      <c r="I35" s="19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55" t="s">
        <v>113</v>
      </c>
      <c r="P35" s="256"/>
      <c r="Q35" s="257">
        <f>EINSTELLUNG!C10</f>
        <v>5</v>
      </c>
      <c r="R35" s="257"/>
      <c r="S35" s="257">
        <f>EINSTELLUNG!C26</f>
        <v>5</v>
      </c>
      <c r="T35" s="257"/>
      <c r="U35" s="258">
        <f>S35-Q35</f>
        <v>0</v>
      </c>
      <c r="V35" s="258"/>
    </row>
    <row r="36" spans="1:24" ht="16" customHeight="1">
      <c r="A36" s="130" t="s">
        <v>114</v>
      </c>
      <c r="B36" s="170">
        <v>401715</v>
      </c>
      <c r="C36" s="137" t="s">
        <v>295</v>
      </c>
      <c r="D36" s="193">
        <v>45755</v>
      </c>
      <c r="E36" s="134" t="s">
        <v>4</v>
      </c>
      <c r="F36" s="136">
        <v>173</v>
      </c>
      <c r="G36" s="185">
        <v>3500</v>
      </c>
      <c r="H36" s="158">
        <f>IF(AND(ISNUMBER(D36), ISNUMBER(F36)),
    ROUNDDOWN(
        MIN(
            IF(OR(ISBLANK(I36), I36=""),
                EOMONTH(DATE(LOHNTABELLE!$G$3, $A$1, 1), 0), I36)
            - MAX(D36, DATE(LOHNTABELLE!$G$3, $A$1, 1)) + 1)
        / DAY(EOMONTH(DATE(LOHNTABELLE!$G$3, $A$1, 1), 0)) * F36,
        2
    ),
    ""
)</f>
        <v>173</v>
      </c>
      <c r="I36" s="19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55" t="s">
        <v>115</v>
      </c>
      <c r="P36" s="256"/>
      <c r="Q36" s="257">
        <f>EINSTELLUNG!D10</f>
        <v>5</v>
      </c>
      <c r="R36" s="257"/>
      <c r="S36" s="257" cm="1">
        <f t="array" ref="S36">SumMergedCells(Q17:R29)</f>
        <v>152364.03709999999</v>
      </c>
      <c r="T36" s="257"/>
      <c r="U36" s="258">
        <f t="shared" ref="U36:U41" si="2">S36-Q36</f>
        <v>152359.03709999999</v>
      </c>
      <c r="V36" s="258"/>
    </row>
    <row r="37" spans="1:24" ht="16" customHeight="1">
      <c r="A37" s="131" t="s">
        <v>116</v>
      </c>
      <c r="B37" s="170">
        <v>401716</v>
      </c>
      <c r="C37" s="137" t="s">
        <v>296</v>
      </c>
      <c r="D37" s="193">
        <v>45800</v>
      </c>
      <c r="E37" s="134" t="s">
        <v>4</v>
      </c>
      <c r="F37" s="136">
        <v>173</v>
      </c>
      <c r="G37" s="185">
        <v>3500</v>
      </c>
      <c r="H37" s="158">
        <f>IF(AND(ISNUMBER(D37), ISNUMBER(F37)),
    ROUNDDOWN(
        MIN(
            IF(OR(ISBLANK(I37), I37=""),
                EOMONTH(DATE(LOHNTABELLE!$G$3, $A$1, 1), 0), I37)
            - MAX(D37, DATE(LOHNTABELLE!$G$3, $A$1, 1)) + 1)
        / DAY(EOMONTH(DATE(LOHNTABELLE!$G$3, $A$1, 1), 0)) * F37,
        2
    ),
    ""
)</f>
        <v>173</v>
      </c>
      <c r="I37" s="19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55" t="s">
        <v>117</v>
      </c>
      <c r="P37" s="256"/>
      <c r="Q37" s="264">
        <f>IF(ISERROR(Q36/Q35), 0, Q36/Q35)</f>
        <v>1</v>
      </c>
      <c r="R37" s="264"/>
      <c r="S37" s="264">
        <f>IF(ISERROR(S36/S35), 0, S36/S35)</f>
        <v>30472.807419999997</v>
      </c>
      <c r="T37" s="264"/>
      <c r="U37" s="265">
        <f t="shared" si="2"/>
        <v>30471.807419999997</v>
      </c>
      <c r="V37" s="265"/>
    </row>
    <row r="38" spans="1:24" ht="16" customHeight="1">
      <c r="A38" s="130" t="s">
        <v>118</v>
      </c>
      <c r="B38" s="170">
        <v>401717</v>
      </c>
      <c r="C38" s="137" t="s">
        <v>297</v>
      </c>
      <c r="D38" s="193">
        <v>45814</v>
      </c>
      <c r="E38" s="134" t="s">
        <v>4</v>
      </c>
      <c r="F38" s="136">
        <v>173</v>
      </c>
      <c r="G38" s="185">
        <v>3500</v>
      </c>
      <c r="H38" s="158">
        <f>IF(AND(ISNUMBER(D38), ISNUMBER(F38)),
    ROUNDDOWN(
        MIN(
            IF(OR(ISBLANK(I39), I39=""),
                EOMONTH(DATE(LOHNTABELLE!$G$3, $A$1, 1), 0), I39)
            - MAX(D38, DATE(LOHNTABELLE!$G$3, $A$1, 1)) + 1)
        / DAY(EOMONTH(DATE(LOHNTABELLE!$G$3, $A$1, 1), 0)) * F38,
        2
    ),
    ""
)</f>
        <v>173</v>
      </c>
      <c r="I38" s="19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55" t="s">
        <v>119</v>
      </c>
      <c r="P38" s="256"/>
      <c r="Q38" s="259">
        <f>EINSTELLUNG!F10</f>
        <v>5</v>
      </c>
      <c r="R38" s="259"/>
      <c r="S38" s="259">
        <f>EINSTELLUNG!F26</f>
        <v>5</v>
      </c>
      <c r="T38" s="259"/>
      <c r="U38" s="260">
        <f t="shared" si="2"/>
        <v>0</v>
      </c>
      <c r="V38" s="260"/>
    </row>
    <row r="39" spans="1:24" ht="16" customHeight="1">
      <c r="A39" s="130" t="s">
        <v>120</v>
      </c>
      <c r="B39" s="170">
        <v>401722</v>
      </c>
      <c r="C39" s="137" t="s">
        <v>298</v>
      </c>
      <c r="D39" s="193">
        <v>45848</v>
      </c>
      <c r="E39" s="134" t="s">
        <v>4</v>
      </c>
      <c r="F39" s="136">
        <v>86.5</v>
      </c>
      <c r="G39" s="185">
        <v>1010.5</v>
      </c>
      <c r="H39" s="158">
        <f>IF(AND(ISNUMBER(D39), ISNUMBER(F39)),
    ROUNDDOWN(
        MIN(
            IF(OR(ISBLANK(I40), I40=""),
                EOMONTH(DATE(LOHNTABELLE!$G$3, $A$1, 1), 0), I40)
            - MAX(D39, DATE(LOHNTABELLE!$G$3, $A$1, 1)) + 1)
        / DAY(EOMONTH(DATE(LOHNTABELLE!$G$3, $A$1, 1), 0)) * F39,
        2
    ),
    ""
)</f>
        <v>86.5</v>
      </c>
      <c r="I39" s="19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55" t="s">
        <v>121</v>
      </c>
      <c r="P39" s="256"/>
      <c r="Q39" s="257">
        <f>IF(Q38=0, 0, Q35/Q38)</f>
        <v>1</v>
      </c>
      <c r="R39" s="257"/>
      <c r="S39" s="257">
        <f>IF(S38=0, 0, S35/S38)</f>
        <v>1</v>
      </c>
      <c r="T39" s="257"/>
      <c r="U39" s="258">
        <f t="shared" si="2"/>
        <v>0</v>
      </c>
      <c r="V39" s="258"/>
    </row>
    <row r="40" spans="1:24" ht="16" customHeight="1">
      <c r="A40" s="130" t="s">
        <v>122</v>
      </c>
      <c r="B40" s="170">
        <v>401723</v>
      </c>
      <c r="C40" s="137" t="s">
        <v>299</v>
      </c>
      <c r="D40" s="193">
        <v>45852</v>
      </c>
      <c r="E40" s="134" t="s">
        <v>4</v>
      </c>
      <c r="F40" s="136">
        <v>86.5</v>
      </c>
      <c r="G40" s="185">
        <v>1010.5</v>
      </c>
      <c r="H40" s="158">
        <f>IF(AND(ISNUMBER(D40), ISNUMBER(F40)),
    ROUNDDOWN(
        MIN(
            IF(OR(ISBLANK(I40), I40=""),
                EOMONTH(DATE(LOHNTABELLE!$G$3, $A$1, 1), 0), I40)
            - MAX(D40, DATE(LOHNTABELLE!$G$3, $A$1, 1)) + 1)
        / DAY(EOMONTH(DATE(LOHNTABELLE!$G$3, $A$1, 1), 0)) * F40,
        2
    ),
    ""
)</f>
        <v>86.5</v>
      </c>
      <c r="I40" s="19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55" t="s">
        <v>123</v>
      </c>
      <c r="P40" s="256"/>
      <c r="Q40" s="257">
        <f>IF(Q12=0, 0, Q35/Q12)</f>
        <v>5.4910539748641513E-4</v>
      </c>
      <c r="R40" s="257"/>
      <c r="S40" s="257">
        <f>IF(Q12=0, 0, S35/Q12)</f>
        <v>5.4910539748641513E-4</v>
      </c>
      <c r="T40" s="257"/>
      <c r="U40" s="258">
        <f t="shared" si="2"/>
        <v>0</v>
      </c>
      <c r="V40" s="258"/>
    </row>
    <row r="41" spans="1:24" ht="16" customHeight="1">
      <c r="A41" s="131" t="s">
        <v>124</v>
      </c>
      <c r="B41" s="170">
        <v>401726</v>
      </c>
      <c r="C41" s="137" t="s">
        <v>300</v>
      </c>
      <c r="D41" s="193">
        <v>45870</v>
      </c>
      <c r="E41" s="134" t="s">
        <v>4</v>
      </c>
      <c r="F41" s="136">
        <v>86.5</v>
      </c>
      <c r="G41" s="185">
        <v>1010.5</v>
      </c>
      <c r="H41" s="158">
        <f>IF(AND(ISNUMBER(D41), ISNUMBER(F41)),
    ROUNDDOWN(
        MIN(
            IF(OR(ISBLANK(I41), I41=""),
                EOMONTH(DATE(LOHNTABELLE!$G$3, $A$1, 1), 0), I41)
            - MAX(D41, DATE(LOHNTABELLE!$G$3, $A$1, 1)) + 1)
        / DAY(EOMONTH(DATE(LOHNTABELLE!$G$3, $A$1, 1), 0)) * F41,
        2
    ),
    ""
)</f>
        <v>86.5</v>
      </c>
      <c r="I41" s="19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55" t="s">
        <v>125</v>
      </c>
      <c r="P41" s="256"/>
      <c r="Q41" s="259">
        <f>IF(Q12=0, 0, Q38/Q12)</f>
        <v>5.4910539748641513E-4</v>
      </c>
      <c r="R41" s="259"/>
      <c r="S41" s="259">
        <f>IF(Q12=0, 0, S38/Q12)</f>
        <v>5.4910539748641513E-4</v>
      </c>
      <c r="T41" s="259"/>
      <c r="U41" s="260">
        <f t="shared" si="2"/>
        <v>0</v>
      </c>
      <c r="V41" s="260"/>
    </row>
    <row r="42" spans="1:24" ht="16" customHeight="1">
      <c r="A42" s="130" t="s">
        <v>126</v>
      </c>
      <c r="B42" s="170">
        <v>401730</v>
      </c>
      <c r="C42" s="137" t="s">
        <v>302</v>
      </c>
      <c r="D42" s="193">
        <v>45895</v>
      </c>
      <c r="E42" s="134" t="s">
        <v>4</v>
      </c>
      <c r="F42" s="136">
        <v>86.5</v>
      </c>
      <c r="G42" s="185">
        <v>1010.5</v>
      </c>
      <c r="H42" s="158">
        <f>IF(AND(ISNUMBER(D42), ISNUMBER(F42)),
    ROUNDDOWN(
        MIN(
            IF(OR(ISBLANK(I42), I42=""),
                EOMONTH(DATE(LOHNTABELLE!$G$3, $A$1, 1), 0), I42)
            - MAX(D42, DATE(LOHNTABELLE!$G$3, $A$1, 1)) + 1)
        / DAY(EOMONTH(DATE(LOHNTABELLE!$G$3, $A$1, 1), 0)) * F42,
        2
    ),
    ""
)</f>
        <v>86.5</v>
      </c>
      <c r="I42" s="19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55" t="s">
        <v>127</v>
      </c>
      <c r="P42" s="256"/>
      <c r="Q42" s="261">
        <f>IFERROR(Q17/Q8, 0)</f>
        <v>16.156513641113222</v>
      </c>
      <c r="R42" s="262"/>
      <c r="S42" s="262"/>
      <c r="T42" s="262"/>
      <c r="U42" s="262"/>
      <c r="V42" s="263"/>
    </row>
    <row r="43" spans="1:24" ht="16" customHeight="1">
      <c r="A43" s="130" t="s">
        <v>128</v>
      </c>
      <c r="B43" s="170">
        <v>401731</v>
      </c>
      <c r="C43" s="137" t="s">
        <v>301</v>
      </c>
      <c r="D43" s="193">
        <v>45899</v>
      </c>
      <c r="E43" s="134" t="s">
        <v>4</v>
      </c>
      <c r="F43" s="136">
        <v>86.5</v>
      </c>
      <c r="G43" s="185">
        <v>1010.5</v>
      </c>
      <c r="H43" s="158">
        <f>IF(AND(ISNUMBER(D43), ISNUMBER(F43)),
    ROUNDDOWN(
        MIN(
            IF(OR(ISBLANK(I43), I43=""),
                EOMONTH(DATE(LOHNTABELLE!$G$3, $A$1, 1), 0), I43)
            - MAX(D43, DATE(LOHNTABELLE!$G$3, $A$1, 1)) + 1)
        / DAY(EOMONTH(DATE(LOHNTABELLE!$G$3, $A$1, 1), 0)) * F43,
        2
    ),
    ""
)</f>
        <v>86.5</v>
      </c>
      <c r="I43" s="19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193">
        <v>45904</v>
      </c>
      <c r="E44" s="134" t="s">
        <v>4</v>
      </c>
      <c r="F44" s="136">
        <v>86.5</v>
      </c>
      <c r="G44" s="185">
        <v>1010.5</v>
      </c>
      <c r="H44" s="158">
        <f>IF(AND(ISNUMBER(D44), ISNUMBER(F44)),
    ROUNDDOWN(
        MIN(
            IF(OR(ISBLANK(I44), I44=""),
                EOMONTH(DATE(LOHNTABELLE!$G$3, $A$1, 1), 0), I44)
            - MAX(D44, DATE(LOHNTABELLE!$G$3, $A$1, 1)) + 1)
        / DAY(EOMONTH(DATE(LOHNTABELLE!$G$3, $A$1, 1), 0)) * F44,
        2
    ),
    ""
)</f>
        <v>86.5</v>
      </c>
      <c r="I44" s="19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19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9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193">
        <v>45906</v>
      </c>
      <c r="E46" s="134" t="s">
        <v>4</v>
      </c>
      <c r="F46" s="136">
        <v>86.5</v>
      </c>
      <c r="G46" s="185">
        <v>1010.5</v>
      </c>
      <c r="H46" s="158">
        <f>IF(AND(ISNUMBER(D46), ISNUMBER(F46)),
    ROUNDDOWN(
        MIN(
            IF(OR(ISBLANK(I46), I46=""),
                EOMONTH(DATE(LOHNTABELLE!$G$3, $A$1, 1), 0), I46)
            - MAX(D46, DATE(LOHNTABELLE!$G$3, $A$1, 1)) + 1)
        / DAY(EOMONTH(DATE(LOHNTABELLE!$G$3, $A$1, 1), 0)) * F46,
        2
    ),
    ""
)</f>
        <v>86.5</v>
      </c>
      <c r="I46" s="19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193">
        <v>45909</v>
      </c>
      <c r="E47" s="134" t="s">
        <v>4</v>
      </c>
      <c r="F47" s="136">
        <v>86.5</v>
      </c>
      <c r="G47" s="185">
        <v>1010.5</v>
      </c>
      <c r="H47" s="158">
        <f>IF(AND(ISNUMBER(D47), ISNUMBER(F47)),
    ROUNDDOWN(
        MIN(
            IF(OR(ISBLANK(I47), I47=""),
                EOMONTH(DATE(LOHNTABELLE!$G$3, $A$1, 1), 0), I47)
            - MAX(D47, DATE(LOHNTABELLE!$G$3, $A$1, 1)) + 1)
        / DAY(EOMONTH(DATE(LOHNTABELLE!$G$3, $A$1, 1), 0)) * F47,
        2
    ),
    ""
)</f>
        <v>86.5</v>
      </c>
      <c r="I47" s="19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193">
        <v>45934</v>
      </c>
      <c r="E48" s="134" t="s">
        <v>4</v>
      </c>
      <c r="F48" s="136">
        <v>86.5</v>
      </c>
      <c r="G48" s="185">
        <v>1010.5</v>
      </c>
      <c r="H48" s="158">
        <f>IF(AND(ISNUMBER(D48), ISNUMBER(F48)),
    ROUNDDOWN(
        MIN(
            IF(OR(ISBLANK(I48), I48=""),
                EOMONTH(DATE(LOHNTABELLE!$G$3, $A$1, 1), 0), I48)
            - MAX(D48, DATE(LOHNTABELLE!$G$3, $A$1, 1)) + 1)
        / DAY(EOMONTH(DATE(LOHNTABELLE!$G$3, $A$1, 1), 0)) * F48,
        2
    ),
    ""
)</f>
        <v>86.5</v>
      </c>
      <c r="I48" s="19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193">
        <v>45941</v>
      </c>
      <c r="E49" s="134" t="s">
        <v>4</v>
      </c>
      <c r="F49" s="136">
        <v>86.5</v>
      </c>
      <c r="G49" s="185">
        <v>1010.5</v>
      </c>
      <c r="H49" s="158">
        <f>IF(AND(ISNUMBER(D49), ISNUMBER(F49)),
    ROUNDDOWN(
        MIN(
            IF(OR(ISBLANK(I49), I49=""),
                EOMONTH(DATE(LOHNTABELLE!$G$3, $A$1, 1), 0), I49)
            - MAX(D49, DATE(LOHNTABELLE!$G$3, $A$1, 1)) + 1)
        / DAY(EOMONTH(DATE(LOHNTABELLE!$G$3, $A$1, 1), 0)) * F49,
        2
    ),
    ""
)</f>
        <v>86.5</v>
      </c>
      <c r="I49" s="19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193">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9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193">
        <v>45941</v>
      </c>
      <c r="E51" s="134" t="s">
        <v>4</v>
      </c>
      <c r="F51" s="136">
        <v>86.5</v>
      </c>
      <c r="G51" s="185">
        <v>1010.5</v>
      </c>
      <c r="H51" s="158">
        <f>IF(AND(ISNUMBER(D51), ISNUMBER(F51)),
    ROUNDDOWN(
        MIN(
            IF(OR(ISBLANK(I51), I51=""),
                EOMONTH(DATE(LOHNTABELLE!$G$3, $A$1, 1), 0), I51)
            - MAX(D51, DATE(LOHNTABELLE!$G$3, $A$1, 1)) + 1)
        / DAY(EOMONTH(DATE(LOHNTABELLE!$G$3, $A$1, 1), 0)) * F51,
        2
    ),
    ""
)</f>
        <v>86.5</v>
      </c>
      <c r="I51" s="19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193">
        <v>45961</v>
      </c>
      <c r="E52" s="134" t="s">
        <v>4</v>
      </c>
      <c r="F52" s="136">
        <v>86.5</v>
      </c>
      <c r="G52" s="185">
        <v>1010.5</v>
      </c>
      <c r="H52" s="158">
        <f>IF(AND(ISNUMBER(D52), ISNUMBER(F52)),
    ROUNDDOWN(
        MIN(
            IF(OR(ISBLANK(I52), I52=""),
                EOMONTH(DATE(LOHNTABELLE!$G$3, $A$1, 1), 0), I52)
            - MAX(D52, DATE(LOHNTABELLE!$G$3, $A$1, 1)) + 1)
        / DAY(EOMONTH(DATE(LOHNTABELLE!$G$3, $A$1, 1), 0)) * F52,
        2
    ),
    ""
)</f>
        <v>86.5</v>
      </c>
      <c r="I52" s="19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193">
        <v>45986</v>
      </c>
      <c r="E53" s="134" t="s">
        <v>4</v>
      </c>
      <c r="F53" s="136">
        <v>86.5</v>
      </c>
      <c r="G53" s="185">
        <v>1010.5</v>
      </c>
      <c r="H53" s="158">
        <f>IF(AND(ISNUMBER(D53), ISNUMBER(F53)),
    ROUNDDOWN(
        MIN(
            IF(OR(ISBLANK(I53), I53=""),
                EOMONTH(DATE(LOHNTABELLE!$G$3, $A$1, 1), 0), I53)
            - MAX(D53, DATE(LOHNTABELLE!$G$3, $A$1, 1)) + 1)
        / DAY(EOMONTH(DATE(LOHNTABELLE!$G$3, $A$1, 1), 0)) * F53,
        2
    ),
    ""
)</f>
        <v>86.5</v>
      </c>
      <c r="I53" s="19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355</v>
      </c>
      <c r="D54" s="193">
        <v>46082</v>
      </c>
      <c r="E54" s="134" t="s">
        <v>4</v>
      </c>
      <c r="F54" s="136">
        <v>173</v>
      </c>
      <c r="G54" s="185">
        <v>3500</v>
      </c>
      <c r="H54" s="158">
        <f>IF(AND(ISNUMBER(D54), ISNUMBER(F54)),
    ROUNDDOWN(
        MIN(
            IF(OR(ISBLANK(I54), I54=""),
                EOMONTH(DATE(LOHNTABELLE!$G$3, $A$1, 1), 0), I54)
            - MAX(D54, DATE(LOHNTABELLE!$G$3, $A$1, 1)) + 1)
        / DAY(EOMONTH(DATE(LOHNTABELLE!$G$3, $A$1, 1), 0)) * F54,
        2
    ),
    ""
)</f>
        <v>173</v>
      </c>
      <c r="I54" s="19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402000</v>
      </c>
      <c r="C55" s="137" t="s">
        <v>362</v>
      </c>
      <c r="D55" s="193">
        <v>46143</v>
      </c>
      <c r="E55" s="134" t="s">
        <v>4</v>
      </c>
      <c r="F55" s="136">
        <v>173</v>
      </c>
      <c r="G55" s="185">
        <v>3500</v>
      </c>
      <c r="H55" s="158">
        <f>IF(AND(ISNUMBER(D55), ISNUMBER(F55)),
    ROUNDDOWN(
        MIN(
            IF(OR(ISBLANK(I55), I55=""),
                EOMONTH(DATE(LOHNTABELLE!$G$3, $A$1, 1), 0), I55)
            - MAX(D55, DATE(LOHNTABELLE!$G$3, $A$1, 1)) + 1)
        / DAY(EOMONTH(DATE(LOHNTABELLE!$G$3, $A$1, 1), 0)) * F55,
        2
    ),
    ""
)</f>
        <v>173</v>
      </c>
      <c r="I55" s="19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v>402004</v>
      </c>
      <c r="C56" s="137" t="s">
        <v>364</v>
      </c>
      <c r="D56" s="193">
        <v>46122</v>
      </c>
      <c r="E56" s="134" t="s">
        <v>4</v>
      </c>
      <c r="F56" s="136">
        <v>173</v>
      </c>
      <c r="G56" s="185">
        <v>3500</v>
      </c>
      <c r="H56" s="158">
        <f>IF(AND(ISNUMBER(D56), ISNUMBER(F56)),
    ROUNDDOWN(
        MIN(
            IF(OR(ISBLANK(I56), I56=""),
                EOMONTH(DATE(LOHNTABELLE!$G$3, $A$1, 1), 0), I56)
            - MAX(D56, DATE(LOHNTABELLE!$G$3, $A$1, 1)) + 1)
        / DAY(EOMONTH(DATE(LOHNTABELLE!$G$3, $A$1, 1), 0)) * F56,
        2
    ),
    ""
)</f>
        <v>173</v>
      </c>
      <c r="I56" s="19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1" t="s">
        <v>143</v>
      </c>
      <c r="B57" s="170">
        <v>402405</v>
      </c>
      <c r="C57" s="137" t="s">
        <v>366</v>
      </c>
      <c r="D57" s="193">
        <v>46054</v>
      </c>
      <c r="E57" s="134" t="s">
        <v>4</v>
      </c>
      <c r="F57" s="136">
        <v>173</v>
      </c>
      <c r="G57" s="185">
        <v>3500</v>
      </c>
      <c r="H57" s="158">
        <f>IF(AND(ISNUMBER(D57), ISNUMBER(F57)),
    ROUNDDOWN(
        MIN(
            IF(OR(ISBLANK(I57), I57=""),
                EOMONTH(DATE(LOHNTABELLE!$G$3, $A$1, 1), 0), I57)
            - MAX(D57, DATE(LOHNTABELLE!$G$3, $A$1, 1)) + 1)
        / DAY(EOMONTH(DATE(LOHNTABELLE!$G$3, $A$1, 1), 0)) * F57,
        2
    ),
    ""
)</f>
        <v>173</v>
      </c>
      <c r="I57" s="19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3500</v>
      </c>
      <c r="M57" s="164"/>
      <c r="N57" s="147"/>
    </row>
    <row r="58" spans="1:14" ht="16" customHeight="1">
      <c r="A58" s="130" t="s">
        <v>144</v>
      </c>
      <c r="B58" s="170">
        <v>500600</v>
      </c>
      <c r="C58" s="137" t="s">
        <v>371</v>
      </c>
      <c r="D58" s="193">
        <v>46054</v>
      </c>
      <c r="E58" s="134" t="s">
        <v>4</v>
      </c>
      <c r="F58" s="136">
        <v>129.75</v>
      </c>
      <c r="G58" s="185">
        <v>1515.75</v>
      </c>
      <c r="H58" s="158">
        <f>IF(AND(ISNUMBER(D58), ISNUMBER(F58)),
    ROUNDDOWN(
        MIN(
            IF(OR(ISBLANK(I58), I58=""),
                EOMONTH(DATE(LOHNTABELLE!$G$3, $A$1, 1), 0), I58)
            - MAX(D58, DATE(LOHNTABELLE!$G$3, $A$1, 1)) + 1)
        / DAY(EOMONTH(DATE(LOHNTABELLE!$G$3, $A$1, 1), 0)) * F58,
        2
    ),
    ""
)</f>
        <v>129.75</v>
      </c>
      <c r="I58" s="19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1515.75</v>
      </c>
      <c r="M58" s="164"/>
      <c r="N58" s="147"/>
    </row>
    <row r="59" spans="1:14" ht="16" customHeight="1">
      <c r="A59" s="130" t="s">
        <v>145</v>
      </c>
      <c r="B59" s="170">
        <v>502000</v>
      </c>
      <c r="C59" s="137" t="s">
        <v>365</v>
      </c>
      <c r="D59" s="193">
        <v>46147</v>
      </c>
      <c r="E59" s="134" t="s">
        <v>4</v>
      </c>
      <c r="F59" s="136">
        <v>173</v>
      </c>
      <c r="G59" s="185">
        <v>3500</v>
      </c>
      <c r="H59" s="158">
        <f>IF(AND(ISNUMBER(D59), ISNUMBER(F59)),
    ROUNDDOWN(
        MIN(
            IF(OR(ISBLANK(I59), I59=""),
                EOMONTH(DATE(LOHNTABELLE!$G$3, $A$1, 1), 0), I59)
            - MAX(D59, DATE(LOHNTABELLE!$G$3, $A$1, 1)) + 1)
        / DAY(EOMONTH(DATE(LOHNTABELLE!$G$3, $A$1, 1), 0)) * F59,
        2
    ),
    ""
)</f>
        <v>150.66999999999999</v>
      </c>
      <c r="I59" s="19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3048.3870967741937</v>
      </c>
      <c r="M59" s="164"/>
      <c r="N59" s="147"/>
    </row>
    <row r="60" spans="1:14" ht="16" customHeight="1">
      <c r="A60" s="130" t="s">
        <v>146</v>
      </c>
      <c r="B60" s="170">
        <v>503000</v>
      </c>
      <c r="C60" s="137" t="s">
        <v>368</v>
      </c>
      <c r="D60" s="193">
        <v>42401</v>
      </c>
      <c r="E60" s="134" t="s">
        <v>4</v>
      </c>
      <c r="F60" s="136">
        <v>173</v>
      </c>
      <c r="G60" s="185">
        <v>3500</v>
      </c>
      <c r="H60" s="158">
        <f>IF(AND(ISNUMBER(D60), ISNUMBER(F60)),
    ROUNDDOWN(
        MIN(
            IF(OR(ISBLANK(I60), I60=""),
                EOMONTH(DATE(LOHNTABELLE!$G$3, $A$1, 1), 0), I60)
            - MAX(D60, DATE(LOHNTABELLE!$G$3, $A$1, 1)) + 1)
        / DAY(EOMONTH(DATE(LOHNTABELLE!$G$3, $A$1, 1), 0)) * F60,
        2
    ),
    ""
)</f>
        <v>173</v>
      </c>
      <c r="I60" s="19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3500</v>
      </c>
      <c r="M60" s="164"/>
      <c r="N60" s="147"/>
    </row>
    <row r="61" spans="1:14" ht="16" customHeight="1">
      <c r="A61" s="131" t="s">
        <v>147</v>
      </c>
      <c r="B61" s="170">
        <v>504000</v>
      </c>
      <c r="C61" s="137" t="s">
        <v>369</v>
      </c>
      <c r="D61" s="193">
        <v>46054</v>
      </c>
      <c r="E61" s="134" t="s">
        <v>8</v>
      </c>
      <c r="F61" s="136">
        <v>138.4</v>
      </c>
      <c r="G61" s="185">
        <v>1665.6</v>
      </c>
      <c r="H61" s="158">
        <f>IF(AND(ISNUMBER(D61), ISNUMBER(F61)),
    ROUNDDOWN(
        MIN(
            IF(OR(ISBLANK(I61), I61=""),
                EOMONTH(DATE(LOHNTABELLE!$G$3, $A$1, 1), 0), I61)
            - MAX(D61, DATE(LOHNTABELLE!$G$3, $A$1, 1)) + 1)
        / DAY(EOMONTH(DATE(LOHNTABELLE!$G$3, $A$1, 1), 0)) * F61,
        2
    ),
    ""
)</f>
        <v>138.4</v>
      </c>
      <c r="I61" s="19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1665.6</v>
      </c>
      <c r="M61" s="164"/>
      <c r="N61" s="147"/>
    </row>
    <row r="62" spans="1:14" ht="16" customHeight="1">
      <c r="A62" s="130" t="s">
        <v>148</v>
      </c>
      <c r="B62" s="170">
        <v>505000</v>
      </c>
      <c r="C62" s="137" t="s">
        <v>370</v>
      </c>
      <c r="D62" s="193">
        <v>46054</v>
      </c>
      <c r="E62" s="134" t="s">
        <v>4</v>
      </c>
      <c r="F62" s="136">
        <v>138.4</v>
      </c>
      <c r="G62" s="185">
        <v>1616.8</v>
      </c>
      <c r="H62" s="158">
        <f>IF(AND(ISNUMBER(D62), ISNUMBER(F62)),
    ROUNDDOWN(
        MIN(
            IF(OR(ISBLANK(I62), I62=""),
                EOMONTH(DATE(LOHNTABELLE!$G$3, $A$1, 1), 0), I62)
            - MAX(D62, DATE(LOHNTABELLE!$G$3, $A$1, 1)) + 1)
        / DAY(EOMONTH(DATE(LOHNTABELLE!$G$3, $A$1, 1), 0)) * F62,
        2
    ),
    ""
)</f>
        <v>138.4</v>
      </c>
      <c r="I62" s="19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1616.8</v>
      </c>
      <c r="M62" s="164"/>
      <c r="N62" s="147"/>
    </row>
    <row r="63" spans="1:14" ht="16" customHeight="1">
      <c r="A63" s="130" t="s">
        <v>149</v>
      </c>
      <c r="B63" s="170">
        <v>600000</v>
      </c>
      <c r="C63" s="137" t="s">
        <v>372</v>
      </c>
      <c r="D63" s="193">
        <v>46054</v>
      </c>
      <c r="E63" s="134" t="s">
        <v>4</v>
      </c>
      <c r="F63" s="136">
        <v>173</v>
      </c>
      <c r="G63" s="185">
        <v>3500</v>
      </c>
      <c r="H63" s="158">
        <f>IF(AND(ISNUMBER(D63), ISNUMBER(F63)),
    ROUNDDOWN(
        MIN(
            IF(OR(ISBLANK(I63), I63=""),
                EOMONTH(DATE(LOHNTABELLE!$G$3, $A$1, 1), 0), I63)
            - MAX(D63, DATE(LOHNTABELLE!$G$3, $A$1, 1)) + 1)
        / DAY(EOMONTH(DATE(LOHNTABELLE!$G$3, $A$1, 1), 0)) * F63,
        2
    ),
    ""
)</f>
        <v>173</v>
      </c>
      <c r="I63" s="19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3500</v>
      </c>
      <c r="M63" s="164"/>
      <c r="N63" s="147"/>
    </row>
    <row r="64" spans="1:14" ht="16" customHeight="1">
      <c r="A64" s="130" t="s">
        <v>150</v>
      </c>
      <c r="B64" s="170"/>
      <c r="C64" s="137"/>
      <c r="D64" s="193"/>
      <c r="E64" s="134"/>
      <c r="F64" s="136"/>
      <c r="G64" s="185"/>
      <c r="H64" s="158" t="str">
        <f>IF(AND(ISNUMBER(D64), ISNUMBER(F64)),
    ROUNDDOWN(
        MIN(
            IF(OR(ISBLANK(I64), I64=""),
                EOMONTH(DATE(LOHNTABELLE!$G$3, $A$1, 1), 0), I64)
            - MAX(D64, DATE(LOHNTABELLE!$G$3, $A$1, 1)) + 1)
        / DAY(EOMONTH(DATE(LOHNTABELLE!$G$3, $A$1, 1), 0)) * F64,
        2
    ),
    ""
)</f>
        <v/>
      </c>
      <c r="I64" s="19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93"/>
      <c r="E65" s="134"/>
      <c r="F65" s="136"/>
      <c r="G65" s="185"/>
      <c r="H65" s="158" t="str">
        <f>IF(AND(ISNUMBER(D65), ISNUMBER(F65)),
    ROUNDDOWN(
        MIN(
            IF(OR(ISBLANK(I65), I65=""),
                EOMONTH(DATE(LOHNTABELLE!$G$3, $A$1, 1), 0), I65)
            - MAX(D65, DATE(LOHNTABELLE!$G$3, $A$1, 1)) + 1)
        / DAY(EOMONTH(DATE(LOHNTABELLE!$G$3, $A$1, 1), 0)) * F65,
        2
    ),
    ""
)</f>
        <v/>
      </c>
      <c r="I65" s="19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93"/>
      <c r="E66" s="134"/>
      <c r="F66" s="136"/>
      <c r="G66" s="185"/>
      <c r="H66" s="158" t="str">
        <f>IF(AND(ISNUMBER(D66), ISNUMBER(F66)),
    ROUNDDOWN(
        MIN(
            IF(OR(ISBLANK(I66), I66=""),
                EOMONTH(DATE(LOHNTABELLE!$G$3, $A$1, 1), 0), I66)
            - MAX(D66, DATE(LOHNTABELLE!$G$3, $A$1, 1)) + 1)
        / DAY(EOMONTH(DATE(LOHNTABELLE!$G$3, $A$1, 1), 0)) * F66,
        2
    ),
    ""
)</f>
        <v/>
      </c>
      <c r="I66" s="19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93"/>
      <c r="E67" s="134"/>
      <c r="F67" s="136"/>
      <c r="G67" s="185"/>
      <c r="H67" s="158" t="str">
        <f>IF(AND(ISNUMBER(D67), ISNUMBER(F67)),
    ROUNDDOWN(
        MIN(
            IF(OR(ISBLANK(I67), I67=""),
                EOMONTH(DATE(LOHNTABELLE!$G$3, $A$1, 1), 0), I67)
            - MAX(D67, DATE(LOHNTABELLE!$G$3, $A$1, 1)) + 1)
        / DAY(EOMONTH(DATE(LOHNTABELLE!$G$3, $A$1, 1), 0)) * F67,
        2
    ),
    ""
)</f>
        <v/>
      </c>
      <c r="I67" s="19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93"/>
      <c r="E68" s="134"/>
      <c r="F68" s="136"/>
      <c r="G68" s="185"/>
      <c r="H68" s="158" t="str">
        <f>IF(AND(ISNUMBER(D68), ISNUMBER(F68)),
    ROUNDDOWN(
        MIN(
            IF(OR(ISBLANK(I68), I68=""),
                EOMONTH(DATE(LOHNTABELLE!$G$3, $A$1, 1), 0), I68)
            - MAX(D68, DATE(LOHNTABELLE!$G$3, $A$1, 1)) + 1)
        / DAY(EOMONTH(DATE(LOHNTABELLE!$G$3, $A$1, 1), 0)) * F68,
        2
    ),
    ""
)</f>
        <v/>
      </c>
      <c r="I68" s="19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93"/>
      <c r="E69" s="134"/>
      <c r="F69" s="136"/>
      <c r="G69" s="185"/>
      <c r="H69" s="158" t="str">
        <f>IF(AND(ISNUMBER(D69), ISNUMBER(F69)),
    ROUNDDOWN(
        MIN(
            IF(OR(ISBLANK(I69), I69=""),
                EOMONTH(DATE(LOHNTABELLE!$G$3, $A$1, 1), 0), I69)
            - MAX(D69, DATE(LOHNTABELLE!$G$3, $A$1, 1)) + 1)
        / DAY(EOMONTH(DATE(LOHNTABELLE!$G$3, $A$1, 1), 0)) * F69,
        2
    ),
    ""
)</f>
        <v/>
      </c>
      <c r="I69" s="19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93"/>
      <c r="E70" s="134"/>
      <c r="F70" s="136"/>
      <c r="G70" s="185"/>
      <c r="H70" s="158" t="str">
        <f>IF(AND(ISNUMBER(D70), ISNUMBER(F70)),
    ROUNDDOWN(
        MIN(
            IF(OR(ISBLANK(I70), I70=""),
                EOMONTH(DATE(LOHNTABELLE!$G$3, $A$1, 1), 0), I70)
            - MAX(D70, DATE(LOHNTABELLE!$G$3, $A$1, 1)) + 1)
        / DAY(EOMONTH(DATE(LOHNTABELLE!$G$3, $A$1, 1), 0)) * F70,
        2
    ),
    ""
)</f>
        <v/>
      </c>
      <c r="I70" s="19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93"/>
      <c r="E71" s="134"/>
      <c r="F71" s="136"/>
      <c r="G71" s="185"/>
      <c r="H71" s="158" t="str">
        <f>IF(AND(ISNUMBER(D71), ISNUMBER(F71)),
    ROUNDDOWN(
        MIN(
            IF(OR(ISBLANK(I71), I71=""),
                EOMONTH(DATE(LOHNTABELLE!$G$3, $A$1, 1), 0), I71)
            - MAX(D71, DATE(LOHNTABELLE!$G$3, $A$1, 1)) + 1)
        / DAY(EOMONTH(DATE(LOHNTABELLE!$G$3, $A$1, 1), 0)) * F71,
        2
    ),
    ""
)</f>
        <v/>
      </c>
      <c r="I71" s="19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93"/>
      <c r="E72" s="134"/>
      <c r="F72" s="136"/>
      <c r="G72" s="185"/>
      <c r="H72" s="158" t="str">
        <f>IF(AND(ISNUMBER(D72), ISNUMBER(F72)),
    ROUNDDOWN(
        MIN(
            IF(OR(ISBLANK(I72), I72=""),
                EOMONTH(DATE(LOHNTABELLE!$G$3, $A$1, 1), 0), I72)
            - MAX(D72, DATE(LOHNTABELLE!$G$3, $A$1, 1)) + 1)
        / DAY(EOMONTH(DATE(LOHNTABELLE!$G$3, $A$1, 1), 0)) * F72,
        2
    ),
    ""
)</f>
        <v/>
      </c>
      <c r="I72" s="19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93"/>
      <c r="E73" s="134"/>
      <c r="F73" s="136"/>
      <c r="G73" s="185"/>
      <c r="H73" s="158" t="str">
        <f>IF(AND(ISNUMBER(D73), ISNUMBER(F73)),
    ROUNDDOWN(
        MIN(
            IF(OR(ISBLANK(I73), I73=""),
                EOMONTH(DATE(LOHNTABELLE!$G$3, $A$1, 1), 0), I73)
            - MAX(D73, DATE(LOHNTABELLE!$G$3, $A$1, 1)) + 1)
        / DAY(EOMONTH(DATE(LOHNTABELLE!$G$3, $A$1, 1), 0)) * F73,
        2
    ),
    ""
)</f>
        <v/>
      </c>
      <c r="I73" s="19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93"/>
      <c r="E74" s="134"/>
      <c r="F74" s="136"/>
      <c r="G74" s="185"/>
      <c r="H74" s="158" t="str">
        <f>IF(AND(ISNUMBER(D74), ISNUMBER(F74)),
    ROUNDDOWN(
        MIN(
            IF(OR(ISBLANK(I74), I74=""),
                EOMONTH(DATE(LOHNTABELLE!$G$3, $A$1, 1), 0), I74)
            - MAX(D74, DATE(LOHNTABELLE!$G$3, $A$1, 1)) + 1)
        / DAY(EOMONTH(DATE(LOHNTABELLE!$G$3, $A$1, 1), 0)) * F74,
        2
    ),
    ""
)</f>
        <v/>
      </c>
      <c r="I74" s="19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93"/>
      <c r="E75" s="134"/>
      <c r="F75" s="136"/>
      <c r="G75" s="185"/>
      <c r="H75" s="158" t="str">
        <f>IF(AND(ISNUMBER(D75), ISNUMBER(F75)),
    ROUNDDOWN(
        MIN(
            IF(OR(ISBLANK(I75), I75=""),
                EOMONTH(DATE(LOHNTABELLE!$G$3, $A$1, 1), 0), I75)
            - MAX(D75, DATE(LOHNTABELLE!$G$3, $A$1, 1)) + 1)
        / DAY(EOMONTH(DATE(LOHNTABELLE!$G$3, $A$1, 1), 0)) * F75,
        2
    ),
    ""
)</f>
        <v/>
      </c>
      <c r="I75" s="19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93"/>
      <c r="E76" s="134"/>
      <c r="F76" s="136"/>
      <c r="G76" s="185"/>
      <c r="H76" s="158" t="str">
        <f>IF(AND(ISNUMBER(D76), ISNUMBER(F76)),
    ROUNDDOWN(
        MIN(
            IF(OR(ISBLANK(I76), I76=""),
                EOMONTH(DATE(LOHNTABELLE!$G$3, $A$1, 1), 0), I76)
            - MAX(D76, DATE(LOHNTABELLE!$G$3, $A$1, 1)) + 1)
        / DAY(EOMONTH(DATE(LOHNTABELLE!$G$3, $A$1, 1), 0)) * F76,
        2
    ),
    ""
)</f>
        <v/>
      </c>
      <c r="I76" s="19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93"/>
      <c r="E77" s="134"/>
      <c r="F77" s="136"/>
      <c r="G77" s="185"/>
      <c r="H77" s="158" t="str">
        <f>IF(AND(ISNUMBER(D77), ISNUMBER(F77)),
    ROUNDDOWN(
        MIN(
            IF(OR(ISBLANK(I77), I77=""),
                EOMONTH(DATE(LOHNTABELLE!$G$3, $A$1, 1), 0), I77)
            - MAX(D77, DATE(LOHNTABELLE!$G$3, $A$1, 1)) + 1)
        / DAY(EOMONTH(DATE(LOHNTABELLE!$G$3, $A$1, 1), 0)) * F77,
        2
    ),
    ""
)</f>
        <v/>
      </c>
      <c r="I77" s="19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93"/>
      <c r="E78" s="134"/>
      <c r="F78" s="136"/>
      <c r="G78" s="185"/>
      <c r="H78" s="158" t="str">
        <f>IF(AND(ISNUMBER(D78), ISNUMBER(F78)),
    ROUNDDOWN(
        MIN(
            IF(OR(ISBLANK(I78), I78=""),
                EOMONTH(DATE(LOHNTABELLE!$G$3, $A$1, 1), 0), I78)
            - MAX(D78, DATE(LOHNTABELLE!$G$3, $A$1, 1)) + 1)
        / DAY(EOMONTH(DATE(LOHNTABELLE!$G$3, $A$1, 1), 0)) * F78,
        2
    ),
    ""
)</f>
        <v/>
      </c>
      <c r="I78" s="19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93"/>
      <c r="E79" s="134"/>
      <c r="F79" s="136"/>
      <c r="G79" s="185"/>
      <c r="H79" s="158" t="str">
        <f>IF(AND(ISNUMBER(D79), ISNUMBER(F79)),
    ROUNDDOWN(
        MIN(
            IF(OR(ISBLANK(I79), I79=""),
                EOMONTH(DATE(LOHNTABELLE!$G$3, $A$1, 1), 0), I79)
            - MAX(D79, DATE(LOHNTABELLE!$G$3, $A$1, 1)) + 1)
        / DAY(EOMONTH(DATE(LOHNTABELLE!$G$3, $A$1, 1), 0)) * F79,
        2
    ),
    ""
)</f>
        <v/>
      </c>
      <c r="I79" s="19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93"/>
      <c r="E80" s="134"/>
      <c r="F80" s="136"/>
      <c r="G80" s="185"/>
      <c r="H80" s="158" t="str">
        <f>IF(AND(ISNUMBER(D80), ISNUMBER(F80)),
    ROUNDDOWN(
        MIN(
            IF(OR(ISBLANK(I80), I80=""),
                EOMONTH(DATE(LOHNTABELLE!$G$3, $A$1, 1), 0), I80)
            - MAX(D80, DATE(LOHNTABELLE!$G$3, $A$1, 1)) + 1)
        / DAY(EOMONTH(DATE(LOHNTABELLE!$G$3, $A$1, 1), 0)) * F80,
        2
    ),
    ""
)</f>
        <v/>
      </c>
      <c r="I80" s="19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93"/>
      <c r="E81" s="134"/>
      <c r="F81" s="136"/>
      <c r="G81" s="185"/>
      <c r="H81" s="158" t="str">
        <f>IF(AND(ISNUMBER(D81), ISNUMBER(F81)),
    ROUNDDOWN(
        MIN(
            IF(OR(ISBLANK(I81), I81=""),
                EOMONTH(DATE(LOHNTABELLE!$G$3, $A$1, 1), 0), I81)
            - MAX(D81, DATE(LOHNTABELLE!$G$3, $A$1, 1)) + 1)
        / DAY(EOMONTH(DATE(LOHNTABELLE!$G$3, $A$1, 1), 0)) * F81,
        2
    ),
    ""
)</f>
        <v/>
      </c>
      <c r="I81" s="19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94"/>
      <c r="E82" s="150"/>
      <c r="F82" s="151"/>
      <c r="G82" s="186"/>
      <c r="H82" s="159" t="str">
        <f>IF(AND(ISNUMBER(D82), ISNUMBER(F82)),
    ROUNDDOWN(
        MIN(
            IF(OR(ISBLANK(I82), I82=""),
                EOMONTH(DATE(LOHNTABELLE!$G$3, $A$1, 1), 0), I82)
            - MAX(D82, DATE(LOHNTABELLE!$G$3, $A$1, 1)) + 1)
        / DAY(EOMONTH(DATE(LOHNTABELLE!$G$3, $A$1, 1), 0)) * F82,
        2
    ),
    ""
)</f>
        <v/>
      </c>
      <c r="I82" s="19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TWwVg2O6GX6AeboThRJ78T4+CGeL/LnZBPOaiBooSyu6JYwq9fkFEnogMNmge9lwCeSxyUEYFdVQN8tKc8+PAA==" saltValue="jBzkROgMlkLI2zDbBoUdPA==" spinCount="100000" sheet="1" objects="1" scenarios="1" sort="0" autoFilter="0"/>
  <sortState xmlns:xlrd2="http://schemas.microsoft.com/office/spreadsheetml/2017/richdata2" ref="B3:N82">
    <sortCondition ref="B3:B82"/>
    <sortCondition ref="C3:C82"/>
  </sortState>
  <mergeCells count="96">
    <mergeCell ref="B1:B2"/>
    <mergeCell ref="N1:N2"/>
    <mergeCell ref="Q9:R9"/>
    <mergeCell ref="O10:P10"/>
    <mergeCell ref="Q10:R10"/>
    <mergeCell ref="H1:H2"/>
    <mergeCell ref="C1:C2"/>
    <mergeCell ref="D1:D2"/>
    <mergeCell ref="E1:E2"/>
    <mergeCell ref="F1:F2"/>
    <mergeCell ref="G1:G2"/>
    <mergeCell ref="Q3:Q4"/>
    <mergeCell ref="R3:R4"/>
    <mergeCell ref="O6:R6"/>
    <mergeCell ref="O8:P8"/>
    <mergeCell ref="Q8:R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0:R20"/>
    <mergeCell ref="O21:P21"/>
    <mergeCell ref="Q21:R21"/>
    <mergeCell ref="O11:P11"/>
    <mergeCell ref="Q11:R11"/>
    <mergeCell ref="O12:P12"/>
    <mergeCell ref="Q12:R12"/>
    <mergeCell ref="O13:P13"/>
    <mergeCell ref="Q13:R13"/>
    <mergeCell ref="O14:P14"/>
    <mergeCell ref="Q14:R14"/>
    <mergeCell ref="O15:R15"/>
    <mergeCell ref="O17:P17"/>
    <mergeCell ref="Q17:R17"/>
    <mergeCell ref="O18:P18"/>
    <mergeCell ref="Q18:R18"/>
    <mergeCell ref="Q19:R19"/>
    <mergeCell ref="O31:P31"/>
    <mergeCell ref="Q31:R31"/>
    <mergeCell ref="O33:P34"/>
    <mergeCell ref="Q33:R34"/>
    <mergeCell ref="O22:P22"/>
    <mergeCell ref="Q22:R22"/>
    <mergeCell ref="O23:P23"/>
    <mergeCell ref="Q23:R23"/>
    <mergeCell ref="O24:P24"/>
    <mergeCell ref="Q24:R24"/>
    <mergeCell ref="O25:P25"/>
    <mergeCell ref="Q25:R25"/>
    <mergeCell ref="O26:P26"/>
    <mergeCell ref="Q26:R26"/>
    <mergeCell ref="Q27:R27"/>
    <mergeCell ref="Q28:R28"/>
    <mergeCell ref="O29:P29"/>
    <mergeCell ref="Q29:R29"/>
    <mergeCell ref="O38:P38"/>
    <mergeCell ref="Q38:R38"/>
    <mergeCell ref="S38:T38"/>
    <mergeCell ref="U38:V38"/>
    <mergeCell ref="S39:T39"/>
    <mergeCell ref="U39:V39"/>
    <mergeCell ref="Q39:R39"/>
    <mergeCell ref="S27:V27"/>
    <mergeCell ref="O37:P37"/>
    <mergeCell ref="Q37:R37"/>
    <mergeCell ref="S37:T37"/>
    <mergeCell ref="U37:V37"/>
    <mergeCell ref="S33:T34"/>
    <mergeCell ref="U33:V34"/>
    <mergeCell ref="O35:P35"/>
    <mergeCell ref="Q35:R35"/>
    <mergeCell ref="S35:T35"/>
    <mergeCell ref="U35:V35"/>
    <mergeCell ref="O36:P36"/>
    <mergeCell ref="Q36:R36"/>
    <mergeCell ref="S36:T36"/>
    <mergeCell ref="U36:V36"/>
    <mergeCell ref="O27:P27"/>
    <mergeCell ref="S40:T40"/>
    <mergeCell ref="U40:V40"/>
    <mergeCell ref="S41:T41"/>
    <mergeCell ref="U41:V41"/>
    <mergeCell ref="Q42:V42"/>
    <mergeCell ref="Q40:R40"/>
    <mergeCell ref="Q41:R41"/>
  </mergeCells>
  <dataValidations count="63">
    <dataValidation type="date" showInputMessage="1" showErrorMessage="1" sqref="I3:I82" xr:uid="{4E8AC971-EAE7-4B93-AB18-71001406C020}">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EA01B69C-9C55-B341-B293-EDB77CCB546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E78A8C10-67E8-F649-9A65-53DF1AAA7D8D}">
      <formula1>KV_DD_MAI_3</formula1>
    </dataValidation>
    <dataValidation type="list" allowBlank="1" showInputMessage="1" showErrorMessage="1" sqref="F4" xr:uid="{63DE23D1-30AD-6D4B-A61D-1EB7910898A4}">
      <formula1>KV_DD_MAI_4</formula1>
    </dataValidation>
    <dataValidation type="list" allowBlank="1" showInputMessage="1" showErrorMessage="1" sqref="F5" xr:uid="{60C48D45-3552-6648-BED3-CC634D6A21BD}">
      <formula1>KV_DD_MAI_5</formula1>
    </dataValidation>
    <dataValidation type="list" allowBlank="1" showInputMessage="1" showErrorMessage="1" sqref="F6" xr:uid="{2E7E3B55-901F-4143-90DD-1ABB8FAB685D}">
      <formula1>KV_DD_MAI_6</formula1>
    </dataValidation>
    <dataValidation type="list" allowBlank="1" showInputMessage="1" showErrorMessage="1" sqref="F7" xr:uid="{6E52B260-5056-8842-89A0-E38C3A39CB48}">
      <formula1>KV_DD_MAI_7</formula1>
    </dataValidation>
    <dataValidation type="list" allowBlank="1" showInputMessage="1" showErrorMessage="1" sqref="F8" xr:uid="{06C664BC-14C1-EA48-A7C8-BE972323133A}">
      <formula1>KV_DD_MAI_8</formula1>
    </dataValidation>
    <dataValidation type="list" allowBlank="1" showInputMessage="1" showErrorMessage="1" sqref="F9" xr:uid="{28761642-A004-CD4F-92AD-24CB8A617C03}">
      <formula1>KV_DD_MAI_9</formula1>
    </dataValidation>
    <dataValidation type="list" allowBlank="1" showInputMessage="1" showErrorMessage="1" sqref="F10" xr:uid="{BF496B2F-5689-4342-84E2-589176ACFCE7}">
      <formula1>KV_DD_MAI_10</formula1>
    </dataValidation>
    <dataValidation type="list" allowBlank="1" showInputMessage="1" showErrorMessage="1" sqref="F11" xr:uid="{ABEB0EEC-789D-D74A-BCE9-50722D942B23}">
      <formula1>KV_DD_MAI_11</formula1>
    </dataValidation>
    <dataValidation type="list" allowBlank="1" showInputMessage="1" showErrorMessage="1" sqref="F12" xr:uid="{071CA2A6-F58E-8048-AC88-BB09EA8E4BB5}">
      <formula1>KV_DD_MAI_12</formula1>
    </dataValidation>
    <dataValidation type="list" allowBlank="1" showInputMessage="1" showErrorMessage="1" sqref="F13" xr:uid="{925914B1-7817-EA44-8DF6-FED18B076D4B}">
      <formula1>KV_DD_MAI_13</formula1>
    </dataValidation>
    <dataValidation type="list" allowBlank="1" showInputMessage="1" showErrorMessage="1" sqref="F14" xr:uid="{C7BA3CBD-83C6-474F-959B-2BBBAAB2502E}">
      <formula1>KV_DD_MAI_14</formula1>
    </dataValidation>
    <dataValidation type="list" allowBlank="1" showInputMessage="1" showErrorMessage="1" sqref="F15" xr:uid="{35884072-7F9B-AA42-AA3E-E69D1C130548}">
      <formula1>KV_DD_MAI_15</formula1>
    </dataValidation>
    <dataValidation type="list" allowBlank="1" showInputMessage="1" showErrorMessage="1" sqref="F16" xr:uid="{00CDE5E0-3629-1840-924E-F21C2020E116}">
      <formula1>KV_DD_MAI_16</formula1>
    </dataValidation>
    <dataValidation type="list" allowBlank="1" showInputMessage="1" showErrorMessage="1" sqref="F17" xr:uid="{3BB40C20-FB69-5E48-A254-3D21DCD590B4}">
      <formula1>KV_DD_MAI_17</formula1>
    </dataValidation>
    <dataValidation type="list" allowBlank="1" showInputMessage="1" showErrorMessage="1" sqref="F18" xr:uid="{6D1A6156-735A-B447-B5EC-AB4B194E491E}">
      <formula1>KV_DD_MAI_18</formula1>
    </dataValidation>
    <dataValidation type="list" allowBlank="1" showInputMessage="1" showErrorMessage="1" sqref="F19" xr:uid="{636D1115-CCB2-FF48-BE10-96A32389BD21}">
      <formula1>KV_DD_MAI_19</formula1>
    </dataValidation>
    <dataValidation type="list" allowBlank="1" showInputMessage="1" showErrorMessage="1" sqref="F20" xr:uid="{D481FF9B-EAEC-A94A-9292-1D5AC4FB6486}">
      <formula1>KV_DD_MAI_20</formula1>
    </dataValidation>
    <dataValidation type="list" allowBlank="1" showInputMessage="1" showErrorMessage="1" sqref="F21" xr:uid="{73B3B14A-6C8D-E84E-A02A-B2B0E24A8840}">
      <formula1>KV_DD_MAI_21</formula1>
    </dataValidation>
    <dataValidation type="list" allowBlank="1" showInputMessage="1" showErrorMessage="1" sqref="F22" xr:uid="{87CAD20D-BF08-DE43-9A63-40C2FE12E369}">
      <formula1>KV_DD_MAI_22</formula1>
    </dataValidation>
    <dataValidation type="list" allowBlank="1" showInputMessage="1" showErrorMessage="1" sqref="F23" xr:uid="{AFECFF90-0457-FE4A-B6EE-945F176446E5}">
      <formula1>KV_DD_MAI_23</formula1>
    </dataValidation>
    <dataValidation type="list" allowBlank="1" showInputMessage="1" showErrorMessage="1" sqref="F24" xr:uid="{80A2F1BE-0E2F-874A-81CC-48BD1F36F9B7}">
      <formula1>KV_DD_MAI_24</formula1>
    </dataValidation>
    <dataValidation type="list" allowBlank="1" showInputMessage="1" showErrorMessage="1" sqref="F25" xr:uid="{D811D7C1-7DEE-F449-9721-81021D7C8165}">
      <formula1>KV_DD_MAI_25</formula1>
    </dataValidation>
    <dataValidation type="list" allowBlank="1" showInputMessage="1" showErrorMessage="1" sqref="F26" xr:uid="{AA005D0B-876D-4549-8772-D325F88A10C5}">
      <formula1>KV_DD_MAI_26</formula1>
    </dataValidation>
    <dataValidation type="list" allowBlank="1" showInputMessage="1" showErrorMessage="1" sqref="F27" xr:uid="{02909D9B-5495-9E45-8ABF-5C51948F5DCA}">
      <formula1>KV_DD_MAI_27</formula1>
    </dataValidation>
    <dataValidation type="list" allowBlank="1" showInputMessage="1" showErrorMessage="1" sqref="F28" xr:uid="{3A0A30D9-3E53-E340-971E-9029F3DC814C}">
      <formula1>KV_DD_MAI_28</formula1>
    </dataValidation>
    <dataValidation type="list" allowBlank="1" showInputMessage="1" showErrorMessage="1" sqref="F29" xr:uid="{ECCADA97-4D77-5949-AC9F-986A7396C67F}">
      <formula1>KV_DD_MAI_29</formula1>
    </dataValidation>
    <dataValidation type="list" allowBlank="1" showInputMessage="1" showErrorMessage="1" sqref="F30" xr:uid="{6A87DBD7-E90A-7B4D-B60A-B212E337EB38}">
      <formula1>KV_DD_MAI_30</formula1>
    </dataValidation>
    <dataValidation type="list" allowBlank="1" showInputMessage="1" showErrorMessage="1" sqref="F31" xr:uid="{0EEFE9E4-7B2F-3D49-BCDA-731048A15881}">
      <formula1>KV_DD_MAI_31</formula1>
    </dataValidation>
    <dataValidation type="list" allowBlank="1" showInputMessage="1" showErrorMessage="1" sqref="F32" xr:uid="{C0BD359B-80FF-F442-8A28-DDE371F2E2AB}">
      <formula1>KV_DD_MAI_32</formula1>
    </dataValidation>
    <dataValidation type="list" allowBlank="1" showInputMessage="1" showErrorMessage="1" sqref="F33" xr:uid="{8C0ADEFA-B0F5-8946-A957-E1A6BCB1027A}">
      <formula1>KV_DD_MAI_33</formula1>
    </dataValidation>
    <dataValidation type="list" allowBlank="1" showInputMessage="1" showErrorMessage="1" sqref="F34" xr:uid="{310A0BD6-68E5-CF4E-ACC2-311647434F59}">
      <formula1>KV_DD_MAI_34</formula1>
    </dataValidation>
    <dataValidation type="list" allowBlank="1" showInputMessage="1" showErrorMessage="1" sqref="F35" xr:uid="{D04B5CB5-CA6E-044A-9BBC-AF45F19B816B}">
      <formula1>KV_DD_MAI_35</formula1>
    </dataValidation>
    <dataValidation type="list" allowBlank="1" showInputMessage="1" showErrorMessage="1" sqref="F36" xr:uid="{8FCC8572-AF52-3149-A1CE-8D94FDE91660}">
      <formula1>KV_DD_MAI_36</formula1>
    </dataValidation>
    <dataValidation type="list" allowBlank="1" showInputMessage="1" showErrorMessage="1" sqref="F37" xr:uid="{CDA26681-775F-C949-A89E-CD993A027521}">
      <formula1>KV_DD_MAI_37</formula1>
    </dataValidation>
    <dataValidation type="list" allowBlank="1" showInputMessage="1" showErrorMessage="1" sqref="F38" xr:uid="{894FF15C-6C9A-3943-9B8E-E2D27BF1808C}">
      <formula1>KV_DD_MAI_38</formula1>
    </dataValidation>
    <dataValidation type="list" allowBlank="1" showInputMessage="1" showErrorMessage="1" sqref="F39" xr:uid="{DB95EA39-E2B8-9D4E-B85D-6C25C95801D7}">
      <formula1>KV_DD_MAI_39</formula1>
    </dataValidation>
    <dataValidation type="list" allowBlank="1" showInputMessage="1" showErrorMessage="1" sqref="F40" xr:uid="{1452E9B5-A6F5-8847-A521-40350078FC5E}">
      <formula1>KV_DD_MAI_40</formula1>
    </dataValidation>
    <dataValidation type="list" allowBlank="1" showInputMessage="1" showErrorMessage="1" sqref="F41" xr:uid="{DCA6BF12-5462-3646-8AD6-2D99FF2EA4B7}">
      <formula1>KV_DD_MAI_41</formula1>
    </dataValidation>
    <dataValidation type="list" allowBlank="1" showInputMessage="1" showErrorMessage="1" sqref="F42" xr:uid="{66C2D75B-43E4-7848-9C9F-C4C1C4E4F55C}">
      <formula1>KV_DD_MAI_42</formula1>
    </dataValidation>
    <dataValidation type="list" allowBlank="1" showInputMessage="1" showErrorMessage="1" sqref="F43" xr:uid="{8380D9E3-7DE1-DA4D-AA5E-64F5094DF8AF}">
      <formula1>KV_DD_MAI_43</formula1>
    </dataValidation>
    <dataValidation type="list" allowBlank="1" showInputMessage="1" showErrorMessage="1" sqref="F44" xr:uid="{9B5346C6-03FB-1044-9F85-4950C33455CF}">
      <formula1>KV_DD_MAI_44</formula1>
    </dataValidation>
    <dataValidation type="list" allowBlank="1" showInputMessage="1" showErrorMessage="1" sqref="F45" xr:uid="{09039BB4-32E1-0249-BFDB-A5D08DE59EDD}">
      <formula1>KV_DD_MAI_45</formula1>
    </dataValidation>
    <dataValidation type="list" allowBlank="1" showInputMessage="1" showErrorMessage="1" sqref="F46" xr:uid="{555D68DC-88F7-1146-A1BC-F30B570E2C04}">
      <formula1>KV_DD_MAI_46</formula1>
    </dataValidation>
    <dataValidation type="list" allowBlank="1" showInputMessage="1" showErrorMessage="1" sqref="F47" xr:uid="{012E5EE3-B24C-834D-8BED-43818D964652}">
      <formula1>KV_DD_MAI_47</formula1>
    </dataValidation>
    <dataValidation type="list" allowBlank="1" showInputMessage="1" showErrorMessage="1" sqref="F48" xr:uid="{72157713-2B09-3641-8175-FD02632299AF}">
      <formula1>KV_DD_MAI_48</formula1>
    </dataValidation>
    <dataValidation type="list" allowBlank="1" showInputMessage="1" showErrorMessage="1" sqref="F49" xr:uid="{38BBF33D-3DC4-EE41-A540-5F2332464279}">
      <formula1>KV_DD_MAI_49</formula1>
    </dataValidation>
    <dataValidation type="list" allowBlank="1" showInputMessage="1" showErrorMessage="1" sqref="F50" xr:uid="{893CEF00-93B7-DA45-B6A1-35B65E7C051A}">
      <formula1>KV_DD_MAI_50</formula1>
    </dataValidation>
    <dataValidation type="list" allowBlank="1" showInputMessage="1" showErrorMessage="1" sqref="F51" xr:uid="{CC5B4C69-D783-C64F-A7AF-9E0F8BCD417B}">
      <formula1>KV_DD_MAI_51</formula1>
    </dataValidation>
    <dataValidation type="list" allowBlank="1" showInputMessage="1" showErrorMessage="1" sqref="F52" xr:uid="{EAFCA945-9E99-F34A-93FD-67147762DA95}">
      <formula1>KV_DD_MAI_52</formula1>
    </dataValidation>
    <dataValidation type="list" allowBlank="1" showInputMessage="1" showErrorMessage="1" sqref="F53" xr:uid="{C1995C0B-13AC-44EC-8C43-FFD74A7C8923}">
      <formula1>KV_DD_MAI_53</formula1>
    </dataValidation>
    <dataValidation type="list" allowBlank="1" showInputMessage="1" showErrorMessage="1" sqref="F54" xr:uid="{EA762C1D-D426-4E5E-98BB-823A14EA605B}">
      <formula1>KV_DD_MAI_54</formula1>
    </dataValidation>
    <dataValidation type="list" allowBlank="1" showInputMessage="1" showErrorMessage="1" sqref="F56" xr:uid="{382F85B4-E7CD-224A-85CB-D3F854643D8C}">
      <formula1>KV_DD_MAI_56</formula1>
    </dataValidation>
    <dataValidation type="list" allowBlank="1" showInputMessage="1" showErrorMessage="1" sqref="F55" xr:uid="{9DBECE50-83B3-7548-8B16-17B5E60EE77C}">
      <formula1>KV_DD_MAI_55</formula1>
    </dataValidation>
    <dataValidation type="list" allowBlank="1" showInputMessage="1" showErrorMessage="1" sqref="F57" xr:uid="{DA0976BD-C25B-A544-8532-6DC6DD0B49C4}">
      <formula1>KV_DD_MAI_57</formula1>
    </dataValidation>
    <dataValidation type="list" allowBlank="1" showInputMessage="1" showErrorMessage="1" sqref="F58" xr:uid="{D0DC86D2-F9E1-B54A-A4E7-278EF6D6DB4A}">
      <formula1>KV_DD_MAI_58</formula1>
    </dataValidation>
    <dataValidation type="list" allowBlank="1" showInputMessage="1" showErrorMessage="1" sqref="F59" xr:uid="{AC6274FD-4CDA-4746-96AC-D0A2BC32F2AE}">
      <formula1>KV_DD_MAI_59</formula1>
    </dataValidation>
    <dataValidation type="list" allowBlank="1" showInputMessage="1" showErrorMessage="1" sqref="F60" xr:uid="{6442A6FE-86DA-ED4A-B43F-4AA539C05EA8}">
      <formula1>KV_DD_MAI_60</formula1>
    </dataValidation>
    <dataValidation type="list" allowBlank="1" showInputMessage="1" showErrorMessage="1" sqref="F61" xr:uid="{73E90480-5B52-594A-AFDD-120B67DACA68}">
      <formula1>KV_DD_MAI_61</formula1>
    </dataValidation>
    <dataValidation type="list" allowBlank="1" showInputMessage="1" showErrorMessage="1" sqref="F62" xr:uid="{562E69EF-4464-BE43-BF37-B49386710852}">
      <formula1>KV_DD_MAI_62</formula1>
    </dataValidation>
    <dataValidation type="list" allowBlank="1" showInputMessage="1" showErrorMessage="1" sqref="F63" xr:uid="{84C2C255-CC7E-3E44-94BA-D28068703D92}">
      <formula1>KV_DD_MAI_63</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5362" r:id="rId4" name="Button 2">
              <controlPr defaultSize="0" print="0" autoFill="0" autoPict="0" macro="[0]!CopyData">
                <anchor moveWithCells="1" sizeWithCells="1">
                  <from>
                    <xdr:col>14</xdr:col>
                    <xdr:colOff>38100</xdr:colOff>
                    <xdr:row>0</xdr:row>
                    <xdr:rowOff>50800</xdr:rowOff>
                  </from>
                  <to>
                    <xdr:col>18</xdr:col>
                    <xdr:colOff>647700</xdr:colOff>
                    <xdr:row>1</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CD5D4740-F7C6-458D-A8CD-966EE9437689}">
          <x14:formula1>
            <xm:f>LOHNTABELLE!$Q$4:$Q$17</xm:f>
          </x14:formula1>
          <xm:sqref>E3:E82</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F051E-963B-254F-8AE7-161E8976A58D}">
  <sheetPr codeName="Tabelle8"/>
  <dimension ref="A1:AC82"/>
  <sheetViews>
    <sheetView showGridLines="0" showRowColHeaders="0" zoomScaleNormal="100" workbookViewId="0">
      <pane ySplit="2" topLeftCell="A3"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6</v>
      </c>
      <c r="B1" s="302" t="s">
        <v>205</v>
      </c>
      <c r="C1" s="310" t="s">
        <v>52</v>
      </c>
      <c r="D1" s="308" t="s">
        <v>206</v>
      </c>
      <c r="E1" s="308" t="s">
        <v>0</v>
      </c>
      <c r="F1" s="308" t="s">
        <v>53</v>
      </c>
      <c r="G1" s="312" t="s">
        <v>54</v>
      </c>
      <c r="H1" s="314" t="s">
        <v>55</v>
      </c>
      <c r="I1" s="316" t="s">
        <v>207</v>
      </c>
      <c r="J1" s="318" t="s">
        <v>56</v>
      </c>
      <c r="K1" s="320" t="s">
        <v>57</v>
      </c>
      <c r="L1" s="322" t="s">
        <v>58</v>
      </c>
      <c r="M1" s="306" t="s">
        <v>59</v>
      </c>
      <c r="N1" s="303" t="s">
        <v>208</v>
      </c>
      <c r="AB1" s="41">
        <f>DATE(LOHNTABELLE!$G$3, $A$1, 1)</f>
        <v>46174</v>
      </c>
    </row>
    <row r="2" spans="1:28" ht="16" customHeight="1" thickBot="1">
      <c r="A2" s="129"/>
      <c r="B2" s="302"/>
      <c r="C2" s="311"/>
      <c r="D2" s="309"/>
      <c r="E2" s="309"/>
      <c r="F2" s="309"/>
      <c r="G2" s="313"/>
      <c r="H2" s="315"/>
      <c r="I2" s="317"/>
      <c r="J2" s="319"/>
      <c r="K2" s="321"/>
      <c r="L2" s="323"/>
      <c r="M2" s="307"/>
      <c r="N2" s="303"/>
      <c r="AB2" s="41">
        <f>EOMONTH(DATE(LOHNTABELLE!$G$3, $A$1, 1), 0)</f>
        <v>46203</v>
      </c>
    </row>
    <row r="3" spans="1:28" ht="16" customHeight="1">
      <c r="A3" s="130" t="s">
        <v>60</v>
      </c>
      <c r="B3" s="169">
        <v>55</v>
      </c>
      <c r="C3" s="166" t="s">
        <v>367</v>
      </c>
      <c r="D3" s="192">
        <v>46054</v>
      </c>
      <c r="E3" s="142" t="s">
        <v>4</v>
      </c>
      <c r="F3" s="167">
        <v>173</v>
      </c>
      <c r="G3" s="184">
        <v>3500</v>
      </c>
      <c r="H3" s="157">
        <f>IF(AND(ISNUMBER(D3), ISNUMBER(F3)),
    ROUNDDOWN(
        MIN(
            IF(OR(ISBLANK(I3), I3=""),
                EOMONTH(DATE(LOHNTABELLE!$G$3, $A$1, 1), 0), I3)
            - MAX(D3, DATE(LOHNTABELLE!$G$3, $A$1, 1)) + 1)
        / DAY(EOMONTH(DATE(LOHNTABELLE!$G$3, $A$1, 1), 0)) * F3,
        2
    ),
    ""
)</f>
        <v>173</v>
      </c>
      <c r="I3" s="19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42" t="s">
        <v>61</v>
      </c>
      <c r="P3" s="242" t="s">
        <v>62</v>
      </c>
      <c r="Q3" s="240" t="s">
        <v>63</v>
      </c>
      <c r="R3" s="280" t="s">
        <v>64</v>
      </c>
      <c r="AB3" s="43"/>
    </row>
    <row r="4" spans="1:28" ht="16" customHeight="1">
      <c r="A4" s="130" t="s">
        <v>65</v>
      </c>
      <c r="B4" s="170">
        <v>401006</v>
      </c>
      <c r="C4" s="137" t="s">
        <v>262</v>
      </c>
      <c r="D4" s="193">
        <v>38188</v>
      </c>
      <c r="E4" s="134" t="s">
        <v>24</v>
      </c>
      <c r="F4" s="136">
        <v>173</v>
      </c>
      <c r="G4" s="185">
        <v>2328</v>
      </c>
      <c r="H4" s="158">
        <f>IF(AND(ISNUMBER(D4), ISNUMBER(F4)),
    ROUNDDOWN(
        MIN(
            IF(OR(ISBLANK(I4), I4=""),
                EOMONTH(DATE(LOHNTABELLE!$G$3, $A$1, 1), 0), I4)
            - MAX(D4, DATE(LOHNTABELLE!$G$3, $A$1, 1)) + 1)
        / DAY(EOMONTH(DATE(LOHNTABELLE!$G$3, $A$1, 1), 0)) * F4,
        2
    ),
    ""
)</f>
        <v>173</v>
      </c>
      <c r="I4" s="19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43"/>
      <c r="P4" s="243"/>
      <c r="Q4" s="241"/>
      <c r="R4" s="281"/>
    </row>
    <row r="5" spans="1:28" ht="16" customHeight="1">
      <c r="A5" s="131" t="s">
        <v>66</v>
      </c>
      <c r="B5" s="170">
        <v>401010</v>
      </c>
      <c r="C5" s="137" t="s">
        <v>263</v>
      </c>
      <c r="D5" s="193">
        <v>39388</v>
      </c>
      <c r="E5" s="134" t="s">
        <v>12</v>
      </c>
      <c r="F5" s="136">
        <v>173</v>
      </c>
      <c r="G5" s="185">
        <v>2183</v>
      </c>
      <c r="H5" s="158">
        <f>IF(AND(ISNUMBER(D5), ISNUMBER(F5)),
    ROUNDDOWN(
        MIN(
            IF(OR(ISBLANK(I5), I5=""),
                EOMONTH(DATE(LOHNTABELLE!$G$3, $A$1, 1), 0), I5)
            - MAX(D5, DATE(LOHNTABELLE!$G$3, $A$1, 1)) + 1)
        / DAY(EOMONTH(DATE(LOHNTABELLE!$G$3, $A$1, 1), 0)) * F5,
        2
    ),
    ""
)</f>
        <v>173</v>
      </c>
      <c r="I5" s="19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882.31923110470257</v>
      </c>
      <c r="P5" s="49">
        <f>EINSTELLUNG!I11</f>
        <v>6</v>
      </c>
      <c r="Q5" s="48">
        <f>P5-O5</f>
        <v>-876.31923110470257</v>
      </c>
      <c r="R5" s="52">
        <f>IFERROR(Q5*Q42, 0)</f>
        <v>-14148.716609935689</v>
      </c>
    </row>
    <row r="6" spans="1:28" ht="16" customHeight="1">
      <c r="A6" s="130" t="s">
        <v>67</v>
      </c>
      <c r="B6" s="170">
        <v>401047</v>
      </c>
      <c r="C6" s="137" t="s">
        <v>265</v>
      </c>
      <c r="D6" s="193">
        <v>41154</v>
      </c>
      <c r="E6" s="134" t="s">
        <v>10</v>
      </c>
      <c r="F6" s="136">
        <v>173</v>
      </c>
      <c r="G6" s="185">
        <v>2123</v>
      </c>
      <c r="H6" s="158">
        <f>IF(AND(ISNUMBER(D6), ISNUMBER(F6)),
    ROUNDDOWN(
        MIN(
            IF(OR(ISBLANK(I6), I6=""),
                EOMONTH(DATE(LOHNTABELLE!$G$3, $A$1, 1), 0), I6)
            - MAX(D6, DATE(LOHNTABELLE!$G$3, $A$1, 1)) + 1)
        / DAY(EOMONTH(DATE(LOHNTABELLE!$G$3, $A$1, 1), 0)) * F6,
        2
    ),
    ""
)</f>
        <v>173</v>
      </c>
      <c r="I6" s="19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37" t="str">
        <f>IF(Q5&lt;0, "Schlecht! Zu wenig Urlaub abgebaut.", IF(Q5&gt;0, "Gut! Mehr Urlaub abgebaut als aufgebaut.", ""))</f>
        <v>Schlecht! Zu wenig Urlaub abgebaut.</v>
      </c>
      <c r="P6" s="238"/>
      <c r="Q6" s="238"/>
      <c r="R6" s="239"/>
    </row>
    <row r="7" spans="1:28" ht="16" customHeight="1">
      <c r="A7" s="130" t="s">
        <v>68</v>
      </c>
      <c r="B7" s="170">
        <v>401049</v>
      </c>
      <c r="C7" s="137" t="s">
        <v>264</v>
      </c>
      <c r="D7" s="193">
        <v>41130</v>
      </c>
      <c r="E7" s="134" t="s">
        <v>10</v>
      </c>
      <c r="F7" s="136">
        <v>173</v>
      </c>
      <c r="G7" s="185">
        <v>2123</v>
      </c>
      <c r="H7" s="158">
        <f>IF(AND(ISNUMBER(D7), ISNUMBER(F7)),
    ROUNDDOWN(
        MIN(
            IF(OR(ISBLANK(I7), I7=""),
                EOMONTH(DATE(LOHNTABELLE!$G$3, $A$1, 1), 0), I7)
            - MAX(D7, DATE(LOHNTABELLE!$G$3, $A$1, 1)) + 1)
        / DAY(EOMONTH(DATE(LOHNTABELLE!$G$3, $A$1, 1), 0)) * F7,
        2
    ),
    ""
)</f>
        <v>173</v>
      </c>
      <c r="I7" s="19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193">
        <v>41176</v>
      </c>
      <c r="E8" s="134" t="s">
        <v>10</v>
      </c>
      <c r="F8" s="136">
        <v>173</v>
      </c>
      <c r="G8" s="185">
        <v>2123</v>
      </c>
      <c r="H8" s="158">
        <f>IF(AND(ISNUMBER(D8), ISNUMBER(F8)),
    ROUNDDOWN(
        MIN(
            IF(OR(ISBLANK(I8), I8=""),
                EOMONTH(DATE(LOHNTABELLE!$G$3, $A$1, 1), 0), I8)
            - MAX(D8, DATE(LOHNTABELLE!$G$3, $A$1, 1)) + 1)
        / DAY(EOMONTH(DATE(LOHNTABELLE!$G$3, $A$1, 1), 0)) * F8,
        2
    ),
    ""
)</f>
        <v>173</v>
      </c>
      <c r="I8" s="19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45" t="s">
        <v>70</v>
      </c>
      <c r="P8" s="246"/>
      <c r="Q8" s="247">
        <f>SUM(H3:H82)</f>
        <v>9004.65</v>
      </c>
      <c r="R8" s="247"/>
    </row>
    <row r="9" spans="1:28" ht="16" customHeight="1">
      <c r="A9" s="131" t="s">
        <v>71</v>
      </c>
      <c r="B9" s="170">
        <v>401089</v>
      </c>
      <c r="C9" s="137" t="s">
        <v>280</v>
      </c>
      <c r="D9" s="193">
        <v>44868</v>
      </c>
      <c r="E9" s="134" t="s">
        <v>8</v>
      </c>
      <c r="F9" s="136">
        <v>173</v>
      </c>
      <c r="G9" s="185">
        <v>2082</v>
      </c>
      <c r="H9" s="158">
        <f>IF(AND(ISNUMBER(D9), ISNUMBER(F9)),
    ROUNDDOWN(
        MIN(
            IF(OR(ISBLANK(I9), I9=""),
                EOMONTH(DATE(LOHNTABELLE!$G$3, $A$1, 1), 0), I9)
            - MAX(D9, DATE(LOHNTABELLE!$G$3, $A$1, 1)) + 1)
        / DAY(EOMONTH(DATE(LOHNTABELLE!$G$3, $A$1, 1), 0)) * F9,
        2
    ),
    ""
)</f>
        <v>173</v>
      </c>
      <c r="I9" s="19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45" t="s">
        <v>72</v>
      </c>
      <c r="P9" s="246"/>
      <c r="Q9" s="247">
        <f>EINSTELLUNG!L27</f>
        <v>6</v>
      </c>
      <c r="R9" s="247"/>
      <c r="S9" s="53">
        <f>IFERROR(Q9/Q8, 0)</f>
        <v>6.6632240009328512E-4</v>
      </c>
    </row>
    <row r="10" spans="1:28" ht="16" customHeight="1">
      <c r="A10" s="130" t="s">
        <v>73</v>
      </c>
      <c r="B10" s="170">
        <v>401138</v>
      </c>
      <c r="C10" s="137" t="s">
        <v>267</v>
      </c>
      <c r="D10" s="193">
        <v>42006</v>
      </c>
      <c r="E10" s="134" t="s">
        <v>10</v>
      </c>
      <c r="F10" s="136">
        <v>173</v>
      </c>
      <c r="G10" s="185">
        <v>2123</v>
      </c>
      <c r="H10" s="158">
        <f>IF(AND(ISNUMBER(D10), ISNUMBER(F10)),
    ROUNDDOWN(
        MIN(
            IF(OR(ISBLANK(I10), I10=""),
                EOMONTH(DATE(LOHNTABELLE!$G$3, $A$1, 1), 0), I10)
            - MAX(D10, DATE(LOHNTABELLE!$G$3, $A$1, 1)) + 1)
        / DAY(EOMONTH(DATE(LOHNTABELLE!$G$3, $A$1, 1), 0)) * F10,
        2
    ),
    ""
)</f>
        <v>173</v>
      </c>
      <c r="I10" s="19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45" t="s">
        <v>74</v>
      </c>
      <c r="P10" s="246"/>
      <c r="Q10" s="247">
        <f>EINSTELLUNG!I27</f>
        <v>6</v>
      </c>
      <c r="R10" s="247"/>
    </row>
    <row r="11" spans="1:28" ht="16" customHeight="1">
      <c r="A11" s="130" t="s">
        <v>75</v>
      </c>
      <c r="B11" s="170">
        <v>401197</v>
      </c>
      <c r="C11" s="137" t="s">
        <v>268</v>
      </c>
      <c r="D11" s="193">
        <v>42644</v>
      </c>
      <c r="E11" s="134" t="s">
        <v>8</v>
      </c>
      <c r="F11" s="136">
        <v>173</v>
      </c>
      <c r="G11" s="185">
        <v>2082</v>
      </c>
      <c r="H11" s="158">
        <f>IF(AND(ISNUMBER(D11), ISNUMBER(F11)),
    ROUNDDOWN(
        MIN(
            IF(OR(ISBLANK(I11), I11=""),
                EOMONTH(DATE(LOHNTABELLE!$G$3, $A$1, 1), 0), I11)
            - MAX(D11, DATE(LOHNTABELLE!$G$3, $A$1, 1)) + 1)
        / DAY(EOMONTH(DATE(LOHNTABELLE!$G$3, $A$1, 1), 0)) * F11,
        2
    ),
    ""
)</f>
        <v>173</v>
      </c>
      <c r="I11" s="19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45" t="s">
        <v>76</v>
      </c>
      <c r="P11" s="246"/>
      <c r="Q11" s="247">
        <f>P5</f>
        <v>6</v>
      </c>
      <c r="R11" s="247"/>
    </row>
    <row r="12" spans="1:28" ht="16" customHeight="1">
      <c r="A12" s="130" t="s">
        <v>77</v>
      </c>
      <c r="B12" s="170">
        <v>401214</v>
      </c>
      <c r="C12" s="137" t="s">
        <v>294</v>
      </c>
      <c r="D12" s="193">
        <v>45636</v>
      </c>
      <c r="E12" s="134" t="s">
        <v>8</v>
      </c>
      <c r="F12" s="136">
        <v>173</v>
      </c>
      <c r="G12" s="185">
        <v>2082</v>
      </c>
      <c r="H12" s="158">
        <f>IF(AND(ISNUMBER(D12), ISNUMBER(F12)),
    ROUNDDOWN(
        MIN(
            IF(OR(ISBLANK(I12), I12=""),
                EOMONTH(DATE(LOHNTABELLE!$G$3, $A$1, 1), 0), I12)
            - MAX(D12, DATE(LOHNTABELLE!$G$3, $A$1, 1)) + 1)
        / DAY(EOMONTH(DATE(LOHNTABELLE!$G$3, $A$1, 1), 0)) * F12,
        2
    ),
    ""
)</f>
        <v>173</v>
      </c>
      <c r="I12" s="19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45" t="s">
        <v>78</v>
      </c>
      <c r="P12" s="246"/>
      <c r="Q12" s="276">
        <v>442</v>
      </c>
      <c r="R12" s="276"/>
    </row>
    <row r="13" spans="1:28" ht="16" customHeight="1">
      <c r="A13" s="131" t="s">
        <v>79</v>
      </c>
      <c r="B13" s="170">
        <v>401276</v>
      </c>
      <c r="C13" s="137" t="s">
        <v>269</v>
      </c>
      <c r="D13" s="193">
        <v>43252</v>
      </c>
      <c r="E13" s="134" t="s">
        <v>8</v>
      </c>
      <c r="F13" s="136">
        <v>173</v>
      </c>
      <c r="G13" s="185">
        <v>2082</v>
      </c>
      <c r="H13" s="158">
        <f>IF(AND(ISNUMBER(D13), ISNUMBER(F13)),
    ROUNDDOWN(
        MIN(
            IF(OR(ISBLANK(I13), I13=""),
                EOMONTH(DATE(LOHNTABELLE!$G$3, $A$1, 1), 0), I13)
            - MAX(D13, DATE(LOHNTABELLE!$G$3, $A$1, 1)) + 1)
        / DAY(EOMONTH(DATE(LOHNTABELLE!$G$3, $A$1, 1), 0)) * F13,
        2
    ),
    ""
)</f>
        <v>173</v>
      </c>
      <c r="I13" s="19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45" t="s">
        <v>80</v>
      </c>
      <c r="P13" s="246"/>
      <c r="Q13" s="247">
        <f>Q8-Q9-Q10-Q11-Q12</f>
        <v>8544.65</v>
      </c>
      <c r="R13" s="247"/>
    </row>
    <row r="14" spans="1:28" ht="16" customHeight="1">
      <c r="A14" s="130" t="s">
        <v>81</v>
      </c>
      <c r="B14" s="170">
        <v>401307</v>
      </c>
      <c r="C14" s="137" t="s">
        <v>270</v>
      </c>
      <c r="D14" s="193">
        <v>43571</v>
      </c>
      <c r="E14" s="134" t="s">
        <v>8</v>
      </c>
      <c r="F14" s="136">
        <v>173</v>
      </c>
      <c r="G14" s="185">
        <v>2082</v>
      </c>
      <c r="H14" s="158">
        <f>IF(AND(ISNUMBER(D14), ISNUMBER(F14)),
    ROUNDDOWN(
        MIN(
            IF(OR(ISBLANK(I14), I14=""),
                EOMONTH(DATE(LOHNTABELLE!$G$3, $A$1, 1), 0), I14)
            - MAX(D14, DATE(LOHNTABELLE!$G$3, $A$1, 1)) + 1)
        / DAY(EOMONTH(DATE(LOHNTABELLE!$G$3, $A$1, 1), 0)) * F14,
        2
    ),
    ""
)</f>
        <v>173</v>
      </c>
      <c r="I14" s="19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45" t="s">
        <v>82</v>
      </c>
      <c r="P14" s="246"/>
      <c r="Q14" s="247">
        <f>EINSTELLUNG!L11</f>
        <v>6</v>
      </c>
      <c r="R14" s="247"/>
    </row>
    <row r="15" spans="1:28" ht="16" customHeight="1">
      <c r="A15" s="130" t="s">
        <v>83</v>
      </c>
      <c r="B15" s="170">
        <v>401308</v>
      </c>
      <c r="C15" s="139" t="s">
        <v>271</v>
      </c>
      <c r="D15" s="193">
        <v>43579</v>
      </c>
      <c r="E15" s="134" t="s">
        <v>8</v>
      </c>
      <c r="F15" s="136">
        <v>173</v>
      </c>
      <c r="G15" s="185">
        <v>2082</v>
      </c>
      <c r="H15" s="158">
        <f>IF(AND(ISNUMBER(D15), ISNUMBER(F15)),
    ROUNDDOWN(
        MIN(
            IF(OR(ISBLANK(I15), I15=""),
                EOMONTH(DATE(LOHNTABELLE!$G$3, $A$1, 1), 0), I15)
            - MAX(D15, DATE(LOHNTABELLE!$G$3, $A$1, 1)) + 1)
        / DAY(EOMONTH(DATE(LOHNTABELLE!$G$3, $A$1, 1), 0)) * F15,
        2
    ),
    ""
)</f>
        <v>173</v>
      </c>
      <c r="I15" s="19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45" t="s">
        <v>84</v>
      </c>
      <c r="P15" s="246"/>
      <c r="Q15" s="247">
        <f>Q13-Q14</f>
        <v>8538.65</v>
      </c>
      <c r="R15" s="247"/>
      <c r="S15" s="100"/>
      <c r="T15" s="100"/>
      <c r="U15" s="100"/>
    </row>
    <row r="16" spans="1:28" ht="16" customHeight="1">
      <c r="A16" s="130" t="s">
        <v>85</v>
      </c>
      <c r="B16" s="170">
        <v>401389</v>
      </c>
      <c r="C16" s="137" t="s">
        <v>273</v>
      </c>
      <c r="D16" s="193">
        <v>44384</v>
      </c>
      <c r="E16" s="134" t="s">
        <v>22</v>
      </c>
      <c r="F16" s="136">
        <v>173</v>
      </c>
      <c r="G16" s="185">
        <v>2300</v>
      </c>
      <c r="H16" s="158">
        <f>IF(AND(ISNUMBER(D16), ISNUMBER(F16)),
    ROUNDDOWN(
        MIN(
            IF(OR(ISBLANK(I16), I16=""),
                EOMONTH(DATE(LOHNTABELLE!$G$3, $A$1, 1), 0), I16)
            - MAX(D16, DATE(LOHNTABELLE!$G$3, $A$1, 1)) + 1)
        / DAY(EOMONTH(DATE(LOHNTABELLE!$G$3, $A$1, 1), 0)) * F16,
        2
    ),
    ""
)</f>
        <v>173</v>
      </c>
      <c r="I16" s="19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248" t="str">
        <f>IF(Q15&lt;0, "Schlecht! Zu wenig Stunden für Dienstplan.", IF(Q15&gt;0, "Du hast mehr als genug Stunden für Dienstplan.", ""))</f>
        <v>Du hast mehr als genug Stunden für Dienstplan.</v>
      </c>
      <c r="P16" s="248"/>
      <c r="Q16" s="248"/>
      <c r="R16" s="248"/>
      <c r="W16" s="45"/>
    </row>
    <row r="17" spans="1:29" ht="16" customHeight="1">
      <c r="A17" s="131" t="s">
        <v>86</v>
      </c>
      <c r="B17" s="170">
        <v>401394</v>
      </c>
      <c r="C17" s="137" t="s">
        <v>272</v>
      </c>
      <c r="D17" s="193">
        <v>44379</v>
      </c>
      <c r="E17" s="134" t="s">
        <v>4</v>
      </c>
      <c r="F17" s="136">
        <v>173</v>
      </c>
      <c r="G17" s="185">
        <v>3500</v>
      </c>
      <c r="H17" s="158">
        <f>IF(AND(ISNUMBER(D17), ISNUMBER(F17)),
    ROUNDDOWN(
        MIN(
            IF(OR(ISBLANK(I17), I17=""),
                EOMONTH(DATE(LOHNTABELLE!$G$3, $A$1, 1), 0), I17)
            - MAX(D17, DATE(LOHNTABELLE!$G$3, $A$1, 1)) + 1)
        / DAY(EOMONTH(DATE(LOHNTABELLE!$G$3, $A$1, 1), 0)) * F17,
        2
    ),
    ""
)</f>
        <v>173</v>
      </c>
      <c r="I17" s="19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53" t="s">
        <v>87</v>
      </c>
      <c r="P17" s="254"/>
      <c r="Q17" s="277">
        <f>SUM(L3:L82)</f>
        <v>145385.65</v>
      </c>
      <c r="R17" s="277"/>
      <c r="W17" s="45"/>
    </row>
    <row r="18" spans="1:29" ht="16" customHeight="1">
      <c r="A18" s="130" t="s">
        <v>88</v>
      </c>
      <c r="B18" s="170">
        <v>401432</v>
      </c>
      <c r="C18" s="137" t="s">
        <v>274</v>
      </c>
      <c r="D18" s="193">
        <v>44441</v>
      </c>
      <c r="E18" s="134" t="s">
        <v>4</v>
      </c>
      <c r="F18" s="136">
        <v>173</v>
      </c>
      <c r="G18" s="185">
        <v>3500</v>
      </c>
      <c r="H18" s="158">
        <f>IF(AND(ISNUMBER(D18), ISNUMBER(F18)),
    ROUNDDOWN(
        MIN(
            IF(OR(ISBLANK(I18), I18=""),
                EOMONTH(DATE(LOHNTABELLE!$G$3, $A$1, 1), 0), I18)
            - MAX(D18, DATE(LOHNTABELLE!$G$3, $A$1, 1)) + 1)
        / DAY(EOMONTH(DATE(LOHNTABELLE!$G$3, $A$1, 1), 0)) * F18,
        2
    ),
    ""
)</f>
        <v>173</v>
      </c>
      <c r="I18" s="19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335"/>
      <c r="P18" s="366"/>
      <c r="Q18" s="367"/>
      <c r="R18" s="244"/>
    </row>
    <row r="19" spans="1:29" ht="16" customHeight="1">
      <c r="A19" s="130" t="s">
        <v>89</v>
      </c>
      <c r="B19" s="170">
        <v>401476</v>
      </c>
      <c r="C19" s="137" t="s">
        <v>276</v>
      </c>
      <c r="D19" s="193">
        <v>44504</v>
      </c>
      <c r="E19" s="134" t="s">
        <v>4</v>
      </c>
      <c r="F19" s="136">
        <v>173</v>
      </c>
      <c r="G19" s="185">
        <v>3500</v>
      </c>
      <c r="H19" s="158">
        <f>IF(AND(ISNUMBER(D19), ISNUMBER(F19)),
    ROUNDDOWN(
        MIN(
            IF(OR(ISBLANK(I19), I19=""),
                EOMONTH(DATE(LOHNTABELLE!$G$3, $A$1, 1), 0), I19)
            - MAX(D19, DATE(LOHNTABELLE!$G$3, $A$1, 1)) + 1)
        / DAY(EOMONTH(DATE(LOHNTABELLE!$G$3, $A$1, 1), 0)) * F19,
        2
    ),
    ""
)</f>
        <v>173</v>
      </c>
      <c r="I19" s="19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335"/>
      <c r="P19" s="366"/>
      <c r="Q19" s="367"/>
      <c r="R19" s="244"/>
    </row>
    <row r="20" spans="1:29" ht="16" customHeight="1">
      <c r="A20" s="130" t="s">
        <v>90</v>
      </c>
      <c r="B20" s="170">
        <v>401479</v>
      </c>
      <c r="C20" s="137" t="s">
        <v>277</v>
      </c>
      <c r="D20" s="193">
        <v>44511</v>
      </c>
      <c r="E20" s="134" t="s">
        <v>13</v>
      </c>
      <c r="F20" s="136">
        <v>173</v>
      </c>
      <c r="G20" s="185">
        <v>2160</v>
      </c>
      <c r="H20" s="158">
        <f>IF(AND(ISNUMBER(D20), ISNUMBER(F20)),
    ROUNDDOWN(
        MIN(
            IF(OR(ISBLANK(I20), I20=""),
                EOMONTH(DATE(LOHNTABELLE!$G$3, $A$1, 1), 0), I20)
            - MAX(D20, DATE(LOHNTABELLE!$G$3, $A$1, 1)) + 1)
        / DAY(EOMONTH(DATE(LOHNTABELLE!$G$3, $A$1, 1), 0)) * F20,
        2
    ),
    ""
)</f>
        <v>173</v>
      </c>
      <c r="I20" s="19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335"/>
      <c r="P20" s="366"/>
      <c r="Q20" s="367"/>
      <c r="R20" s="244"/>
    </row>
    <row r="21" spans="1:29" ht="16" customHeight="1">
      <c r="A21" s="131" t="s">
        <v>92</v>
      </c>
      <c r="B21" s="170">
        <v>401481</v>
      </c>
      <c r="C21" s="137" t="s">
        <v>278</v>
      </c>
      <c r="D21" s="193">
        <v>44531</v>
      </c>
      <c r="E21" s="134" t="s">
        <v>4</v>
      </c>
      <c r="F21" s="136">
        <v>173</v>
      </c>
      <c r="G21" s="185">
        <v>3500</v>
      </c>
      <c r="H21" s="158">
        <f>IF(AND(ISNUMBER(D21), ISNUMBER(F21)),
    ROUNDDOWN(
        MIN(
            IF(OR(ISBLANK(I21), I21=""),
                EOMONTH(DATE(LOHNTABELLE!$G$3, $A$1, 1), 0), I21)
            - MAX(D21, DATE(LOHNTABELLE!$G$3, $A$1, 1)) + 1)
        / DAY(EOMONTH(DATE(LOHNTABELLE!$G$3, $A$1, 1), 0)) * F21,
        2
    ),
    ""
)</f>
        <v>173</v>
      </c>
      <c r="I21" s="19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335" t="s">
        <v>356</v>
      </c>
      <c r="P21" s="366"/>
      <c r="Q21" s="367">
        <v>5000</v>
      </c>
      <c r="R21" s="244"/>
    </row>
    <row r="22" spans="1:29" ht="16" customHeight="1">
      <c r="A22" s="130" t="s">
        <v>93</v>
      </c>
      <c r="B22" s="170">
        <v>401558</v>
      </c>
      <c r="C22" s="137" t="s">
        <v>275</v>
      </c>
      <c r="D22" s="193">
        <v>44460</v>
      </c>
      <c r="E22" s="134" t="s">
        <v>4</v>
      </c>
      <c r="F22" s="136">
        <v>173</v>
      </c>
      <c r="G22" s="185">
        <v>3500</v>
      </c>
      <c r="H22" s="158">
        <f>IF(AND(ISNUMBER(D22), ISNUMBER(F22)),
    ROUNDDOWN(
        MIN(
            IF(OR(ISBLANK(I22), I22=""),
                EOMONTH(DATE(LOHNTABELLE!$G$3, $A$1, 1), 0), I22)
            - MAX(D22, DATE(LOHNTABELLE!$G$3, $A$1, 1)) + 1)
        / DAY(EOMONTH(DATE(LOHNTABELLE!$G$3, $A$1, 1), 0)) * F22,
        2
    ),
    ""
)</f>
        <v>173</v>
      </c>
      <c r="I22" s="19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335"/>
      <c r="P22" s="366"/>
      <c r="Q22" s="367"/>
      <c r="R22" s="244"/>
    </row>
    <row r="23" spans="1:29" ht="16" customHeight="1">
      <c r="A23" s="130" t="s">
        <v>94</v>
      </c>
      <c r="B23" s="170">
        <v>401564</v>
      </c>
      <c r="C23" s="137" t="s">
        <v>279</v>
      </c>
      <c r="D23" s="193">
        <v>44824</v>
      </c>
      <c r="E23" s="134" t="s">
        <v>4</v>
      </c>
      <c r="F23" s="136">
        <v>173</v>
      </c>
      <c r="G23" s="185">
        <v>3500</v>
      </c>
      <c r="H23" s="158">
        <f>IF(AND(ISNUMBER(D23), ISNUMBER(F23)),
    ROUNDDOWN(
        MIN(
            IF(OR(ISBLANK(I23), I23=""),
                EOMONTH(DATE(LOHNTABELLE!$G$3, $A$1, 1), 0), I23)
            - MAX(D23, DATE(LOHNTABELLE!$G$3, $A$1, 1)) + 1)
        / DAY(EOMONTH(DATE(LOHNTABELLE!$G$3, $A$1, 1), 0)) * F23,
        2
    ),
    ""
)</f>
        <v>173</v>
      </c>
      <c r="I23" s="19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335"/>
      <c r="P23" s="366"/>
      <c r="Q23" s="367"/>
      <c r="R23" s="244"/>
      <c r="W23" s="45"/>
    </row>
    <row r="24" spans="1:29" ht="16" customHeight="1">
      <c r="A24" s="130" t="s">
        <v>95</v>
      </c>
      <c r="B24" s="170">
        <v>401583</v>
      </c>
      <c r="C24" s="137" t="s">
        <v>281</v>
      </c>
      <c r="D24" s="193">
        <v>44900</v>
      </c>
      <c r="E24" s="134" t="s">
        <v>21</v>
      </c>
      <c r="F24" s="136">
        <v>173</v>
      </c>
      <c r="G24" s="185">
        <v>2300</v>
      </c>
      <c r="H24" s="158">
        <f>IF(AND(ISNUMBER(D24), ISNUMBER(F24)),
    ROUNDDOWN(
        MIN(
            IF(OR(ISBLANK(I24), I24=""),
                EOMONTH(DATE(LOHNTABELLE!$G$3, $A$1, 1), 0), I24)
            - MAX(D24, DATE(LOHNTABELLE!$G$3, $A$1, 1)) + 1)
        / DAY(EOMONTH(DATE(LOHNTABELLE!$G$3, $A$1, 1), 0)) * F24,
        2
    ),
    ""
)</f>
        <v>173</v>
      </c>
      <c r="I24" s="19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35"/>
      <c r="P24" s="366"/>
      <c r="Q24" s="367"/>
      <c r="R24" s="244"/>
      <c r="W24" s="45"/>
    </row>
    <row r="25" spans="1:29" ht="16" customHeight="1" thickBot="1">
      <c r="A25" s="131" t="s">
        <v>96</v>
      </c>
      <c r="B25" s="170">
        <v>401589</v>
      </c>
      <c r="C25" s="137" t="s">
        <v>282</v>
      </c>
      <c r="D25" s="193">
        <v>44926</v>
      </c>
      <c r="E25" s="134" t="s">
        <v>21</v>
      </c>
      <c r="F25" s="136">
        <v>173</v>
      </c>
      <c r="G25" s="185">
        <v>2300</v>
      </c>
      <c r="H25" s="158">
        <f>IF(AND(ISNUMBER(D25), ISNUMBER(F25)),
    ROUNDDOWN(
        MIN(
            IF(OR(ISBLANK(I25), I25=""),
                EOMONTH(DATE(LOHNTABELLE!$G$3, $A$1, 1), 0), I25)
            - MAX(D25, DATE(LOHNTABELLE!$G$3, $A$1, 1)) + 1)
        / DAY(EOMONTH(DATE(LOHNTABELLE!$G$3, $A$1, 1), 0)) * F25,
        2
    ),
    ""
)</f>
        <v>173</v>
      </c>
      <c r="I25" s="19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350"/>
      <c r="P25" s="368"/>
      <c r="Q25" s="369"/>
      <c r="R25" s="286"/>
    </row>
    <row r="26" spans="1:29" ht="16" customHeight="1">
      <c r="A26" s="130" t="s">
        <v>97</v>
      </c>
      <c r="B26" s="170">
        <v>401602</v>
      </c>
      <c r="C26" s="139" t="s">
        <v>283</v>
      </c>
      <c r="D26" s="193">
        <v>45975</v>
      </c>
      <c r="E26" s="134" t="s">
        <v>4</v>
      </c>
      <c r="F26" s="136">
        <v>173</v>
      </c>
      <c r="G26" s="185">
        <v>3500</v>
      </c>
      <c r="H26" s="158">
        <f>IF(AND(ISNUMBER(D26), ISNUMBER(F26)),
    ROUNDDOWN(
        MIN(
            IF(OR(ISBLANK(I26), I26=""),
                EOMONTH(DATE(LOHNTABELLE!$G$3, $A$1, 1), 0), I26)
            - MAX(D26, DATE(LOHNTABELLE!$G$3, $A$1, 1)) + 1)
        / DAY(EOMONTH(DATE(LOHNTABELLE!$G$3, $A$1, 1), 0)) * F26,
        2
    ),
    ""
)</f>
        <v>173</v>
      </c>
      <c r="I26" s="19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96"/>
      <c r="P26" s="297"/>
      <c r="Q26" s="287"/>
      <c r="R26" s="288"/>
    </row>
    <row r="27" spans="1:29" ht="16" customHeight="1">
      <c r="A27" s="130" t="s">
        <v>98</v>
      </c>
      <c r="B27" s="170">
        <v>401605</v>
      </c>
      <c r="C27" s="137" t="s">
        <v>284</v>
      </c>
      <c r="D27" s="193">
        <v>44986</v>
      </c>
      <c r="E27" s="134" t="s">
        <v>4</v>
      </c>
      <c r="F27" s="136">
        <v>173</v>
      </c>
      <c r="G27" s="185">
        <v>3500</v>
      </c>
      <c r="H27" s="158">
        <f>IF(AND(ISNUMBER(D27), ISNUMBER(F27)),
    ROUNDDOWN(
        MIN(
            IF(OR(ISBLANK(I27), I27=""),
                EOMONTH(DATE(LOHNTABELLE!$G$3, $A$1, 1), 0), I27)
            - MAX(D27, DATE(LOHNTABELLE!$G$3, $A$1, 1)) + 1)
        / DAY(EOMONTH(DATE(LOHNTABELLE!$G$3, $A$1, 1), 0)) * F27,
        2
    ),
    ""
)</f>
        <v>173</v>
      </c>
      <c r="I27" s="19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51"/>
      <c r="P27" s="252"/>
      <c r="Q27" s="244"/>
      <c r="R27" s="289"/>
      <c r="S27" s="249" t="s">
        <v>99</v>
      </c>
      <c r="T27" s="250"/>
      <c r="U27" s="250"/>
      <c r="V27" s="250"/>
    </row>
    <row r="28" spans="1:29" ht="16" customHeight="1" thickBot="1">
      <c r="A28" s="130" t="s">
        <v>100</v>
      </c>
      <c r="B28" s="170">
        <v>401626</v>
      </c>
      <c r="C28" s="137" t="s">
        <v>285</v>
      </c>
      <c r="D28" s="193">
        <v>45063</v>
      </c>
      <c r="E28" s="134" t="s">
        <v>4</v>
      </c>
      <c r="F28" s="136">
        <v>173</v>
      </c>
      <c r="G28" s="185">
        <v>3500</v>
      </c>
      <c r="H28" s="158">
        <f>IF(AND(ISNUMBER(D28), ISNUMBER(F28)),
    ROUNDDOWN(
        MIN(
            IF(OR(ISBLANK(I28), I28=""),
                EOMONTH(DATE(LOHNTABELLE!$G$3, $A$1, 1), 0), I28)
            - MAX(D28, DATE(LOHNTABELLE!$G$3, $A$1, 1)) + 1)
        / DAY(EOMONTH(DATE(LOHNTABELLE!$G$3, $A$1, 1), 0)) * F28,
        2
    ),
    ""
)</f>
        <v>173</v>
      </c>
      <c r="I28" s="19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90"/>
      <c r="P28" s="291"/>
      <c r="Q28" s="292"/>
      <c r="R28" s="293"/>
    </row>
    <row r="29" spans="1:29" ht="16" customHeight="1" thickBot="1">
      <c r="A29" s="131" t="s">
        <v>101</v>
      </c>
      <c r="B29" s="170">
        <v>401633</v>
      </c>
      <c r="C29" s="137" t="s">
        <v>286</v>
      </c>
      <c r="D29" s="193">
        <v>45089</v>
      </c>
      <c r="E29" s="134" t="s">
        <v>21</v>
      </c>
      <c r="F29" s="136">
        <v>173</v>
      </c>
      <c r="G29" s="185">
        <v>2300</v>
      </c>
      <c r="H29" s="158">
        <f>IF(AND(ISNUMBER(D29), ISNUMBER(F29)),
    ROUNDDOWN(
        MIN(
            IF(OR(ISBLANK(I29), I29=""),
                EOMONTH(DATE(LOHNTABELLE!$G$3, $A$1, 1), 0), I29)
            - MAX(D29, DATE(LOHNTABELLE!$G$3, $A$1, 1)) + 1)
        / DAY(EOMONTH(DATE(LOHNTABELLE!$G$3, $A$1, 1), 0)) * F29,
        2
    ),
    ""
)</f>
        <v>173</v>
      </c>
      <c r="I29" s="19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82" t="s">
        <v>102</v>
      </c>
      <c r="P29" s="283"/>
      <c r="Q29" s="284">
        <f>EINSTELLUNG!O11</f>
        <v>6</v>
      </c>
      <c r="R29" s="285"/>
    </row>
    <row r="30" spans="1:29" ht="16" customHeight="1">
      <c r="A30" s="130" t="s">
        <v>103</v>
      </c>
      <c r="B30" s="170">
        <v>401647</v>
      </c>
      <c r="C30" s="137" t="s">
        <v>287</v>
      </c>
      <c r="D30" s="193">
        <v>45182</v>
      </c>
      <c r="E30" s="134" t="s">
        <v>4</v>
      </c>
      <c r="F30" s="136">
        <v>173</v>
      </c>
      <c r="G30" s="185">
        <v>3500</v>
      </c>
      <c r="H30" s="158">
        <f>IF(AND(ISNUMBER(D30), ISNUMBER(F30)),
    ROUNDDOWN(
        MIN(
            IF(OR(ISBLANK(I30), I30=""),
                EOMONTH(DATE(LOHNTABELLE!$G$3, $A$1, 1), 0), I30)
            - MAX(D30, DATE(LOHNTABELLE!$G$3, $A$1, 1)) + 1)
        / DAY(EOMONTH(DATE(LOHNTABELLE!$G$3, $A$1, 1), 0)) * F30,
        2
    ),
    ""
)</f>
        <v>173</v>
      </c>
      <c r="I30" s="19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193">
        <v>45261</v>
      </c>
      <c r="E31" s="134" t="s">
        <v>4</v>
      </c>
      <c r="F31" s="136">
        <v>173</v>
      </c>
      <c r="G31" s="185">
        <v>3500</v>
      </c>
      <c r="H31" s="158">
        <f>IF(AND(ISNUMBER(D31), ISNUMBER(F31)),
    ROUNDDOWN(
        MIN(
            IF(OR(ISBLANK(I31), I31=""),
                EOMONTH(DATE(LOHNTABELLE!$G$3, $A$1, 1), 0), I31)
            - MAX(D31, DATE(LOHNTABELLE!$G$3, $A$1, 1)) + 1)
        / DAY(EOMONTH(DATE(LOHNTABELLE!$G$3, $A$1, 1), 0)) * F31,
        2
    ),
    ""
)</f>
        <v>173</v>
      </c>
      <c r="I31" s="19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98">
        <v>0</v>
      </c>
      <c r="P31" s="299"/>
      <c r="Q31" s="300">
        <v>1.6666666666666666E-2</v>
      </c>
      <c r="R31" s="301"/>
    </row>
    <row r="32" spans="1:29" ht="16" customHeight="1">
      <c r="A32" s="130" t="s">
        <v>106</v>
      </c>
      <c r="B32" s="170">
        <v>401670</v>
      </c>
      <c r="C32" s="137" t="s">
        <v>289</v>
      </c>
      <c r="D32" s="193">
        <v>45358</v>
      </c>
      <c r="E32" s="134" t="s">
        <v>4</v>
      </c>
      <c r="F32" s="136">
        <v>173</v>
      </c>
      <c r="G32" s="185">
        <v>3500</v>
      </c>
      <c r="H32" s="158">
        <f>IF(AND(ISNUMBER(D32), ISNUMBER(F32)),
    ROUNDDOWN(
        MIN(
            IF(OR(ISBLANK(I32), I32=""),
                EOMONTH(DATE(LOHNTABELLE!$G$3, $A$1, 1), 0), I32)
            - MAX(D32, DATE(LOHNTABELLE!$G$3, $A$1, 1)) + 1)
        / DAY(EOMONTH(DATE(LOHNTABELLE!$G$3, $A$1, 1), 0)) * F32,
        2
    ),
    ""
)</f>
        <v>173</v>
      </c>
      <c r="I32" s="19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401678</v>
      </c>
      <c r="C33" s="137" t="s">
        <v>290</v>
      </c>
      <c r="D33" s="193">
        <v>45414</v>
      </c>
      <c r="E33" s="134" t="s">
        <v>4</v>
      </c>
      <c r="F33" s="136">
        <v>173</v>
      </c>
      <c r="G33" s="185">
        <v>3500</v>
      </c>
      <c r="H33" s="158">
        <f>IF(AND(ISNUMBER(D33), ISNUMBER(F33)),
    ROUNDDOWN(
        MIN(
            IF(OR(ISBLANK(I33), I33=""),
                EOMONTH(DATE(LOHNTABELLE!$G$3, $A$1, 1), 0), I33)
            - MAX(D33, DATE(LOHNTABELLE!$G$3, $A$1, 1)) + 1)
        / DAY(EOMONTH(DATE(LOHNTABELLE!$G$3, $A$1, 1), 0)) * F33,
        2
    ),
    ""
)</f>
        <v>173</v>
      </c>
      <c r="I33" s="19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66"/>
      <c r="P33" s="267"/>
      <c r="Q33" s="364" t="str">
        <f>EINSTELLUNG!B3</f>
        <v>Budget Zahlen</v>
      </c>
      <c r="R33" s="364"/>
      <c r="S33" s="365" t="str">
        <f>EINSTELLUNG!B19</f>
        <v>Projection/Aktuell Zahlen</v>
      </c>
      <c r="T33" s="365"/>
      <c r="U33" s="365" t="s">
        <v>110</v>
      </c>
      <c r="V33" s="365"/>
    </row>
    <row r="34" spans="1:24" ht="16" customHeight="1">
      <c r="A34" s="130" t="s">
        <v>111</v>
      </c>
      <c r="B34" s="170">
        <v>401690</v>
      </c>
      <c r="C34" s="137" t="s">
        <v>292</v>
      </c>
      <c r="D34" s="193">
        <v>45536</v>
      </c>
      <c r="E34" s="134" t="s">
        <v>4</v>
      </c>
      <c r="F34" s="136">
        <v>173</v>
      </c>
      <c r="G34" s="185">
        <v>3500</v>
      </c>
      <c r="H34" s="158">
        <f>IF(AND(ISNUMBER(D34), ISNUMBER(F34)),
    ROUNDDOWN(
        MIN(
            IF(OR(ISBLANK(I34), I34=""),
                EOMONTH(DATE(LOHNTABELLE!$G$3, $A$1, 1), 0), I34)
            - MAX(D34, DATE(LOHNTABELLE!$G$3, $A$1, 1)) + 1)
        / DAY(EOMONTH(DATE(LOHNTABELLE!$G$3, $A$1, 1), 0)) * F34,
        2
    ),
    ""
)</f>
        <v>173</v>
      </c>
      <c r="I34" s="19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66"/>
      <c r="P34" s="267"/>
      <c r="Q34" s="364"/>
      <c r="R34" s="364"/>
      <c r="S34" s="365"/>
      <c r="T34" s="365"/>
      <c r="U34" s="365"/>
      <c r="V34" s="365"/>
    </row>
    <row r="35" spans="1:24" ht="16" customHeight="1">
      <c r="A35" s="130" t="s">
        <v>112</v>
      </c>
      <c r="B35" s="170">
        <v>401703</v>
      </c>
      <c r="C35" s="137" t="s">
        <v>293</v>
      </c>
      <c r="D35" s="193">
        <v>45616</v>
      </c>
      <c r="E35" s="134" t="s">
        <v>4</v>
      </c>
      <c r="F35" s="136">
        <v>173</v>
      </c>
      <c r="G35" s="185">
        <v>3500</v>
      </c>
      <c r="H35" s="158">
        <f>IF(AND(ISNUMBER(D35), ISNUMBER(F35)),
    ROUNDDOWN(
        MIN(
            IF(OR(ISBLANK(I35), I35=""),
                EOMONTH(DATE(LOHNTABELLE!$G$3, $A$1, 1), 0), I35)
            - MAX(D35, DATE(LOHNTABELLE!$G$3, $A$1, 1)) + 1)
        / DAY(EOMONTH(DATE(LOHNTABELLE!$G$3, $A$1, 1), 0)) * F35,
        2
    ),
    ""
)</f>
        <v>173</v>
      </c>
      <c r="I35" s="19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55" t="s">
        <v>113</v>
      </c>
      <c r="P35" s="256"/>
      <c r="Q35" s="257">
        <f>EINSTELLUNG!C11</f>
        <v>6</v>
      </c>
      <c r="R35" s="257"/>
      <c r="S35" s="257">
        <f>EINSTELLUNG!C27</f>
        <v>6</v>
      </c>
      <c r="T35" s="257"/>
      <c r="U35" s="258">
        <f>S35-Q35</f>
        <v>0</v>
      </c>
      <c r="V35" s="258"/>
    </row>
    <row r="36" spans="1:24" ht="16" customHeight="1">
      <c r="A36" s="130" t="s">
        <v>114</v>
      </c>
      <c r="B36" s="170">
        <v>401715</v>
      </c>
      <c r="C36" s="137" t="s">
        <v>295</v>
      </c>
      <c r="D36" s="193">
        <v>45755</v>
      </c>
      <c r="E36" s="134" t="s">
        <v>4</v>
      </c>
      <c r="F36" s="136">
        <v>173</v>
      </c>
      <c r="G36" s="185">
        <v>3500</v>
      </c>
      <c r="H36" s="158">
        <f>IF(AND(ISNUMBER(D36), ISNUMBER(F36)),
    ROUNDDOWN(
        MIN(
            IF(OR(ISBLANK(I36), I36=""),
                EOMONTH(DATE(LOHNTABELLE!$G$3, $A$1, 1), 0), I36)
            - MAX(D36, DATE(LOHNTABELLE!$G$3, $A$1, 1)) + 1)
        / DAY(EOMONTH(DATE(LOHNTABELLE!$G$3, $A$1, 1), 0)) * F36,
        2
    ),
    ""
)</f>
        <v>173</v>
      </c>
      <c r="I36" s="19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55" t="s">
        <v>115</v>
      </c>
      <c r="P36" s="256"/>
      <c r="Q36" s="257">
        <f>EINSTELLUNG!D11</f>
        <v>6</v>
      </c>
      <c r="R36" s="257"/>
      <c r="S36" s="257" cm="1">
        <f t="array" ref="S36">SumMergedCells(Q17:R29)</f>
        <v>150391.65</v>
      </c>
      <c r="T36" s="257"/>
      <c r="U36" s="258">
        <f t="shared" ref="U36:U41" si="2">S36-Q36</f>
        <v>150385.65</v>
      </c>
      <c r="V36" s="258"/>
    </row>
    <row r="37" spans="1:24" ht="16" customHeight="1">
      <c r="A37" s="131" t="s">
        <v>116</v>
      </c>
      <c r="B37" s="170">
        <v>401716</v>
      </c>
      <c r="C37" s="137" t="s">
        <v>296</v>
      </c>
      <c r="D37" s="193">
        <v>45800</v>
      </c>
      <c r="E37" s="134" t="s">
        <v>4</v>
      </c>
      <c r="F37" s="136">
        <v>173</v>
      </c>
      <c r="G37" s="185">
        <v>3500</v>
      </c>
      <c r="H37" s="158">
        <f>IF(AND(ISNUMBER(D37), ISNUMBER(F37)),
    ROUNDDOWN(
        MIN(
            IF(OR(ISBLANK(I37), I37=""),
                EOMONTH(DATE(LOHNTABELLE!$G$3, $A$1, 1), 0), I37)
            - MAX(D37, DATE(LOHNTABELLE!$G$3, $A$1, 1)) + 1)
        / DAY(EOMONTH(DATE(LOHNTABELLE!$G$3, $A$1, 1), 0)) * F37,
        2
    ),
    ""
)</f>
        <v>173</v>
      </c>
      <c r="I37" s="19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55" t="s">
        <v>117</v>
      </c>
      <c r="P37" s="256"/>
      <c r="Q37" s="264">
        <f>IF(ISERROR(Q36/Q35), 0, Q36/Q35)</f>
        <v>1</v>
      </c>
      <c r="R37" s="264"/>
      <c r="S37" s="264">
        <f>IF(ISERROR(S36/S35), 0, S36/S35)</f>
        <v>25065.274999999998</v>
      </c>
      <c r="T37" s="264"/>
      <c r="U37" s="265">
        <f t="shared" si="2"/>
        <v>25064.274999999998</v>
      </c>
      <c r="V37" s="265"/>
    </row>
    <row r="38" spans="1:24" ht="16" customHeight="1">
      <c r="A38" s="130" t="s">
        <v>118</v>
      </c>
      <c r="B38" s="170">
        <v>401717</v>
      </c>
      <c r="C38" s="137" t="s">
        <v>297</v>
      </c>
      <c r="D38" s="193">
        <v>45814</v>
      </c>
      <c r="E38" s="134" t="s">
        <v>4</v>
      </c>
      <c r="F38" s="136">
        <v>173</v>
      </c>
      <c r="G38" s="185">
        <v>3500</v>
      </c>
      <c r="H38" s="158">
        <f>IF(AND(ISNUMBER(D38), ISNUMBER(F38)),
    ROUNDDOWN(
        MIN(
            IF(OR(ISBLANK(I39), I39=""),
                EOMONTH(DATE(LOHNTABELLE!$G$3, $A$1, 1), 0), I39)
            - MAX(D38, DATE(LOHNTABELLE!$G$3, $A$1, 1)) + 1)
        / DAY(EOMONTH(DATE(LOHNTABELLE!$G$3, $A$1, 1), 0)) * F38,
        2
    ),
    ""
)</f>
        <v>173</v>
      </c>
      <c r="I38" s="19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55" t="s">
        <v>119</v>
      </c>
      <c r="P38" s="256"/>
      <c r="Q38" s="259">
        <f>EINSTELLUNG!F11</f>
        <v>6</v>
      </c>
      <c r="R38" s="259"/>
      <c r="S38" s="259">
        <f>EINSTELLUNG!F27</f>
        <v>6</v>
      </c>
      <c r="T38" s="259"/>
      <c r="U38" s="260">
        <f t="shared" si="2"/>
        <v>0</v>
      </c>
      <c r="V38" s="260"/>
    </row>
    <row r="39" spans="1:24" ht="16" customHeight="1">
      <c r="A39" s="130" t="s">
        <v>120</v>
      </c>
      <c r="B39" s="170">
        <v>401722</v>
      </c>
      <c r="C39" s="137" t="s">
        <v>298</v>
      </c>
      <c r="D39" s="193">
        <v>45848</v>
      </c>
      <c r="E39" s="134" t="s">
        <v>4</v>
      </c>
      <c r="F39" s="136">
        <v>86.5</v>
      </c>
      <c r="G39" s="185">
        <v>1010.5</v>
      </c>
      <c r="H39" s="158">
        <f>IF(AND(ISNUMBER(D39), ISNUMBER(F39)),
    ROUNDDOWN(
        MIN(
            IF(OR(ISBLANK(I40), I40=""),
                EOMONTH(DATE(LOHNTABELLE!$G$3, $A$1, 1), 0), I40)
            - MAX(D39, DATE(LOHNTABELLE!$G$3, $A$1, 1)) + 1)
        / DAY(EOMONTH(DATE(LOHNTABELLE!$G$3, $A$1, 1), 0)) * F39,
        2
    ),
    ""
)</f>
        <v>86.5</v>
      </c>
      <c r="I39" s="19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55" t="s">
        <v>121</v>
      </c>
      <c r="P39" s="256"/>
      <c r="Q39" s="257">
        <f>IF(Q38=0, 0, Q35/Q38)</f>
        <v>1</v>
      </c>
      <c r="R39" s="257"/>
      <c r="S39" s="257">
        <f>IF(S38=0, 0, S35/S38)</f>
        <v>1</v>
      </c>
      <c r="T39" s="257"/>
      <c r="U39" s="258">
        <f t="shared" si="2"/>
        <v>0</v>
      </c>
      <c r="V39" s="258"/>
    </row>
    <row r="40" spans="1:24" ht="16" customHeight="1">
      <c r="A40" s="130" t="s">
        <v>122</v>
      </c>
      <c r="B40" s="170">
        <v>401723</v>
      </c>
      <c r="C40" s="137" t="s">
        <v>299</v>
      </c>
      <c r="D40" s="193">
        <v>45852</v>
      </c>
      <c r="E40" s="134" t="s">
        <v>4</v>
      </c>
      <c r="F40" s="136">
        <v>86.5</v>
      </c>
      <c r="G40" s="185">
        <v>1010.5</v>
      </c>
      <c r="H40" s="158">
        <f>IF(AND(ISNUMBER(D40), ISNUMBER(F40)),
    ROUNDDOWN(
        MIN(
            IF(OR(ISBLANK(I40), I40=""),
                EOMONTH(DATE(LOHNTABELLE!$G$3, $A$1, 1), 0), I40)
            - MAX(D40, DATE(LOHNTABELLE!$G$3, $A$1, 1)) + 1)
        / DAY(EOMONTH(DATE(LOHNTABELLE!$G$3, $A$1, 1), 0)) * F40,
        2
    ),
    ""
)</f>
        <v>86.5</v>
      </c>
      <c r="I40" s="19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55" t="s">
        <v>123</v>
      </c>
      <c r="P40" s="256"/>
      <c r="Q40" s="257">
        <f>IF(Q12=0, 0, Q35/Q12)</f>
        <v>1.3574660633484163E-2</v>
      </c>
      <c r="R40" s="257"/>
      <c r="S40" s="257">
        <f>IF(Q12=0, 0, S35/Q12)</f>
        <v>1.3574660633484163E-2</v>
      </c>
      <c r="T40" s="257"/>
      <c r="U40" s="258">
        <f t="shared" si="2"/>
        <v>0</v>
      </c>
      <c r="V40" s="258"/>
    </row>
    <row r="41" spans="1:24" ht="16" customHeight="1">
      <c r="A41" s="131" t="s">
        <v>124</v>
      </c>
      <c r="B41" s="170">
        <v>401726</v>
      </c>
      <c r="C41" s="137" t="s">
        <v>300</v>
      </c>
      <c r="D41" s="193">
        <v>45870</v>
      </c>
      <c r="E41" s="134" t="s">
        <v>4</v>
      </c>
      <c r="F41" s="136">
        <v>86.5</v>
      </c>
      <c r="G41" s="185">
        <v>1010.5</v>
      </c>
      <c r="H41" s="158">
        <f>IF(AND(ISNUMBER(D41), ISNUMBER(F41)),
    ROUNDDOWN(
        MIN(
            IF(OR(ISBLANK(I41), I41=""),
                EOMONTH(DATE(LOHNTABELLE!$G$3, $A$1, 1), 0), I41)
            - MAX(D41, DATE(LOHNTABELLE!$G$3, $A$1, 1)) + 1)
        / DAY(EOMONTH(DATE(LOHNTABELLE!$G$3, $A$1, 1), 0)) * F41,
        2
    ),
    ""
)</f>
        <v>86.5</v>
      </c>
      <c r="I41" s="19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55" t="s">
        <v>125</v>
      </c>
      <c r="P41" s="256"/>
      <c r="Q41" s="259">
        <f>IF(Q12=0, 0, Q38/Q12)</f>
        <v>1.3574660633484163E-2</v>
      </c>
      <c r="R41" s="259"/>
      <c r="S41" s="259">
        <f>IF(Q12=0, 0, S38/Q12)</f>
        <v>1.3574660633484163E-2</v>
      </c>
      <c r="T41" s="259"/>
      <c r="U41" s="260">
        <f t="shared" si="2"/>
        <v>0</v>
      </c>
      <c r="V41" s="260"/>
    </row>
    <row r="42" spans="1:24" ht="16" customHeight="1">
      <c r="A42" s="130" t="s">
        <v>126</v>
      </c>
      <c r="B42" s="170">
        <v>401730</v>
      </c>
      <c r="C42" s="137" t="s">
        <v>302</v>
      </c>
      <c r="D42" s="193">
        <v>45895</v>
      </c>
      <c r="E42" s="134" t="s">
        <v>4</v>
      </c>
      <c r="F42" s="136">
        <v>86.5</v>
      </c>
      <c r="G42" s="185">
        <v>1010.5</v>
      </c>
      <c r="H42" s="158">
        <f>IF(AND(ISNUMBER(D42), ISNUMBER(F42)),
    ROUNDDOWN(
        MIN(
            IF(OR(ISBLANK(I42), I42=""),
                EOMONTH(DATE(LOHNTABELLE!$G$3, $A$1, 1), 0), I42)
            - MAX(D42, DATE(LOHNTABELLE!$G$3, $A$1, 1)) + 1)
        / DAY(EOMONTH(DATE(LOHNTABELLE!$G$3, $A$1, 1), 0)) * F42,
        2
    ),
    ""
)</f>
        <v>86.5</v>
      </c>
      <c r="I42" s="19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55" t="s">
        <v>127</v>
      </c>
      <c r="P42" s="256"/>
      <c r="Q42" s="261">
        <f>IFERROR(Q17/Q8, 0)</f>
        <v>16.14561920785372</v>
      </c>
      <c r="R42" s="262"/>
      <c r="S42" s="262"/>
      <c r="T42" s="262"/>
      <c r="U42" s="262"/>
      <c r="V42" s="263"/>
    </row>
    <row r="43" spans="1:24" ht="16" customHeight="1">
      <c r="A43" s="130" t="s">
        <v>128</v>
      </c>
      <c r="B43" s="170">
        <v>401731</v>
      </c>
      <c r="C43" s="137" t="s">
        <v>301</v>
      </c>
      <c r="D43" s="193">
        <v>45899</v>
      </c>
      <c r="E43" s="134" t="s">
        <v>4</v>
      </c>
      <c r="F43" s="136">
        <v>86.5</v>
      </c>
      <c r="G43" s="185">
        <v>1010.5</v>
      </c>
      <c r="H43" s="158">
        <f>IF(AND(ISNUMBER(D43), ISNUMBER(F43)),
    ROUNDDOWN(
        MIN(
            IF(OR(ISBLANK(I43), I43=""),
                EOMONTH(DATE(LOHNTABELLE!$G$3, $A$1, 1), 0), I43)
            - MAX(D43, DATE(LOHNTABELLE!$G$3, $A$1, 1)) + 1)
        / DAY(EOMONTH(DATE(LOHNTABELLE!$G$3, $A$1, 1), 0)) * F43,
        2
    ),
    ""
)</f>
        <v>86.5</v>
      </c>
      <c r="I43" s="19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193">
        <v>45904</v>
      </c>
      <c r="E44" s="134" t="s">
        <v>4</v>
      </c>
      <c r="F44" s="136">
        <v>86.5</v>
      </c>
      <c r="G44" s="185">
        <v>1010.5</v>
      </c>
      <c r="H44" s="158">
        <f>IF(AND(ISNUMBER(D44), ISNUMBER(F44)),
    ROUNDDOWN(
        MIN(
            IF(OR(ISBLANK(I44), I44=""),
                EOMONTH(DATE(LOHNTABELLE!$G$3, $A$1, 1), 0), I44)
            - MAX(D44, DATE(LOHNTABELLE!$G$3, $A$1, 1)) + 1)
        / DAY(EOMONTH(DATE(LOHNTABELLE!$G$3, $A$1, 1), 0)) * F44,
        2
    ),
    ""
)</f>
        <v>86.5</v>
      </c>
      <c r="I44" s="19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19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9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193">
        <v>45906</v>
      </c>
      <c r="E46" s="134" t="s">
        <v>4</v>
      </c>
      <c r="F46" s="136">
        <v>86.5</v>
      </c>
      <c r="G46" s="185">
        <v>1010.5</v>
      </c>
      <c r="H46" s="158">
        <f>IF(AND(ISNUMBER(D46), ISNUMBER(F46)),
    ROUNDDOWN(
        MIN(
            IF(OR(ISBLANK(I46), I46=""),
                EOMONTH(DATE(LOHNTABELLE!$G$3, $A$1, 1), 0), I46)
            - MAX(D46, DATE(LOHNTABELLE!$G$3, $A$1, 1)) + 1)
        / DAY(EOMONTH(DATE(LOHNTABELLE!$G$3, $A$1, 1), 0)) * F46,
        2
    ),
    ""
)</f>
        <v>86.5</v>
      </c>
      <c r="I46" s="19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193">
        <v>45909</v>
      </c>
      <c r="E47" s="134" t="s">
        <v>4</v>
      </c>
      <c r="F47" s="136">
        <v>86.5</v>
      </c>
      <c r="G47" s="185">
        <v>1010.5</v>
      </c>
      <c r="H47" s="158">
        <f>IF(AND(ISNUMBER(D47), ISNUMBER(F47)),
    ROUNDDOWN(
        MIN(
            IF(OR(ISBLANK(I47), I47=""),
                EOMONTH(DATE(LOHNTABELLE!$G$3, $A$1, 1), 0), I47)
            - MAX(D47, DATE(LOHNTABELLE!$G$3, $A$1, 1)) + 1)
        / DAY(EOMONTH(DATE(LOHNTABELLE!$G$3, $A$1, 1), 0)) * F47,
        2
    ),
    ""
)</f>
        <v>86.5</v>
      </c>
      <c r="I47" s="19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193">
        <v>45934</v>
      </c>
      <c r="E48" s="134" t="s">
        <v>4</v>
      </c>
      <c r="F48" s="136">
        <v>86.5</v>
      </c>
      <c r="G48" s="185">
        <v>1010.5</v>
      </c>
      <c r="H48" s="158">
        <f>IF(AND(ISNUMBER(D48), ISNUMBER(F48)),
    ROUNDDOWN(
        MIN(
            IF(OR(ISBLANK(I48), I48=""),
                EOMONTH(DATE(LOHNTABELLE!$G$3, $A$1, 1), 0), I48)
            - MAX(D48, DATE(LOHNTABELLE!$G$3, $A$1, 1)) + 1)
        / DAY(EOMONTH(DATE(LOHNTABELLE!$G$3, $A$1, 1), 0)) * F48,
        2
    ),
    ""
)</f>
        <v>86.5</v>
      </c>
      <c r="I48" s="19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193">
        <v>45941</v>
      </c>
      <c r="E49" s="134" t="s">
        <v>4</v>
      </c>
      <c r="F49" s="136">
        <v>86.5</v>
      </c>
      <c r="G49" s="185">
        <v>1010.5</v>
      </c>
      <c r="H49" s="158">
        <f>IF(AND(ISNUMBER(D49), ISNUMBER(F49)),
    ROUNDDOWN(
        MIN(
            IF(OR(ISBLANK(I49), I49=""),
                EOMONTH(DATE(LOHNTABELLE!$G$3, $A$1, 1), 0), I49)
            - MAX(D49, DATE(LOHNTABELLE!$G$3, $A$1, 1)) + 1)
        / DAY(EOMONTH(DATE(LOHNTABELLE!$G$3, $A$1, 1), 0)) * F49,
        2
    ),
    ""
)</f>
        <v>86.5</v>
      </c>
      <c r="I49" s="19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193">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9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193">
        <v>45941</v>
      </c>
      <c r="E51" s="134" t="s">
        <v>4</v>
      </c>
      <c r="F51" s="136">
        <v>86.5</v>
      </c>
      <c r="G51" s="185">
        <v>1010.5</v>
      </c>
      <c r="H51" s="158">
        <f>IF(AND(ISNUMBER(D51), ISNUMBER(F51)),
    ROUNDDOWN(
        MIN(
            IF(OR(ISBLANK(I51), I51=""),
                EOMONTH(DATE(LOHNTABELLE!$G$3, $A$1, 1), 0), I51)
            - MAX(D51, DATE(LOHNTABELLE!$G$3, $A$1, 1)) + 1)
        / DAY(EOMONTH(DATE(LOHNTABELLE!$G$3, $A$1, 1), 0)) * F51,
        2
    ),
    ""
)</f>
        <v>86.5</v>
      </c>
      <c r="I51" s="19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193">
        <v>45961</v>
      </c>
      <c r="E52" s="134" t="s">
        <v>4</v>
      </c>
      <c r="F52" s="136">
        <v>86.5</v>
      </c>
      <c r="G52" s="185">
        <v>1010.5</v>
      </c>
      <c r="H52" s="158">
        <f>IF(AND(ISNUMBER(D52), ISNUMBER(F52)),
    ROUNDDOWN(
        MIN(
            IF(OR(ISBLANK(I52), I52=""),
                EOMONTH(DATE(LOHNTABELLE!$G$3, $A$1, 1), 0), I52)
            - MAX(D52, DATE(LOHNTABELLE!$G$3, $A$1, 1)) + 1)
        / DAY(EOMONTH(DATE(LOHNTABELLE!$G$3, $A$1, 1), 0)) * F52,
        2
    ),
    ""
)</f>
        <v>86.5</v>
      </c>
      <c r="I52" s="19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193">
        <v>45986</v>
      </c>
      <c r="E53" s="134" t="s">
        <v>4</v>
      </c>
      <c r="F53" s="136">
        <v>86.5</v>
      </c>
      <c r="G53" s="185">
        <v>1010.5</v>
      </c>
      <c r="H53" s="158">
        <f>IF(AND(ISNUMBER(D53), ISNUMBER(F53)),
    ROUNDDOWN(
        MIN(
            IF(OR(ISBLANK(I53), I53=""),
                EOMONTH(DATE(LOHNTABELLE!$G$3, $A$1, 1), 0), I53)
            - MAX(D53, DATE(LOHNTABELLE!$G$3, $A$1, 1)) + 1)
        / DAY(EOMONTH(DATE(LOHNTABELLE!$G$3, $A$1, 1), 0)) * F53,
        2
    ),
    ""
)</f>
        <v>86.5</v>
      </c>
      <c r="I53" s="19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355</v>
      </c>
      <c r="D54" s="193">
        <v>46082</v>
      </c>
      <c r="E54" s="134" t="s">
        <v>4</v>
      </c>
      <c r="F54" s="136">
        <v>173</v>
      </c>
      <c r="G54" s="185">
        <v>3500</v>
      </c>
      <c r="H54" s="158">
        <f>IF(AND(ISNUMBER(D54), ISNUMBER(F54)),
    ROUNDDOWN(
        MIN(
            IF(OR(ISBLANK(I54), I54=""),
                EOMONTH(DATE(LOHNTABELLE!$G$3, $A$1, 1), 0), I54)
            - MAX(D54, DATE(LOHNTABELLE!$G$3, $A$1, 1)) + 1)
        / DAY(EOMONTH(DATE(LOHNTABELLE!$G$3, $A$1, 1), 0)) * F54,
        2
    ),
    ""
)</f>
        <v>173</v>
      </c>
      <c r="I54" s="19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402000</v>
      </c>
      <c r="C55" s="137" t="s">
        <v>362</v>
      </c>
      <c r="D55" s="193">
        <v>46143</v>
      </c>
      <c r="E55" s="134" t="s">
        <v>4</v>
      </c>
      <c r="F55" s="136">
        <v>173</v>
      </c>
      <c r="G55" s="185">
        <v>3500</v>
      </c>
      <c r="H55" s="158">
        <f>IF(AND(ISNUMBER(D55), ISNUMBER(F55)),
    ROUNDDOWN(
        MIN(
            IF(OR(ISBLANK(I55), I55=""),
                EOMONTH(DATE(LOHNTABELLE!$G$3, $A$1, 1), 0), I55)
            - MAX(D55, DATE(LOHNTABELLE!$G$3, $A$1, 1)) + 1)
        / DAY(EOMONTH(DATE(LOHNTABELLE!$G$3, $A$1, 1), 0)) * F55,
        2
    ),
    ""
)</f>
        <v>173</v>
      </c>
      <c r="I55" s="19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v>402004</v>
      </c>
      <c r="C56" s="137" t="s">
        <v>364</v>
      </c>
      <c r="D56" s="193">
        <v>46122</v>
      </c>
      <c r="E56" s="134" t="s">
        <v>4</v>
      </c>
      <c r="F56" s="136">
        <v>173</v>
      </c>
      <c r="G56" s="185">
        <v>3500</v>
      </c>
      <c r="H56" s="158">
        <f>IF(AND(ISNUMBER(D56), ISNUMBER(F56)),
    ROUNDDOWN(
        MIN(
            IF(OR(ISBLANK(I56), I56=""),
                EOMONTH(DATE(LOHNTABELLE!$G$3, $A$1, 1), 0), I56)
            - MAX(D56, DATE(LOHNTABELLE!$G$3, $A$1, 1)) + 1)
        / DAY(EOMONTH(DATE(LOHNTABELLE!$G$3, $A$1, 1), 0)) * F56,
        2
    ),
    ""
)</f>
        <v>173</v>
      </c>
      <c r="I56" s="19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1" t="s">
        <v>143</v>
      </c>
      <c r="B57" s="170">
        <v>402405</v>
      </c>
      <c r="C57" s="137" t="s">
        <v>366</v>
      </c>
      <c r="D57" s="193">
        <v>46054</v>
      </c>
      <c r="E57" s="134" t="s">
        <v>4</v>
      </c>
      <c r="F57" s="136">
        <v>173</v>
      </c>
      <c r="G57" s="185">
        <v>3500</v>
      </c>
      <c r="H57" s="158">
        <f>IF(AND(ISNUMBER(D57), ISNUMBER(F57)),
    ROUNDDOWN(
        MIN(
            IF(OR(ISBLANK(I57), I57=""),
                EOMONTH(DATE(LOHNTABELLE!$G$3, $A$1, 1), 0), I57)
            - MAX(D57, DATE(LOHNTABELLE!$G$3, $A$1, 1)) + 1)
        / DAY(EOMONTH(DATE(LOHNTABELLE!$G$3, $A$1, 1), 0)) * F57,
        2
    ),
    ""
)</f>
        <v>173</v>
      </c>
      <c r="I57" s="19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3500</v>
      </c>
      <c r="M57" s="164"/>
      <c r="N57" s="147"/>
    </row>
    <row r="58" spans="1:14" ht="16" customHeight="1">
      <c r="A58" s="130" t="s">
        <v>144</v>
      </c>
      <c r="B58" s="170">
        <v>500600</v>
      </c>
      <c r="C58" s="137" t="s">
        <v>371</v>
      </c>
      <c r="D58" s="193">
        <v>46054</v>
      </c>
      <c r="E58" s="134" t="s">
        <v>4</v>
      </c>
      <c r="F58" s="136">
        <v>129.75</v>
      </c>
      <c r="G58" s="185">
        <v>1515.75</v>
      </c>
      <c r="H58" s="158">
        <f>IF(AND(ISNUMBER(D58), ISNUMBER(F58)),
    ROUNDDOWN(
        MIN(
            IF(OR(ISBLANK(I58), I58=""),
                EOMONTH(DATE(LOHNTABELLE!$G$3, $A$1, 1), 0), I58)
            - MAX(D58, DATE(LOHNTABELLE!$G$3, $A$1, 1)) + 1)
        / DAY(EOMONTH(DATE(LOHNTABELLE!$G$3, $A$1, 1), 0)) * F58,
        2
    ),
    ""
)</f>
        <v>129.75</v>
      </c>
      <c r="I58" s="19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1515.75</v>
      </c>
      <c r="M58" s="164"/>
      <c r="N58" s="147"/>
    </row>
    <row r="59" spans="1:14" ht="16" customHeight="1">
      <c r="A59" s="130" t="s">
        <v>145</v>
      </c>
      <c r="B59" s="170">
        <v>502000</v>
      </c>
      <c r="C59" s="137" t="s">
        <v>365</v>
      </c>
      <c r="D59" s="193">
        <v>46147</v>
      </c>
      <c r="E59" s="134" t="s">
        <v>4</v>
      </c>
      <c r="F59" s="136">
        <v>173</v>
      </c>
      <c r="G59" s="185">
        <v>3500</v>
      </c>
      <c r="H59" s="158">
        <f>IF(AND(ISNUMBER(D59), ISNUMBER(F59)),
    ROUNDDOWN(
        MIN(
            IF(OR(ISBLANK(I59), I59=""),
                EOMONTH(DATE(LOHNTABELLE!$G$3, $A$1, 1), 0), I59)
            - MAX(D59, DATE(LOHNTABELLE!$G$3, $A$1, 1)) + 1)
        / DAY(EOMONTH(DATE(LOHNTABELLE!$G$3, $A$1, 1), 0)) * F59,
        2
    ),
    ""
)</f>
        <v>173</v>
      </c>
      <c r="I59" s="19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503000</v>
      </c>
      <c r="C60" s="137" t="s">
        <v>368</v>
      </c>
      <c r="D60" s="193">
        <v>42401</v>
      </c>
      <c r="E60" s="134" t="s">
        <v>4</v>
      </c>
      <c r="F60" s="136">
        <v>173</v>
      </c>
      <c r="G60" s="185">
        <v>3500</v>
      </c>
      <c r="H60" s="158">
        <f>IF(AND(ISNUMBER(D60), ISNUMBER(F60)),
    ROUNDDOWN(
        MIN(
            IF(OR(ISBLANK(I60), I60=""),
                EOMONTH(DATE(LOHNTABELLE!$G$3, $A$1, 1), 0), I60)
            - MAX(D60, DATE(LOHNTABELLE!$G$3, $A$1, 1)) + 1)
        / DAY(EOMONTH(DATE(LOHNTABELLE!$G$3, $A$1, 1), 0)) * F60,
        2
    ),
    ""
)</f>
        <v>173</v>
      </c>
      <c r="I60" s="19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3500</v>
      </c>
      <c r="M60" s="164"/>
      <c r="N60" s="147"/>
    </row>
    <row r="61" spans="1:14" ht="16" customHeight="1">
      <c r="A61" s="131" t="s">
        <v>147</v>
      </c>
      <c r="B61" s="170">
        <v>504000</v>
      </c>
      <c r="C61" s="137" t="s">
        <v>369</v>
      </c>
      <c r="D61" s="193">
        <v>46054</v>
      </c>
      <c r="E61" s="134" t="s">
        <v>8</v>
      </c>
      <c r="F61" s="136">
        <v>138.4</v>
      </c>
      <c r="G61" s="185">
        <v>1665.6</v>
      </c>
      <c r="H61" s="158">
        <f>IF(AND(ISNUMBER(D61), ISNUMBER(F61)),
    ROUNDDOWN(
        MIN(
            IF(OR(ISBLANK(I61), I61=""),
                EOMONTH(DATE(LOHNTABELLE!$G$3, $A$1, 1), 0), I61)
            - MAX(D61, DATE(LOHNTABELLE!$G$3, $A$1, 1)) + 1)
        / DAY(EOMONTH(DATE(LOHNTABELLE!$G$3, $A$1, 1), 0)) * F61,
        2
    ),
    ""
)</f>
        <v>138.4</v>
      </c>
      <c r="I61" s="19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1665.6</v>
      </c>
      <c r="M61" s="164"/>
      <c r="N61" s="147"/>
    </row>
    <row r="62" spans="1:14" ht="16" customHeight="1">
      <c r="A62" s="130" t="s">
        <v>148</v>
      </c>
      <c r="B62" s="170">
        <v>505000</v>
      </c>
      <c r="C62" s="137" t="s">
        <v>370</v>
      </c>
      <c r="D62" s="193">
        <v>46054</v>
      </c>
      <c r="E62" s="134" t="s">
        <v>4</v>
      </c>
      <c r="F62" s="136">
        <v>138.4</v>
      </c>
      <c r="G62" s="185">
        <v>1616.8</v>
      </c>
      <c r="H62" s="158">
        <f>IF(AND(ISNUMBER(D62), ISNUMBER(F62)),
    ROUNDDOWN(
        MIN(
            IF(OR(ISBLANK(I62), I62=""),
                EOMONTH(DATE(LOHNTABELLE!$G$3, $A$1, 1), 0), I62)
            - MAX(D62, DATE(LOHNTABELLE!$G$3, $A$1, 1)) + 1)
        / DAY(EOMONTH(DATE(LOHNTABELLE!$G$3, $A$1, 1), 0)) * F62,
        2
    ),
    ""
)</f>
        <v>138.4</v>
      </c>
      <c r="I62" s="19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1616.8</v>
      </c>
      <c r="M62" s="164"/>
      <c r="N62" s="147"/>
    </row>
    <row r="63" spans="1:14" ht="16" customHeight="1">
      <c r="A63" s="130" t="s">
        <v>149</v>
      </c>
      <c r="B63" s="170">
        <v>600000</v>
      </c>
      <c r="C63" s="137" t="s">
        <v>372</v>
      </c>
      <c r="D63" s="193">
        <v>46054</v>
      </c>
      <c r="E63" s="134" t="s">
        <v>4</v>
      </c>
      <c r="F63" s="136">
        <v>173</v>
      </c>
      <c r="G63" s="185">
        <v>3500</v>
      </c>
      <c r="H63" s="158">
        <f>IF(AND(ISNUMBER(D63), ISNUMBER(F63)),
    ROUNDDOWN(
        MIN(
            IF(OR(ISBLANK(I63), I63=""),
                EOMONTH(DATE(LOHNTABELLE!$G$3, $A$1, 1), 0), I63)
            - MAX(D63, DATE(LOHNTABELLE!$G$3, $A$1, 1)) + 1)
        / DAY(EOMONTH(DATE(LOHNTABELLE!$G$3, $A$1, 1), 0)) * F63,
        2
    ),
    ""
)</f>
        <v>34.6</v>
      </c>
      <c r="I63" s="196">
        <v>46179</v>
      </c>
      <c r="J63" s="135">
        <v>3</v>
      </c>
      <c r="K63" s="161">
        <f t="shared" si="1"/>
        <v>375</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1075</v>
      </c>
      <c r="M63" s="164"/>
      <c r="N63" s="147"/>
    </row>
    <row r="64" spans="1:14" ht="16" customHeight="1">
      <c r="A64" s="130" t="s">
        <v>150</v>
      </c>
      <c r="B64" s="170"/>
      <c r="C64" s="137"/>
      <c r="D64" s="193"/>
      <c r="E64" s="134"/>
      <c r="F64" s="136"/>
      <c r="G64" s="185"/>
      <c r="H64" s="158" t="str">
        <f>IF(AND(ISNUMBER(D64), ISNUMBER(F64)),
    ROUNDDOWN(
        MIN(
            IF(OR(ISBLANK(I64), I64=""),
                EOMONTH(DATE(LOHNTABELLE!$G$3, $A$1, 1), 0), I64)
            - MAX(D64, DATE(LOHNTABELLE!$G$3, $A$1, 1)) + 1)
        / DAY(EOMONTH(DATE(LOHNTABELLE!$G$3, $A$1, 1), 0)) * F64,
        2
    ),
    ""
)</f>
        <v/>
      </c>
      <c r="I64" s="19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93"/>
      <c r="E65" s="134"/>
      <c r="F65" s="136"/>
      <c r="G65" s="185"/>
      <c r="H65" s="158" t="str">
        <f>IF(AND(ISNUMBER(D65), ISNUMBER(F65)),
    ROUNDDOWN(
        MIN(
            IF(OR(ISBLANK(I65), I65=""),
                EOMONTH(DATE(LOHNTABELLE!$G$3, $A$1, 1), 0), I65)
            - MAX(D65, DATE(LOHNTABELLE!$G$3, $A$1, 1)) + 1)
        / DAY(EOMONTH(DATE(LOHNTABELLE!$G$3, $A$1, 1), 0)) * F65,
        2
    ),
    ""
)</f>
        <v/>
      </c>
      <c r="I65" s="19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93"/>
      <c r="E66" s="134"/>
      <c r="F66" s="136"/>
      <c r="G66" s="185"/>
      <c r="H66" s="158" t="str">
        <f>IF(AND(ISNUMBER(D66), ISNUMBER(F66)),
    ROUNDDOWN(
        MIN(
            IF(OR(ISBLANK(I66), I66=""),
                EOMONTH(DATE(LOHNTABELLE!$G$3, $A$1, 1), 0), I66)
            - MAX(D66, DATE(LOHNTABELLE!$G$3, $A$1, 1)) + 1)
        / DAY(EOMONTH(DATE(LOHNTABELLE!$G$3, $A$1, 1), 0)) * F66,
        2
    ),
    ""
)</f>
        <v/>
      </c>
      <c r="I66" s="19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93"/>
      <c r="E67" s="134"/>
      <c r="F67" s="136"/>
      <c r="G67" s="185"/>
      <c r="H67" s="158" t="str">
        <f>IF(AND(ISNUMBER(D67), ISNUMBER(F67)),
    ROUNDDOWN(
        MIN(
            IF(OR(ISBLANK(I67), I67=""),
                EOMONTH(DATE(LOHNTABELLE!$G$3, $A$1, 1), 0), I67)
            - MAX(D67, DATE(LOHNTABELLE!$G$3, $A$1, 1)) + 1)
        / DAY(EOMONTH(DATE(LOHNTABELLE!$G$3, $A$1, 1), 0)) * F67,
        2
    ),
    ""
)</f>
        <v/>
      </c>
      <c r="I67" s="19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93"/>
      <c r="E68" s="134"/>
      <c r="F68" s="136"/>
      <c r="G68" s="185"/>
      <c r="H68" s="158" t="str">
        <f>IF(AND(ISNUMBER(D68), ISNUMBER(F68)),
    ROUNDDOWN(
        MIN(
            IF(OR(ISBLANK(I68), I68=""),
                EOMONTH(DATE(LOHNTABELLE!$G$3, $A$1, 1), 0), I68)
            - MAX(D68, DATE(LOHNTABELLE!$G$3, $A$1, 1)) + 1)
        / DAY(EOMONTH(DATE(LOHNTABELLE!$G$3, $A$1, 1), 0)) * F68,
        2
    ),
    ""
)</f>
        <v/>
      </c>
      <c r="I68" s="19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93"/>
      <c r="E69" s="134"/>
      <c r="F69" s="136"/>
      <c r="G69" s="185"/>
      <c r="H69" s="158" t="str">
        <f>IF(AND(ISNUMBER(D69), ISNUMBER(F69)),
    ROUNDDOWN(
        MIN(
            IF(OR(ISBLANK(I69), I69=""),
                EOMONTH(DATE(LOHNTABELLE!$G$3, $A$1, 1), 0), I69)
            - MAX(D69, DATE(LOHNTABELLE!$G$3, $A$1, 1)) + 1)
        / DAY(EOMONTH(DATE(LOHNTABELLE!$G$3, $A$1, 1), 0)) * F69,
        2
    ),
    ""
)</f>
        <v/>
      </c>
      <c r="I69" s="19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93"/>
      <c r="E70" s="134"/>
      <c r="F70" s="136"/>
      <c r="G70" s="185"/>
      <c r="H70" s="158" t="str">
        <f>IF(AND(ISNUMBER(D70), ISNUMBER(F70)),
    ROUNDDOWN(
        MIN(
            IF(OR(ISBLANK(I70), I70=""),
                EOMONTH(DATE(LOHNTABELLE!$G$3, $A$1, 1), 0), I70)
            - MAX(D70, DATE(LOHNTABELLE!$G$3, $A$1, 1)) + 1)
        / DAY(EOMONTH(DATE(LOHNTABELLE!$G$3, $A$1, 1), 0)) * F70,
        2
    ),
    ""
)</f>
        <v/>
      </c>
      <c r="I70" s="19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93"/>
      <c r="E71" s="134"/>
      <c r="F71" s="136"/>
      <c r="G71" s="185"/>
      <c r="H71" s="158" t="str">
        <f>IF(AND(ISNUMBER(D71), ISNUMBER(F71)),
    ROUNDDOWN(
        MIN(
            IF(OR(ISBLANK(I71), I71=""),
                EOMONTH(DATE(LOHNTABELLE!$G$3, $A$1, 1), 0), I71)
            - MAX(D71, DATE(LOHNTABELLE!$G$3, $A$1, 1)) + 1)
        / DAY(EOMONTH(DATE(LOHNTABELLE!$G$3, $A$1, 1), 0)) * F71,
        2
    ),
    ""
)</f>
        <v/>
      </c>
      <c r="I71" s="19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93"/>
      <c r="E72" s="134"/>
      <c r="F72" s="136"/>
      <c r="G72" s="185"/>
      <c r="H72" s="158" t="str">
        <f>IF(AND(ISNUMBER(D72), ISNUMBER(F72)),
    ROUNDDOWN(
        MIN(
            IF(OR(ISBLANK(I72), I72=""),
                EOMONTH(DATE(LOHNTABELLE!$G$3, $A$1, 1), 0), I72)
            - MAX(D72, DATE(LOHNTABELLE!$G$3, $A$1, 1)) + 1)
        / DAY(EOMONTH(DATE(LOHNTABELLE!$G$3, $A$1, 1), 0)) * F72,
        2
    ),
    ""
)</f>
        <v/>
      </c>
      <c r="I72" s="19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93"/>
      <c r="E73" s="134"/>
      <c r="F73" s="136"/>
      <c r="G73" s="185"/>
      <c r="H73" s="158" t="str">
        <f>IF(AND(ISNUMBER(D73), ISNUMBER(F73)),
    ROUNDDOWN(
        MIN(
            IF(OR(ISBLANK(I73), I73=""),
                EOMONTH(DATE(LOHNTABELLE!$G$3, $A$1, 1), 0), I73)
            - MAX(D73, DATE(LOHNTABELLE!$G$3, $A$1, 1)) + 1)
        / DAY(EOMONTH(DATE(LOHNTABELLE!$G$3, $A$1, 1), 0)) * F73,
        2
    ),
    ""
)</f>
        <v/>
      </c>
      <c r="I73" s="19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93"/>
      <c r="E74" s="134"/>
      <c r="F74" s="136"/>
      <c r="G74" s="185"/>
      <c r="H74" s="158" t="str">
        <f>IF(AND(ISNUMBER(D74), ISNUMBER(F74)),
    ROUNDDOWN(
        MIN(
            IF(OR(ISBLANK(I74), I74=""),
                EOMONTH(DATE(LOHNTABELLE!$G$3, $A$1, 1), 0), I74)
            - MAX(D74, DATE(LOHNTABELLE!$G$3, $A$1, 1)) + 1)
        / DAY(EOMONTH(DATE(LOHNTABELLE!$G$3, $A$1, 1), 0)) * F74,
        2
    ),
    ""
)</f>
        <v/>
      </c>
      <c r="I74" s="19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93"/>
      <c r="E75" s="134"/>
      <c r="F75" s="136"/>
      <c r="G75" s="185"/>
      <c r="H75" s="158" t="str">
        <f>IF(AND(ISNUMBER(D75), ISNUMBER(F75)),
    ROUNDDOWN(
        MIN(
            IF(OR(ISBLANK(I75), I75=""),
                EOMONTH(DATE(LOHNTABELLE!$G$3, $A$1, 1), 0), I75)
            - MAX(D75, DATE(LOHNTABELLE!$G$3, $A$1, 1)) + 1)
        / DAY(EOMONTH(DATE(LOHNTABELLE!$G$3, $A$1, 1), 0)) * F75,
        2
    ),
    ""
)</f>
        <v/>
      </c>
      <c r="I75" s="19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93"/>
      <c r="E76" s="134"/>
      <c r="F76" s="136"/>
      <c r="G76" s="185"/>
      <c r="H76" s="158" t="str">
        <f>IF(AND(ISNUMBER(D76), ISNUMBER(F76)),
    ROUNDDOWN(
        MIN(
            IF(OR(ISBLANK(I76), I76=""),
                EOMONTH(DATE(LOHNTABELLE!$G$3, $A$1, 1), 0), I76)
            - MAX(D76, DATE(LOHNTABELLE!$G$3, $A$1, 1)) + 1)
        / DAY(EOMONTH(DATE(LOHNTABELLE!$G$3, $A$1, 1), 0)) * F76,
        2
    ),
    ""
)</f>
        <v/>
      </c>
      <c r="I76" s="19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93"/>
      <c r="E77" s="134"/>
      <c r="F77" s="136"/>
      <c r="G77" s="185"/>
      <c r="H77" s="158" t="str">
        <f>IF(AND(ISNUMBER(D77), ISNUMBER(F77)),
    ROUNDDOWN(
        MIN(
            IF(OR(ISBLANK(I77), I77=""),
                EOMONTH(DATE(LOHNTABELLE!$G$3, $A$1, 1), 0), I77)
            - MAX(D77, DATE(LOHNTABELLE!$G$3, $A$1, 1)) + 1)
        / DAY(EOMONTH(DATE(LOHNTABELLE!$G$3, $A$1, 1), 0)) * F77,
        2
    ),
    ""
)</f>
        <v/>
      </c>
      <c r="I77" s="19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93"/>
      <c r="E78" s="134"/>
      <c r="F78" s="136"/>
      <c r="G78" s="185"/>
      <c r="H78" s="158" t="str">
        <f>IF(AND(ISNUMBER(D78), ISNUMBER(F78)),
    ROUNDDOWN(
        MIN(
            IF(OR(ISBLANK(I78), I78=""),
                EOMONTH(DATE(LOHNTABELLE!$G$3, $A$1, 1), 0), I78)
            - MAX(D78, DATE(LOHNTABELLE!$G$3, $A$1, 1)) + 1)
        / DAY(EOMONTH(DATE(LOHNTABELLE!$G$3, $A$1, 1), 0)) * F78,
        2
    ),
    ""
)</f>
        <v/>
      </c>
      <c r="I78" s="19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93"/>
      <c r="E79" s="134"/>
      <c r="F79" s="136"/>
      <c r="G79" s="185"/>
      <c r="H79" s="158" t="str">
        <f>IF(AND(ISNUMBER(D79), ISNUMBER(F79)),
    ROUNDDOWN(
        MIN(
            IF(OR(ISBLANK(I79), I79=""),
                EOMONTH(DATE(LOHNTABELLE!$G$3, $A$1, 1), 0), I79)
            - MAX(D79, DATE(LOHNTABELLE!$G$3, $A$1, 1)) + 1)
        / DAY(EOMONTH(DATE(LOHNTABELLE!$G$3, $A$1, 1), 0)) * F79,
        2
    ),
    ""
)</f>
        <v/>
      </c>
      <c r="I79" s="19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93"/>
      <c r="E80" s="134"/>
      <c r="F80" s="136"/>
      <c r="G80" s="185"/>
      <c r="H80" s="158" t="str">
        <f>IF(AND(ISNUMBER(D80), ISNUMBER(F80)),
    ROUNDDOWN(
        MIN(
            IF(OR(ISBLANK(I80), I80=""),
                EOMONTH(DATE(LOHNTABELLE!$G$3, $A$1, 1), 0), I80)
            - MAX(D80, DATE(LOHNTABELLE!$G$3, $A$1, 1)) + 1)
        / DAY(EOMONTH(DATE(LOHNTABELLE!$G$3, $A$1, 1), 0)) * F80,
        2
    ),
    ""
)</f>
        <v/>
      </c>
      <c r="I80" s="19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93"/>
      <c r="E81" s="134"/>
      <c r="F81" s="136"/>
      <c r="G81" s="185"/>
      <c r="H81" s="158" t="str">
        <f>IF(AND(ISNUMBER(D81), ISNUMBER(F81)),
    ROUNDDOWN(
        MIN(
            IF(OR(ISBLANK(I81), I81=""),
                EOMONTH(DATE(LOHNTABELLE!$G$3, $A$1, 1), 0), I81)
            - MAX(D81, DATE(LOHNTABELLE!$G$3, $A$1, 1)) + 1)
        / DAY(EOMONTH(DATE(LOHNTABELLE!$G$3, $A$1, 1), 0)) * F81,
        2
    ),
    ""
)</f>
        <v/>
      </c>
      <c r="I81" s="19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94"/>
      <c r="E82" s="150"/>
      <c r="F82" s="151"/>
      <c r="G82" s="186"/>
      <c r="H82" s="159" t="str">
        <f>IF(AND(ISNUMBER(D82), ISNUMBER(F82)),
    ROUNDDOWN(
        MIN(
            IF(OR(ISBLANK(I82), I82=""),
                EOMONTH(DATE(LOHNTABELLE!$G$3, $A$1, 1), 0), I82)
            - MAX(D82, DATE(LOHNTABELLE!$G$3, $A$1, 1)) + 1)
        / DAY(EOMONTH(DATE(LOHNTABELLE!$G$3, $A$1, 1), 0)) * F82,
        2
    ),
    ""
)</f>
        <v/>
      </c>
      <c r="I82" s="19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vibqFKQ/AczOLRoRCfI1tuMLCYlQAnmyR7WD3uEleXFQAFOWqNm62AHl7J24CYphMQg4dLDrl7dQ/D5huL7bnA==" saltValue="KZoFl1CdDeF/k9klLgpyAA==" spinCount="100000" sheet="1" objects="1" scenarios="1" sort="0" autoFilter="0"/>
  <sortState xmlns:xlrd2="http://schemas.microsoft.com/office/spreadsheetml/2017/richdata2" ref="B3:N82">
    <sortCondition ref="B3:B82"/>
    <sortCondition ref="C3:C82"/>
  </sortState>
  <dataConsolidate/>
  <mergeCells count="98">
    <mergeCell ref="B1:B2"/>
    <mergeCell ref="N1:N2"/>
    <mergeCell ref="H1:H2"/>
    <mergeCell ref="C1:C2"/>
    <mergeCell ref="D1:D2"/>
    <mergeCell ref="E1:E2"/>
    <mergeCell ref="F1:F2"/>
    <mergeCell ref="G1:G2"/>
    <mergeCell ref="I1:I2"/>
    <mergeCell ref="J1:J2"/>
    <mergeCell ref="K1:K2"/>
    <mergeCell ref="L1:L2"/>
    <mergeCell ref="M1:M2"/>
    <mergeCell ref="P3:P4"/>
    <mergeCell ref="Q3:Q4"/>
    <mergeCell ref="R3:R4"/>
    <mergeCell ref="O6:R6"/>
    <mergeCell ref="O8:P8"/>
    <mergeCell ref="Q8:R8"/>
    <mergeCell ref="O3:O4"/>
    <mergeCell ref="O9:P9"/>
    <mergeCell ref="Q9:R9"/>
    <mergeCell ref="O10:P10"/>
    <mergeCell ref="Q10:R10"/>
    <mergeCell ref="O11:P11"/>
    <mergeCell ref="Q11:R11"/>
    <mergeCell ref="O12:P12"/>
    <mergeCell ref="Q12:R12"/>
    <mergeCell ref="O13:P13"/>
    <mergeCell ref="Q13:R13"/>
    <mergeCell ref="O14:P14"/>
    <mergeCell ref="Q14:R14"/>
    <mergeCell ref="O17:P17"/>
    <mergeCell ref="Q17:R17"/>
    <mergeCell ref="O18:P18"/>
    <mergeCell ref="Q18:R18"/>
    <mergeCell ref="O19:P19"/>
    <mergeCell ref="Q19:R19"/>
    <mergeCell ref="O26:P26"/>
    <mergeCell ref="Q26:R26"/>
    <mergeCell ref="O27:P27"/>
    <mergeCell ref="Q27:R27"/>
    <mergeCell ref="O20:P20"/>
    <mergeCell ref="Q20:R20"/>
    <mergeCell ref="O21:P21"/>
    <mergeCell ref="Q21:R21"/>
    <mergeCell ref="O22:P22"/>
    <mergeCell ref="Q22:R22"/>
    <mergeCell ref="O23:P23"/>
    <mergeCell ref="Q23:R23"/>
    <mergeCell ref="O24:P24"/>
    <mergeCell ref="Q24:R24"/>
    <mergeCell ref="O25:P25"/>
    <mergeCell ref="Q25:R25"/>
    <mergeCell ref="S27:V27"/>
    <mergeCell ref="O29:P29"/>
    <mergeCell ref="Q29:R29"/>
    <mergeCell ref="O31:P31"/>
    <mergeCell ref="Q31:R31"/>
    <mergeCell ref="O28:P28"/>
    <mergeCell ref="Q28:R28"/>
    <mergeCell ref="O33:P34"/>
    <mergeCell ref="Q33:R34"/>
    <mergeCell ref="S33:T34"/>
    <mergeCell ref="U33:V34"/>
    <mergeCell ref="O35:P35"/>
    <mergeCell ref="Q35:R35"/>
    <mergeCell ref="S35:T35"/>
    <mergeCell ref="U35:V35"/>
    <mergeCell ref="O36:P36"/>
    <mergeCell ref="Q36:R36"/>
    <mergeCell ref="S36:T36"/>
    <mergeCell ref="U36:V36"/>
    <mergeCell ref="O37:P37"/>
    <mergeCell ref="Q37:R37"/>
    <mergeCell ref="S37:T37"/>
    <mergeCell ref="U37:V37"/>
    <mergeCell ref="U38:V38"/>
    <mergeCell ref="O39:P39"/>
    <mergeCell ref="Q39:R39"/>
    <mergeCell ref="S39:T39"/>
    <mergeCell ref="U39:V39"/>
    <mergeCell ref="O42:P42"/>
    <mergeCell ref="Q42:V42"/>
    <mergeCell ref="O15:P15"/>
    <mergeCell ref="Q15:R15"/>
    <mergeCell ref="O16:R16"/>
    <mergeCell ref="O40:P40"/>
    <mergeCell ref="Q40:R40"/>
    <mergeCell ref="S40:T40"/>
    <mergeCell ref="U40:V40"/>
    <mergeCell ref="O41:P41"/>
    <mergeCell ref="Q41:R41"/>
    <mergeCell ref="S41:T41"/>
    <mergeCell ref="U41:V41"/>
    <mergeCell ref="O38:P38"/>
    <mergeCell ref="Q38:R38"/>
    <mergeCell ref="S38:T38"/>
  </mergeCells>
  <dataValidations count="62">
    <dataValidation type="date" showInputMessage="1" showErrorMessage="1" sqref="I3:I82" xr:uid="{6F98A90B-0E39-824B-BF13-EB4A51AA7AE9}">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B033B1C7-2769-5F48-B4A3-B00BCAEE027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74284C4D-60CB-B44A-84C0-A3EE646ED46A}">
      <formula1>KV_DD_JUNI_3</formula1>
    </dataValidation>
    <dataValidation type="list" allowBlank="1" showInputMessage="1" showErrorMessage="1" sqref="F4" xr:uid="{5C95C9BB-0EC6-4048-877F-A1931DB0B44B}">
      <formula1>KV_DD_JUNI_4</formula1>
    </dataValidation>
    <dataValidation type="list" allowBlank="1" showInputMessage="1" showErrorMessage="1" sqref="F5" xr:uid="{7D84CA57-0EFE-D340-A989-BCE70C8EF3AE}">
      <formula1>KV_DD_JUNI_5</formula1>
    </dataValidation>
    <dataValidation type="list" allowBlank="1" showInputMessage="1" showErrorMessage="1" sqref="F6" xr:uid="{4D2AF967-DE0A-E047-AC2A-40B86C8BFD81}">
      <formula1>KV_DD_JUNI_6</formula1>
    </dataValidation>
    <dataValidation type="list" allowBlank="1" showInputMessage="1" showErrorMessage="1" sqref="F7" xr:uid="{A1590850-E4A1-B746-8537-B2925EDCD3FB}">
      <formula1>KV_DD_JUNI_7</formula1>
    </dataValidation>
    <dataValidation type="list" allowBlank="1" showInputMessage="1" showErrorMessage="1" sqref="F8" xr:uid="{161FA3E3-3616-674F-9A1B-FF49DD2D3314}">
      <formula1>KV_DD_JUNI_8</formula1>
    </dataValidation>
    <dataValidation type="list" allowBlank="1" showInputMessage="1" showErrorMessage="1" sqref="F9" xr:uid="{0BA92EEF-BAC9-DD44-AD47-501270090397}">
      <formula1>KV_DD_JUNI_9</formula1>
    </dataValidation>
    <dataValidation type="list" allowBlank="1" showInputMessage="1" showErrorMessage="1" sqref="F10" xr:uid="{3F6732F8-A02A-3E4F-B261-37793252BC21}">
      <formula1>KV_DD_JUNI_10</formula1>
    </dataValidation>
    <dataValidation type="list" allowBlank="1" showInputMessage="1" showErrorMessage="1" sqref="F11" xr:uid="{9591885F-BF07-7D4D-B045-2E394EC8054F}">
      <formula1>KV_DD_JUNI_11</formula1>
    </dataValidation>
    <dataValidation type="list" allowBlank="1" showInputMessage="1" showErrorMessage="1" sqref="F12" xr:uid="{15B66EE6-A419-4540-ACD5-BE1F2713D07E}">
      <formula1>KV_DD_JUNI_12</formula1>
    </dataValidation>
    <dataValidation type="list" allowBlank="1" showInputMessage="1" showErrorMessage="1" sqref="F13" xr:uid="{DCBCFB82-4CCC-E842-BADB-36B090B5C386}">
      <formula1>KV_DD_JUNI_13</formula1>
    </dataValidation>
    <dataValidation type="list" allowBlank="1" showInputMessage="1" showErrorMessage="1" sqref="F14" xr:uid="{0079C1B9-025E-5C43-93D0-49ECF806CA0F}">
      <formula1>KV_DD_JUNI_14</formula1>
    </dataValidation>
    <dataValidation type="list" allowBlank="1" showInputMessage="1" showErrorMessage="1" sqref="F15" xr:uid="{97BE743B-1FC4-914A-A098-6CD4EC839079}">
      <formula1>KV_DD_JUNI_15</formula1>
    </dataValidation>
    <dataValidation type="list" allowBlank="1" showInputMessage="1" showErrorMessage="1" sqref="F16" xr:uid="{6F322A57-16A0-E04F-A403-83E64EA09EF9}">
      <formula1>KV_DD_JUNI_16</formula1>
    </dataValidation>
    <dataValidation type="list" allowBlank="1" showInputMessage="1" showErrorMessage="1" sqref="F17" xr:uid="{80852DF7-F4B7-E149-BB98-5109241E1BF0}">
      <formula1>KV_DD_JUNI_17</formula1>
    </dataValidation>
    <dataValidation type="list" allowBlank="1" showInputMessage="1" showErrorMessage="1" sqref="F18" xr:uid="{BCA0055E-D601-CC4E-8E1A-A83B3607A962}">
      <formula1>KV_DD_JUNI_18</formula1>
    </dataValidation>
    <dataValidation type="list" allowBlank="1" showInputMessage="1" showErrorMessage="1" sqref="F19" xr:uid="{2708AB25-F6C3-FE45-9DC5-150A9C61BDDB}">
      <formula1>KV_DD_JUNI_19</formula1>
    </dataValidation>
    <dataValidation type="list" allowBlank="1" showInputMessage="1" showErrorMessage="1" sqref="F20" xr:uid="{E3602D53-5E54-4542-A8B1-CE6F9D9761A9}">
      <formula1>KV_DD_JUNI_20</formula1>
    </dataValidation>
    <dataValidation type="list" allowBlank="1" showInputMessage="1" showErrorMessage="1" sqref="F21" xr:uid="{1D3A9D11-A246-6546-9E8E-010C21ED7433}">
      <formula1>KV_DD_JUNI_21</formula1>
    </dataValidation>
    <dataValidation type="list" allowBlank="1" showInputMessage="1" showErrorMessage="1" sqref="F22" xr:uid="{948B6B80-B453-0B4A-BFBD-16A4DBC8FCDA}">
      <formula1>KV_DD_JUNI_22</formula1>
    </dataValidation>
    <dataValidation type="list" allowBlank="1" showInputMessage="1" showErrorMessage="1" sqref="F23" xr:uid="{27D434B2-8A35-C34B-8E76-B04D8A7FD57C}">
      <formula1>KV_DD_JUNI_23</formula1>
    </dataValidation>
    <dataValidation type="list" allowBlank="1" showInputMessage="1" showErrorMessage="1" sqref="F24" xr:uid="{8978BDE5-B459-FF45-A35F-E7BC5540DA8A}">
      <formula1>KV_DD_JUNI_24</formula1>
    </dataValidation>
    <dataValidation type="list" allowBlank="1" showInputMessage="1" showErrorMessage="1" sqref="F25" xr:uid="{2CD4D2BC-339C-CC41-872B-DF2A434B5B0C}">
      <formula1>KV_DD_JUNI_25</formula1>
    </dataValidation>
    <dataValidation type="list" allowBlank="1" showInputMessage="1" showErrorMessage="1" sqref="F26" xr:uid="{F4167F0C-EF46-1B47-A72C-830AD6E10B9C}">
      <formula1>KV_DD_JUNI_26</formula1>
    </dataValidation>
    <dataValidation type="list" allowBlank="1" showInputMessage="1" showErrorMessage="1" sqref="F27" xr:uid="{D8146894-1855-354F-8194-8810A3C44016}">
      <formula1>KV_DD_JUNI_27</formula1>
    </dataValidation>
    <dataValidation type="list" allowBlank="1" showInputMessage="1" showErrorMessage="1" sqref="F28" xr:uid="{BCE464D5-1855-AE43-B9E6-3EC22C13AD70}">
      <formula1>KV_DD_JUNI_28</formula1>
    </dataValidation>
    <dataValidation type="list" allowBlank="1" showInputMessage="1" showErrorMessage="1" sqref="F29" xr:uid="{A71CE8D9-F4BF-D24D-9708-D0EA5C09F766}">
      <formula1>KV_DD_JUNI_29</formula1>
    </dataValidation>
    <dataValidation type="list" allowBlank="1" showInputMessage="1" showErrorMessage="1" sqref="F30" xr:uid="{83BBFBCA-B710-7A40-B038-D35D44B50D7E}">
      <formula1>KV_DD_JUNI_30</formula1>
    </dataValidation>
    <dataValidation type="list" allowBlank="1" showInputMessage="1" showErrorMessage="1" sqref="F31" xr:uid="{331BB3D0-082A-1F41-9495-923B46ECE712}">
      <formula1>KV_DD_JUNI_31</formula1>
    </dataValidation>
    <dataValidation type="list" allowBlank="1" showInputMessage="1" showErrorMessage="1" sqref="F32" xr:uid="{632E56E7-D038-1D4F-B2F5-5B824C7818ED}">
      <formula1>KV_DD_JUNI_32</formula1>
    </dataValidation>
    <dataValidation type="list" allowBlank="1" showInputMessage="1" showErrorMessage="1" sqref="F33" xr:uid="{18F4AD59-7C8C-4848-8C44-704943045B65}">
      <formula1>KV_DD_JUNI_33</formula1>
    </dataValidation>
    <dataValidation type="list" allowBlank="1" showInputMessage="1" showErrorMessage="1" sqref="F34" xr:uid="{DFA64299-BC63-D244-A8DB-9B7A1E1E506D}">
      <formula1>KV_DD_JUNI_34</formula1>
    </dataValidation>
    <dataValidation type="list" allowBlank="1" showInputMessage="1" showErrorMessage="1" sqref="F35" xr:uid="{E01BC2A0-3210-6842-ADF7-F197CDD6D6EC}">
      <formula1>KV_DD_JUNI_35</formula1>
    </dataValidation>
    <dataValidation type="list" allowBlank="1" showInputMessage="1" showErrorMessage="1" sqref="F36" xr:uid="{90957132-2615-6D4E-AA91-D4537CDD5A05}">
      <formula1>KV_DD_JUNI_36</formula1>
    </dataValidation>
    <dataValidation type="list" allowBlank="1" showInputMessage="1" showErrorMessage="1" sqref="F37" xr:uid="{E7374205-4DEA-914B-8EF4-0888FC7E772D}">
      <formula1>KV_DD_JUNI_37</formula1>
    </dataValidation>
    <dataValidation type="list" allowBlank="1" showInputMessage="1" showErrorMessage="1" sqref="F38" xr:uid="{4447221B-6A7B-1344-B766-BC80488BABBC}">
      <formula1>KV_DD_JUNI_38</formula1>
    </dataValidation>
    <dataValidation type="list" allowBlank="1" showInputMessage="1" showErrorMessage="1" sqref="F39" xr:uid="{E9C2EF13-0996-1D46-BC49-7B1118812277}">
      <formula1>KV_DD_JUNI_39</formula1>
    </dataValidation>
    <dataValidation type="list" allowBlank="1" showInputMessage="1" showErrorMessage="1" sqref="F40" xr:uid="{5DA613C7-17AE-A342-BFC4-970781FB0F6E}">
      <formula1>KV_DD_JUNI_40</formula1>
    </dataValidation>
    <dataValidation type="list" allowBlank="1" showInputMessage="1" showErrorMessage="1" sqref="F41" xr:uid="{1FBE330D-A904-9D43-B017-4A9FF155C80E}">
      <formula1>KV_DD_JUNI_41</formula1>
    </dataValidation>
    <dataValidation type="list" allowBlank="1" showInputMessage="1" showErrorMessage="1" sqref="F42" xr:uid="{898D7605-5729-384B-900B-381B84CC8A3C}">
      <formula1>KV_DD_JUNI_42</formula1>
    </dataValidation>
    <dataValidation type="list" allowBlank="1" showInputMessage="1" showErrorMessage="1" sqref="F43" xr:uid="{8D396FC1-6ECE-A240-8799-D781DD71D023}">
      <formula1>KV_DD_JUNI_43</formula1>
    </dataValidation>
    <dataValidation type="list" allowBlank="1" showInputMessage="1" showErrorMessage="1" sqref="F44" xr:uid="{1DD2AC31-7E5E-824E-9453-063626E2FA76}">
      <formula1>KV_DD_JUNI_44</formula1>
    </dataValidation>
    <dataValidation type="list" allowBlank="1" showInputMessage="1" showErrorMessage="1" sqref="F45" xr:uid="{0E1C19BF-29E3-5548-B14F-7CCE5288DF4B}">
      <formula1>KV_DD_JUNI_45</formula1>
    </dataValidation>
    <dataValidation type="list" allowBlank="1" showInputMessage="1" showErrorMessage="1" sqref="F46" xr:uid="{D25936E3-9ABF-364B-BEE3-07767437F088}">
      <formula1>KV_DD_JUNI_46</formula1>
    </dataValidation>
    <dataValidation type="list" allowBlank="1" showInputMessage="1" showErrorMessage="1" sqref="F47" xr:uid="{4F2A47F0-7D8C-9345-9A27-19F7AB9D0678}">
      <formula1>KV_DD_JUNI_47</formula1>
    </dataValidation>
    <dataValidation type="list" allowBlank="1" showInputMessage="1" showErrorMessage="1" sqref="F48" xr:uid="{BC13C423-6136-3245-A4BD-031F9F770812}">
      <formula1>KV_DD_JUNI_48</formula1>
    </dataValidation>
    <dataValidation type="list" allowBlank="1" showInputMessage="1" showErrorMessage="1" sqref="F49" xr:uid="{968296B4-D55D-3A4F-B337-3E59584BF864}">
      <formula1>KV_DD_JUNI_49</formula1>
    </dataValidation>
    <dataValidation type="list" allowBlank="1" showInputMessage="1" showErrorMessage="1" sqref="F50" xr:uid="{55AA79E7-6B2B-BF40-8902-E6A187DC1017}">
      <formula1>KV_DD_JUNI_50</formula1>
    </dataValidation>
    <dataValidation type="list" allowBlank="1" showInputMessage="1" showErrorMessage="1" sqref="F51" xr:uid="{7BFF704D-E237-DB46-92B5-31BE5995C8DB}">
      <formula1>KV_DD_JUNI_51</formula1>
    </dataValidation>
    <dataValidation type="list" allowBlank="1" showInputMessage="1" showErrorMessage="1" sqref="F52" xr:uid="{6E0CCB34-2460-7B48-A5CA-ADB5A52C4DC7}">
      <formula1>KV_DD_JUNI_52</formula1>
    </dataValidation>
    <dataValidation type="list" allowBlank="1" showInputMessage="1" showErrorMessage="1" sqref="F53" xr:uid="{C8309A28-2FC1-D14E-AE5D-1C3E2CA82FB0}">
      <formula1>KV_DD_JUNI_53</formula1>
    </dataValidation>
    <dataValidation type="list" allowBlank="1" showInputMessage="1" showErrorMessage="1" sqref="F54" xr:uid="{B9EEAC45-A292-45CD-B67E-531A8306D398}">
      <formula1>KV_DD_JUNI_54</formula1>
    </dataValidation>
    <dataValidation type="list" allowBlank="1" showInputMessage="1" showErrorMessage="1" sqref="F55" xr:uid="{E76AB04B-B307-4616-82E7-844199DD36AC}">
      <formula1>KV_DD_JUNI_55</formula1>
    </dataValidation>
    <dataValidation type="list" allowBlank="1" showInputMessage="1" showErrorMessage="1" sqref="F56" xr:uid="{E942F83D-A867-EF44-BE7D-3886355A57CA}">
      <formula1>KV_DD_JUNI_56</formula1>
    </dataValidation>
    <dataValidation type="list" allowBlank="1" showInputMessage="1" showErrorMessage="1" sqref="F57" xr:uid="{1E15DE4D-F4A2-9342-B400-763E28DC004F}">
      <formula1>KV_DD_JUNI_57</formula1>
    </dataValidation>
    <dataValidation type="list" allowBlank="1" showInputMessage="1" showErrorMessage="1" sqref="F58" xr:uid="{5EFA36E1-FEDB-8943-A1CE-8F2D721D30D7}">
      <formula1>KV_DD_JUNI_58</formula1>
    </dataValidation>
    <dataValidation type="list" allowBlank="1" showInputMessage="1" showErrorMessage="1" sqref="F59" xr:uid="{04CF9C55-840F-C441-95D1-E8452309BBD6}">
      <formula1>KV_DD_JUNI_59</formula1>
    </dataValidation>
    <dataValidation type="list" allowBlank="1" showInputMessage="1" showErrorMessage="1" sqref="F60" xr:uid="{5F5A703F-18F2-094C-96AC-FBC5F9A6E6FD}">
      <formula1>KV_DD_JUNI_60</formula1>
    </dataValidation>
    <dataValidation type="list" allowBlank="1" showInputMessage="1" showErrorMessage="1" sqref="F61" xr:uid="{F7D4EF37-9DF4-8E4A-812C-4B1FBA2F052F}">
      <formula1>KV_DD_JUNI_61</formula1>
    </dataValidation>
    <dataValidation type="list" allowBlank="1" showInputMessage="1" showErrorMessage="1" sqref="F62" xr:uid="{D83C6268-CD4D-564C-8953-79BCF82C9674}">
      <formula1>KV_DD_JUNI_62</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CopyData">
                <anchor moveWithCells="1" sizeWithCells="1">
                  <from>
                    <xdr:col>14</xdr:col>
                    <xdr:colOff>38100</xdr:colOff>
                    <xdr:row>0</xdr:row>
                    <xdr:rowOff>50800</xdr:rowOff>
                  </from>
                  <to>
                    <xdr:col>18</xdr:col>
                    <xdr:colOff>647700</xdr:colOff>
                    <xdr:row>1</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FFFD511-705E-7042-BCC7-627C229DA0BF}">
          <x14:formula1>
            <xm:f>LOHNTABELLE!$Q$4:$Q$17</xm:f>
          </x14:formula1>
          <xm:sqref>E3:E82</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182FA-4A8B-4EFF-84FF-24677E264240}">
  <sheetPr codeName="Tabelle9"/>
  <dimension ref="A1:AC83"/>
  <sheetViews>
    <sheetView showGridLines="0" showRowColHeaders="0" zoomScaleNormal="100" workbookViewId="0">
      <pane ySplit="2" topLeftCell="A37"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7</v>
      </c>
      <c r="B1" s="302" t="s">
        <v>205</v>
      </c>
      <c r="C1" s="310" t="s">
        <v>52</v>
      </c>
      <c r="D1" s="308" t="s">
        <v>206</v>
      </c>
      <c r="E1" s="308" t="s">
        <v>0</v>
      </c>
      <c r="F1" s="308" t="s">
        <v>53</v>
      </c>
      <c r="G1" s="312" t="s">
        <v>54</v>
      </c>
      <c r="H1" s="314" t="s">
        <v>55</v>
      </c>
      <c r="I1" s="316" t="s">
        <v>207</v>
      </c>
      <c r="J1" s="318" t="s">
        <v>56</v>
      </c>
      <c r="K1" s="320" t="s">
        <v>57</v>
      </c>
      <c r="L1" s="322" t="s">
        <v>58</v>
      </c>
      <c r="M1" s="306" t="s">
        <v>59</v>
      </c>
      <c r="N1" s="303" t="s">
        <v>208</v>
      </c>
      <c r="AB1" s="41">
        <f>DATE(LOHNTABELLE!$G$3, $A$1, 1)</f>
        <v>46204</v>
      </c>
    </row>
    <row r="2" spans="1:28" ht="16" customHeight="1" thickBot="1">
      <c r="A2" s="129"/>
      <c r="B2" s="302"/>
      <c r="C2" s="311"/>
      <c r="D2" s="309"/>
      <c r="E2" s="309"/>
      <c r="F2" s="309"/>
      <c r="G2" s="313"/>
      <c r="H2" s="315"/>
      <c r="I2" s="317"/>
      <c r="J2" s="319"/>
      <c r="K2" s="321"/>
      <c r="L2" s="323"/>
      <c r="M2" s="307"/>
      <c r="N2" s="303"/>
      <c r="AB2" s="41">
        <f>EOMONTH(DATE(LOHNTABELLE!$G$3, $A$1, 1), 0)</f>
        <v>46234</v>
      </c>
    </row>
    <row r="3" spans="1:28" ht="16" customHeight="1">
      <c r="A3" s="130" t="s">
        <v>60</v>
      </c>
      <c r="B3" s="169">
        <v>55</v>
      </c>
      <c r="C3" s="166" t="s">
        <v>367</v>
      </c>
      <c r="D3" s="192">
        <v>46054</v>
      </c>
      <c r="E3" s="142" t="s">
        <v>4</v>
      </c>
      <c r="F3" s="167">
        <v>173</v>
      </c>
      <c r="G3" s="184">
        <v>3500</v>
      </c>
      <c r="H3" s="157">
        <f>IF(AND(ISNUMBER(D3), ISNUMBER(F3)),
    ROUNDDOWN(
        MIN(
            IF(OR(ISBLANK(I3), I3=""),
                EOMONTH(DATE(LOHNTABELLE!$G$3, $A$1, 1), 0), I3)
            - MAX(D3, DATE(LOHNTABELLE!$G$3, $A$1, 1)) + 1)
        / DAY(EOMONTH(DATE(LOHNTABELLE!$G$3, $A$1, 1), 0)) * F3,
        2
    ),
    ""
)</f>
        <v>173</v>
      </c>
      <c r="I3" s="19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42" t="s">
        <v>61</v>
      </c>
      <c r="P3" s="242" t="s">
        <v>62</v>
      </c>
      <c r="Q3" s="240" t="s">
        <v>63</v>
      </c>
      <c r="R3" s="280" t="s">
        <v>64</v>
      </c>
      <c r="AB3" s="43"/>
    </row>
    <row r="4" spans="1:28" ht="16" customHeight="1">
      <c r="A4" s="130" t="s">
        <v>65</v>
      </c>
      <c r="B4" s="170">
        <v>401006</v>
      </c>
      <c r="C4" s="137" t="s">
        <v>262</v>
      </c>
      <c r="D4" s="193">
        <v>38188</v>
      </c>
      <c r="E4" s="134" t="s">
        <v>24</v>
      </c>
      <c r="F4" s="136">
        <v>173</v>
      </c>
      <c r="G4" s="185">
        <v>2328</v>
      </c>
      <c r="H4" s="158">
        <f>IF(AND(ISNUMBER(D4), ISNUMBER(F4)),
    ROUNDDOWN(
        MIN(
            IF(OR(ISBLANK(I4), I4=""),
                EOMONTH(DATE(LOHNTABELLE!$G$3, $A$1, 1), 0), I4)
            - MAX(D4, DATE(LOHNTABELLE!$G$3, $A$1, 1)) + 1)
        / DAY(EOMONTH(DATE(LOHNTABELLE!$G$3, $A$1, 1), 0)) * F4,
        2
    ),
    ""
)</f>
        <v>173</v>
      </c>
      <c r="I4" s="19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43"/>
      <c r="P4" s="243"/>
      <c r="Q4" s="241"/>
      <c r="R4" s="281"/>
    </row>
    <row r="5" spans="1:28" ht="16" customHeight="1">
      <c r="A5" s="131" t="s">
        <v>66</v>
      </c>
      <c r="B5" s="170">
        <v>401010</v>
      </c>
      <c r="C5" s="137" t="s">
        <v>263</v>
      </c>
      <c r="D5" s="193">
        <v>39388</v>
      </c>
      <c r="E5" s="134" t="s">
        <v>12</v>
      </c>
      <c r="F5" s="136">
        <v>173</v>
      </c>
      <c r="G5" s="185">
        <v>2183</v>
      </c>
      <c r="H5" s="158">
        <f>IF(AND(ISNUMBER(D5), ISNUMBER(F5)),
    ROUNDDOWN(
        MIN(
            IF(OR(ISBLANK(I5), I5=""),
                EOMONTH(DATE(LOHNTABELLE!$G$3, $A$1, 1), 0), I5)
            - MAX(D5, DATE(LOHNTABELLE!$G$3, $A$1, 1)) + 1)
        / DAY(EOMONTH(DATE(LOHNTABELLE!$G$3, $A$1, 1), 0)) * F5,
        2
    ),
    ""
)</f>
        <v>173</v>
      </c>
      <c r="I5" s="19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865.62444905920199</v>
      </c>
      <c r="P5" s="49">
        <f>EINSTELLUNG!I12</f>
        <v>7</v>
      </c>
      <c r="Q5" s="48">
        <f>P5-O5</f>
        <v>-858.62444905920199</v>
      </c>
      <c r="R5" s="52">
        <f>IFERROR(Q5*Q42, 0)</f>
        <v>-13813.596618706177</v>
      </c>
    </row>
    <row r="6" spans="1:28" ht="16" customHeight="1">
      <c r="A6" s="130" t="s">
        <v>67</v>
      </c>
      <c r="B6" s="170">
        <v>401047</v>
      </c>
      <c r="C6" s="137" t="s">
        <v>265</v>
      </c>
      <c r="D6" s="193">
        <v>41154</v>
      </c>
      <c r="E6" s="134" t="s">
        <v>10</v>
      </c>
      <c r="F6" s="136">
        <v>173</v>
      </c>
      <c r="G6" s="185">
        <v>2123</v>
      </c>
      <c r="H6" s="158">
        <f>IF(AND(ISNUMBER(D6), ISNUMBER(F6)),
    ROUNDDOWN(
        MIN(
            IF(OR(ISBLANK(I6), I6=""),
                EOMONTH(DATE(LOHNTABELLE!$G$3, $A$1, 1), 0), I6)
            - MAX(D6, DATE(LOHNTABELLE!$G$3, $A$1, 1)) + 1)
        / DAY(EOMONTH(DATE(LOHNTABELLE!$G$3, $A$1, 1), 0)) * F6,
        2
    ),
    ""
)</f>
        <v>173</v>
      </c>
      <c r="I6" s="19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37" t="str">
        <f>IF(Q5&lt;0, "Schlecht! Zu wenig Urlaub abgebaut.", IF(Q5&gt;0, "Gut! Mehr Urlaub abgebaut als aufgebaut.", ""))</f>
        <v>Schlecht! Zu wenig Urlaub abgebaut.</v>
      </c>
      <c r="P6" s="238"/>
      <c r="Q6" s="238"/>
      <c r="R6" s="239"/>
    </row>
    <row r="7" spans="1:28" ht="16" customHeight="1">
      <c r="A7" s="130" t="s">
        <v>68</v>
      </c>
      <c r="B7" s="170">
        <v>401049</v>
      </c>
      <c r="C7" s="137" t="s">
        <v>264</v>
      </c>
      <c r="D7" s="193">
        <v>41130</v>
      </c>
      <c r="E7" s="134" t="s">
        <v>10</v>
      </c>
      <c r="F7" s="136">
        <v>173</v>
      </c>
      <c r="G7" s="185">
        <v>2123</v>
      </c>
      <c r="H7" s="158">
        <f>IF(AND(ISNUMBER(D7), ISNUMBER(F7)),
    ROUNDDOWN(
        MIN(
            IF(OR(ISBLANK(I7), I7=""),
                EOMONTH(DATE(LOHNTABELLE!$G$3, $A$1, 1), 0), I7)
            - MAX(D7, DATE(LOHNTABELLE!$G$3, $A$1, 1)) + 1)
        / DAY(EOMONTH(DATE(LOHNTABELLE!$G$3, $A$1, 1), 0)) * F7,
        2
    ),
    ""
)</f>
        <v>173</v>
      </c>
      <c r="I7" s="19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193">
        <v>41176</v>
      </c>
      <c r="E8" s="134" t="s">
        <v>10</v>
      </c>
      <c r="F8" s="136">
        <v>173</v>
      </c>
      <c r="G8" s="185">
        <v>2123</v>
      </c>
      <c r="H8" s="158">
        <f>IF(AND(ISNUMBER(D8), ISNUMBER(F8)),
    ROUNDDOWN(
        MIN(
            IF(OR(ISBLANK(I8), I8=""),
                EOMONTH(DATE(LOHNTABELLE!$G$3, $A$1, 1), 0), I8)
            - MAX(D8, DATE(LOHNTABELLE!$G$3, $A$1, 1)) + 1)
        / DAY(EOMONTH(DATE(LOHNTABELLE!$G$3, $A$1, 1), 0)) * F8,
        2
    ),
    ""
)</f>
        <v>173</v>
      </c>
      <c r="I8" s="19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45" t="s">
        <v>70</v>
      </c>
      <c r="P8" s="246"/>
      <c r="Q8" s="247">
        <f>SUM(H3:H82)</f>
        <v>8970.0499999999993</v>
      </c>
      <c r="R8" s="247"/>
    </row>
    <row r="9" spans="1:28" ht="16" customHeight="1">
      <c r="A9" s="131" t="s">
        <v>71</v>
      </c>
      <c r="B9" s="170">
        <v>401089</v>
      </c>
      <c r="C9" s="137" t="s">
        <v>280</v>
      </c>
      <c r="D9" s="193">
        <v>44868</v>
      </c>
      <c r="E9" s="134" t="s">
        <v>8</v>
      </c>
      <c r="F9" s="136">
        <v>173</v>
      </c>
      <c r="G9" s="185">
        <v>2082</v>
      </c>
      <c r="H9" s="158">
        <f>IF(AND(ISNUMBER(D9), ISNUMBER(F9)),
    ROUNDDOWN(
        MIN(
            IF(OR(ISBLANK(I9), I9=""),
                EOMONTH(DATE(LOHNTABELLE!$G$3, $A$1, 1), 0), I9)
            - MAX(D9, DATE(LOHNTABELLE!$G$3, $A$1, 1)) + 1)
        / DAY(EOMONTH(DATE(LOHNTABELLE!$G$3, $A$1, 1), 0)) * F9,
        2
    ),
    ""
)</f>
        <v>173</v>
      </c>
      <c r="I9" s="19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45" t="s">
        <v>72</v>
      </c>
      <c r="P9" s="246"/>
      <c r="Q9" s="247">
        <f>EINSTELLUNG!L28</f>
        <v>7</v>
      </c>
      <c r="R9" s="247"/>
      <c r="S9" s="53">
        <f>IFERROR(Q9/Q8, 0)</f>
        <v>7.8037469133393912E-4</v>
      </c>
    </row>
    <row r="10" spans="1:28" ht="16" customHeight="1">
      <c r="A10" s="130" t="s">
        <v>73</v>
      </c>
      <c r="B10" s="170">
        <v>401138</v>
      </c>
      <c r="C10" s="137" t="s">
        <v>267</v>
      </c>
      <c r="D10" s="193">
        <v>42006</v>
      </c>
      <c r="E10" s="134" t="s">
        <v>10</v>
      </c>
      <c r="F10" s="136">
        <v>173</v>
      </c>
      <c r="G10" s="185">
        <v>2123</v>
      </c>
      <c r="H10" s="158">
        <f>IF(AND(ISNUMBER(D10), ISNUMBER(F10)),
    ROUNDDOWN(
        MIN(
            IF(OR(ISBLANK(I10), I10=""),
                EOMONTH(DATE(LOHNTABELLE!$G$3, $A$1, 1), 0), I10)
            - MAX(D10, DATE(LOHNTABELLE!$G$3, $A$1, 1)) + 1)
        / DAY(EOMONTH(DATE(LOHNTABELLE!$G$3, $A$1, 1), 0)) * F10,
        2
    ),
    ""
)</f>
        <v>173</v>
      </c>
      <c r="I10" s="19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45" t="s">
        <v>74</v>
      </c>
      <c r="P10" s="246"/>
      <c r="Q10" s="247">
        <f>EINSTELLUNG!I28</f>
        <v>7</v>
      </c>
      <c r="R10" s="247"/>
    </row>
    <row r="11" spans="1:28" ht="16" customHeight="1">
      <c r="A11" s="130" t="s">
        <v>75</v>
      </c>
      <c r="B11" s="170">
        <v>401197</v>
      </c>
      <c r="C11" s="137" t="s">
        <v>268</v>
      </c>
      <c r="D11" s="193">
        <v>42644</v>
      </c>
      <c r="E11" s="134" t="s">
        <v>8</v>
      </c>
      <c r="F11" s="136">
        <v>173</v>
      </c>
      <c r="G11" s="185">
        <v>2082</v>
      </c>
      <c r="H11" s="158">
        <f>IF(AND(ISNUMBER(D11), ISNUMBER(F11)),
    ROUNDDOWN(
        MIN(
            IF(OR(ISBLANK(I11), I11=""),
                EOMONTH(DATE(LOHNTABELLE!$G$3, $A$1, 1), 0), I11)
            - MAX(D11, DATE(LOHNTABELLE!$G$3, $A$1, 1)) + 1)
        / DAY(EOMONTH(DATE(LOHNTABELLE!$G$3, $A$1, 1), 0)) * F11,
        2
    ),
    ""
)</f>
        <v>173</v>
      </c>
      <c r="I11" s="19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45" t="s">
        <v>76</v>
      </c>
      <c r="P11" s="246"/>
      <c r="Q11" s="247">
        <f>P5</f>
        <v>7</v>
      </c>
      <c r="R11" s="247"/>
    </row>
    <row r="12" spans="1:28" ht="16" customHeight="1">
      <c r="A12" s="130" t="s">
        <v>77</v>
      </c>
      <c r="B12" s="170">
        <v>401214</v>
      </c>
      <c r="C12" s="137" t="s">
        <v>294</v>
      </c>
      <c r="D12" s="193">
        <v>45636</v>
      </c>
      <c r="E12" s="134" t="s">
        <v>8</v>
      </c>
      <c r="F12" s="136">
        <v>173</v>
      </c>
      <c r="G12" s="185">
        <v>2082</v>
      </c>
      <c r="H12" s="158">
        <f>IF(AND(ISNUMBER(D12), ISNUMBER(F12)),
    ROUNDDOWN(
        MIN(
            IF(OR(ISBLANK(I12), I12=""),
                EOMONTH(DATE(LOHNTABELLE!$G$3, $A$1, 1), 0), I12)
            - MAX(D12, DATE(LOHNTABELLE!$G$3, $A$1, 1)) + 1)
        / DAY(EOMONTH(DATE(LOHNTABELLE!$G$3, $A$1, 1), 0)) * F12,
        2
    ),
    ""
)</f>
        <v>173</v>
      </c>
      <c r="I12" s="19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45" t="s">
        <v>78</v>
      </c>
      <c r="P12" s="246"/>
      <c r="Q12" s="276">
        <v>39</v>
      </c>
      <c r="R12" s="276"/>
    </row>
    <row r="13" spans="1:28" ht="16" customHeight="1">
      <c r="A13" s="131" t="s">
        <v>79</v>
      </c>
      <c r="B13" s="170">
        <v>401276</v>
      </c>
      <c r="C13" s="137" t="s">
        <v>269</v>
      </c>
      <c r="D13" s="193">
        <v>43252</v>
      </c>
      <c r="E13" s="134" t="s">
        <v>8</v>
      </c>
      <c r="F13" s="136">
        <v>173</v>
      </c>
      <c r="G13" s="185">
        <v>2082</v>
      </c>
      <c r="H13" s="158">
        <f>IF(AND(ISNUMBER(D13), ISNUMBER(F13)),
    ROUNDDOWN(
        MIN(
            IF(OR(ISBLANK(I13), I13=""),
                EOMONTH(DATE(LOHNTABELLE!$G$3, $A$1, 1), 0), I13)
            - MAX(D13, DATE(LOHNTABELLE!$G$3, $A$1, 1)) + 1)
        / DAY(EOMONTH(DATE(LOHNTABELLE!$G$3, $A$1, 1), 0)) * F13,
        2
    ),
    ""
)</f>
        <v>173</v>
      </c>
      <c r="I13" s="19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45" t="s">
        <v>80</v>
      </c>
      <c r="P13" s="246"/>
      <c r="Q13" s="247">
        <f>Q8-Q9-Q10-Q11-Q12</f>
        <v>8910.0499999999993</v>
      </c>
      <c r="R13" s="247"/>
    </row>
    <row r="14" spans="1:28" ht="16" customHeight="1">
      <c r="A14" s="130" t="s">
        <v>81</v>
      </c>
      <c r="B14" s="170">
        <v>401307</v>
      </c>
      <c r="C14" s="137" t="s">
        <v>270</v>
      </c>
      <c r="D14" s="193">
        <v>43571</v>
      </c>
      <c r="E14" s="134" t="s">
        <v>8</v>
      </c>
      <c r="F14" s="136">
        <v>173</v>
      </c>
      <c r="G14" s="185">
        <v>2082</v>
      </c>
      <c r="H14" s="158">
        <f>IF(AND(ISNUMBER(D14), ISNUMBER(F14)),
    ROUNDDOWN(
        MIN(
            IF(OR(ISBLANK(I14), I14=""),
                EOMONTH(DATE(LOHNTABELLE!$G$3, $A$1, 1), 0), I14)
            - MAX(D14, DATE(LOHNTABELLE!$G$3, $A$1, 1)) + 1)
        / DAY(EOMONTH(DATE(LOHNTABELLE!$G$3, $A$1, 1), 0)) * F14,
        2
    ),
    ""
)</f>
        <v>173</v>
      </c>
      <c r="I14" s="19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45" t="s">
        <v>82</v>
      </c>
      <c r="P14" s="246"/>
      <c r="Q14" s="247">
        <f>EINSTELLUNG!L12</f>
        <v>7</v>
      </c>
      <c r="R14" s="247"/>
    </row>
    <row r="15" spans="1:28" ht="16" customHeight="1">
      <c r="A15" s="130" t="s">
        <v>83</v>
      </c>
      <c r="B15" s="170">
        <v>401308</v>
      </c>
      <c r="C15" s="139" t="s">
        <v>271</v>
      </c>
      <c r="D15" s="193">
        <v>43579</v>
      </c>
      <c r="E15" s="134" t="s">
        <v>8</v>
      </c>
      <c r="F15" s="136">
        <v>173</v>
      </c>
      <c r="G15" s="185">
        <v>2082</v>
      </c>
      <c r="H15" s="158">
        <f>IF(AND(ISNUMBER(D15), ISNUMBER(F15)),
    ROUNDDOWN(
        MIN(
            IF(OR(ISBLANK(I15), I15=""),
                EOMONTH(DATE(LOHNTABELLE!$G$3, $A$1, 1), 0), I15)
            - MAX(D15, DATE(LOHNTABELLE!$G$3, $A$1, 1)) + 1)
        / DAY(EOMONTH(DATE(LOHNTABELLE!$G$3, $A$1, 1), 0)) * F15,
        2
    ),
    ""
)</f>
        <v>173</v>
      </c>
      <c r="I15" s="19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45" t="s">
        <v>84</v>
      </c>
      <c r="P15" s="246"/>
      <c r="Q15" s="247">
        <f>Q13-Q14</f>
        <v>8903.0499999999993</v>
      </c>
      <c r="R15" s="247"/>
      <c r="S15" s="100"/>
      <c r="T15" s="100"/>
      <c r="U15" s="100"/>
    </row>
    <row r="16" spans="1:28" ht="16" customHeight="1">
      <c r="A16" s="130" t="s">
        <v>85</v>
      </c>
      <c r="B16" s="170">
        <v>401389</v>
      </c>
      <c r="C16" s="137" t="s">
        <v>273</v>
      </c>
      <c r="D16" s="193">
        <v>44384</v>
      </c>
      <c r="E16" s="134" t="s">
        <v>22</v>
      </c>
      <c r="F16" s="136">
        <v>173</v>
      </c>
      <c r="G16" s="185">
        <v>2300</v>
      </c>
      <c r="H16" s="158">
        <f>IF(AND(ISNUMBER(D16), ISNUMBER(F16)),
    ROUNDDOWN(
        MIN(
            IF(OR(ISBLANK(I16), I16=""),
                EOMONTH(DATE(LOHNTABELLE!$G$3, $A$1, 1), 0), I16)
            - MAX(D16, DATE(LOHNTABELLE!$G$3, $A$1, 1)) + 1)
        / DAY(EOMONTH(DATE(LOHNTABELLE!$G$3, $A$1, 1), 0)) * F16,
        2
    ),
    ""
)</f>
        <v>173</v>
      </c>
      <c r="I16" s="19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248" t="str">
        <f>IF(Q15&lt;0, "Schlecht! Zu wenig Stunden für Dienstplan.", IF(Q15&gt;0, "Du hast mehr als genug Stunden für Dienstplan.", ""))</f>
        <v>Du hast mehr als genug Stunden für Dienstplan.</v>
      </c>
      <c r="P16" s="248"/>
      <c r="Q16" s="248"/>
      <c r="R16" s="248"/>
      <c r="W16" s="45"/>
    </row>
    <row r="17" spans="1:29" ht="16" customHeight="1">
      <c r="A17" s="131" t="s">
        <v>86</v>
      </c>
      <c r="B17" s="170">
        <v>401394</v>
      </c>
      <c r="C17" s="137" t="s">
        <v>272</v>
      </c>
      <c r="D17" s="193">
        <v>44379</v>
      </c>
      <c r="E17" s="134" t="s">
        <v>4</v>
      </c>
      <c r="F17" s="136">
        <v>173</v>
      </c>
      <c r="G17" s="185">
        <v>3500</v>
      </c>
      <c r="H17" s="158">
        <f>IF(AND(ISNUMBER(D17), ISNUMBER(F17)),
    ROUNDDOWN(
        MIN(
            IF(OR(ISBLANK(I17), I17=""),
                EOMONTH(DATE(LOHNTABELLE!$G$3, $A$1, 1), 0), I17)
            - MAX(D17, DATE(LOHNTABELLE!$G$3, $A$1, 1)) + 1)
        / DAY(EOMONTH(DATE(LOHNTABELLE!$G$3, $A$1, 1), 0)) * F17,
        2
    ),
    ""
)</f>
        <v>173</v>
      </c>
      <c r="I17" s="19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53" t="s">
        <v>87</v>
      </c>
      <c r="P17" s="254"/>
      <c r="Q17" s="277">
        <f>SUM(L3:L82)</f>
        <v>144310.65</v>
      </c>
      <c r="R17" s="277"/>
      <c r="W17" s="45"/>
    </row>
    <row r="18" spans="1:29" ht="16" customHeight="1">
      <c r="A18" s="130" t="s">
        <v>88</v>
      </c>
      <c r="B18" s="170">
        <v>401432</v>
      </c>
      <c r="C18" s="137" t="s">
        <v>274</v>
      </c>
      <c r="D18" s="193">
        <v>44441</v>
      </c>
      <c r="E18" s="134" t="s">
        <v>4</v>
      </c>
      <c r="F18" s="136">
        <v>173</v>
      </c>
      <c r="G18" s="185">
        <v>3500</v>
      </c>
      <c r="H18" s="158">
        <f>IF(AND(ISNUMBER(D18), ISNUMBER(F18)),
    ROUNDDOWN(
        MIN(
            IF(OR(ISBLANK(I18), I18=""),
                EOMONTH(DATE(LOHNTABELLE!$G$3, $A$1, 1), 0), I18)
            - MAX(D18, DATE(LOHNTABELLE!$G$3, $A$1, 1)) + 1)
        / DAY(EOMONTH(DATE(LOHNTABELLE!$G$3, $A$1, 1), 0)) * F18,
        2
    ),
    ""
)</f>
        <v>173</v>
      </c>
      <c r="I18" s="19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335"/>
      <c r="P18" s="366"/>
      <c r="Q18" s="367"/>
      <c r="R18" s="244"/>
    </row>
    <row r="19" spans="1:29" ht="16" customHeight="1">
      <c r="A19" s="130" t="s">
        <v>89</v>
      </c>
      <c r="B19" s="170">
        <v>401476</v>
      </c>
      <c r="C19" s="137" t="s">
        <v>276</v>
      </c>
      <c r="D19" s="193">
        <v>44504</v>
      </c>
      <c r="E19" s="134" t="s">
        <v>4</v>
      </c>
      <c r="F19" s="136">
        <v>173</v>
      </c>
      <c r="G19" s="185">
        <v>3500</v>
      </c>
      <c r="H19" s="158">
        <f>IF(AND(ISNUMBER(D19), ISNUMBER(F19)),
    ROUNDDOWN(
        MIN(
            IF(OR(ISBLANK(I19), I19=""),
                EOMONTH(DATE(LOHNTABELLE!$G$3, $A$1, 1), 0), I19)
            - MAX(D19, DATE(LOHNTABELLE!$G$3, $A$1, 1)) + 1)
        / DAY(EOMONTH(DATE(LOHNTABELLE!$G$3, $A$1, 1), 0)) * F19,
        2
    ),
    ""
)</f>
        <v>173</v>
      </c>
      <c r="I19" s="19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335"/>
      <c r="P19" s="366"/>
      <c r="Q19" s="367"/>
      <c r="R19" s="244"/>
    </row>
    <row r="20" spans="1:29" ht="16" customHeight="1">
      <c r="A20" s="130" t="s">
        <v>90</v>
      </c>
      <c r="B20" s="170">
        <v>401479</v>
      </c>
      <c r="C20" s="137" t="s">
        <v>277</v>
      </c>
      <c r="D20" s="193">
        <v>44511</v>
      </c>
      <c r="E20" s="134" t="s">
        <v>13</v>
      </c>
      <c r="F20" s="136">
        <v>173</v>
      </c>
      <c r="G20" s="185">
        <v>2160</v>
      </c>
      <c r="H20" s="158">
        <f>IF(AND(ISNUMBER(D20), ISNUMBER(F20)),
    ROUNDDOWN(
        MIN(
            IF(OR(ISBLANK(I20), I20=""),
                EOMONTH(DATE(LOHNTABELLE!$G$3, $A$1, 1), 0), I20)
            - MAX(D20, DATE(LOHNTABELLE!$G$3, $A$1, 1)) + 1)
        / DAY(EOMONTH(DATE(LOHNTABELLE!$G$3, $A$1, 1), 0)) * F20,
        2
    ),
    ""
)</f>
        <v>173</v>
      </c>
      <c r="I20" s="19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335"/>
      <c r="P20" s="366"/>
      <c r="Q20" s="367"/>
      <c r="R20" s="244"/>
    </row>
    <row r="21" spans="1:29" ht="16" customHeight="1">
      <c r="A21" s="131" t="s">
        <v>92</v>
      </c>
      <c r="B21" s="170">
        <v>401481</v>
      </c>
      <c r="C21" s="137" t="s">
        <v>278</v>
      </c>
      <c r="D21" s="193">
        <v>44531</v>
      </c>
      <c r="E21" s="134" t="s">
        <v>4</v>
      </c>
      <c r="F21" s="136">
        <v>173</v>
      </c>
      <c r="G21" s="185">
        <v>3500</v>
      </c>
      <c r="H21" s="158">
        <f>IF(AND(ISNUMBER(D21), ISNUMBER(F21)),
    ROUNDDOWN(
        MIN(
            IF(OR(ISBLANK(I21), I21=""),
                EOMONTH(DATE(LOHNTABELLE!$G$3, $A$1, 1), 0), I21)
            - MAX(D21, DATE(LOHNTABELLE!$G$3, $A$1, 1)) + 1)
        / DAY(EOMONTH(DATE(LOHNTABELLE!$G$3, $A$1, 1), 0)) * F21,
        2
    ),
    ""
)</f>
        <v>173</v>
      </c>
      <c r="I21" s="19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335" t="s">
        <v>356</v>
      </c>
      <c r="P21" s="366"/>
      <c r="Q21" s="367">
        <v>5000</v>
      </c>
      <c r="R21" s="244"/>
    </row>
    <row r="22" spans="1:29" ht="16" customHeight="1">
      <c r="A22" s="130" t="s">
        <v>93</v>
      </c>
      <c r="B22" s="170">
        <v>401558</v>
      </c>
      <c r="C22" s="137" t="s">
        <v>275</v>
      </c>
      <c r="D22" s="193">
        <v>44460</v>
      </c>
      <c r="E22" s="134" t="s">
        <v>4</v>
      </c>
      <c r="F22" s="136">
        <v>173</v>
      </c>
      <c r="G22" s="185">
        <v>3500</v>
      </c>
      <c r="H22" s="158">
        <f>IF(AND(ISNUMBER(D22), ISNUMBER(F22)),
    ROUNDDOWN(
        MIN(
            IF(OR(ISBLANK(I22), I22=""),
                EOMONTH(DATE(LOHNTABELLE!$G$3, $A$1, 1), 0), I22)
            - MAX(D22, DATE(LOHNTABELLE!$G$3, $A$1, 1)) + 1)
        / DAY(EOMONTH(DATE(LOHNTABELLE!$G$3, $A$1, 1), 0)) * F22,
        2
    ),
    ""
)</f>
        <v>173</v>
      </c>
      <c r="I22" s="19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335"/>
      <c r="P22" s="366"/>
      <c r="Q22" s="367"/>
      <c r="R22" s="244"/>
    </row>
    <row r="23" spans="1:29" ht="16" customHeight="1">
      <c r="A23" s="130" t="s">
        <v>94</v>
      </c>
      <c r="B23" s="170">
        <v>401564</v>
      </c>
      <c r="C23" s="137" t="s">
        <v>279</v>
      </c>
      <c r="D23" s="193">
        <v>44824</v>
      </c>
      <c r="E23" s="134" t="s">
        <v>4</v>
      </c>
      <c r="F23" s="136">
        <v>173</v>
      </c>
      <c r="G23" s="185">
        <v>3500</v>
      </c>
      <c r="H23" s="158">
        <f>IF(AND(ISNUMBER(D23), ISNUMBER(F23)),
    ROUNDDOWN(
        MIN(
            IF(OR(ISBLANK(I23), I23=""),
                EOMONTH(DATE(LOHNTABELLE!$G$3, $A$1, 1), 0), I23)
            - MAX(D23, DATE(LOHNTABELLE!$G$3, $A$1, 1)) + 1)
        / DAY(EOMONTH(DATE(LOHNTABELLE!$G$3, $A$1, 1), 0)) * F23,
        2
    ),
    ""
)</f>
        <v>173</v>
      </c>
      <c r="I23" s="19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335"/>
      <c r="P23" s="366"/>
      <c r="Q23" s="367"/>
      <c r="R23" s="244"/>
      <c r="W23" s="45"/>
    </row>
    <row r="24" spans="1:29" ht="16" customHeight="1">
      <c r="A24" s="130" t="s">
        <v>95</v>
      </c>
      <c r="B24" s="170">
        <v>401583</v>
      </c>
      <c r="C24" s="137" t="s">
        <v>281</v>
      </c>
      <c r="D24" s="193">
        <v>44900</v>
      </c>
      <c r="E24" s="134" t="s">
        <v>21</v>
      </c>
      <c r="F24" s="136">
        <v>173</v>
      </c>
      <c r="G24" s="185">
        <v>2300</v>
      </c>
      <c r="H24" s="158">
        <f>IF(AND(ISNUMBER(D24), ISNUMBER(F24)),
    ROUNDDOWN(
        MIN(
            IF(OR(ISBLANK(I24), I24=""),
                EOMONTH(DATE(LOHNTABELLE!$G$3, $A$1, 1), 0), I24)
            - MAX(D24, DATE(LOHNTABELLE!$G$3, $A$1, 1)) + 1)
        / DAY(EOMONTH(DATE(LOHNTABELLE!$G$3, $A$1, 1), 0)) * F24,
        2
    ),
    ""
)</f>
        <v>173</v>
      </c>
      <c r="I24" s="19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35"/>
      <c r="P24" s="366"/>
      <c r="Q24" s="367"/>
      <c r="R24" s="244"/>
      <c r="W24" s="45"/>
    </row>
    <row r="25" spans="1:29" ht="16" customHeight="1" thickBot="1">
      <c r="A25" s="131" t="s">
        <v>96</v>
      </c>
      <c r="B25" s="170">
        <v>401589</v>
      </c>
      <c r="C25" s="137" t="s">
        <v>282</v>
      </c>
      <c r="D25" s="193">
        <v>44926</v>
      </c>
      <c r="E25" s="134" t="s">
        <v>21</v>
      </c>
      <c r="F25" s="136">
        <v>173</v>
      </c>
      <c r="G25" s="185">
        <v>2300</v>
      </c>
      <c r="H25" s="158">
        <f>IF(AND(ISNUMBER(D25), ISNUMBER(F25)),
    ROUNDDOWN(
        MIN(
            IF(OR(ISBLANK(I25), I25=""),
                EOMONTH(DATE(LOHNTABELLE!$G$3, $A$1, 1), 0), I25)
            - MAX(D25, DATE(LOHNTABELLE!$G$3, $A$1, 1)) + 1)
        / DAY(EOMONTH(DATE(LOHNTABELLE!$G$3, $A$1, 1), 0)) * F25,
        2
    ),
    ""
)</f>
        <v>173</v>
      </c>
      <c r="I25" s="19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350"/>
      <c r="P25" s="368"/>
      <c r="Q25" s="369"/>
      <c r="R25" s="286"/>
    </row>
    <row r="26" spans="1:29" ht="16" customHeight="1">
      <c r="A26" s="130" t="s">
        <v>97</v>
      </c>
      <c r="B26" s="170">
        <v>401602</v>
      </c>
      <c r="C26" s="139" t="s">
        <v>283</v>
      </c>
      <c r="D26" s="193">
        <v>45975</v>
      </c>
      <c r="E26" s="134" t="s">
        <v>4</v>
      </c>
      <c r="F26" s="136">
        <v>173</v>
      </c>
      <c r="G26" s="185">
        <v>3500</v>
      </c>
      <c r="H26" s="158">
        <f>IF(AND(ISNUMBER(D26), ISNUMBER(F26)),
    ROUNDDOWN(
        MIN(
            IF(OR(ISBLANK(I26), I26=""),
                EOMONTH(DATE(LOHNTABELLE!$G$3, $A$1, 1), 0), I26)
            - MAX(D26, DATE(LOHNTABELLE!$G$3, $A$1, 1)) + 1)
        / DAY(EOMONTH(DATE(LOHNTABELLE!$G$3, $A$1, 1), 0)) * F26,
        2
    ),
    ""
)</f>
        <v>173</v>
      </c>
      <c r="I26" s="19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353"/>
      <c r="P26" s="296"/>
      <c r="Q26" s="287"/>
      <c r="R26" s="288"/>
    </row>
    <row r="27" spans="1:29" ht="16" customHeight="1">
      <c r="A27" s="130" t="s">
        <v>98</v>
      </c>
      <c r="B27" s="170">
        <v>401605</v>
      </c>
      <c r="C27" s="137" t="s">
        <v>284</v>
      </c>
      <c r="D27" s="193">
        <v>44986</v>
      </c>
      <c r="E27" s="134" t="s">
        <v>4</v>
      </c>
      <c r="F27" s="136">
        <v>173</v>
      </c>
      <c r="G27" s="185">
        <v>3500</v>
      </c>
      <c r="H27" s="158">
        <f>IF(AND(ISNUMBER(D27), ISNUMBER(F27)),
    ROUNDDOWN(
        MIN(
            IF(OR(ISBLANK(I27), I27=""),
                EOMONTH(DATE(LOHNTABELLE!$G$3, $A$1, 1), 0), I27)
            - MAX(D27, DATE(LOHNTABELLE!$G$3, $A$1, 1)) + 1)
        / DAY(EOMONTH(DATE(LOHNTABELLE!$G$3, $A$1, 1), 0)) * F27,
        2
    ),
    ""
)</f>
        <v>173</v>
      </c>
      <c r="I27" s="19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51"/>
      <c r="P27" s="252"/>
      <c r="Q27" s="244"/>
      <c r="R27" s="289"/>
      <c r="S27" s="249" t="s">
        <v>99</v>
      </c>
      <c r="T27" s="250"/>
      <c r="U27" s="250"/>
      <c r="V27" s="250"/>
    </row>
    <row r="28" spans="1:29" ht="16" customHeight="1" thickBot="1">
      <c r="A28" s="130" t="s">
        <v>100</v>
      </c>
      <c r="B28" s="170">
        <v>401626</v>
      </c>
      <c r="C28" s="137" t="s">
        <v>285</v>
      </c>
      <c r="D28" s="193">
        <v>45063</v>
      </c>
      <c r="E28" s="134" t="s">
        <v>4</v>
      </c>
      <c r="F28" s="136">
        <v>173</v>
      </c>
      <c r="G28" s="185">
        <v>3500</v>
      </c>
      <c r="H28" s="158">
        <f>IF(AND(ISNUMBER(D28), ISNUMBER(F28)),
    ROUNDDOWN(
        MIN(
            IF(OR(ISBLANK(I28), I28=""),
                EOMONTH(DATE(LOHNTABELLE!$G$3, $A$1, 1), 0), I28)
            - MAX(D28, DATE(LOHNTABELLE!$G$3, $A$1, 1)) + 1)
        / DAY(EOMONTH(DATE(LOHNTABELLE!$G$3, $A$1, 1), 0)) * F28,
        2
    ),
    ""
)</f>
        <v>173</v>
      </c>
      <c r="I28" s="19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90"/>
      <c r="P28" s="291"/>
      <c r="Q28" s="292"/>
      <c r="R28" s="293"/>
    </row>
    <row r="29" spans="1:29" ht="16" customHeight="1" thickBot="1">
      <c r="A29" s="131" t="s">
        <v>101</v>
      </c>
      <c r="B29" s="170">
        <v>401633</v>
      </c>
      <c r="C29" s="137" t="s">
        <v>286</v>
      </c>
      <c r="D29" s="193">
        <v>45089</v>
      </c>
      <c r="E29" s="134" t="s">
        <v>21</v>
      </c>
      <c r="F29" s="136">
        <v>173</v>
      </c>
      <c r="G29" s="185">
        <v>2300</v>
      </c>
      <c r="H29" s="158">
        <f>IF(AND(ISNUMBER(D29), ISNUMBER(F29)),
    ROUNDDOWN(
        MIN(
            IF(OR(ISBLANK(I29), I29=""),
                EOMONTH(DATE(LOHNTABELLE!$G$3, $A$1, 1), 0), I29)
            - MAX(D29, DATE(LOHNTABELLE!$G$3, $A$1, 1)) + 1)
        / DAY(EOMONTH(DATE(LOHNTABELLE!$G$3, $A$1, 1), 0)) * F29,
        2
    ),
    ""
)</f>
        <v>173</v>
      </c>
      <c r="I29" s="19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82" t="s">
        <v>102</v>
      </c>
      <c r="P29" s="283"/>
      <c r="Q29" s="284">
        <f>EINSTELLUNG!O12</f>
        <v>7</v>
      </c>
      <c r="R29" s="285"/>
    </row>
    <row r="30" spans="1:29" ht="16" customHeight="1">
      <c r="A30" s="130" t="s">
        <v>103</v>
      </c>
      <c r="B30" s="170">
        <v>401647</v>
      </c>
      <c r="C30" s="137" t="s">
        <v>287</v>
      </c>
      <c r="D30" s="193">
        <v>45182</v>
      </c>
      <c r="E30" s="134" t="s">
        <v>4</v>
      </c>
      <c r="F30" s="136">
        <v>173</v>
      </c>
      <c r="G30" s="185">
        <v>3500</v>
      </c>
      <c r="H30" s="158">
        <f>IF(AND(ISNUMBER(D30), ISNUMBER(F30)),
    ROUNDDOWN(
        MIN(
            IF(OR(ISBLANK(I30), I30=""),
                EOMONTH(DATE(LOHNTABELLE!$G$3, $A$1, 1), 0), I30)
            - MAX(D30, DATE(LOHNTABELLE!$G$3, $A$1, 1)) + 1)
        / DAY(EOMONTH(DATE(LOHNTABELLE!$G$3, $A$1, 1), 0)) * F30,
        2
    ),
    ""
)</f>
        <v>173</v>
      </c>
      <c r="I30" s="19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193">
        <v>45261</v>
      </c>
      <c r="E31" s="134" t="s">
        <v>4</v>
      </c>
      <c r="F31" s="136">
        <v>173</v>
      </c>
      <c r="G31" s="185">
        <v>3500</v>
      </c>
      <c r="H31" s="158">
        <f>IF(AND(ISNUMBER(D31), ISNUMBER(F31)),
    ROUNDDOWN(
        MIN(
            IF(OR(ISBLANK(I31), I31=""),
                EOMONTH(DATE(LOHNTABELLE!$G$3, $A$1, 1), 0), I31)
            - MAX(D31, DATE(LOHNTABELLE!$G$3, $A$1, 1)) + 1)
        / DAY(EOMONTH(DATE(LOHNTABELLE!$G$3, $A$1, 1), 0)) * F31,
        2
    ),
    ""
)</f>
        <v>173</v>
      </c>
      <c r="I31" s="19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98">
        <v>0</v>
      </c>
      <c r="P31" s="299"/>
      <c r="Q31" s="300">
        <v>0</v>
      </c>
      <c r="R31" s="301"/>
    </row>
    <row r="32" spans="1:29" ht="16" customHeight="1">
      <c r="A32" s="130" t="s">
        <v>106</v>
      </c>
      <c r="B32" s="170">
        <v>401670</v>
      </c>
      <c r="C32" s="137" t="s">
        <v>289</v>
      </c>
      <c r="D32" s="193">
        <v>45358</v>
      </c>
      <c r="E32" s="134" t="s">
        <v>4</v>
      </c>
      <c r="F32" s="136">
        <v>173</v>
      </c>
      <c r="G32" s="185">
        <v>3500</v>
      </c>
      <c r="H32" s="158">
        <f>IF(AND(ISNUMBER(D32), ISNUMBER(F32)),
    ROUNDDOWN(
        MIN(
            IF(OR(ISBLANK(I32), I32=""),
                EOMONTH(DATE(LOHNTABELLE!$G$3, $A$1, 1), 0), I32)
            - MAX(D32, DATE(LOHNTABELLE!$G$3, $A$1, 1)) + 1)
        / DAY(EOMONTH(DATE(LOHNTABELLE!$G$3, $A$1, 1), 0)) * F32,
        2
    ),
    ""
)</f>
        <v>173</v>
      </c>
      <c r="I32" s="19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401678</v>
      </c>
      <c r="C33" s="137" t="s">
        <v>290</v>
      </c>
      <c r="D33" s="193">
        <v>45414</v>
      </c>
      <c r="E33" s="134" t="s">
        <v>4</v>
      </c>
      <c r="F33" s="136">
        <v>173</v>
      </c>
      <c r="G33" s="185">
        <v>3500</v>
      </c>
      <c r="H33" s="158">
        <f>IF(AND(ISNUMBER(D33), ISNUMBER(F33)),
    ROUNDDOWN(
        MIN(
            IF(OR(ISBLANK(I33), I33=""),
                EOMONTH(DATE(LOHNTABELLE!$G$3, $A$1, 1), 0), I33)
            - MAX(D33, DATE(LOHNTABELLE!$G$3, $A$1, 1)) + 1)
        / DAY(EOMONTH(DATE(LOHNTABELLE!$G$3, $A$1, 1), 0)) * F33,
        2
    ),
    ""
)</f>
        <v>173</v>
      </c>
      <c r="I33" s="19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66"/>
      <c r="P33" s="267"/>
      <c r="Q33" s="364" t="str">
        <f>EINSTELLUNG!B3</f>
        <v>Budget Zahlen</v>
      </c>
      <c r="R33" s="364"/>
      <c r="S33" s="365" t="str">
        <f>EINSTELLUNG!B19</f>
        <v>Projection/Aktuell Zahlen</v>
      </c>
      <c r="T33" s="365"/>
      <c r="U33" s="365" t="s">
        <v>110</v>
      </c>
      <c r="V33" s="365"/>
    </row>
    <row r="34" spans="1:24" ht="16" customHeight="1">
      <c r="A34" s="130" t="s">
        <v>111</v>
      </c>
      <c r="B34" s="170">
        <v>401690</v>
      </c>
      <c r="C34" s="137" t="s">
        <v>292</v>
      </c>
      <c r="D34" s="193">
        <v>45536</v>
      </c>
      <c r="E34" s="134" t="s">
        <v>4</v>
      </c>
      <c r="F34" s="136">
        <v>173</v>
      </c>
      <c r="G34" s="185">
        <v>3500</v>
      </c>
      <c r="H34" s="158">
        <f>IF(AND(ISNUMBER(D34), ISNUMBER(F34)),
    ROUNDDOWN(
        MIN(
            IF(OR(ISBLANK(I34), I34=""),
                EOMONTH(DATE(LOHNTABELLE!$G$3, $A$1, 1), 0), I34)
            - MAX(D34, DATE(LOHNTABELLE!$G$3, $A$1, 1)) + 1)
        / DAY(EOMONTH(DATE(LOHNTABELLE!$G$3, $A$1, 1), 0)) * F34,
        2
    ),
    ""
)</f>
        <v>173</v>
      </c>
      <c r="I34" s="19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66"/>
      <c r="P34" s="267"/>
      <c r="Q34" s="364"/>
      <c r="R34" s="364"/>
      <c r="S34" s="365"/>
      <c r="T34" s="365"/>
      <c r="U34" s="365"/>
      <c r="V34" s="365"/>
    </row>
    <row r="35" spans="1:24" ht="16" customHeight="1">
      <c r="A35" s="130" t="s">
        <v>112</v>
      </c>
      <c r="B35" s="170">
        <v>401703</v>
      </c>
      <c r="C35" s="137" t="s">
        <v>293</v>
      </c>
      <c r="D35" s="193">
        <v>45616</v>
      </c>
      <c r="E35" s="134" t="s">
        <v>4</v>
      </c>
      <c r="F35" s="136">
        <v>173</v>
      </c>
      <c r="G35" s="185">
        <v>3500</v>
      </c>
      <c r="H35" s="158">
        <f>IF(AND(ISNUMBER(D35), ISNUMBER(F35)),
    ROUNDDOWN(
        MIN(
            IF(OR(ISBLANK(I35), I35=""),
                EOMONTH(DATE(LOHNTABELLE!$G$3, $A$1, 1), 0), I35)
            - MAX(D35, DATE(LOHNTABELLE!$G$3, $A$1, 1)) + 1)
        / DAY(EOMONTH(DATE(LOHNTABELLE!$G$3, $A$1, 1), 0)) * F35,
        2
    ),
    ""
)</f>
        <v>173</v>
      </c>
      <c r="I35" s="19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55" t="s">
        <v>113</v>
      </c>
      <c r="P35" s="256"/>
      <c r="Q35" s="257">
        <f>EINSTELLUNG!C12</f>
        <v>7</v>
      </c>
      <c r="R35" s="257"/>
      <c r="S35" s="257">
        <f>EINSTELLUNG!C28</f>
        <v>7</v>
      </c>
      <c r="T35" s="257"/>
      <c r="U35" s="258">
        <f>S35-Q35</f>
        <v>0</v>
      </c>
      <c r="V35" s="258"/>
    </row>
    <row r="36" spans="1:24" ht="16" customHeight="1">
      <c r="A36" s="130" t="s">
        <v>114</v>
      </c>
      <c r="B36" s="170">
        <v>401715</v>
      </c>
      <c r="C36" s="137" t="s">
        <v>295</v>
      </c>
      <c r="D36" s="193">
        <v>45755</v>
      </c>
      <c r="E36" s="134" t="s">
        <v>4</v>
      </c>
      <c r="F36" s="136">
        <v>173</v>
      </c>
      <c r="G36" s="185">
        <v>3500</v>
      </c>
      <c r="H36" s="158">
        <f>IF(AND(ISNUMBER(D36), ISNUMBER(F36)),
    ROUNDDOWN(
        MIN(
            IF(OR(ISBLANK(I36), I36=""),
                EOMONTH(DATE(LOHNTABELLE!$G$3, $A$1, 1), 0), I36)
            - MAX(D36, DATE(LOHNTABELLE!$G$3, $A$1, 1)) + 1)
        / DAY(EOMONTH(DATE(LOHNTABELLE!$G$3, $A$1, 1), 0)) * F36,
        2
    ),
    ""
)</f>
        <v>173</v>
      </c>
      <c r="I36" s="19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55" t="s">
        <v>115</v>
      </c>
      <c r="P36" s="256"/>
      <c r="Q36" s="257">
        <f>EINSTELLUNG!D12</f>
        <v>7</v>
      </c>
      <c r="R36" s="257"/>
      <c r="S36" s="261" cm="1">
        <f t="array" ref="S36">SumMergedCells(Q17:R29)</f>
        <v>149317.65</v>
      </c>
      <c r="T36" s="263"/>
      <c r="U36" s="258">
        <f t="shared" ref="U36:U41" si="2">S36-Q36</f>
        <v>149310.65</v>
      </c>
      <c r="V36" s="258"/>
    </row>
    <row r="37" spans="1:24" ht="16" customHeight="1">
      <c r="A37" s="131" t="s">
        <v>116</v>
      </c>
      <c r="B37" s="170">
        <v>401716</v>
      </c>
      <c r="C37" s="137" t="s">
        <v>296</v>
      </c>
      <c r="D37" s="193">
        <v>45800</v>
      </c>
      <c r="E37" s="134" t="s">
        <v>4</v>
      </c>
      <c r="F37" s="136">
        <v>173</v>
      </c>
      <c r="G37" s="185">
        <v>3500</v>
      </c>
      <c r="H37" s="158">
        <f>IF(AND(ISNUMBER(D37), ISNUMBER(F37)),
    ROUNDDOWN(
        MIN(
            IF(OR(ISBLANK(I37), I37=""),
                EOMONTH(DATE(LOHNTABELLE!$G$3, $A$1, 1), 0), I37)
            - MAX(D37, DATE(LOHNTABELLE!$G$3, $A$1, 1)) + 1)
        / DAY(EOMONTH(DATE(LOHNTABELLE!$G$3, $A$1, 1), 0)) * F37,
        2
    ),
    ""
)</f>
        <v>173</v>
      </c>
      <c r="I37" s="19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55" t="s">
        <v>117</v>
      </c>
      <c r="P37" s="256"/>
      <c r="Q37" s="264">
        <f>IF(ISERROR(Q36/Q35), 0, Q36/Q35)</f>
        <v>1</v>
      </c>
      <c r="R37" s="264"/>
      <c r="S37" s="264">
        <f>IF(ISERROR(S36/S35), 0, S36/S35)</f>
        <v>21331.092857142856</v>
      </c>
      <c r="T37" s="264"/>
      <c r="U37" s="265">
        <f t="shared" si="2"/>
        <v>21330.092857142856</v>
      </c>
      <c r="V37" s="265"/>
    </row>
    <row r="38" spans="1:24" ht="16" customHeight="1">
      <c r="A38" s="130" t="s">
        <v>118</v>
      </c>
      <c r="B38" s="170">
        <v>401717</v>
      </c>
      <c r="C38" s="137" t="s">
        <v>297</v>
      </c>
      <c r="D38" s="193">
        <v>45814</v>
      </c>
      <c r="E38" s="134" t="s">
        <v>4</v>
      </c>
      <c r="F38" s="136">
        <v>173</v>
      </c>
      <c r="G38" s="185">
        <v>3500</v>
      </c>
      <c r="H38" s="158">
        <f>IF(AND(ISNUMBER(D38), ISNUMBER(F38)),
    ROUNDDOWN(
        MIN(
            IF(OR(ISBLANK(I39), I39=""),
                EOMONTH(DATE(LOHNTABELLE!$G$3, $A$1, 1), 0), I39)
            - MAX(D38, DATE(LOHNTABELLE!$G$3, $A$1, 1)) + 1)
        / DAY(EOMONTH(DATE(LOHNTABELLE!$G$3, $A$1, 1), 0)) * F38,
        2
    ),
    ""
)</f>
        <v>173</v>
      </c>
      <c r="I38" s="19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55" t="s">
        <v>119</v>
      </c>
      <c r="P38" s="256"/>
      <c r="Q38" s="259">
        <f>EINSTELLUNG!F12</f>
        <v>7</v>
      </c>
      <c r="R38" s="259"/>
      <c r="S38" s="259">
        <f>EINSTELLUNG!F28</f>
        <v>7</v>
      </c>
      <c r="T38" s="259"/>
      <c r="U38" s="260">
        <f t="shared" si="2"/>
        <v>0</v>
      </c>
      <c r="V38" s="260"/>
    </row>
    <row r="39" spans="1:24" ht="16" customHeight="1">
      <c r="A39" s="130" t="s">
        <v>120</v>
      </c>
      <c r="B39" s="170">
        <v>401722</v>
      </c>
      <c r="C39" s="137" t="s">
        <v>298</v>
      </c>
      <c r="D39" s="193">
        <v>45848</v>
      </c>
      <c r="E39" s="134" t="s">
        <v>4</v>
      </c>
      <c r="F39" s="136">
        <v>86.5</v>
      </c>
      <c r="G39" s="185">
        <v>1010.5</v>
      </c>
      <c r="H39" s="158">
        <f>IF(AND(ISNUMBER(D39), ISNUMBER(F39)),
    ROUNDDOWN(
        MIN(
            IF(OR(ISBLANK(I40), I40=""),
                EOMONTH(DATE(LOHNTABELLE!$G$3, $A$1, 1), 0), I40)
            - MAX(D39, DATE(LOHNTABELLE!$G$3, $A$1, 1)) + 1)
        / DAY(EOMONTH(DATE(LOHNTABELLE!$G$3, $A$1, 1), 0)) * F39,
        2
    ),
    ""
)</f>
        <v>86.5</v>
      </c>
      <c r="I39" s="19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55" t="s">
        <v>121</v>
      </c>
      <c r="P39" s="256"/>
      <c r="Q39" s="257">
        <f>IF(Q38=0, 0, Q35/Q38)</f>
        <v>1</v>
      </c>
      <c r="R39" s="257"/>
      <c r="S39" s="257">
        <f>IF(S38=0, 0, S35/S38)</f>
        <v>1</v>
      </c>
      <c r="T39" s="257"/>
      <c r="U39" s="258">
        <f t="shared" si="2"/>
        <v>0</v>
      </c>
      <c r="V39" s="258"/>
    </row>
    <row r="40" spans="1:24" ht="16" customHeight="1">
      <c r="A40" s="130" t="s">
        <v>122</v>
      </c>
      <c r="B40" s="170">
        <v>401723</v>
      </c>
      <c r="C40" s="137" t="s">
        <v>299</v>
      </c>
      <c r="D40" s="193">
        <v>45852</v>
      </c>
      <c r="E40" s="134" t="s">
        <v>4</v>
      </c>
      <c r="F40" s="136">
        <v>86.5</v>
      </c>
      <c r="G40" s="185">
        <v>1010.5</v>
      </c>
      <c r="H40" s="158">
        <f>IF(AND(ISNUMBER(D40), ISNUMBER(F40)),
    ROUNDDOWN(
        MIN(
            IF(OR(ISBLANK(I40), I40=""),
                EOMONTH(DATE(LOHNTABELLE!$G$3, $A$1, 1), 0), I40)
            - MAX(D40, DATE(LOHNTABELLE!$G$3, $A$1, 1)) + 1)
        / DAY(EOMONTH(DATE(LOHNTABELLE!$G$3, $A$1, 1), 0)) * F40,
        2
    ),
    ""
)</f>
        <v>86.5</v>
      </c>
      <c r="I40" s="19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55" t="s">
        <v>123</v>
      </c>
      <c r="P40" s="256"/>
      <c r="Q40" s="257">
        <f>IF(Q13=0, 0, Q35/Q13)</f>
        <v>7.8562971027098616E-4</v>
      </c>
      <c r="R40" s="257"/>
      <c r="S40" s="257">
        <f>IF(Q13=0, 0, S35/Q13)</f>
        <v>7.8562971027098616E-4</v>
      </c>
      <c r="T40" s="257"/>
      <c r="U40" s="258">
        <f t="shared" si="2"/>
        <v>0</v>
      </c>
      <c r="V40" s="258"/>
    </row>
    <row r="41" spans="1:24" ht="16" customHeight="1">
      <c r="A41" s="131" t="s">
        <v>124</v>
      </c>
      <c r="B41" s="170">
        <v>401726</v>
      </c>
      <c r="C41" s="137" t="s">
        <v>300</v>
      </c>
      <c r="D41" s="193">
        <v>45870</v>
      </c>
      <c r="E41" s="134" t="s">
        <v>4</v>
      </c>
      <c r="F41" s="136">
        <v>86.5</v>
      </c>
      <c r="G41" s="185">
        <v>1010.5</v>
      </c>
      <c r="H41" s="158">
        <f>IF(AND(ISNUMBER(D41), ISNUMBER(F41)),
    ROUNDDOWN(
        MIN(
            IF(OR(ISBLANK(I41), I41=""),
                EOMONTH(DATE(LOHNTABELLE!$G$3, $A$1, 1), 0), I41)
            - MAX(D41, DATE(LOHNTABELLE!$G$3, $A$1, 1)) + 1)
        / DAY(EOMONTH(DATE(LOHNTABELLE!$G$3, $A$1, 1), 0)) * F41,
        2
    ),
    ""
)</f>
        <v>86.5</v>
      </c>
      <c r="I41" s="19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55" t="s">
        <v>125</v>
      </c>
      <c r="P41" s="256"/>
      <c r="Q41" s="259">
        <f>IF(Q13=0, 0, Q38/Q13)</f>
        <v>7.8562971027098616E-4</v>
      </c>
      <c r="R41" s="259"/>
      <c r="S41" s="259">
        <f>IF(Q13=0, 0, S38/Q13)</f>
        <v>7.8562971027098616E-4</v>
      </c>
      <c r="T41" s="259"/>
      <c r="U41" s="260">
        <f t="shared" si="2"/>
        <v>0</v>
      </c>
      <c r="V41" s="260"/>
    </row>
    <row r="42" spans="1:24" ht="16" customHeight="1">
      <c r="A42" s="130" t="s">
        <v>126</v>
      </c>
      <c r="B42" s="170">
        <v>401730</v>
      </c>
      <c r="C42" s="137" t="s">
        <v>302</v>
      </c>
      <c r="D42" s="193">
        <v>45895</v>
      </c>
      <c r="E42" s="134" t="s">
        <v>4</v>
      </c>
      <c r="F42" s="136">
        <v>86.5</v>
      </c>
      <c r="G42" s="185">
        <v>1010.5</v>
      </c>
      <c r="H42" s="158">
        <f>IF(AND(ISNUMBER(D42), ISNUMBER(F42)),
    ROUNDDOWN(
        MIN(
            IF(OR(ISBLANK(I42), I42=""),
                EOMONTH(DATE(LOHNTABELLE!$G$3, $A$1, 1), 0), I42)
            - MAX(D42, DATE(LOHNTABELLE!$G$3, $A$1, 1)) + 1)
        / DAY(EOMONTH(DATE(LOHNTABELLE!$G$3, $A$1, 1), 0)) * F42,
        2
    ),
    ""
)</f>
        <v>86.5</v>
      </c>
      <c r="I42" s="19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55" t="s">
        <v>127</v>
      </c>
      <c r="P42" s="256"/>
      <c r="Q42" s="261">
        <f>IFERROR(Q17/Q8, 0)</f>
        <v>16.088054135707161</v>
      </c>
      <c r="R42" s="262"/>
      <c r="S42" s="262"/>
      <c r="T42" s="262"/>
      <c r="U42" s="262"/>
      <c r="V42" s="263"/>
    </row>
    <row r="43" spans="1:24" ht="16" customHeight="1">
      <c r="A43" s="130" t="s">
        <v>128</v>
      </c>
      <c r="B43" s="170">
        <v>401731</v>
      </c>
      <c r="C43" s="137" t="s">
        <v>301</v>
      </c>
      <c r="D43" s="193">
        <v>45899</v>
      </c>
      <c r="E43" s="134" t="s">
        <v>4</v>
      </c>
      <c r="F43" s="136">
        <v>86.5</v>
      </c>
      <c r="G43" s="185">
        <v>1010.5</v>
      </c>
      <c r="H43" s="158">
        <f>IF(AND(ISNUMBER(D43), ISNUMBER(F43)),
    ROUNDDOWN(
        MIN(
            IF(OR(ISBLANK(I43), I43=""),
                EOMONTH(DATE(LOHNTABELLE!$G$3, $A$1, 1), 0), I43)
            - MAX(D43, DATE(LOHNTABELLE!$G$3, $A$1, 1)) + 1)
        / DAY(EOMONTH(DATE(LOHNTABELLE!$G$3, $A$1, 1), 0)) * F43,
        2
    ),
    ""
)</f>
        <v>86.5</v>
      </c>
      <c r="I43" s="19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193">
        <v>45904</v>
      </c>
      <c r="E44" s="134" t="s">
        <v>4</v>
      </c>
      <c r="F44" s="136">
        <v>86.5</v>
      </c>
      <c r="G44" s="185">
        <v>1010.5</v>
      </c>
      <c r="H44" s="158">
        <f>IF(AND(ISNUMBER(D44), ISNUMBER(F44)),
    ROUNDDOWN(
        MIN(
            IF(OR(ISBLANK(I44), I44=""),
                EOMONTH(DATE(LOHNTABELLE!$G$3, $A$1, 1), 0), I44)
            - MAX(D44, DATE(LOHNTABELLE!$G$3, $A$1, 1)) + 1)
        / DAY(EOMONTH(DATE(LOHNTABELLE!$G$3, $A$1, 1), 0)) * F44,
        2
    ),
    ""
)</f>
        <v>86.5</v>
      </c>
      <c r="I44" s="19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19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9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193">
        <v>45906</v>
      </c>
      <c r="E46" s="134" t="s">
        <v>4</v>
      </c>
      <c r="F46" s="136">
        <v>86.5</v>
      </c>
      <c r="G46" s="185">
        <v>1010.5</v>
      </c>
      <c r="H46" s="158">
        <f>IF(AND(ISNUMBER(D46), ISNUMBER(F46)),
    ROUNDDOWN(
        MIN(
            IF(OR(ISBLANK(I46), I46=""),
                EOMONTH(DATE(LOHNTABELLE!$G$3, $A$1, 1), 0), I46)
            - MAX(D46, DATE(LOHNTABELLE!$G$3, $A$1, 1)) + 1)
        / DAY(EOMONTH(DATE(LOHNTABELLE!$G$3, $A$1, 1), 0)) * F46,
        2
    ),
    ""
)</f>
        <v>86.5</v>
      </c>
      <c r="I46" s="19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193">
        <v>45909</v>
      </c>
      <c r="E47" s="134" t="s">
        <v>4</v>
      </c>
      <c r="F47" s="136">
        <v>86.5</v>
      </c>
      <c r="G47" s="185">
        <v>1010.5</v>
      </c>
      <c r="H47" s="158">
        <f>IF(AND(ISNUMBER(D47), ISNUMBER(F47)),
    ROUNDDOWN(
        MIN(
            IF(OR(ISBLANK(I47), I47=""),
                EOMONTH(DATE(LOHNTABELLE!$G$3, $A$1, 1), 0), I47)
            - MAX(D47, DATE(LOHNTABELLE!$G$3, $A$1, 1)) + 1)
        / DAY(EOMONTH(DATE(LOHNTABELLE!$G$3, $A$1, 1), 0)) * F47,
        2
    ),
    ""
)</f>
        <v>86.5</v>
      </c>
      <c r="I47" s="19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193">
        <v>45934</v>
      </c>
      <c r="E48" s="134" t="s">
        <v>4</v>
      </c>
      <c r="F48" s="136">
        <v>86.5</v>
      </c>
      <c r="G48" s="185">
        <v>1010.5</v>
      </c>
      <c r="H48" s="158">
        <f>IF(AND(ISNUMBER(D48), ISNUMBER(F48)),
    ROUNDDOWN(
        MIN(
            IF(OR(ISBLANK(I48), I48=""),
                EOMONTH(DATE(LOHNTABELLE!$G$3, $A$1, 1), 0), I48)
            - MAX(D48, DATE(LOHNTABELLE!$G$3, $A$1, 1)) + 1)
        / DAY(EOMONTH(DATE(LOHNTABELLE!$G$3, $A$1, 1), 0)) * F48,
        2
    ),
    ""
)</f>
        <v>86.5</v>
      </c>
      <c r="I48" s="19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193">
        <v>45941</v>
      </c>
      <c r="E49" s="134" t="s">
        <v>4</v>
      </c>
      <c r="F49" s="136">
        <v>86.5</v>
      </c>
      <c r="G49" s="185">
        <v>1010.5</v>
      </c>
      <c r="H49" s="158">
        <f>IF(AND(ISNUMBER(D49), ISNUMBER(F49)),
    ROUNDDOWN(
        MIN(
            IF(OR(ISBLANK(I49), I49=""),
                EOMONTH(DATE(LOHNTABELLE!$G$3, $A$1, 1), 0), I49)
            - MAX(D49, DATE(LOHNTABELLE!$G$3, $A$1, 1)) + 1)
        / DAY(EOMONTH(DATE(LOHNTABELLE!$G$3, $A$1, 1), 0)) * F49,
        2
    ),
    ""
)</f>
        <v>86.5</v>
      </c>
      <c r="I49" s="19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193">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9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193">
        <v>45941</v>
      </c>
      <c r="E51" s="134" t="s">
        <v>4</v>
      </c>
      <c r="F51" s="136">
        <v>86.5</v>
      </c>
      <c r="G51" s="185">
        <v>1010.5</v>
      </c>
      <c r="H51" s="158">
        <f>IF(AND(ISNUMBER(D51), ISNUMBER(F51)),
    ROUNDDOWN(
        MIN(
            IF(OR(ISBLANK(I51), I51=""),
                EOMONTH(DATE(LOHNTABELLE!$G$3, $A$1, 1), 0), I51)
            - MAX(D51, DATE(LOHNTABELLE!$G$3, $A$1, 1)) + 1)
        / DAY(EOMONTH(DATE(LOHNTABELLE!$G$3, $A$1, 1), 0)) * F51,
        2
    ),
    ""
)</f>
        <v>86.5</v>
      </c>
      <c r="I51" s="19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193">
        <v>45961</v>
      </c>
      <c r="E52" s="134" t="s">
        <v>4</v>
      </c>
      <c r="F52" s="136">
        <v>86.5</v>
      </c>
      <c r="G52" s="185">
        <v>1010.5</v>
      </c>
      <c r="H52" s="158">
        <f>IF(AND(ISNUMBER(D52), ISNUMBER(F52)),
    ROUNDDOWN(
        MIN(
            IF(OR(ISBLANK(I52), I52=""),
                EOMONTH(DATE(LOHNTABELLE!$G$3, $A$1, 1), 0), I52)
            - MAX(D52, DATE(LOHNTABELLE!$G$3, $A$1, 1)) + 1)
        / DAY(EOMONTH(DATE(LOHNTABELLE!$G$3, $A$1, 1), 0)) * F52,
        2
    ),
    ""
)</f>
        <v>86.5</v>
      </c>
      <c r="I52" s="19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193">
        <v>45986</v>
      </c>
      <c r="E53" s="134" t="s">
        <v>4</v>
      </c>
      <c r="F53" s="136">
        <v>86.5</v>
      </c>
      <c r="G53" s="185">
        <v>1010.5</v>
      </c>
      <c r="H53" s="158">
        <f>IF(AND(ISNUMBER(D53), ISNUMBER(F53)),
    ROUNDDOWN(
        MIN(
            IF(OR(ISBLANK(I53), I53=""),
                EOMONTH(DATE(LOHNTABELLE!$G$3, $A$1, 1), 0), I53)
            - MAX(D53, DATE(LOHNTABELLE!$G$3, $A$1, 1)) + 1)
        / DAY(EOMONTH(DATE(LOHNTABELLE!$G$3, $A$1, 1), 0)) * F53,
        2
    ),
    ""
)</f>
        <v>86.5</v>
      </c>
      <c r="I53" s="19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355</v>
      </c>
      <c r="D54" s="193">
        <v>46082</v>
      </c>
      <c r="E54" s="134" t="s">
        <v>4</v>
      </c>
      <c r="F54" s="136">
        <v>173</v>
      </c>
      <c r="G54" s="185">
        <v>3500</v>
      </c>
      <c r="H54" s="158">
        <f>IF(AND(ISNUMBER(D54), ISNUMBER(F54)),
    ROUNDDOWN(
        MIN(
            IF(OR(ISBLANK(I54), I54=""),
                EOMONTH(DATE(LOHNTABELLE!$G$3, $A$1, 1), 0), I54)
            - MAX(D54, DATE(LOHNTABELLE!$G$3, $A$1, 1)) + 1)
        / DAY(EOMONTH(DATE(LOHNTABELLE!$G$3, $A$1, 1), 0)) * F54,
        2
    ),
    ""
)</f>
        <v>173</v>
      </c>
      <c r="I54" s="19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402000</v>
      </c>
      <c r="C55" s="137" t="s">
        <v>362</v>
      </c>
      <c r="D55" s="193">
        <v>46143</v>
      </c>
      <c r="E55" s="134" t="s">
        <v>4</v>
      </c>
      <c r="F55" s="136">
        <v>173</v>
      </c>
      <c r="G55" s="185">
        <v>3500</v>
      </c>
      <c r="H55" s="158">
        <f>IF(AND(ISNUMBER(D55), ISNUMBER(F55)),
    ROUNDDOWN(
        MIN(
            IF(OR(ISBLANK(I55), I55=""),
                EOMONTH(DATE(LOHNTABELLE!$G$3, $A$1, 1), 0), I55)
            - MAX(D55, DATE(LOHNTABELLE!$G$3, $A$1, 1)) + 1)
        / DAY(EOMONTH(DATE(LOHNTABELLE!$G$3, $A$1, 1), 0)) * F55,
        2
    ),
    ""
)</f>
        <v>173</v>
      </c>
      <c r="I55" s="19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v>402004</v>
      </c>
      <c r="C56" s="137" t="s">
        <v>364</v>
      </c>
      <c r="D56" s="193">
        <v>46122</v>
      </c>
      <c r="E56" s="134" t="s">
        <v>4</v>
      </c>
      <c r="F56" s="136">
        <v>173</v>
      </c>
      <c r="G56" s="185">
        <v>3500</v>
      </c>
      <c r="H56" s="158">
        <f>IF(AND(ISNUMBER(D56), ISNUMBER(F56)),
    ROUNDDOWN(
        MIN(
            IF(OR(ISBLANK(I56), I56=""),
                EOMONTH(DATE(LOHNTABELLE!$G$3, $A$1, 1), 0), I56)
            - MAX(D56, DATE(LOHNTABELLE!$G$3, $A$1, 1)) + 1)
        / DAY(EOMONTH(DATE(LOHNTABELLE!$G$3, $A$1, 1), 0)) * F56,
        2
    ),
    ""
)</f>
        <v>173</v>
      </c>
      <c r="I56" s="19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1" t="s">
        <v>143</v>
      </c>
      <c r="B57" s="170">
        <v>402405</v>
      </c>
      <c r="C57" s="137" t="s">
        <v>366</v>
      </c>
      <c r="D57" s="193">
        <v>46054</v>
      </c>
      <c r="E57" s="134" t="s">
        <v>4</v>
      </c>
      <c r="F57" s="136">
        <v>173</v>
      </c>
      <c r="G57" s="185">
        <v>3500</v>
      </c>
      <c r="H57" s="158">
        <f>IF(AND(ISNUMBER(D57), ISNUMBER(F57)),
    ROUNDDOWN(
        MIN(
            IF(OR(ISBLANK(I57), I57=""),
                EOMONTH(DATE(LOHNTABELLE!$G$3, $A$1, 1), 0), I57)
            - MAX(D57, DATE(LOHNTABELLE!$G$3, $A$1, 1)) + 1)
        / DAY(EOMONTH(DATE(LOHNTABELLE!$G$3, $A$1, 1), 0)) * F57,
        2
    ),
    ""
)</f>
        <v>173</v>
      </c>
      <c r="I57" s="19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3500</v>
      </c>
      <c r="M57" s="164"/>
      <c r="N57" s="147"/>
    </row>
    <row r="58" spans="1:14" ht="16" customHeight="1">
      <c r="A58" s="130" t="s">
        <v>144</v>
      </c>
      <c r="B58" s="170">
        <v>500600</v>
      </c>
      <c r="C58" s="137" t="s">
        <v>371</v>
      </c>
      <c r="D58" s="193">
        <v>46054</v>
      </c>
      <c r="E58" s="134" t="s">
        <v>4</v>
      </c>
      <c r="F58" s="136">
        <v>129.75</v>
      </c>
      <c r="G58" s="185">
        <v>1515.75</v>
      </c>
      <c r="H58" s="158">
        <f>IF(AND(ISNUMBER(D58), ISNUMBER(F58)),
    ROUNDDOWN(
        MIN(
            IF(OR(ISBLANK(I58), I58=""),
                EOMONTH(DATE(LOHNTABELLE!$G$3, $A$1, 1), 0), I58)
            - MAX(D58, DATE(LOHNTABELLE!$G$3, $A$1, 1)) + 1)
        / DAY(EOMONTH(DATE(LOHNTABELLE!$G$3, $A$1, 1), 0)) * F58,
        2
    ),
    ""
)</f>
        <v>129.75</v>
      </c>
      <c r="I58" s="19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1515.75</v>
      </c>
      <c r="M58" s="164"/>
      <c r="N58" s="147"/>
    </row>
    <row r="59" spans="1:14" ht="16" customHeight="1">
      <c r="A59" s="130" t="s">
        <v>145</v>
      </c>
      <c r="B59" s="170">
        <v>502000</v>
      </c>
      <c r="C59" s="137" t="s">
        <v>365</v>
      </c>
      <c r="D59" s="193">
        <v>46147</v>
      </c>
      <c r="E59" s="134" t="s">
        <v>4</v>
      </c>
      <c r="F59" s="136">
        <v>173</v>
      </c>
      <c r="G59" s="185">
        <v>3500</v>
      </c>
      <c r="H59" s="158">
        <f>IF(AND(ISNUMBER(D59), ISNUMBER(F59)),
    ROUNDDOWN(
        MIN(
            IF(OR(ISBLANK(I59), I59=""),
                EOMONTH(DATE(LOHNTABELLE!$G$3, $A$1, 1), 0), I59)
            - MAX(D59, DATE(LOHNTABELLE!$G$3, $A$1, 1)) + 1)
        / DAY(EOMONTH(DATE(LOHNTABELLE!$G$3, $A$1, 1), 0)) * F59,
        2
    ),
    ""
)</f>
        <v>173</v>
      </c>
      <c r="I59" s="19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503000</v>
      </c>
      <c r="C60" s="137" t="s">
        <v>368</v>
      </c>
      <c r="D60" s="193">
        <v>42401</v>
      </c>
      <c r="E60" s="134" t="s">
        <v>4</v>
      </c>
      <c r="F60" s="136">
        <v>173</v>
      </c>
      <c r="G60" s="185">
        <v>3500</v>
      </c>
      <c r="H60" s="158">
        <f>IF(AND(ISNUMBER(D60), ISNUMBER(F60)),
    ROUNDDOWN(
        MIN(
            IF(OR(ISBLANK(I60), I60=""),
                EOMONTH(DATE(LOHNTABELLE!$G$3, $A$1, 1), 0), I60)
            - MAX(D60, DATE(LOHNTABELLE!$G$3, $A$1, 1)) + 1)
        / DAY(EOMONTH(DATE(LOHNTABELLE!$G$3, $A$1, 1), 0)) * F60,
        2
    ),
    ""
)</f>
        <v>173</v>
      </c>
      <c r="I60" s="19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3500</v>
      </c>
      <c r="M60" s="164"/>
      <c r="N60" s="147"/>
    </row>
    <row r="61" spans="1:14" ht="16" customHeight="1">
      <c r="A61" s="131" t="s">
        <v>147</v>
      </c>
      <c r="B61" s="170">
        <v>504000</v>
      </c>
      <c r="C61" s="137" t="s">
        <v>369</v>
      </c>
      <c r="D61" s="193">
        <v>46054</v>
      </c>
      <c r="E61" s="134" t="s">
        <v>8</v>
      </c>
      <c r="F61" s="136">
        <v>138.4</v>
      </c>
      <c r="G61" s="185">
        <v>1665.6</v>
      </c>
      <c r="H61" s="158">
        <f>IF(AND(ISNUMBER(D61), ISNUMBER(F61)),
    ROUNDDOWN(
        MIN(
            IF(OR(ISBLANK(I61), I61=""),
                EOMONTH(DATE(LOHNTABELLE!$G$3, $A$1, 1), 0), I61)
            - MAX(D61, DATE(LOHNTABELLE!$G$3, $A$1, 1)) + 1)
        / DAY(EOMONTH(DATE(LOHNTABELLE!$G$3, $A$1, 1), 0)) * F61,
        2
    ),
    ""
)</f>
        <v>138.4</v>
      </c>
      <c r="I61" s="19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1665.6</v>
      </c>
      <c r="M61" s="164"/>
      <c r="N61" s="147"/>
    </row>
    <row r="62" spans="1:14" ht="16" customHeight="1">
      <c r="A62" s="130" t="s">
        <v>148</v>
      </c>
      <c r="B62" s="170">
        <v>505000</v>
      </c>
      <c r="C62" s="137" t="s">
        <v>370</v>
      </c>
      <c r="D62" s="193">
        <v>46054</v>
      </c>
      <c r="E62" s="134" t="s">
        <v>4</v>
      </c>
      <c r="F62" s="136">
        <v>138.4</v>
      </c>
      <c r="G62" s="185">
        <v>1616.8</v>
      </c>
      <c r="H62" s="158">
        <f>IF(AND(ISNUMBER(D62), ISNUMBER(F62)),
    ROUNDDOWN(
        MIN(
            IF(OR(ISBLANK(I62), I62=""),
                EOMONTH(DATE(LOHNTABELLE!$G$3, $A$1, 1), 0), I62)
            - MAX(D62, DATE(LOHNTABELLE!$G$3, $A$1, 1)) + 1)
        / DAY(EOMONTH(DATE(LOHNTABELLE!$G$3, $A$1, 1), 0)) * F62,
        2
    ),
    ""
)</f>
        <v>138.4</v>
      </c>
      <c r="I62" s="19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1616.8</v>
      </c>
      <c r="M62" s="164"/>
      <c r="N62" s="147"/>
    </row>
    <row r="63" spans="1:14" ht="16" customHeight="1">
      <c r="A63" s="130" t="s">
        <v>149</v>
      </c>
      <c r="B63" s="170"/>
      <c r="C63" s="137"/>
      <c r="D63" s="193"/>
      <c r="E63" s="134"/>
      <c r="F63" s="136"/>
      <c r="G63" s="185"/>
      <c r="H63" s="158" t="str">
        <f>IF(AND(ISNUMBER(D63), ISNUMBER(F63)),
    ROUNDDOWN(
        MIN(
            IF(OR(ISBLANK(I63), I63=""),
                EOMONTH(DATE(LOHNTABELLE!$G$3, $A$1, 1), 0), I63)
            - MAX(D63, DATE(LOHNTABELLE!$G$3, $A$1, 1)) + 1)
        / DAY(EOMONTH(DATE(LOHNTABELLE!$G$3, $A$1, 1), 0)) * F63,
        2
    ),
    ""
)</f>
        <v/>
      </c>
      <c r="I63" s="19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193"/>
      <c r="E64" s="134"/>
      <c r="F64" s="136"/>
      <c r="G64" s="185"/>
      <c r="H64" s="158" t="str">
        <f>IF(AND(ISNUMBER(D64), ISNUMBER(F64)),
    ROUNDDOWN(
        MIN(
            IF(OR(ISBLANK(I64), I64=""),
                EOMONTH(DATE(LOHNTABELLE!$G$3, $A$1, 1), 0), I64)
            - MAX(D64, DATE(LOHNTABELLE!$G$3, $A$1, 1)) + 1)
        / DAY(EOMONTH(DATE(LOHNTABELLE!$G$3, $A$1, 1), 0)) * F64,
        2
    ),
    ""
)</f>
        <v/>
      </c>
      <c r="I64" s="19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93"/>
      <c r="E65" s="134"/>
      <c r="F65" s="136"/>
      <c r="G65" s="185"/>
      <c r="H65" s="158" t="str">
        <f>IF(AND(ISNUMBER(D65), ISNUMBER(F65)),
    ROUNDDOWN(
        MIN(
            IF(OR(ISBLANK(I65), I65=""),
                EOMONTH(DATE(LOHNTABELLE!$G$3, $A$1, 1), 0), I65)
            - MAX(D65, DATE(LOHNTABELLE!$G$3, $A$1, 1)) + 1)
        / DAY(EOMONTH(DATE(LOHNTABELLE!$G$3, $A$1, 1), 0)) * F65,
        2
    ),
    ""
)</f>
        <v/>
      </c>
      <c r="I65" s="19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93"/>
      <c r="E66" s="134"/>
      <c r="F66" s="136"/>
      <c r="G66" s="185"/>
      <c r="H66" s="158" t="str">
        <f>IF(AND(ISNUMBER(D66), ISNUMBER(F66)),
    ROUNDDOWN(
        MIN(
            IF(OR(ISBLANK(I66), I66=""),
                EOMONTH(DATE(LOHNTABELLE!$G$3, $A$1, 1), 0), I66)
            - MAX(D66, DATE(LOHNTABELLE!$G$3, $A$1, 1)) + 1)
        / DAY(EOMONTH(DATE(LOHNTABELLE!$G$3, $A$1, 1), 0)) * F66,
        2
    ),
    ""
)</f>
        <v/>
      </c>
      <c r="I66" s="19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93"/>
      <c r="E67" s="134"/>
      <c r="F67" s="136"/>
      <c r="G67" s="185"/>
      <c r="H67" s="158" t="str">
        <f>IF(AND(ISNUMBER(D67), ISNUMBER(F67)),
    ROUNDDOWN(
        MIN(
            IF(OR(ISBLANK(I67), I67=""),
                EOMONTH(DATE(LOHNTABELLE!$G$3, $A$1, 1), 0), I67)
            - MAX(D67, DATE(LOHNTABELLE!$G$3, $A$1, 1)) + 1)
        / DAY(EOMONTH(DATE(LOHNTABELLE!$G$3, $A$1, 1), 0)) * F67,
        2
    ),
    ""
)</f>
        <v/>
      </c>
      <c r="I67" s="19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93"/>
      <c r="E68" s="134"/>
      <c r="F68" s="136"/>
      <c r="G68" s="185"/>
      <c r="H68" s="158" t="str">
        <f>IF(AND(ISNUMBER(D68), ISNUMBER(F68)),
    ROUNDDOWN(
        MIN(
            IF(OR(ISBLANK(I68), I68=""),
                EOMONTH(DATE(LOHNTABELLE!$G$3, $A$1, 1), 0), I68)
            - MAX(D68, DATE(LOHNTABELLE!$G$3, $A$1, 1)) + 1)
        / DAY(EOMONTH(DATE(LOHNTABELLE!$G$3, $A$1, 1), 0)) * F68,
        2
    ),
    ""
)</f>
        <v/>
      </c>
      <c r="I68" s="19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93"/>
      <c r="E69" s="134"/>
      <c r="F69" s="136"/>
      <c r="G69" s="185"/>
      <c r="H69" s="158" t="str">
        <f>IF(AND(ISNUMBER(D69), ISNUMBER(F69)),
    ROUNDDOWN(
        MIN(
            IF(OR(ISBLANK(I69), I69=""),
                EOMONTH(DATE(LOHNTABELLE!$G$3, $A$1, 1), 0), I69)
            - MAX(D69, DATE(LOHNTABELLE!$G$3, $A$1, 1)) + 1)
        / DAY(EOMONTH(DATE(LOHNTABELLE!$G$3, $A$1, 1), 0)) * F69,
        2
    ),
    ""
)</f>
        <v/>
      </c>
      <c r="I69" s="19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93"/>
      <c r="E70" s="134"/>
      <c r="F70" s="136"/>
      <c r="G70" s="185"/>
      <c r="H70" s="158" t="str">
        <f>IF(AND(ISNUMBER(D70), ISNUMBER(F70)),
    ROUNDDOWN(
        MIN(
            IF(OR(ISBLANK(I70), I70=""),
                EOMONTH(DATE(LOHNTABELLE!$G$3, $A$1, 1), 0), I70)
            - MAX(D70, DATE(LOHNTABELLE!$G$3, $A$1, 1)) + 1)
        / DAY(EOMONTH(DATE(LOHNTABELLE!$G$3, $A$1, 1), 0)) * F70,
        2
    ),
    ""
)</f>
        <v/>
      </c>
      <c r="I70" s="19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93"/>
      <c r="E71" s="134"/>
      <c r="F71" s="136"/>
      <c r="G71" s="185"/>
      <c r="H71" s="158" t="str">
        <f>IF(AND(ISNUMBER(D71), ISNUMBER(F71)),
    ROUNDDOWN(
        MIN(
            IF(OR(ISBLANK(I71), I71=""),
                EOMONTH(DATE(LOHNTABELLE!$G$3, $A$1, 1), 0), I71)
            - MAX(D71, DATE(LOHNTABELLE!$G$3, $A$1, 1)) + 1)
        / DAY(EOMONTH(DATE(LOHNTABELLE!$G$3, $A$1, 1), 0)) * F71,
        2
    ),
    ""
)</f>
        <v/>
      </c>
      <c r="I71" s="19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93"/>
      <c r="E72" s="134"/>
      <c r="F72" s="136"/>
      <c r="G72" s="185"/>
      <c r="H72" s="158" t="str">
        <f>IF(AND(ISNUMBER(D72), ISNUMBER(F72)),
    ROUNDDOWN(
        MIN(
            IF(OR(ISBLANK(I72), I72=""),
                EOMONTH(DATE(LOHNTABELLE!$G$3, $A$1, 1), 0), I72)
            - MAX(D72, DATE(LOHNTABELLE!$G$3, $A$1, 1)) + 1)
        / DAY(EOMONTH(DATE(LOHNTABELLE!$G$3, $A$1, 1), 0)) * F72,
        2
    ),
    ""
)</f>
        <v/>
      </c>
      <c r="I72" s="19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93"/>
      <c r="E73" s="134"/>
      <c r="F73" s="136"/>
      <c r="G73" s="185"/>
      <c r="H73" s="158" t="str">
        <f>IF(AND(ISNUMBER(D73), ISNUMBER(F73)),
    ROUNDDOWN(
        MIN(
            IF(OR(ISBLANK(I73), I73=""),
                EOMONTH(DATE(LOHNTABELLE!$G$3, $A$1, 1), 0), I73)
            - MAX(D73, DATE(LOHNTABELLE!$G$3, $A$1, 1)) + 1)
        / DAY(EOMONTH(DATE(LOHNTABELLE!$G$3, $A$1, 1), 0)) * F73,
        2
    ),
    ""
)</f>
        <v/>
      </c>
      <c r="I73" s="19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93"/>
      <c r="E74" s="134"/>
      <c r="F74" s="136"/>
      <c r="G74" s="185"/>
      <c r="H74" s="158" t="str">
        <f>IF(AND(ISNUMBER(D74), ISNUMBER(F74)),
    ROUNDDOWN(
        MIN(
            IF(OR(ISBLANK(I74), I74=""),
                EOMONTH(DATE(LOHNTABELLE!$G$3, $A$1, 1), 0), I74)
            - MAX(D74, DATE(LOHNTABELLE!$G$3, $A$1, 1)) + 1)
        / DAY(EOMONTH(DATE(LOHNTABELLE!$G$3, $A$1, 1), 0)) * F74,
        2
    ),
    ""
)</f>
        <v/>
      </c>
      <c r="I74" s="19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93"/>
      <c r="E75" s="134"/>
      <c r="F75" s="136"/>
      <c r="G75" s="185"/>
      <c r="H75" s="158" t="str">
        <f>IF(AND(ISNUMBER(D75), ISNUMBER(F75)),
    ROUNDDOWN(
        MIN(
            IF(OR(ISBLANK(I75), I75=""),
                EOMONTH(DATE(LOHNTABELLE!$G$3, $A$1, 1), 0), I75)
            - MAX(D75, DATE(LOHNTABELLE!$G$3, $A$1, 1)) + 1)
        / DAY(EOMONTH(DATE(LOHNTABELLE!$G$3, $A$1, 1), 0)) * F75,
        2
    ),
    ""
)</f>
        <v/>
      </c>
      <c r="I75" s="19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93"/>
      <c r="E76" s="134"/>
      <c r="F76" s="136"/>
      <c r="G76" s="185"/>
      <c r="H76" s="158" t="str">
        <f>IF(AND(ISNUMBER(D76), ISNUMBER(F76)),
    ROUNDDOWN(
        MIN(
            IF(OR(ISBLANK(I76), I76=""),
                EOMONTH(DATE(LOHNTABELLE!$G$3, $A$1, 1), 0), I76)
            - MAX(D76, DATE(LOHNTABELLE!$G$3, $A$1, 1)) + 1)
        / DAY(EOMONTH(DATE(LOHNTABELLE!$G$3, $A$1, 1), 0)) * F76,
        2
    ),
    ""
)</f>
        <v/>
      </c>
      <c r="I76" s="19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93"/>
      <c r="E77" s="134"/>
      <c r="F77" s="136"/>
      <c r="G77" s="185"/>
      <c r="H77" s="158" t="str">
        <f>IF(AND(ISNUMBER(D77), ISNUMBER(F77)),
    ROUNDDOWN(
        MIN(
            IF(OR(ISBLANK(I77), I77=""),
                EOMONTH(DATE(LOHNTABELLE!$G$3, $A$1, 1), 0), I77)
            - MAX(D77, DATE(LOHNTABELLE!$G$3, $A$1, 1)) + 1)
        / DAY(EOMONTH(DATE(LOHNTABELLE!$G$3, $A$1, 1), 0)) * F77,
        2
    ),
    ""
)</f>
        <v/>
      </c>
      <c r="I77" s="19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93"/>
      <c r="E78" s="134"/>
      <c r="F78" s="136"/>
      <c r="G78" s="185"/>
      <c r="H78" s="158" t="str">
        <f>IF(AND(ISNUMBER(D78), ISNUMBER(F78)),
    ROUNDDOWN(
        MIN(
            IF(OR(ISBLANK(I78), I78=""),
                EOMONTH(DATE(LOHNTABELLE!$G$3, $A$1, 1), 0), I78)
            - MAX(D78, DATE(LOHNTABELLE!$G$3, $A$1, 1)) + 1)
        / DAY(EOMONTH(DATE(LOHNTABELLE!$G$3, $A$1, 1), 0)) * F78,
        2
    ),
    ""
)</f>
        <v/>
      </c>
      <c r="I78" s="19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93"/>
      <c r="E79" s="134"/>
      <c r="F79" s="136"/>
      <c r="G79" s="185"/>
      <c r="H79" s="158" t="str">
        <f>IF(AND(ISNUMBER(D79), ISNUMBER(F79)),
    ROUNDDOWN(
        MIN(
            IF(OR(ISBLANK(I79), I79=""),
                EOMONTH(DATE(LOHNTABELLE!$G$3, $A$1, 1), 0), I79)
            - MAX(D79, DATE(LOHNTABELLE!$G$3, $A$1, 1)) + 1)
        / DAY(EOMONTH(DATE(LOHNTABELLE!$G$3, $A$1, 1), 0)) * F79,
        2
    ),
    ""
)</f>
        <v/>
      </c>
      <c r="I79" s="19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93"/>
      <c r="E80" s="134"/>
      <c r="F80" s="136"/>
      <c r="G80" s="185"/>
      <c r="H80" s="158" t="str">
        <f>IF(AND(ISNUMBER(D80), ISNUMBER(F80)),
    ROUNDDOWN(
        MIN(
            IF(OR(ISBLANK(I80), I80=""),
                EOMONTH(DATE(LOHNTABELLE!$G$3, $A$1, 1), 0), I80)
            - MAX(D80, DATE(LOHNTABELLE!$G$3, $A$1, 1)) + 1)
        / DAY(EOMONTH(DATE(LOHNTABELLE!$G$3, $A$1, 1), 0)) * F80,
        2
    ),
    ""
)</f>
        <v/>
      </c>
      <c r="I80" s="19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93"/>
      <c r="E81" s="134"/>
      <c r="F81" s="136"/>
      <c r="G81" s="185"/>
      <c r="H81" s="158" t="str">
        <f>IF(AND(ISNUMBER(D81), ISNUMBER(F81)),
    ROUNDDOWN(
        MIN(
            IF(OR(ISBLANK(I81), I81=""),
                EOMONTH(DATE(LOHNTABELLE!$G$3, $A$1, 1), 0), I81)
            - MAX(D81, DATE(LOHNTABELLE!$G$3, $A$1, 1)) + 1)
        / DAY(EOMONTH(DATE(LOHNTABELLE!$G$3, $A$1, 1), 0)) * F81,
        2
    ),
    ""
)</f>
        <v/>
      </c>
      <c r="I81" s="19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94"/>
      <c r="E82" s="150"/>
      <c r="F82" s="151"/>
      <c r="G82" s="186"/>
      <c r="H82" s="159" t="str">
        <f>IF(AND(ISNUMBER(D82), ISNUMBER(F82)),
    ROUNDDOWN(
        MIN(
            IF(OR(ISBLANK(I82), I82=""),
                EOMONTH(DATE(LOHNTABELLE!$G$3, $A$1, 1), 0), I82)
            - MAX(D82, DATE(LOHNTABELLE!$G$3, $A$1, 1)) + 1)
        / DAY(EOMONTH(DATE(LOHNTABELLE!$G$3, $A$1, 1), 0)) * F82,
        2
    ),
    ""
)</f>
        <v/>
      </c>
      <c r="I82" s="19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MMsBUCNUiCYk3L4JQ08TtMmwcwa33fs1mUIgoKCGwuqu5M2lZzaWFPNi/upuweZU+eLjDxk89NWr3TjP7KMmIg==" saltValue="Z3JqZaDbZcKIMEU/uzfUAQ==" spinCount="100000" sheet="1" objects="1" scenarios="1" sort="0" autoFilter="0"/>
  <sortState xmlns:xlrd2="http://schemas.microsoft.com/office/spreadsheetml/2017/richdata2" ref="B3:N82">
    <sortCondition ref="B3:B82"/>
    <sortCondition ref="C3:C82"/>
  </sortState>
  <mergeCells count="98">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O11:P11"/>
    <mergeCell ref="Q11:R11"/>
    <mergeCell ref="O12:P12"/>
    <mergeCell ref="Q12:R12"/>
    <mergeCell ref="O13:P13"/>
    <mergeCell ref="Q13:R13"/>
    <mergeCell ref="O14:P14"/>
    <mergeCell ref="Q14:R14"/>
    <mergeCell ref="O17:P17"/>
    <mergeCell ref="Q17:R17"/>
    <mergeCell ref="O18:P18"/>
    <mergeCell ref="Q18:R18"/>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phoneticPr fontId="15" type="noConversion"/>
  <dataValidations count="62">
    <dataValidation type="date" showInputMessage="1" showErrorMessage="1" sqref="I3:I82" xr:uid="{72D9EC76-E79B-4993-8A9E-5F3381E9DDD1}">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921463F6-1826-894A-9CAE-6DC803614B2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60B97FA9-25ED-AB4F-8532-1BC896D2D375}">
      <formula1>KV_DD_JULI_3</formula1>
    </dataValidation>
    <dataValidation type="list" allowBlank="1" showInputMessage="1" showErrorMessage="1" sqref="F4" xr:uid="{7CBB945F-469C-8846-B312-5A0577523318}">
      <formula1>KV_DD_JULI_4</formula1>
    </dataValidation>
    <dataValidation type="list" allowBlank="1" showInputMessage="1" showErrorMessage="1" sqref="F5" xr:uid="{4E531316-1DD7-B041-9D3A-97BDE454F5B8}">
      <formula1>KV_DD_JULI_5</formula1>
    </dataValidation>
    <dataValidation type="list" allowBlank="1" showInputMessage="1" showErrorMessage="1" sqref="F6" xr:uid="{EB080457-9424-3B45-926E-495692DDA6EF}">
      <formula1>KV_DD_JULI_6</formula1>
    </dataValidation>
    <dataValidation type="list" allowBlank="1" showInputMessage="1" showErrorMessage="1" sqref="F7" xr:uid="{99082574-ED3E-2D41-B667-FE7B0C57A137}">
      <formula1>KV_DD_JULI_7</formula1>
    </dataValidation>
    <dataValidation type="list" allowBlank="1" showInputMessage="1" showErrorMessage="1" sqref="F8" xr:uid="{25675D80-027B-D24F-96AA-9C14D89B4E94}">
      <formula1>KV_DD_JULI_8</formula1>
    </dataValidation>
    <dataValidation type="list" allowBlank="1" showInputMessage="1" showErrorMessage="1" sqref="F9" xr:uid="{B5E35980-1C90-894C-A6ED-F79C14735CD4}">
      <formula1>KV_DD_JULI_9</formula1>
    </dataValidation>
    <dataValidation type="list" allowBlank="1" showInputMessage="1" showErrorMessage="1" sqref="F10" xr:uid="{17506920-8C4B-7F4C-A329-C4C881B7AF00}">
      <formula1>KV_DD_JULI_10</formula1>
    </dataValidation>
    <dataValidation type="list" allowBlank="1" showInputMessage="1" showErrorMessage="1" sqref="F11" xr:uid="{5105BB98-2901-824D-99D6-2A1BDB81F9D3}">
      <formula1>KV_DD_JULI_11</formula1>
    </dataValidation>
    <dataValidation type="list" allowBlank="1" showInputMessage="1" showErrorMessage="1" sqref="F12" xr:uid="{B01706D7-D56B-B941-A3F5-5379B218871D}">
      <formula1>KV_DD_JULI_12</formula1>
    </dataValidation>
    <dataValidation type="list" allowBlank="1" showInputMessage="1" showErrorMessage="1" sqref="F13" xr:uid="{FCB4EF45-E344-BE41-B050-3C52BA016E1C}">
      <formula1>KV_DD_JULI_13</formula1>
    </dataValidation>
    <dataValidation type="list" allowBlank="1" showInputMessage="1" showErrorMessage="1" sqref="F14" xr:uid="{902E33DD-FF14-CA4C-BB0E-53549D66D2A3}">
      <formula1>KV_DD_JULI_14</formula1>
    </dataValidation>
    <dataValidation type="list" allowBlank="1" showInputMessage="1" showErrorMessage="1" sqref="F15" xr:uid="{73719BA5-9391-0A4F-8B3A-0E9980DF80AE}">
      <formula1>KV_DD_JULI_15</formula1>
    </dataValidation>
    <dataValidation type="list" allowBlank="1" showInputMessage="1" showErrorMessage="1" sqref="F16" xr:uid="{F886C09C-2B60-4F4B-B39B-2652D8B9105C}">
      <formula1>KV_DD_JULI_16</formula1>
    </dataValidation>
    <dataValidation type="list" allowBlank="1" showInputMessage="1" showErrorMessage="1" sqref="F17" xr:uid="{90FA5D8C-7414-134F-BBB4-6A084397B7F5}">
      <formula1>KV_DD_JULI_17</formula1>
    </dataValidation>
    <dataValidation type="list" allowBlank="1" showInputMessage="1" showErrorMessage="1" sqref="F18" xr:uid="{A2F0A2B1-2832-9148-BD7B-8D2D8524E7F3}">
      <formula1>KV_DD_JULI_18</formula1>
    </dataValidation>
    <dataValidation type="list" allowBlank="1" showInputMessage="1" showErrorMessage="1" sqref="F19" xr:uid="{B5BDB2BB-A047-D44A-8832-C19C752D999F}">
      <formula1>KV_DD_JULI_19</formula1>
    </dataValidation>
    <dataValidation type="list" allowBlank="1" showInputMessage="1" showErrorMessage="1" sqref="F20" xr:uid="{F4F43748-4646-8E47-862F-8D3382272D1F}">
      <formula1>KV_DD_JULI_20</formula1>
    </dataValidation>
    <dataValidation type="list" allowBlank="1" showInputMessage="1" showErrorMessage="1" sqref="F21" xr:uid="{2F1BBF81-A412-6747-B5D2-AF6C129CE7F2}">
      <formula1>KV_DD_JULI_21</formula1>
    </dataValidation>
    <dataValidation type="list" allowBlank="1" showInputMessage="1" showErrorMessage="1" sqref="F22" xr:uid="{F68669D4-20A7-D341-B2C5-BEF67552AFD1}">
      <formula1>KV_DD_JULI_22</formula1>
    </dataValidation>
    <dataValidation type="list" allowBlank="1" showInputMessage="1" showErrorMessage="1" sqref="F23" xr:uid="{91B7EBA9-5F58-EA49-8391-718D350502EB}">
      <formula1>KV_DD_JULI_23</formula1>
    </dataValidation>
    <dataValidation type="list" allowBlank="1" showInputMessage="1" showErrorMessage="1" sqref="F24" xr:uid="{71CAB67F-E501-F742-A1FA-C93EBB904240}">
      <formula1>KV_DD_JULI_24</formula1>
    </dataValidation>
    <dataValidation type="list" allowBlank="1" showInputMessage="1" showErrorMessage="1" sqref="F25" xr:uid="{698FDF89-3162-E04F-9C73-D05D41E3E8C6}">
      <formula1>KV_DD_JULI_25</formula1>
    </dataValidation>
    <dataValidation type="list" allowBlank="1" showInputMessage="1" showErrorMessage="1" sqref="F26" xr:uid="{5A2FBFAD-795A-4A4C-8FA5-88E3F4087191}">
      <formula1>KV_DD_JULI_26</formula1>
    </dataValidation>
    <dataValidation type="list" allowBlank="1" showInputMessage="1" showErrorMessage="1" sqref="F27" xr:uid="{46CD7713-BAED-B740-98CC-5A6B684751BD}">
      <formula1>KV_DD_JULI_27</formula1>
    </dataValidation>
    <dataValidation type="list" allowBlank="1" showInputMessage="1" showErrorMessage="1" sqref="F28" xr:uid="{B8DFA488-9A01-EA4B-BA3B-DF4F1D64D0CB}">
      <formula1>KV_DD_JULI_28</formula1>
    </dataValidation>
    <dataValidation type="list" allowBlank="1" showInputMessage="1" showErrorMessage="1" sqref="F29" xr:uid="{AA5A3A04-9A88-3F48-9136-4F8CE8DE65D5}">
      <formula1>KV_DD_JULI_29</formula1>
    </dataValidation>
    <dataValidation type="list" allowBlank="1" showInputMessage="1" showErrorMessage="1" sqref="F30" xr:uid="{6B875379-EFE2-AC42-BEF9-5B3704A41835}">
      <formula1>KV_DD_JULI_30</formula1>
    </dataValidation>
    <dataValidation type="list" allowBlank="1" showInputMessage="1" showErrorMessage="1" sqref="F31" xr:uid="{CA9AF1A1-87F0-7F4D-ACB1-46352C0B4293}">
      <formula1>KV_DD_JULI_31</formula1>
    </dataValidation>
    <dataValidation type="list" allowBlank="1" showInputMessage="1" showErrorMessage="1" sqref="F32" xr:uid="{540ADBB2-DCD3-D946-811C-F01D586ECC06}">
      <formula1>KV_DD_JULI_32</formula1>
    </dataValidation>
    <dataValidation type="list" allowBlank="1" showInputMessage="1" showErrorMessage="1" sqref="F33" xr:uid="{4F136261-299B-254B-AB5F-C154617BCD8A}">
      <formula1>KV_DD_JULI_33</formula1>
    </dataValidation>
    <dataValidation type="list" allowBlank="1" showInputMessage="1" showErrorMessage="1" sqref="F34" xr:uid="{93CAD335-03E4-D94B-B175-1765B151CD7D}">
      <formula1>KV_DD_JULI_34</formula1>
    </dataValidation>
    <dataValidation type="list" allowBlank="1" showInputMessage="1" showErrorMessage="1" sqref="F35" xr:uid="{68A26C70-434C-1C47-9B50-72E138873396}">
      <formula1>KV_DD_JULI_35</formula1>
    </dataValidation>
    <dataValidation type="list" allowBlank="1" showInputMessage="1" showErrorMessage="1" sqref="F36" xr:uid="{2A919D54-AAA6-6344-A96A-6AC1BDBB1DB6}">
      <formula1>KV_DD_JULI_36</formula1>
    </dataValidation>
    <dataValidation type="list" allowBlank="1" showInputMessage="1" showErrorMessage="1" sqref="F37" xr:uid="{3FD06028-B9AB-CF48-BCF4-A629119A741C}">
      <formula1>KV_DD_JULI_37</formula1>
    </dataValidation>
    <dataValidation type="list" allowBlank="1" showInputMessage="1" showErrorMessage="1" sqref="F38" xr:uid="{D092A3F8-316B-D146-B483-0C90D6C4D9EA}">
      <formula1>KV_DD_JULI_38</formula1>
    </dataValidation>
    <dataValidation type="list" allowBlank="1" showInputMessage="1" showErrorMessage="1" sqref="F39" xr:uid="{4F2DE2EA-C3A1-B242-9474-A02A4E6ECD0D}">
      <formula1>KV_DD_JULI_39</formula1>
    </dataValidation>
    <dataValidation type="list" allowBlank="1" showInputMessage="1" showErrorMessage="1" sqref="F40" xr:uid="{45E1BE62-E397-AE44-AC22-A1963C7A2D05}">
      <formula1>KV_DD_JULI_40</formula1>
    </dataValidation>
    <dataValidation type="list" allowBlank="1" showInputMessage="1" showErrorMessage="1" sqref="F41" xr:uid="{3BDAD3E9-042E-4447-9333-83DBD4911E11}">
      <formula1>KV_DD_JULI_41</formula1>
    </dataValidation>
    <dataValidation type="list" allowBlank="1" showInputMessage="1" showErrorMessage="1" sqref="F42" xr:uid="{785C315C-E99E-2F4A-A0CA-577E81DCDCE7}">
      <formula1>KV_DD_JULI_42</formula1>
    </dataValidation>
    <dataValidation type="list" allowBlank="1" showInputMessage="1" showErrorMessage="1" sqref="F43" xr:uid="{3E474902-41A4-9D4A-85AF-150F418BF256}">
      <formula1>KV_DD_JULI_43</formula1>
    </dataValidation>
    <dataValidation type="list" allowBlank="1" showInputMessage="1" showErrorMessage="1" sqref="F44" xr:uid="{A59FA30B-31D3-6141-B456-7AFD5EBE9A27}">
      <formula1>KV_DD_JULI_44</formula1>
    </dataValidation>
    <dataValidation type="list" allowBlank="1" showInputMessage="1" showErrorMessage="1" sqref="F45" xr:uid="{336BF4C6-18A0-684A-82B1-FA02C9CC43DE}">
      <formula1>KV_DD_JULI_45</formula1>
    </dataValidation>
    <dataValidation type="list" allowBlank="1" showInputMessage="1" showErrorMessage="1" sqref="F46" xr:uid="{406F91ED-AD83-B542-99DB-4E84D47A4C6B}">
      <formula1>KV_DD_JULI_46</formula1>
    </dataValidation>
    <dataValidation type="list" allowBlank="1" showInputMessage="1" showErrorMessage="1" sqref="F47" xr:uid="{9AA0024F-72D6-4D4A-AFC4-F8348A8579BB}">
      <formula1>KV_DD_JULI_47</formula1>
    </dataValidation>
    <dataValidation type="list" allowBlank="1" showInputMessage="1" showErrorMessage="1" sqref="F48" xr:uid="{6EBE5451-D8A4-CB4C-8A00-EBBEF22EB481}">
      <formula1>KV_DD_JULI_48</formula1>
    </dataValidation>
    <dataValidation type="list" allowBlank="1" showInputMessage="1" showErrorMessage="1" sqref="F49" xr:uid="{2BA1A6EE-B12A-0445-8281-F1975EF32088}">
      <formula1>KV_DD_JULI_49</formula1>
    </dataValidation>
    <dataValidation type="list" allowBlank="1" showInputMessage="1" showErrorMessage="1" sqref="F50" xr:uid="{23EC836F-AF27-8143-A301-4CFE8BFF6C7F}">
      <formula1>KV_DD_JULI_50</formula1>
    </dataValidation>
    <dataValidation type="list" allowBlank="1" showInputMessage="1" showErrorMessage="1" sqref="F51" xr:uid="{AB870C16-2B8B-FC45-86D3-E2A0E52BE3AA}">
      <formula1>KV_DD_JULI_51</formula1>
    </dataValidation>
    <dataValidation type="list" allowBlank="1" showInputMessage="1" showErrorMessage="1" sqref="F52" xr:uid="{16A7B932-A71E-B549-87D1-15ACD96AE35A}">
      <formula1>KV_DD_JULI_52</formula1>
    </dataValidation>
    <dataValidation type="list" allowBlank="1" showInputMessage="1" showErrorMessage="1" sqref="F53" xr:uid="{8413E4EB-FF74-4244-801B-9E4966CD2791}">
      <formula1>KV_DD_JULI_53</formula1>
    </dataValidation>
    <dataValidation type="list" allowBlank="1" showInputMessage="1" showErrorMessage="1" sqref="F54" xr:uid="{B2A1816B-9261-4C7A-85C9-8DCAB41D27FD}">
      <formula1>KV_DD_JULI_54</formula1>
    </dataValidation>
    <dataValidation type="list" allowBlank="1" showInputMessage="1" showErrorMessage="1" sqref="F55" xr:uid="{E27EF2F2-6A12-43EE-ADED-01088D314374}">
      <formula1>KV_DD_JULI_55</formula1>
    </dataValidation>
    <dataValidation type="list" allowBlank="1" showInputMessage="1" showErrorMessage="1" sqref="F56" xr:uid="{FFFDF2ED-A619-CF40-B6F5-33A5FBB865E3}">
      <formula1>KV_DD_JULI_56</formula1>
    </dataValidation>
    <dataValidation type="list" allowBlank="1" showInputMessage="1" showErrorMessage="1" sqref="F57" xr:uid="{79AC08FF-7A3A-7246-B1A1-B29BCE7B5F1F}">
      <formula1>KV_DD_JULI_57</formula1>
    </dataValidation>
    <dataValidation type="list" allowBlank="1" showInputMessage="1" showErrorMessage="1" sqref="F58" xr:uid="{9FF4BD59-6361-3549-B370-736FDAB64D5E}">
      <formula1>KV_DD_JULI_58</formula1>
    </dataValidation>
    <dataValidation type="list" allowBlank="1" showInputMessage="1" showErrorMessage="1" sqref="F59" xr:uid="{FAA2B47C-9330-D949-BF9F-1150462EAD00}">
      <formula1>KV_DD_JULI_59</formula1>
    </dataValidation>
    <dataValidation type="list" allowBlank="1" showInputMessage="1" showErrorMessage="1" sqref="F60" xr:uid="{0F48DB98-7A00-724D-939F-9B1E0706459B}">
      <formula1>KV_DD_JULI_60</formula1>
    </dataValidation>
    <dataValidation type="list" allowBlank="1" showInputMessage="1" showErrorMessage="1" sqref="F61" xr:uid="{D21CE61E-AD22-BA4E-B2B4-151A31352BCF}">
      <formula1>KV_DD_JULI_61</formula1>
    </dataValidation>
    <dataValidation type="list" allowBlank="1" showInputMessage="1" showErrorMessage="1" sqref="F62" xr:uid="{169B233C-20C7-BE46-824C-27B8A7BE1D23}">
      <formula1>KV_DD_JULI_62</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7410" r:id="rId4" name="Button 2">
              <controlPr defaultSize="0" print="0" autoFill="0" autoPict="0" macro="[0]!CopyData">
                <anchor moveWithCells="1" sizeWithCells="1">
                  <from>
                    <xdr:col>14</xdr:col>
                    <xdr:colOff>38100</xdr:colOff>
                    <xdr:row>0</xdr:row>
                    <xdr:rowOff>38100</xdr:rowOff>
                  </from>
                  <to>
                    <xdr:col>18</xdr:col>
                    <xdr:colOff>609600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797CE52-EA86-4D35-8CF3-DC9E1A8BAD82}">
          <x14:formula1>
            <xm:f>LOHNTABELLE!$Q$4:$Q$17</xm:f>
          </x14:formula1>
          <xm:sqref>E3:E82</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744A6-82D4-4CE3-9E32-A09C123FE41D}">
  <sheetPr codeName="Tabelle10"/>
  <dimension ref="A1:AC83"/>
  <sheetViews>
    <sheetView showGridLines="0" showRowColHeaders="0" zoomScaleNormal="100" workbookViewId="0">
      <pane ySplit="2" topLeftCell="A3" activePane="bottomLeft" state="frozen"/>
      <selection activeCell="T24" sqref="T24"/>
      <selection pane="bottomLeft" activeCell="N32" sqref="N3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8</v>
      </c>
      <c r="B1" s="302" t="s">
        <v>205</v>
      </c>
      <c r="C1" s="310" t="s">
        <v>52</v>
      </c>
      <c r="D1" s="308" t="s">
        <v>206</v>
      </c>
      <c r="E1" s="308" t="s">
        <v>0</v>
      </c>
      <c r="F1" s="308" t="s">
        <v>53</v>
      </c>
      <c r="G1" s="312" t="s">
        <v>54</v>
      </c>
      <c r="H1" s="314" t="s">
        <v>55</v>
      </c>
      <c r="I1" s="316" t="s">
        <v>207</v>
      </c>
      <c r="J1" s="318" t="s">
        <v>56</v>
      </c>
      <c r="K1" s="320" t="s">
        <v>57</v>
      </c>
      <c r="L1" s="322" t="s">
        <v>58</v>
      </c>
      <c r="M1" s="306" t="s">
        <v>59</v>
      </c>
      <c r="N1" s="303" t="s">
        <v>208</v>
      </c>
      <c r="AB1" s="41">
        <f>DATE(LOHNTABELLE!$G$3, $A$1, 1)</f>
        <v>46235</v>
      </c>
    </row>
    <row r="2" spans="1:28" ht="16" customHeight="1" thickBot="1">
      <c r="A2" s="129"/>
      <c r="B2" s="302"/>
      <c r="C2" s="311"/>
      <c r="D2" s="309"/>
      <c r="E2" s="309"/>
      <c r="F2" s="309"/>
      <c r="G2" s="313"/>
      <c r="H2" s="315"/>
      <c r="I2" s="317"/>
      <c r="J2" s="319"/>
      <c r="K2" s="321"/>
      <c r="L2" s="323"/>
      <c r="M2" s="307"/>
      <c r="N2" s="303"/>
      <c r="AB2" s="41">
        <f>EOMONTH(DATE(LOHNTABELLE!$G$3, $A$1, 1), 0)</f>
        <v>46265</v>
      </c>
    </row>
    <row r="3" spans="1:28" ht="16" customHeight="1">
      <c r="A3" s="130" t="s">
        <v>60</v>
      </c>
      <c r="B3" s="169">
        <v>55</v>
      </c>
      <c r="C3" s="166" t="s">
        <v>367</v>
      </c>
      <c r="D3" s="192">
        <v>46054</v>
      </c>
      <c r="E3" s="142" t="s">
        <v>4</v>
      </c>
      <c r="F3" s="167">
        <v>173</v>
      </c>
      <c r="G3" s="184">
        <v>3500</v>
      </c>
      <c r="H3" s="157">
        <f>IF(AND(ISNUMBER(D3), ISNUMBER(F3)),
    ROUNDDOWN(
        MIN(
            IF(OR(ISBLANK(I3), I3=""),
                EOMONTH(DATE(LOHNTABELLE!$G$3, $A$1, 1), 0), I3)
            - MAX(D3, DATE(LOHNTABELLE!$G$3, $A$1, 1)) + 1)
        / DAY(EOMONTH(DATE(LOHNTABELLE!$G$3, $A$1, 1), 0)) * F3,
        2
    ),
    ""
)</f>
        <v>173</v>
      </c>
      <c r="I3" s="19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42" t="s">
        <v>61</v>
      </c>
      <c r="P3" s="242" t="s">
        <v>62</v>
      </c>
      <c r="Q3" s="240" t="s">
        <v>63</v>
      </c>
      <c r="R3" s="280" t="s">
        <v>64</v>
      </c>
      <c r="AB3" s="43"/>
    </row>
    <row r="4" spans="1:28" ht="16" customHeight="1">
      <c r="A4" s="130" t="s">
        <v>65</v>
      </c>
      <c r="B4" s="170">
        <v>401006</v>
      </c>
      <c r="C4" s="137" t="s">
        <v>262</v>
      </c>
      <c r="D4" s="193">
        <v>38188</v>
      </c>
      <c r="E4" s="134" t="s">
        <v>24</v>
      </c>
      <c r="F4" s="136">
        <v>173</v>
      </c>
      <c r="G4" s="185">
        <v>2328</v>
      </c>
      <c r="H4" s="158">
        <f>IF(AND(ISNUMBER(D4), ISNUMBER(F4)),
    ROUNDDOWN(
        MIN(
            IF(OR(ISBLANK(I4), I4=""),
                EOMONTH(DATE(LOHNTABELLE!$G$3, $A$1, 1), 0), I4)
            - MAX(D4, DATE(LOHNTABELLE!$G$3, $A$1, 1)) + 1)
        / DAY(EOMONTH(DATE(LOHNTABELLE!$G$3, $A$1, 1), 0)) * F4,
        2
    ),
    ""
)</f>
        <v>173</v>
      </c>
      <c r="I4" s="19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43"/>
      <c r="P4" s="243"/>
      <c r="Q4" s="241"/>
      <c r="R4" s="281"/>
    </row>
    <row r="5" spans="1:28" ht="16" customHeight="1">
      <c r="A5" s="131" t="s">
        <v>66</v>
      </c>
      <c r="B5" s="170">
        <v>401010</v>
      </c>
      <c r="C5" s="137" t="s">
        <v>263</v>
      </c>
      <c r="D5" s="193">
        <v>39388</v>
      </c>
      <c r="E5" s="134" t="s">
        <v>12</v>
      </c>
      <c r="F5" s="136">
        <v>173</v>
      </c>
      <c r="G5" s="185">
        <v>2183</v>
      </c>
      <c r="H5" s="158">
        <f>IF(AND(ISNUMBER(D5), ISNUMBER(F5)),
    ROUNDDOWN(
        MIN(
            IF(OR(ISBLANK(I5), I5=""),
                EOMONTH(DATE(LOHNTABELLE!$G$3, $A$1, 1), 0), I5)
            - MAX(D5, DATE(LOHNTABELLE!$G$3, $A$1, 1)) + 1)
        / DAY(EOMONTH(DATE(LOHNTABELLE!$G$3, $A$1, 1), 0)) * F5,
        2
    ),
    ""
)</f>
        <v>173</v>
      </c>
      <c r="I5" s="19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865.62444905920199</v>
      </c>
      <c r="P5" s="49">
        <f>EINSTELLUNG!I13</f>
        <v>8</v>
      </c>
      <c r="Q5" s="48">
        <f>P5-O5</f>
        <v>-857.62444905920199</v>
      </c>
      <c r="R5" s="52">
        <f>IFERROR(Q5*Q42, 0)</f>
        <v>-13816.417085114812</v>
      </c>
    </row>
    <row r="6" spans="1:28" ht="16" customHeight="1">
      <c r="A6" s="130" t="s">
        <v>67</v>
      </c>
      <c r="B6" s="170">
        <v>401047</v>
      </c>
      <c r="C6" s="137" t="s">
        <v>265</v>
      </c>
      <c r="D6" s="193">
        <v>41154</v>
      </c>
      <c r="E6" s="134" t="s">
        <v>10</v>
      </c>
      <c r="F6" s="136">
        <v>173</v>
      </c>
      <c r="G6" s="185">
        <v>2123</v>
      </c>
      <c r="H6" s="158">
        <f>IF(AND(ISNUMBER(D6), ISNUMBER(F6)),
    ROUNDDOWN(
        MIN(
            IF(OR(ISBLANK(I6), I6=""),
                EOMONTH(DATE(LOHNTABELLE!$G$3, $A$1, 1), 0), I6)
            - MAX(D6, DATE(LOHNTABELLE!$G$3, $A$1, 1)) + 1)
        / DAY(EOMONTH(DATE(LOHNTABELLE!$G$3, $A$1, 1), 0)) * F6,
        2
    ),
    ""
)</f>
        <v>173</v>
      </c>
      <c r="I6" s="19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37" t="str">
        <f>IF(Q5&lt;0, "Schlecht! Zu wenig Urlaub abgebaut.", IF(Q5&gt;0, "Gut! Mehr Urlaub abgebaut als aufgebaut.", ""))</f>
        <v>Schlecht! Zu wenig Urlaub abgebaut.</v>
      </c>
      <c r="P6" s="238"/>
      <c r="Q6" s="238"/>
      <c r="R6" s="239"/>
    </row>
    <row r="7" spans="1:28" ht="16" customHeight="1">
      <c r="A7" s="130" t="s">
        <v>68</v>
      </c>
      <c r="B7" s="170">
        <v>401049</v>
      </c>
      <c r="C7" s="137" t="s">
        <v>264</v>
      </c>
      <c r="D7" s="193">
        <v>41130</v>
      </c>
      <c r="E7" s="134" t="s">
        <v>10</v>
      </c>
      <c r="F7" s="136">
        <v>173</v>
      </c>
      <c r="G7" s="185">
        <v>2123</v>
      </c>
      <c r="H7" s="158">
        <f>IF(AND(ISNUMBER(D7), ISNUMBER(F7)),
    ROUNDDOWN(
        MIN(
            IF(OR(ISBLANK(I7), I7=""),
                EOMONTH(DATE(LOHNTABELLE!$G$3, $A$1, 1), 0), I7)
            - MAX(D7, DATE(LOHNTABELLE!$G$3, $A$1, 1)) + 1)
        / DAY(EOMONTH(DATE(LOHNTABELLE!$G$3, $A$1, 1), 0)) * F7,
        2
    ),
    ""
)</f>
        <v>173</v>
      </c>
      <c r="I7" s="19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193">
        <v>41176</v>
      </c>
      <c r="E8" s="134" t="s">
        <v>10</v>
      </c>
      <c r="F8" s="136">
        <v>173</v>
      </c>
      <c r="G8" s="185">
        <v>2123</v>
      </c>
      <c r="H8" s="158">
        <f>IF(AND(ISNUMBER(D8), ISNUMBER(F8)),
    ROUNDDOWN(
        MIN(
            IF(OR(ISBLANK(I8), I8=""),
                EOMONTH(DATE(LOHNTABELLE!$G$3, $A$1, 1), 0), I8)
            - MAX(D8, DATE(LOHNTABELLE!$G$3, $A$1, 1)) + 1)
        / DAY(EOMONTH(DATE(LOHNTABELLE!$G$3, $A$1, 1), 0)) * F8,
        2
    ),
    ""
)</f>
        <v>173</v>
      </c>
      <c r="I8" s="19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45" t="s">
        <v>70</v>
      </c>
      <c r="P8" s="246"/>
      <c r="Q8" s="247">
        <f>SUM(H3:H82)</f>
        <v>8925.4</v>
      </c>
      <c r="R8" s="247"/>
    </row>
    <row r="9" spans="1:28" ht="16" customHeight="1">
      <c r="A9" s="131" t="s">
        <v>71</v>
      </c>
      <c r="B9" s="170">
        <v>401089</v>
      </c>
      <c r="C9" s="137" t="s">
        <v>280</v>
      </c>
      <c r="D9" s="193">
        <v>44868</v>
      </c>
      <c r="E9" s="134" t="s">
        <v>8</v>
      </c>
      <c r="F9" s="136">
        <v>173</v>
      </c>
      <c r="G9" s="185">
        <v>2082</v>
      </c>
      <c r="H9" s="158">
        <f>IF(AND(ISNUMBER(D9), ISNUMBER(F9)),
    ROUNDDOWN(
        MIN(
            IF(OR(ISBLANK(I9), I9=""),
                EOMONTH(DATE(LOHNTABELLE!$G$3, $A$1, 1), 0), I9)
            - MAX(D9, DATE(LOHNTABELLE!$G$3, $A$1, 1)) + 1)
        / DAY(EOMONTH(DATE(LOHNTABELLE!$G$3, $A$1, 1), 0)) * F9,
        2
    ),
    ""
)</f>
        <v>173</v>
      </c>
      <c r="I9" s="19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45" t="s">
        <v>72</v>
      </c>
      <c r="P9" s="246"/>
      <c r="Q9" s="247">
        <f>EINSTELLUNG!L29</f>
        <v>8</v>
      </c>
      <c r="R9" s="247"/>
      <c r="S9" s="53">
        <f>IFERROR(Q9/Q8, 0)</f>
        <v>8.9631837228583595E-4</v>
      </c>
    </row>
    <row r="10" spans="1:28" ht="16" customHeight="1">
      <c r="A10" s="130" t="s">
        <v>73</v>
      </c>
      <c r="B10" s="170">
        <v>401138</v>
      </c>
      <c r="C10" s="137" t="s">
        <v>267</v>
      </c>
      <c r="D10" s="193">
        <v>42006</v>
      </c>
      <c r="E10" s="134" t="s">
        <v>10</v>
      </c>
      <c r="F10" s="136">
        <v>173</v>
      </c>
      <c r="G10" s="185">
        <v>2123</v>
      </c>
      <c r="H10" s="158">
        <f>IF(AND(ISNUMBER(D10), ISNUMBER(F10)),
    ROUNDDOWN(
        MIN(
            IF(OR(ISBLANK(I10), I10=""),
                EOMONTH(DATE(LOHNTABELLE!$G$3, $A$1, 1), 0), I10)
            - MAX(D10, DATE(LOHNTABELLE!$G$3, $A$1, 1)) + 1)
        / DAY(EOMONTH(DATE(LOHNTABELLE!$G$3, $A$1, 1), 0)) * F10,
        2
    ),
    ""
)</f>
        <v>173</v>
      </c>
      <c r="I10" s="19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45" t="s">
        <v>74</v>
      </c>
      <c r="P10" s="246"/>
      <c r="Q10" s="247">
        <f>EINSTELLUNG!I29</f>
        <v>8</v>
      </c>
      <c r="R10" s="247"/>
    </row>
    <row r="11" spans="1:28" ht="16" customHeight="1">
      <c r="A11" s="130" t="s">
        <v>75</v>
      </c>
      <c r="B11" s="170">
        <v>401197</v>
      </c>
      <c r="C11" s="137" t="s">
        <v>268</v>
      </c>
      <c r="D11" s="193">
        <v>42644</v>
      </c>
      <c r="E11" s="134" t="s">
        <v>8</v>
      </c>
      <c r="F11" s="136">
        <v>173</v>
      </c>
      <c r="G11" s="185">
        <v>2082</v>
      </c>
      <c r="H11" s="158">
        <f>IF(AND(ISNUMBER(D11), ISNUMBER(F11)),
    ROUNDDOWN(
        MIN(
            IF(OR(ISBLANK(I11), I11=""),
                EOMONTH(DATE(LOHNTABELLE!$G$3, $A$1, 1), 0), I11)
            - MAX(D11, DATE(LOHNTABELLE!$G$3, $A$1, 1)) + 1)
        / DAY(EOMONTH(DATE(LOHNTABELLE!$G$3, $A$1, 1), 0)) * F11,
        2
    ),
    ""
)</f>
        <v>173</v>
      </c>
      <c r="I11" s="19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45" t="s">
        <v>76</v>
      </c>
      <c r="P11" s="246"/>
      <c r="Q11" s="247">
        <f>P5</f>
        <v>8</v>
      </c>
      <c r="R11" s="247"/>
    </row>
    <row r="12" spans="1:28" ht="16" customHeight="1">
      <c r="A12" s="130" t="s">
        <v>77</v>
      </c>
      <c r="B12" s="170">
        <v>401214</v>
      </c>
      <c r="C12" s="137" t="s">
        <v>294</v>
      </c>
      <c r="D12" s="193">
        <v>45636</v>
      </c>
      <c r="E12" s="134" t="s">
        <v>8</v>
      </c>
      <c r="F12" s="136">
        <v>173</v>
      </c>
      <c r="G12" s="185">
        <v>2082</v>
      </c>
      <c r="H12" s="158">
        <f>IF(AND(ISNUMBER(D12), ISNUMBER(F12)),
    ROUNDDOWN(
        MIN(
            IF(OR(ISBLANK(I12), I12=""),
                EOMONTH(DATE(LOHNTABELLE!$G$3, $A$1, 1), 0), I12)
            - MAX(D12, DATE(LOHNTABELLE!$G$3, $A$1, 1)) + 1)
        / DAY(EOMONTH(DATE(LOHNTABELLE!$G$3, $A$1, 1), 0)) * F12,
        2
    ),
    ""
)</f>
        <v>173</v>
      </c>
      <c r="I12" s="19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45" t="s">
        <v>80</v>
      </c>
      <c r="P12" s="246"/>
      <c r="Q12" s="247">
        <f>Q8-Q9-Q10-Q11</f>
        <v>8901.4</v>
      </c>
      <c r="R12" s="247"/>
    </row>
    <row r="13" spans="1:28" ht="16" customHeight="1">
      <c r="A13" s="131" t="s">
        <v>79</v>
      </c>
      <c r="B13" s="170">
        <v>401276</v>
      </c>
      <c r="C13" s="137" t="s">
        <v>269</v>
      </c>
      <c r="D13" s="193">
        <v>43252</v>
      </c>
      <c r="E13" s="134" t="s">
        <v>8</v>
      </c>
      <c r="F13" s="136">
        <v>173</v>
      </c>
      <c r="G13" s="185">
        <v>2082</v>
      </c>
      <c r="H13" s="158">
        <f>IF(AND(ISNUMBER(D13), ISNUMBER(F13)),
    ROUNDDOWN(
        MIN(
            IF(OR(ISBLANK(I13), I13=""),
                EOMONTH(DATE(LOHNTABELLE!$G$3, $A$1, 1), 0), I13)
            - MAX(D13, DATE(LOHNTABELLE!$G$3, $A$1, 1)) + 1)
        / DAY(EOMONTH(DATE(LOHNTABELLE!$G$3, $A$1, 1), 0)) * F13,
        2
    ),
    ""
)</f>
        <v>173</v>
      </c>
      <c r="I13" s="19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45" t="s">
        <v>82</v>
      </c>
      <c r="P13" s="246"/>
      <c r="Q13" s="247">
        <f>EINSTELLUNG!L13</f>
        <v>8</v>
      </c>
      <c r="R13" s="247"/>
    </row>
    <row r="14" spans="1:28" ht="16" customHeight="1">
      <c r="A14" s="130" t="s">
        <v>81</v>
      </c>
      <c r="B14" s="170">
        <v>401307</v>
      </c>
      <c r="C14" s="137" t="s">
        <v>270</v>
      </c>
      <c r="D14" s="193">
        <v>43571</v>
      </c>
      <c r="E14" s="134" t="s">
        <v>8</v>
      </c>
      <c r="F14" s="136">
        <v>173</v>
      </c>
      <c r="G14" s="185">
        <v>2082</v>
      </c>
      <c r="H14" s="158">
        <f>IF(AND(ISNUMBER(D14), ISNUMBER(F14)),
    ROUNDDOWN(
        MIN(
            IF(OR(ISBLANK(I14), I14=""),
                EOMONTH(DATE(LOHNTABELLE!$G$3, $A$1, 1), 0), I14)
            - MAX(D14, DATE(LOHNTABELLE!$G$3, $A$1, 1)) + 1)
        / DAY(EOMONTH(DATE(LOHNTABELLE!$G$3, $A$1, 1), 0)) * F14,
        2
    ),
    ""
)</f>
        <v>173</v>
      </c>
      <c r="I14" s="19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45" t="s">
        <v>84</v>
      </c>
      <c r="P14" s="246"/>
      <c r="Q14" s="247">
        <f>Q12-Q13</f>
        <v>8893.4</v>
      </c>
      <c r="R14" s="247"/>
    </row>
    <row r="15" spans="1:28" ht="16" customHeight="1">
      <c r="A15" s="130" t="s">
        <v>83</v>
      </c>
      <c r="B15" s="170">
        <v>401308</v>
      </c>
      <c r="C15" s="137" t="s">
        <v>271</v>
      </c>
      <c r="D15" s="193">
        <v>43579</v>
      </c>
      <c r="E15" s="134" t="s">
        <v>8</v>
      </c>
      <c r="F15" s="136">
        <v>173</v>
      </c>
      <c r="G15" s="185">
        <v>2082</v>
      </c>
      <c r="H15" s="158">
        <f>IF(AND(ISNUMBER(D15), ISNUMBER(F15)),
    ROUNDDOWN(
        MIN(
            IF(OR(ISBLANK(I15), I15=""),
                EOMONTH(DATE(LOHNTABELLE!$G$3, $A$1, 1), 0), I15)
            - MAX(D15, DATE(LOHNTABELLE!$G$3, $A$1, 1)) + 1)
        / DAY(EOMONTH(DATE(LOHNTABELLE!$G$3, $A$1, 1), 0)) * F15,
        2
    ),
    ""
)</f>
        <v>173</v>
      </c>
      <c r="I15" s="19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370" t="str">
        <f>IF(Q14&lt;0, "Schlecht! Zu wenig Stunden für Dienstplan.", IF(Q14&gt;0, "Du hast mehr als genug Stunden für Dienstplan.", ""))</f>
        <v>Du hast mehr als genug Stunden für Dienstplan.</v>
      </c>
      <c r="P15" s="370"/>
      <c r="Q15" s="370"/>
      <c r="R15" s="370"/>
      <c r="S15" s="100"/>
      <c r="T15" s="100"/>
      <c r="U15" s="100"/>
    </row>
    <row r="16" spans="1:28" ht="16" customHeight="1">
      <c r="A16" s="130" t="s">
        <v>85</v>
      </c>
      <c r="B16" s="170">
        <v>401389</v>
      </c>
      <c r="C16" s="137" t="s">
        <v>273</v>
      </c>
      <c r="D16" s="193">
        <v>44384</v>
      </c>
      <c r="E16" s="134" t="s">
        <v>22</v>
      </c>
      <c r="F16" s="136">
        <v>173</v>
      </c>
      <c r="G16" s="185">
        <v>2300</v>
      </c>
      <c r="H16" s="158">
        <f>IF(AND(ISNUMBER(D16), ISNUMBER(F16)),
    ROUNDDOWN(
        MIN(
            IF(OR(ISBLANK(I16), I16=""),
                EOMONTH(DATE(LOHNTABELLE!$G$3, $A$1, 1), 0), I16)
            - MAX(D16, DATE(LOHNTABELLE!$G$3, $A$1, 1)) + 1)
        / DAY(EOMONTH(DATE(LOHNTABELLE!$G$3, $A$1, 1), 0)) * F16,
        2
    ),
    ""
)</f>
        <v>173</v>
      </c>
      <c r="I16" s="19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W16" s="45"/>
    </row>
    <row r="17" spans="1:29" ht="16" customHeight="1">
      <c r="A17" s="131" t="s">
        <v>86</v>
      </c>
      <c r="B17" s="170">
        <v>401394</v>
      </c>
      <c r="C17" s="137" t="s">
        <v>272</v>
      </c>
      <c r="D17" s="193">
        <v>44379</v>
      </c>
      <c r="E17" s="134" t="s">
        <v>4</v>
      </c>
      <c r="F17" s="136">
        <v>173</v>
      </c>
      <c r="G17" s="185">
        <v>3500</v>
      </c>
      <c r="H17" s="158">
        <f>IF(AND(ISNUMBER(D17), ISNUMBER(F17)),
    ROUNDDOWN(
        MIN(
            IF(OR(ISBLANK(I17), I17=""),
                EOMONTH(DATE(LOHNTABELLE!$G$3, $A$1, 1), 0), I17)
            - MAX(D17, DATE(LOHNTABELLE!$G$3, $A$1, 1)) + 1)
        / DAY(EOMONTH(DATE(LOHNTABELLE!$G$3, $A$1, 1), 0)) * F17,
        2
    ),
    ""
)</f>
        <v>173</v>
      </c>
      <c r="I17" s="19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53" t="s">
        <v>87</v>
      </c>
      <c r="P17" s="254"/>
      <c r="Q17" s="277">
        <f>SUM(L3:L82)</f>
        <v>143789.10161290321</v>
      </c>
      <c r="R17" s="277"/>
      <c r="W17" s="45"/>
    </row>
    <row r="18" spans="1:29" ht="16" customHeight="1">
      <c r="A18" s="130" t="s">
        <v>88</v>
      </c>
      <c r="B18" s="170">
        <v>401432</v>
      </c>
      <c r="C18" s="137" t="s">
        <v>274</v>
      </c>
      <c r="D18" s="193">
        <v>44441</v>
      </c>
      <c r="E18" s="134" t="s">
        <v>4</v>
      </c>
      <c r="F18" s="136">
        <v>173</v>
      </c>
      <c r="G18" s="185">
        <v>3500</v>
      </c>
      <c r="H18" s="158">
        <f>IF(AND(ISNUMBER(D18), ISNUMBER(F18)),
    ROUNDDOWN(
        MIN(
            IF(OR(ISBLANK(I18), I18=""),
                EOMONTH(DATE(LOHNTABELLE!$G$3, $A$1, 1), 0), I18)
            - MAX(D18, DATE(LOHNTABELLE!$G$3, $A$1, 1)) + 1)
        / DAY(EOMONTH(DATE(LOHNTABELLE!$G$3, $A$1, 1), 0)) * F18,
        2
    ),
    ""
)</f>
        <v>173</v>
      </c>
      <c r="I18" s="19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335"/>
      <c r="P18" s="366"/>
      <c r="Q18" s="367"/>
      <c r="R18" s="244"/>
    </row>
    <row r="19" spans="1:29" ht="16" customHeight="1">
      <c r="A19" s="130" t="s">
        <v>89</v>
      </c>
      <c r="B19" s="170">
        <v>401476</v>
      </c>
      <c r="C19" s="137" t="s">
        <v>276</v>
      </c>
      <c r="D19" s="193">
        <v>44504</v>
      </c>
      <c r="E19" s="134" t="s">
        <v>4</v>
      </c>
      <c r="F19" s="136">
        <v>173</v>
      </c>
      <c r="G19" s="185">
        <v>3500</v>
      </c>
      <c r="H19" s="158">
        <f>IF(AND(ISNUMBER(D19), ISNUMBER(F19)),
    ROUNDDOWN(
        MIN(
            IF(OR(ISBLANK(I19), I19=""),
                EOMONTH(DATE(LOHNTABELLE!$G$3, $A$1, 1), 0), I19)
            - MAX(D19, DATE(LOHNTABELLE!$G$3, $A$1, 1)) + 1)
        / DAY(EOMONTH(DATE(LOHNTABELLE!$G$3, $A$1, 1), 0)) * F19,
        2
    ),
    ""
)</f>
        <v>173</v>
      </c>
      <c r="I19" s="19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335"/>
      <c r="P19" s="366"/>
      <c r="Q19" s="367"/>
      <c r="R19" s="244"/>
    </row>
    <row r="20" spans="1:29" ht="16" customHeight="1">
      <c r="A20" s="130" t="s">
        <v>90</v>
      </c>
      <c r="B20" s="170">
        <v>401479</v>
      </c>
      <c r="C20" s="137" t="s">
        <v>277</v>
      </c>
      <c r="D20" s="193">
        <v>44511</v>
      </c>
      <c r="E20" s="134" t="s">
        <v>13</v>
      </c>
      <c r="F20" s="136">
        <v>173</v>
      </c>
      <c r="G20" s="185">
        <v>2160</v>
      </c>
      <c r="H20" s="158">
        <f>IF(AND(ISNUMBER(D20), ISNUMBER(F20)),
    ROUNDDOWN(
        MIN(
            IF(OR(ISBLANK(I20), I20=""),
                EOMONTH(DATE(LOHNTABELLE!$G$3, $A$1, 1), 0), I20)
            - MAX(D20, DATE(LOHNTABELLE!$G$3, $A$1, 1)) + 1)
        / DAY(EOMONTH(DATE(LOHNTABELLE!$G$3, $A$1, 1), 0)) * F20,
        2
    ),
    ""
)</f>
        <v>173</v>
      </c>
      <c r="I20" s="19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335"/>
      <c r="P20" s="366"/>
      <c r="Q20" s="367"/>
      <c r="R20" s="244"/>
    </row>
    <row r="21" spans="1:29" ht="16" customHeight="1">
      <c r="A21" s="131" t="s">
        <v>92</v>
      </c>
      <c r="B21" s="170">
        <v>401481</v>
      </c>
      <c r="C21" s="137" t="s">
        <v>278</v>
      </c>
      <c r="D21" s="193">
        <v>44531</v>
      </c>
      <c r="E21" s="134" t="s">
        <v>4</v>
      </c>
      <c r="F21" s="136">
        <v>173</v>
      </c>
      <c r="G21" s="185">
        <v>3500</v>
      </c>
      <c r="H21" s="158">
        <f>IF(AND(ISNUMBER(D21), ISNUMBER(F21)),
    ROUNDDOWN(
        MIN(
            IF(OR(ISBLANK(I21), I21=""),
                EOMONTH(DATE(LOHNTABELLE!$G$3, $A$1, 1), 0), I21)
            - MAX(D21, DATE(LOHNTABELLE!$G$3, $A$1, 1)) + 1)
        / DAY(EOMONTH(DATE(LOHNTABELLE!$G$3, $A$1, 1), 0)) * F21,
        2
    ),
    ""
)</f>
        <v>173</v>
      </c>
      <c r="I21" s="19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335" t="s">
        <v>356</v>
      </c>
      <c r="P21" s="366"/>
      <c r="Q21" s="367">
        <v>5000</v>
      </c>
      <c r="R21" s="244"/>
    </row>
    <row r="22" spans="1:29" ht="16" customHeight="1">
      <c r="A22" s="130" t="s">
        <v>93</v>
      </c>
      <c r="B22" s="170">
        <v>401558</v>
      </c>
      <c r="C22" s="137" t="s">
        <v>275</v>
      </c>
      <c r="D22" s="193">
        <v>44460</v>
      </c>
      <c r="E22" s="134" t="s">
        <v>4</v>
      </c>
      <c r="F22" s="136">
        <v>173</v>
      </c>
      <c r="G22" s="185">
        <v>3500</v>
      </c>
      <c r="H22" s="158">
        <f>IF(AND(ISNUMBER(D22), ISNUMBER(F22)),
    ROUNDDOWN(
        MIN(
            IF(OR(ISBLANK(I22), I22=""),
                EOMONTH(DATE(LOHNTABELLE!$G$3, $A$1, 1), 0), I22)
            - MAX(D22, DATE(LOHNTABELLE!$G$3, $A$1, 1)) + 1)
        / DAY(EOMONTH(DATE(LOHNTABELLE!$G$3, $A$1, 1), 0)) * F22,
        2
    ),
    ""
)</f>
        <v>173</v>
      </c>
      <c r="I22" s="19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335"/>
      <c r="P22" s="366"/>
      <c r="Q22" s="367"/>
      <c r="R22" s="244"/>
    </row>
    <row r="23" spans="1:29" ht="16" customHeight="1">
      <c r="A23" s="130" t="s">
        <v>94</v>
      </c>
      <c r="B23" s="170">
        <v>401564</v>
      </c>
      <c r="C23" s="137" t="s">
        <v>279</v>
      </c>
      <c r="D23" s="193">
        <v>44824</v>
      </c>
      <c r="E23" s="134" t="s">
        <v>4</v>
      </c>
      <c r="F23" s="136">
        <v>173</v>
      </c>
      <c r="G23" s="185">
        <v>3500</v>
      </c>
      <c r="H23" s="158">
        <f>IF(AND(ISNUMBER(D23), ISNUMBER(F23)),
    ROUNDDOWN(
        MIN(
            IF(OR(ISBLANK(I23), I23=""),
                EOMONTH(DATE(LOHNTABELLE!$G$3, $A$1, 1), 0), I23)
            - MAX(D23, DATE(LOHNTABELLE!$G$3, $A$1, 1)) + 1)
        / DAY(EOMONTH(DATE(LOHNTABELLE!$G$3, $A$1, 1), 0)) * F23,
        2
    ),
    ""
)</f>
        <v>173</v>
      </c>
      <c r="I23" s="19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335"/>
      <c r="P23" s="366"/>
      <c r="Q23" s="367"/>
      <c r="R23" s="244"/>
      <c r="W23" s="45"/>
    </row>
    <row r="24" spans="1:29" ht="16" customHeight="1">
      <c r="A24" s="130" t="s">
        <v>95</v>
      </c>
      <c r="B24" s="170">
        <v>401583</v>
      </c>
      <c r="C24" s="137" t="s">
        <v>281</v>
      </c>
      <c r="D24" s="193">
        <v>44900</v>
      </c>
      <c r="E24" s="134" t="s">
        <v>21</v>
      </c>
      <c r="F24" s="136">
        <v>173</v>
      </c>
      <c r="G24" s="185">
        <v>2300</v>
      </c>
      <c r="H24" s="158">
        <f>IF(AND(ISNUMBER(D24), ISNUMBER(F24)),
    ROUNDDOWN(
        MIN(
            IF(OR(ISBLANK(I24), I24=""),
                EOMONTH(DATE(LOHNTABELLE!$G$3, $A$1, 1), 0), I24)
            - MAX(D24, DATE(LOHNTABELLE!$G$3, $A$1, 1)) + 1)
        / DAY(EOMONTH(DATE(LOHNTABELLE!$G$3, $A$1, 1), 0)) * F24,
        2
    ),
    ""
)</f>
        <v>173</v>
      </c>
      <c r="I24" s="19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35"/>
      <c r="P24" s="366"/>
      <c r="Q24" s="367"/>
      <c r="R24" s="244"/>
      <c r="W24" s="45"/>
    </row>
    <row r="25" spans="1:29" ht="16" customHeight="1" thickBot="1">
      <c r="A25" s="131" t="s">
        <v>96</v>
      </c>
      <c r="B25" s="170">
        <v>401589</v>
      </c>
      <c r="C25" s="137" t="s">
        <v>282</v>
      </c>
      <c r="D25" s="193">
        <v>44926</v>
      </c>
      <c r="E25" s="134" t="s">
        <v>21</v>
      </c>
      <c r="F25" s="136">
        <v>173</v>
      </c>
      <c r="G25" s="185">
        <v>2300</v>
      </c>
      <c r="H25" s="158">
        <f>IF(AND(ISNUMBER(D25), ISNUMBER(F25)),
    ROUNDDOWN(
        MIN(
            IF(OR(ISBLANK(I25), I25=""),
                EOMONTH(DATE(LOHNTABELLE!$G$3, $A$1, 1), 0), I25)
            - MAX(D25, DATE(LOHNTABELLE!$G$3, $A$1, 1)) + 1)
        / DAY(EOMONTH(DATE(LOHNTABELLE!$G$3, $A$1, 1), 0)) * F25,
        2
    ),
    ""
)</f>
        <v>173</v>
      </c>
      <c r="I25" s="19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350"/>
      <c r="P25" s="368"/>
      <c r="Q25" s="369"/>
      <c r="R25" s="286"/>
    </row>
    <row r="26" spans="1:29" ht="16" customHeight="1">
      <c r="A26" s="130" t="s">
        <v>97</v>
      </c>
      <c r="B26" s="170">
        <v>401602</v>
      </c>
      <c r="C26" s="139" t="s">
        <v>283</v>
      </c>
      <c r="D26" s="193">
        <v>45975</v>
      </c>
      <c r="E26" s="134" t="s">
        <v>4</v>
      </c>
      <c r="F26" s="136">
        <v>173</v>
      </c>
      <c r="G26" s="185">
        <v>3500</v>
      </c>
      <c r="H26" s="158">
        <f>IF(AND(ISNUMBER(D26), ISNUMBER(F26)),
    ROUNDDOWN(
        MIN(
            IF(OR(ISBLANK(I26), I26=""),
                EOMONTH(DATE(LOHNTABELLE!$G$3, $A$1, 1), 0), I26)
            - MAX(D26, DATE(LOHNTABELLE!$G$3, $A$1, 1)) + 1)
        / DAY(EOMONTH(DATE(LOHNTABELLE!$G$3, $A$1, 1), 0)) * F26,
        2
    ),
    ""
)</f>
        <v>173</v>
      </c>
      <c r="I26" s="19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96"/>
      <c r="P26" s="297"/>
      <c r="Q26" s="287"/>
      <c r="R26" s="288"/>
    </row>
    <row r="27" spans="1:29" ht="16" customHeight="1">
      <c r="A27" s="130" t="s">
        <v>98</v>
      </c>
      <c r="B27" s="170">
        <v>401605</v>
      </c>
      <c r="C27" s="137" t="s">
        <v>284</v>
      </c>
      <c r="D27" s="193">
        <v>44986</v>
      </c>
      <c r="E27" s="134" t="s">
        <v>4</v>
      </c>
      <c r="F27" s="136">
        <v>173</v>
      </c>
      <c r="G27" s="185">
        <v>3500</v>
      </c>
      <c r="H27" s="158">
        <f>IF(AND(ISNUMBER(D27), ISNUMBER(F27)),
    ROUNDDOWN(
        MIN(
            IF(OR(ISBLANK(I27), I27=""),
                EOMONTH(DATE(LOHNTABELLE!$G$3, $A$1, 1), 0), I27)
            - MAX(D27, DATE(LOHNTABELLE!$G$3, $A$1, 1)) + 1)
        / DAY(EOMONTH(DATE(LOHNTABELLE!$G$3, $A$1, 1), 0)) * F27,
        2
    ),
    ""
)</f>
        <v>173</v>
      </c>
      <c r="I27" s="19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51"/>
      <c r="P27" s="252"/>
      <c r="Q27" s="244"/>
      <c r="R27" s="289"/>
      <c r="S27" s="249" t="s">
        <v>99</v>
      </c>
      <c r="T27" s="250"/>
      <c r="U27" s="250"/>
      <c r="V27" s="250"/>
    </row>
    <row r="28" spans="1:29" ht="16" customHeight="1" thickBot="1">
      <c r="A28" s="130" t="s">
        <v>100</v>
      </c>
      <c r="B28" s="170">
        <v>401626</v>
      </c>
      <c r="C28" s="137" t="s">
        <v>285</v>
      </c>
      <c r="D28" s="193">
        <v>45063</v>
      </c>
      <c r="E28" s="134" t="s">
        <v>4</v>
      </c>
      <c r="F28" s="136">
        <v>173</v>
      </c>
      <c r="G28" s="185">
        <v>3500</v>
      </c>
      <c r="H28" s="158">
        <f>IF(AND(ISNUMBER(D28), ISNUMBER(F28)),
    ROUNDDOWN(
        MIN(
            IF(OR(ISBLANK(I28), I28=""),
                EOMONTH(DATE(LOHNTABELLE!$G$3, $A$1, 1), 0), I28)
            - MAX(D28, DATE(LOHNTABELLE!$G$3, $A$1, 1)) + 1)
        / DAY(EOMONTH(DATE(LOHNTABELLE!$G$3, $A$1, 1), 0)) * F28,
        2
    ),
    ""
)</f>
        <v>173</v>
      </c>
      <c r="I28" s="19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90"/>
      <c r="P28" s="291"/>
      <c r="Q28" s="292"/>
      <c r="R28" s="293"/>
    </row>
    <row r="29" spans="1:29" ht="16" customHeight="1" thickBot="1">
      <c r="A29" s="131" t="s">
        <v>101</v>
      </c>
      <c r="B29" s="170">
        <v>401633</v>
      </c>
      <c r="C29" s="137" t="s">
        <v>286</v>
      </c>
      <c r="D29" s="193">
        <v>45089</v>
      </c>
      <c r="E29" s="134" t="s">
        <v>21</v>
      </c>
      <c r="F29" s="136">
        <v>173</v>
      </c>
      <c r="G29" s="185">
        <v>2300</v>
      </c>
      <c r="H29" s="158">
        <f>IF(AND(ISNUMBER(D29), ISNUMBER(F29)),
    ROUNDDOWN(
        MIN(
            IF(OR(ISBLANK(I29), I29=""),
                EOMONTH(DATE(LOHNTABELLE!$G$3, $A$1, 1), 0), I29)
            - MAX(D29, DATE(LOHNTABELLE!$G$3, $A$1, 1)) + 1)
        / DAY(EOMONTH(DATE(LOHNTABELLE!$G$3, $A$1, 1), 0)) * F29,
        2
    ),
    ""
)</f>
        <v>173</v>
      </c>
      <c r="I29" s="19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82" t="s">
        <v>102</v>
      </c>
      <c r="P29" s="283"/>
      <c r="Q29" s="284">
        <f>EINSTELLUNG!O13</f>
        <v>8</v>
      </c>
      <c r="R29" s="285"/>
    </row>
    <row r="30" spans="1:29" ht="16" customHeight="1">
      <c r="A30" s="130" t="s">
        <v>103</v>
      </c>
      <c r="B30" s="170">
        <v>401647</v>
      </c>
      <c r="C30" s="137" t="s">
        <v>287</v>
      </c>
      <c r="D30" s="193">
        <v>45182</v>
      </c>
      <c r="E30" s="134" t="s">
        <v>4</v>
      </c>
      <c r="F30" s="136">
        <v>173</v>
      </c>
      <c r="G30" s="185">
        <v>3500</v>
      </c>
      <c r="H30" s="158">
        <f>IF(AND(ISNUMBER(D30), ISNUMBER(F30)),
    ROUNDDOWN(
        MIN(
            IF(OR(ISBLANK(I30), I30=""),
                EOMONTH(DATE(LOHNTABELLE!$G$3, $A$1, 1), 0), I30)
            - MAX(D30, DATE(LOHNTABELLE!$G$3, $A$1, 1)) + 1)
        / DAY(EOMONTH(DATE(LOHNTABELLE!$G$3, $A$1, 1), 0)) * F30,
        2
    ),
    ""
)</f>
        <v>173</v>
      </c>
      <c r="I30" s="19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193">
        <v>45261</v>
      </c>
      <c r="E31" s="134" t="s">
        <v>4</v>
      </c>
      <c r="F31" s="136">
        <v>173</v>
      </c>
      <c r="G31" s="185">
        <v>3500</v>
      </c>
      <c r="H31" s="158">
        <f>IF(AND(ISNUMBER(D31), ISNUMBER(F31)),
    ROUNDDOWN(
        MIN(
            IF(OR(ISBLANK(I31), I31=""),
                EOMONTH(DATE(LOHNTABELLE!$G$3, $A$1, 1), 0), I31)
            - MAX(D31, DATE(LOHNTABELLE!$G$3, $A$1, 1)) + 1)
        / DAY(EOMONTH(DATE(LOHNTABELLE!$G$3, $A$1, 1), 0)) * F31,
        2
    ),
    ""
)</f>
        <v>173</v>
      </c>
      <c r="I31" s="19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98">
        <v>0</v>
      </c>
      <c r="P31" s="299"/>
      <c r="Q31" s="300">
        <v>1.8518518518518517E-2</v>
      </c>
      <c r="R31" s="301"/>
    </row>
    <row r="32" spans="1:29" ht="16" customHeight="1">
      <c r="A32" s="130" t="s">
        <v>106</v>
      </c>
      <c r="B32" s="170">
        <v>401670</v>
      </c>
      <c r="C32" s="137" t="s">
        <v>289</v>
      </c>
      <c r="D32" s="193">
        <v>45358</v>
      </c>
      <c r="E32" s="134" t="s">
        <v>4</v>
      </c>
      <c r="F32" s="136">
        <v>173</v>
      </c>
      <c r="G32" s="185">
        <v>3500</v>
      </c>
      <c r="H32" s="158">
        <f>IF(AND(ISNUMBER(D32), ISNUMBER(F32)),
    ROUNDDOWN(
        MIN(
            IF(OR(ISBLANK(I32), I32=""),
                EOMONTH(DATE(LOHNTABELLE!$G$3, $A$1, 1), 0), I32)
            - MAX(D32, DATE(LOHNTABELLE!$G$3, $A$1, 1)) + 1)
        / DAY(EOMONTH(DATE(LOHNTABELLE!$G$3, $A$1, 1), 0)) * F32,
        2
    ),
    ""
)</f>
        <v>173</v>
      </c>
      <c r="I32" s="19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401678</v>
      </c>
      <c r="C33" s="137" t="s">
        <v>290</v>
      </c>
      <c r="D33" s="193">
        <v>45414</v>
      </c>
      <c r="E33" s="134" t="s">
        <v>4</v>
      </c>
      <c r="F33" s="136">
        <v>173</v>
      </c>
      <c r="G33" s="185">
        <v>3500</v>
      </c>
      <c r="H33" s="158">
        <f>IF(AND(ISNUMBER(D33), ISNUMBER(F33)),
    ROUNDDOWN(
        MIN(
            IF(OR(ISBLANK(I33), I33=""),
                EOMONTH(DATE(LOHNTABELLE!$G$3, $A$1, 1), 0), I33)
            - MAX(D33, DATE(LOHNTABELLE!$G$3, $A$1, 1)) + 1)
        / DAY(EOMONTH(DATE(LOHNTABELLE!$G$3, $A$1, 1), 0)) * F33,
        2
    ),
    ""
)</f>
        <v>173</v>
      </c>
      <c r="I33" s="19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66"/>
      <c r="P33" s="267"/>
      <c r="Q33" s="364" t="str">
        <f>EINSTELLUNG!B3</f>
        <v>Budget Zahlen</v>
      </c>
      <c r="R33" s="364"/>
      <c r="S33" s="365" t="str">
        <f>EINSTELLUNG!B19</f>
        <v>Projection/Aktuell Zahlen</v>
      </c>
      <c r="T33" s="365"/>
      <c r="U33" s="365" t="s">
        <v>110</v>
      </c>
      <c r="V33" s="365"/>
    </row>
    <row r="34" spans="1:24" ht="16" customHeight="1">
      <c r="A34" s="130" t="s">
        <v>111</v>
      </c>
      <c r="B34" s="170">
        <v>401690</v>
      </c>
      <c r="C34" s="137" t="s">
        <v>292</v>
      </c>
      <c r="D34" s="193">
        <v>45536</v>
      </c>
      <c r="E34" s="134" t="s">
        <v>4</v>
      </c>
      <c r="F34" s="136">
        <v>173</v>
      </c>
      <c r="G34" s="185">
        <v>3500</v>
      </c>
      <c r="H34" s="158">
        <f>IF(AND(ISNUMBER(D34), ISNUMBER(F34)),
    ROUNDDOWN(
        MIN(
            IF(OR(ISBLANK(I34), I34=""),
                EOMONTH(DATE(LOHNTABELLE!$G$3, $A$1, 1), 0), I34)
            - MAX(D34, DATE(LOHNTABELLE!$G$3, $A$1, 1)) + 1)
        / DAY(EOMONTH(DATE(LOHNTABELLE!$G$3, $A$1, 1), 0)) * F34,
        2
    ),
    ""
)</f>
        <v>173</v>
      </c>
      <c r="I34" s="19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66"/>
      <c r="P34" s="267"/>
      <c r="Q34" s="364"/>
      <c r="R34" s="364"/>
      <c r="S34" s="365"/>
      <c r="T34" s="365"/>
      <c r="U34" s="365"/>
      <c r="V34" s="365"/>
    </row>
    <row r="35" spans="1:24" ht="16" customHeight="1">
      <c r="A35" s="130" t="s">
        <v>112</v>
      </c>
      <c r="B35" s="170">
        <v>401703</v>
      </c>
      <c r="C35" s="137" t="s">
        <v>293</v>
      </c>
      <c r="D35" s="193">
        <v>45616</v>
      </c>
      <c r="E35" s="134" t="s">
        <v>4</v>
      </c>
      <c r="F35" s="136">
        <v>173</v>
      </c>
      <c r="G35" s="185">
        <v>3500</v>
      </c>
      <c r="H35" s="158">
        <f>IF(AND(ISNUMBER(D35), ISNUMBER(F35)),
    ROUNDDOWN(
        MIN(
            IF(OR(ISBLANK(I35), I35=""),
                EOMONTH(DATE(LOHNTABELLE!$G$3, $A$1, 1), 0), I35)
            - MAX(D35, DATE(LOHNTABELLE!$G$3, $A$1, 1)) + 1)
        / DAY(EOMONTH(DATE(LOHNTABELLE!$G$3, $A$1, 1), 0)) * F35,
        2
    ),
    ""
)</f>
        <v>173</v>
      </c>
      <c r="I35" s="19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55" t="s">
        <v>113</v>
      </c>
      <c r="P35" s="256"/>
      <c r="Q35" s="257">
        <f>EINSTELLUNG!C13</f>
        <v>8</v>
      </c>
      <c r="R35" s="257"/>
      <c r="S35" s="257">
        <f>EINSTELLUNG!C29</f>
        <v>8</v>
      </c>
      <c r="T35" s="257"/>
      <c r="U35" s="258">
        <f>S35-Q35</f>
        <v>0</v>
      </c>
      <c r="V35" s="258"/>
    </row>
    <row r="36" spans="1:24" ht="16" customHeight="1">
      <c r="A36" s="130" t="s">
        <v>114</v>
      </c>
      <c r="B36" s="170">
        <v>401715</v>
      </c>
      <c r="C36" s="137" t="s">
        <v>295</v>
      </c>
      <c r="D36" s="193">
        <v>45755</v>
      </c>
      <c r="E36" s="134" t="s">
        <v>4</v>
      </c>
      <c r="F36" s="136">
        <v>173</v>
      </c>
      <c r="G36" s="185">
        <v>3500</v>
      </c>
      <c r="H36" s="158">
        <f>IF(AND(ISNUMBER(D36), ISNUMBER(F36)),
    ROUNDDOWN(
        MIN(
            IF(OR(ISBLANK(I36), I36=""),
                EOMONTH(DATE(LOHNTABELLE!$G$3, $A$1, 1), 0), I36)
            - MAX(D36, DATE(LOHNTABELLE!$G$3, $A$1, 1)) + 1)
        / DAY(EOMONTH(DATE(LOHNTABELLE!$G$3, $A$1, 1), 0)) * F36,
        2
    ),
    ""
)</f>
        <v>173</v>
      </c>
      <c r="I36" s="19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55" t="s">
        <v>115</v>
      </c>
      <c r="P36" s="256"/>
      <c r="Q36" s="257">
        <f>EINSTELLUNG!D13</f>
        <v>8</v>
      </c>
      <c r="R36" s="257"/>
      <c r="S36" s="261" cm="1">
        <f t="array" ref="S36">SumMergedCells(Q17:R29)</f>
        <v>148797.10159999999</v>
      </c>
      <c r="T36" s="263"/>
      <c r="U36" s="258">
        <f t="shared" ref="U36:U41" si="2">S36-Q36</f>
        <v>148789.10159999999</v>
      </c>
      <c r="V36" s="258"/>
    </row>
    <row r="37" spans="1:24" ht="16" customHeight="1">
      <c r="A37" s="131" t="s">
        <v>116</v>
      </c>
      <c r="B37" s="170">
        <v>401716</v>
      </c>
      <c r="C37" s="137" t="s">
        <v>296</v>
      </c>
      <c r="D37" s="193">
        <v>45800</v>
      </c>
      <c r="E37" s="134" t="s">
        <v>4</v>
      </c>
      <c r="F37" s="136">
        <v>173</v>
      </c>
      <c r="G37" s="185">
        <v>3500</v>
      </c>
      <c r="H37" s="158">
        <f>IF(AND(ISNUMBER(D37), ISNUMBER(F37)),
    ROUNDDOWN(
        MIN(
            IF(OR(ISBLANK(I37), I37=""),
                EOMONTH(DATE(LOHNTABELLE!$G$3, $A$1, 1), 0), I37)
            - MAX(D37, DATE(LOHNTABELLE!$G$3, $A$1, 1)) + 1)
        / DAY(EOMONTH(DATE(LOHNTABELLE!$G$3, $A$1, 1), 0)) * F37,
        2
    ),
    ""
)</f>
        <v>173</v>
      </c>
      <c r="I37" s="19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55" t="s">
        <v>117</v>
      </c>
      <c r="P37" s="256"/>
      <c r="Q37" s="264">
        <f>IF(ISERROR(Q36/Q35), 0, Q36/Q35)</f>
        <v>1</v>
      </c>
      <c r="R37" s="264"/>
      <c r="S37" s="326">
        <f>IF(ISERROR(S36/S35), 0, S36/S35)</f>
        <v>18599.637699999999</v>
      </c>
      <c r="T37" s="327"/>
      <c r="U37" s="265">
        <f t="shared" si="2"/>
        <v>18598.637699999999</v>
      </c>
      <c r="V37" s="265"/>
    </row>
    <row r="38" spans="1:24" ht="16" customHeight="1">
      <c r="A38" s="130" t="s">
        <v>118</v>
      </c>
      <c r="B38" s="170">
        <v>401717</v>
      </c>
      <c r="C38" s="137" t="s">
        <v>297</v>
      </c>
      <c r="D38" s="193">
        <v>45814</v>
      </c>
      <c r="E38" s="134" t="s">
        <v>4</v>
      </c>
      <c r="F38" s="136">
        <v>173</v>
      </c>
      <c r="G38" s="185">
        <v>3500</v>
      </c>
      <c r="H38" s="158">
        <f>IF(AND(ISNUMBER(D38), ISNUMBER(F38)),
    ROUNDDOWN(
        MIN(
            IF(OR(ISBLANK(I39), I39=""),
                EOMONTH(DATE(LOHNTABELLE!$G$3, $A$1, 1), 0), I39)
            - MAX(D38, DATE(LOHNTABELLE!$G$3, $A$1, 1)) + 1)
        / DAY(EOMONTH(DATE(LOHNTABELLE!$G$3, $A$1, 1), 0)) * F38,
        2
    ),
    ""
)</f>
        <v>173</v>
      </c>
      <c r="I38" s="19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55" t="s">
        <v>119</v>
      </c>
      <c r="P38" s="256"/>
      <c r="Q38" s="259">
        <f>EINSTELLUNG!F13</f>
        <v>8</v>
      </c>
      <c r="R38" s="259"/>
      <c r="S38" s="259">
        <f>EINSTELLUNG!F29</f>
        <v>8</v>
      </c>
      <c r="T38" s="259"/>
      <c r="U38" s="260">
        <f t="shared" si="2"/>
        <v>0</v>
      </c>
      <c r="V38" s="260"/>
    </row>
    <row r="39" spans="1:24" ht="16" customHeight="1">
      <c r="A39" s="130" t="s">
        <v>120</v>
      </c>
      <c r="B39" s="170">
        <v>401722</v>
      </c>
      <c r="C39" s="137" t="s">
        <v>298</v>
      </c>
      <c r="D39" s="193">
        <v>45848</v>
      </c>
      <c r="E39" s="134" t="s">
        <v>4</v>
      </c>
      <c r="F39" s="136">
        <v>86.5</v>
      </c>
      <c r="G39" s="185">
        <v>1010.5</v>
      </c>
      <c r="H39" s="158">
        <f>IF(AND(ISNUMBER(D39), ISNUMBER(F39)),
    ROUNDDOWN(
        MIN(
            IF(OR(ISBLANK(I40), I40=""),
                EOMONTH(DATE(LOHNTABELLE!$G$3, $A$1, 1), 0), I40)
            - MAX(D39, DATE(LOHNTABELLE!$G$3, $A$1, 1)) + 1)
        / DAY(EOMONTH(DATE(LOHNTABELLE!$G$3, $A$1, 1), 0)) * F39,
        2
    ),
    ""
)</f>
        <v>86.5</v>
      </c>
      <c r="I39" s="19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55" t="s">
        <v>121</v>
      </c>
      <c r="P39" s="256"/>
      <c r="Q39" s="257">
        <f>IF(Q38=0, 0, Q35/Q38)</f>
        <v>1</v>
      </c>
      <c r="R39" s="257"/>
      <c r="S39" s="257">
        <f>IF(S38=0, 0, S35/S38)</f>
        <v>1</v>
      </c>
      <c r="T39" s="257"/>
      <c r="U39" s="258">
        <f t="shared" si="2"/>
        <v>0</v>
      </c>
      <c r="V39" s="258"/>
    </row>
    <row r="40" spans="1:24" ht="16" customHeight="1">
      <c r="A40" s="130" t="s">
        <v>122</v>
      </c>
      <c r="B40" s="170">
        <v>401723</v>
      </c>
      <c r="C40" s="137" t="s">
        <v>299</v>
      </c>
      <c r="D40" s="193">
        <v>45852</v>
      </c>
      <c r="E40" s="134" t="s">
        <v>4</v>
      </c>
      <c r="F40" s="136">
        <v>86.5</v>
      </c>
      <c r="G40" s="185">
        <v>1010.5</v>
      </c>
      <c r="H40" s="158">
        <f>IF(AND(ISNUMBER(D40), ISNUMBER(F40)),
    ROUNDDOWN(
        MIN(
            IF(OR(ISBLANK(I40), I40=""),
                EOMONTH(DATE(LOHNTABELLE!$G$3, $A$1, 1), 0), I40)
            - MAX(D40, DATE(LOHNTABELLE!$G$3, $A$1, 1)) + 1)
        / DAY(EOMONTH(DATE(LOHNTABELLE!$G$3, $A$1, 1), 0)) * F40,
        2
    ),
    ""
)</f>
        <v>86.5</v>
      </c>
      <c r="I40" s="19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55" t="s">
        <v>123</v>
      </c>
      <c r="P40" s="256"/>
      <c r="Q40" s="257">
        <f>IF(Q12=0, 0, Q35/Q12)</f>
        <v>8.987350304446492E-4</v>
      </c>
      <c r="R40" s="257"/>
      <c r="S40" s="257">
        <f>IF(Q12=0, 0, S35/Q12)</f>
        <v>8.987350304446492E-4</v>
      </c>
      <c r="T40" s="257"/>
      <c r="U40" s="258">
        <f t="shared" si="2"/>
        <v>0</v>
      </c>
      <c r="V40" s="258"/>
    </row>
    <row r="41" spans="1:24" ht="16" customHeight="1">
      <c r="A41" s="131" t="s">
        <v>124</v>
      </c>
      <c r="B41" s="170">
        <v>401726</v>
      </c>
      <c r="C41" s="137" t="s">
        <v>300</v>
      </c>
      <c r="D41" s="193">
        <v>45870</v>
      </c>
      <c r="E41" s="134" t="s">
        <v>4</v>
      </c>
      <c r="F41" s="136">
        <v>86.5</v>
      </c>
      <c r="G41" s="185">
        <v>1010.5</v>
      </c>
      <c r="H41" s="158">
        <f>IF(AND(ISNUMBER(D41), ISNUMBER(F41)),
    ROUNDDOWN(
        MIN(
            IF(OR(ISBLANK(I41), I41=""),
                EOMONTH(DATE(LOHNTABELLE!$G$3, $A$1, 1), 0), I41)
            - MAX(D41, DATE(LOHNTABELLE!$G$3, $A$1, 1)) + 1)
        / DAY(EOMONTH(DATE(LOHNTABELLE!$G$3, $A$1, 1), 0)) * F41,
        2
    ),
    ""
)</f>
        <v>86.5</v>
      </c>
      <c r="I41" s="19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55" t="s">
        <v>125</v>
      </c>
      <c r="P41" s="256"/>
      <c r="Q41" s="259">
        <f>IF(Q12=0, 0, Q38/Q12)</f>
        <v>8.987350304446492E-4</v>
      </c>
      <c r="R41" s="259"/>
      <c r="S41" s="259">
        <f>IF(Q12=0, 0, S38/Q12)</f>
        <v>8.987350304446492E-4</v>
      </c>
      <c r="T41" s="259"/>
      <c r="U41" s="260">
        <f t="shared" si="2"/>
        <v>0</v>
      </c>
      <c r="V41" s="260"/>
    </row>
    <row r="42" spans="1:24" ht="16" customHeight="1">
      <c r="A42" s="130" t="s">
        <v>126</v>
      </c>
      <c r="B42" s="170">
        <v>401730</v>
      </c>
      <c r="C42" s="137" t="s">
        <v>302</v>
      </c>
      <c r="D42" s="193">
        <v>45895</v>
      </c>
      <c r="E42" s="134" t="s">
        <v>4</v>
      </c>
      <c r="F42" s="136">
        <v>86.5</v>
      </c>
      <c r="G42" s="185">
        <v>1010.5</v>
      </c>
      <c r="H42" s="158">
        <f>IF(AND(ISNUMBER(D42), ISNUMBER(F42)),
    ROUNDDOWN(
        MIN(
            IF(OR(ISBLANK(I42), I42=""),
                EOMONTH(DATE(LOHNTABELLE!$G$3, $A$1, 1), 0), I42)
            - MAX(D42, DATE(LOHNTABELLE!$G$3, $A$1, 1)) + 1)
        / DAY(EOMONTH(DATE(LOHNTABELLE!$G$3, $A$1, 1), 0)) * F42,
        2
    ),
    ""
)</f>
        <v>86.5</v>
      </c>
      <c r="I42" s="19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55" t="s">
        <v>127</v>
      </c>
      <c r="P42" s="256"/>
      <c r="Q42" s="261">
        <f>IFERROR(Q17/Q8, 0)</f>
        <v>16.11010168876501</v>
      </c>
      <c r="R42" s="262"/>
      <c r="S42" s="262"/>
      <c r="T42" s="262"/>
      <c r="U42" s="262"/>
      <c r="V42" s="263"/>
    </row>
    <row r="43" spans="1:24" ht="16" customHeight="1">
      <c r="A43" s="130" t="s">
        <v>128</v>
      </c>
      <c r="B43" s="170">
        <v>401731</v>
      </c>
      <c r="C43" s="137" t="s">
        <v>301</v>
      </c>
      <c r="D43" s="193">
        <v>45899</v>
      </c>
      <c r="E43" s="134" t="s">
        <v>4</v>
      </c>
      <c r="F43" s="136">
        <v>86.5</v>
      </c>
      <c r="G43" s="185">
        <v>1010.5</v>
      </c>
      <c r="H43" s="158">
        <f>IF(AND(ISNUMBER(D43), ISNUMBER(F43)),
    ROUNDDOWN(
        MIN(
            IF(OR(ISBLANK(I43), I43=""),
                EOMONTH(DATE(LOHNTABELLE!$G$3, $A$1, 1), 0), I43)
            - MAX(D43, DATE(LOHNTABELLE!$G$3, $A$1, 1)) + 1)
        / DAY(EOMONTH(DATE(LOHNTABELLE!$G$3, $A$1, 1), 0)) * F43,
        2
    ),
    ""
)</f>
        <v>86.5</v>
      </c>
      <c r="I43" s="19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193">
        <v>45904</v>
      </c>
      <c r="E44" s="134" t="s">
        <v>4</v>
      </c>
      <c r="F44" s="136">
        <v>86.5</v>
      </c>
      <c r="G44" s="185">
        <v>1010.5</v>
      </c>
      <c r="H44" s="158">
        <f>IF(AND(ISNUMBER(D44), ISNUMBER(F44)),
    ROUNDDOWN(
        MIN(
            IF(OR(ISBLANK(I44), I44=""),
                EOMONTH(DATE(LOHNTABELLE!$G$3, $A$1, 1), 0), I44)
            - MAX(D44, DATE(LOHNTABELLE!$G$3, $A$1, 1)) + 1)
        / DAY(EOMONTH(DATE(LOHNTABELLE!$G$3, $A$1, 1), 0)) * F44,
        2
    ),
    ""
)</f>
        <v>86.5</v>
      </c>
      <c r="I44" s="19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19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9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193">
        <v>45906</v>
      </c>
      <c r="E46" s="134" t="s">
        <v>4</v>
      </c>
      <c r="F46" s="136">
        <v>86.5</v>
      </c>
      <c r="G46" s="185">
        <v>1010.5</v>
      </c>
      <c r="H46" s="158">
        <f>IF(AND(ISNUMBER(D46), ISNUMBER(F46)),
    ROUNDDOWN(
        MIN(
            IF(OR(ISBLANK(I46), I46=""),
                EOMONTH(DATE(LOHNTABELLE!$G$3, $A$1, 1), 0), I46)
            - MAX(D46, DATE(LOHNTABELLE!$G$3, $A$1, 1)) + 1)
        / DAY(EOMONTH(DATE(LOHNTABELLE!$G$3, $A$1, 1), 0)) * F46,
        2
    ),
    ""
)</f>
        <v>86.5</v>
      </c>
      <c r="I46" s="19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193">
        <v>45909</v>
      </c>
      <c r="E47" s="134" t="s">
        <v>4</v>
      </c>
      <c r="F47" s="136">
        <v>86.5</v>
      </c>
      <c r="G47" s="185">
        <v>1010.5</v>
      </c>
      <c r="H47" s="158">
        <f>IF(AND(ISNUMBER(D47), ISNUMBER(F47)),
    ROUNDDOWN(
        MIN(
            IF(OR(ISBLANK(I47), I47=""),
                EOMONTH(DATE(LOHNTABELLE!$G$3, $A$1, 1), 0), I47)
            - MAX(D47, DATE(LOHNTABELLE!$G$3, $A$1, 1)) + 1)
        / DAY(EOMONTH(DATE(LOHNTABELLE!$G$3, $A$1, 1), 0)) * F47,
        2
    ),
    ""
)</f>
        <v>86.5</v>
      </c>
      <c r="I47" s="19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193">
        <v>45934</v>
      </c>
      <c r="E48" s="134" t="s">
        <v>4</v>
      </c>
      <c r="F48" s="136">
        <v>86.5</v>
      </c>
      <c r="G48" s="185">
        <v>1010.5</v>
      </c>
      <c r="H48" s="158">
        <f>IF(AND(ISNUMBER(D48), ISNUMBER(F48)),
    ROUNDDOWN(
        MIN(
            IF(OR(ISBLANK(I48), I48=""),
                EOMONTH(DATE(LOHNTABELLE!$G$3, $A$1, 1), 0), I48)
            - MAX(D48, DATE(LOHNTABELLE!$G$3, $A$1, 1)) + 1)
        / DAY(EOMONTH(DATE(LOHNTABELLE!$G$3, $A$1, 1), 0)) * F48,
        2
    ),
    ""
)</f>
        <v>86.5</v>
      </c>
      <c r="I48" s="19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193">
        <v>45941</v>
      </c>
      <c r="E49" s="134" t="s">
        <v>4</v>
      </c>
      <c r="F49" s="136">
        <v>86.5</v>
      </c>
      <c r="G49" s="185">
        <v>1010.5</v>
      </c>
      <c r="H49" s="158">
        <f>IF(AND(ISNUMBER(D49), ISNUMBER(F49)),
    ROUNDDOWN(
        MIN(
            IF(OR(ISBLANK(I49), I49=""),
                EOMONTH(DATE(LOHNTABELLE!$G$3, $A$1, 1), 0), I49)
            - MAX(D49, DATE(LOHNTABELLE!$G$3, $A$1, 1)) + 1)
        / DAY(EOMONTH(DATE(LOHNTABELLE!$G$3, $A$1, 1), 0)) * F49,
        2
    ),
    ""
)</f>
        <v>41.85</v>
      </c>
      <c r="I49" s="196">
        <v>46249</v>
      </c>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488.95161290322574</v>
      </c>
      <c r="M49" s="164"/>
      <c r="N49" s="147" t="s">
        <v>219</v>
      </c>
    </row>
    <row r="50" spans="1:14" ht="16" customHeight="1">
      <c r="A50" s="130" t="s">
        <v>136</v>
      </c>
      <c r="B50" s="170">
        <v>401747</v>
      </c>
      <c r="C50" s="137" t="s">
        <v>307</v>
      </c>
      <c r="D50" s="193">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9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193">
        <v>45941</v>
      </c>
      <c r="E51" s="134" t="s">
        <v>4</v>
      </c>
      <c r="F51" s="136">
        <v>86.5</v>
      </c>
      <c r="G51" s="185">
        <v>1010.5</v>
      </c>
      <c r="H51" s="158">
        <f>IF(AND(ISNUMBER(D51), ISNUMBER(F51)),
    ROUNDDOWN(
        MIN(
            IF(OR(ISBLANK(I51), I51=""),
                EOMONTH(DATE(LOHNTABELLE!$G$3, $A$1, 1), 0), I51)
            - MAX(D51, DATE(LOHNTABELLE!$G$3, $A$1, 1)) + 1)
        / DAY(EOMONTH(DATE(LOHNTABELLE!$G$3, $A$1, 1), 0)) * F51,
        2
    ),
    ""
)</f>
        <v>86.5</v>
      </c>
      <c r="I51" s="19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193">
        <v>45961</v>
      </c>
      <c r="E52" s="134" t="s">
        <v>4</v>
      </c>
      <c r="F52" s="136">
        <v>86.5</v>
      </c>
      <c r="G52" s="185">
        <v>1010.5</v>
      </c>
      <c r="H52" s="158">
        <f>IF(AND(ISNUMBER(D52), ISNUMBER(F52)),
    ROUNDDOWN(
        MIN(
            IF(OR(ISBLANK(I52), I52=""),
                EOMONTH(DATE(LOHNTABELLE!$G$3, $A$1, 1), 0), I52)
            - MAX(D52, DATE(LOHNTABELLE!$G$3, $A$1, 1)) + 1)
        / DAY(EOMONTH(DATE(LOHNTABELLE!$G$3, $A$1, 1), 0)) * F52,
        2
    ),
    ""
)</f>
        <v>86.5</v>
      </c>
      <c r="I52" s="19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9" t="s">
        <v>312</v>
      </c>
      <c r="D53" s="193">
        <v>45986</v>
      </c>
      <c r="E53" s="134" t="s">
        <v>4</v>
      </c>
      <c r="F53" s="136">
        <v>86.5</v>
      </c>
      <c r="G53" s="185">
        <v>1010.5</v>
      </c>
      <c r="H53" s="158">
        <f>IF(AND(ISNUMBER(D53), ISNUMBER(F53)),
    ROUNDDOWN(
        MIN(
            IF(OR(ISBLANK(I53), I53=""),
                EOMONTH(DATE(LOHNTABELLE!$G$3, $A$1, 1), 0), I53)
            - MAX(D53, DATE(LOHNTABELLE!$G$3, $A$1, 1)) + 1)
        / DAY(EOMONTH(DATE(LOHNTABELLE!$G$3, $A$1, 1), 0)) * F53,
        2
    ),
    ""
)</f>
        <v>86.5</v>
      </c>
      <c r="I53" s="19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355</v>
      </c>
      <c r="D54" s="193">
        <v>46082</v>
      </c>
      <c r="E54" s="134" t="s">
        <v>4</v>
      </c>
      <c r="F54" s="136">
        <v>173</v>
      </c>
      <c r="G54" s="185">
        <v>3500</v>
      </c>
      <c r="H54" s="158">
        <f>IF(AND(ISNUMBER(D54), ISNUMBER(F54)),
    ROUNDDOWN(
        MIN(
            IF(OR(ISBLANK(I54), I54=""),
                EOMONTH(DATE(LOHNTABELLE!$G$3, $A$1, 1), 0), I54)
            - MAX(D54, DATE(LOHNTABELLE!$G$3, $A$1, 1)) + 1)
        / DAY(EOMONTH(DATE(LOHNTABELLE!$G$3, $A$1, 1), 0)) * F54,
        2
    ),
    ""
)</f>
        <v>173</v>
      </c>
      <c r="I54" s="19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402000</v>
      </c>
      <c r="C55" s="137" t="s">
        <v>362</v>
      </c>
      <c r="D55" s="193">
        <v>46143</v>
      </c>
      <c r="E55" s="134" t="s">
        <v>4</v>
      </c>
      <c r="F55" s="136">
        <v>173</v>
      </c>
      <c r="G55" s="185">
        <v>3500</v>
      </c>
      <c r="H55" s="158">
        <f>IF(AND(ISNUMBER(D55), ISNUMBER(F55)),
    ROUNDDOWN(
        MIN(
            IF(OR(ISBLANK(I55), I55=""),
                EOMONTH(DATE(LOHNTABELLE!$G$3, $A$1, 1), 0), I55)
            - MAX(D55, DATE(LOHNTABELLE!$G$3, $A$1, 1)) + 1)
        / DAY(EOMONTH(DATE(LOHNTABELLE!$G$3, $A$1, 1), 0)) * F55,
        2
    ),
    ""
)</f>
        <v>173</v>
      </c>
      <c r="I55" s="19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v>402004</v>
      </c>
      <c r="C56" s="137" t="s">
        <v>364</v>
      </c>
      <c r="D56" s="193">
        <v>46122</v>
      </c>
      <c r="E56" s="134" t="s">
        <v>4</v>
      </c>
      <c r="F56" s="136">
        <v>173</v>
      </c>
      <c r="G56" s="185">
        <v>3500</v>
      </c>
      <c r="H56" s="158">
        <f>IF(AND(ISNUMBER(D56), ISNUMBER(F56)),
    ROUNDDOWN(
        MIN(
            IF(OR(ISBLANK(I56), I56=""),
                EOMONTH(DATE(LOHNTABELLE!$G$3, $A$1, 1), 0), I56)
            - MAX(D56, DATE(LOHNTABELLE!$G$3, $A$1, 1)) + 1)
        / DAY(EOMONTH(DATE(LOHNTABELLE!$G$3, $A$1, 1), 0)) * F56,
        2
    ),
    ""
)</f>
        <v>173</v>
      </c>
      <c r="I56" s="19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1" t="s">
        <v>143</v>
      </c>
      <c r="B57" s="170">
        <v>402405</v>
      </c>
      <c r="C57" s="137" t="s">
        <v>366</v>
      </c>
      <c r="D57" s="193">
        <v>46054</v>
      </c>
      <c r="E57" s="134" t="s">
        <v>4</v>
      </c>
      <c r="F57" s="136">
        <v>173</v>
      </c>
      <c r="G57" s="185">
        <v>3500</v>
      </c>
      <c r="H57" s="158">
        <f>IF(AND(ISNUMBER(D57), ISNUMBER(F57)),
    ROUNDDOWN(
        MIN(
            IF(OR(ISBLANK(I57), I57=""),
                EOMONTH(DATE(LOHNTABELLE!$G$3, $A$1, 1), 0), I57)
            - MAX(D57, DATE(LOHNTABELLE!$G$3, $A$1, 1)) + 1)
        / DAY(EOMONTH(DATE(LOHNTABELLE!$G$3, $A$1, 1), 0)) * F57,
        2
    ),
    ""
)</f>
        <v>173</v>
      </c>
      <c r="I57" s="19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3500</v>
      </c>
      <c r="M57" s="164"/>
      <c r="N57" s="147"/>
    </row>
    <row r="58" spans="1:14" ht="16" customHeight="1">
      <c r="A58" s="130" t="s">
        <v>144</v>
      </c>
      <c r="B58" s="170">
        <v>500600</v>
      </c>
      <c r="C58" s="137" t="s">
        <v>371</v>
      </c>
      <c r="D58" s="193">
        <v>46054</v>
      </c>
      <c r="E58" s="134" t="s">
        <v>4</v>
      </c>
      <c r="F58" s="136">
        <v>129.75</v>
      </c>
      <c r="G58" s="185">
        <v>1515.75</v>
      </c>
      <c r="H58" s="158">
        <f>IF(AND(ISNUMBER(D58), ISNUMBER(F58)),
    ROUNDDOWN(
        MIN(
            IF(OR(ISBLANK(I58), I58=""),
                EOMONTH(DATE(LOHNTABELLE!$G$3, $A$1, 1), 0), I58)
            - MAX(D58, DATE(LOHNTABELLE!$G$3, $A$1, 1)) + 1)
        / DAY(EOMONTH(DATE(LOHNTABELLE!$G$3, $A$1, 1), 0)) * F58,
        2
    ),
    ""
)</f>
        <v>129.75</v>
      </c>
      <c r="I58" s="19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1515.75</v>
      </c>
      <c r="M58" s="164"/>
      <c r="N58" s="147"/>
    </row>
    <row r="59" spans="1:14" ht="16" customHeight="1">
      <c r="A59" s="130" t="s">
        <v>145</v>
      </c>
      <c r="B59" s="170">
        <v>502000</v>
      </c>
      <c r="C59" s="137" t="s">
        <v>365</v>
      </c>
      <c r="D59" s="193">
        <v>46147</v>
      </c>
      <c r="E59" s="134" t="s">
        <v>4</v>
      </c>
      <c r="F59" s="136">
        <v>173</v>
      </c>
      <c r="G59" s="185">
        <v>3500</v>
      </c>
      <c r="H59" s="158">
        <f>IF(AND(ISNUMBER(D59), ISNUMBER(F59)),
    ROUNDDOWN(
        MIN(
            IF(OR(ISBLANK(I59), I59=""),
                EOMONTH(DATE(LOHNTABELLE!$G$3, $A$1, 1), 0), I59)
            - MAX(D59, DATE(LOHNTABELLE!$G$3, $A$1, 1)) + 1)
        / DAY(EOMONTH(DATE(LOHNTABELLE!$G$3, $A$1, 1), 0)) * F59,
        2
    ),
    ""
)</f>
        <v>173</v>
      </c>
      <c r="I59" s="19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503000</v>
      </c>
      <c r="C60" s="137" t="s">
        <v>368</v>
      </c>
      <c r="D60" s="193">
        <v>42401</v>
      </c>
      <c r="E60" s="134" t="s">
        <v>4</v>
      </c>
      <c r="F60" s="136">
        <v>173</v>
      </c>
      <c r="G60" s="185">
        <v>3500</v>
      </c>
      <c r="H60" s="158">
        <f>IF(AND(ISNUMBER(D60), ISNUMBER(F60)),
    ROUNDDOWN(
        MIN(
            IF(OR(ISBLANK(I60), I60=""),
                EOMONTH(DATE(LOHNTABELLE!$G$3, $A$1, 1), 0), I60)
            - MAX(D60, DATE(LOHNTABELLE!$G$3, $A$1, 1)) + 1)
        / DAY(EOMONTH(DATE(LOHNTABELLE!$G$3, $A$1, 1), 0)) * F60,
        2
    ),
    ""
)</f>
        <v>173</v>
      </c>
      <c r="I60" s="19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3500</v>
      </c>
      <c r="M60" s="164"/>
      <c r="N60" s="147"/>
    </row>
    <row r="61" spans="1:14" ht="16" customHeight="1">
      <c r="A61" s="131" t="s">
        <v>147</v>
      </c>
      <c r="B61" s="170">
        <v>504000</v>
      </c>
      <c r="C61" s="137" t="s">
        <v>369</v>
      </c>
      <c r="D61" s="193">
        <v>46054</v>
      </c>
      <c r="E61" s="134" t="s">
        <v>8</v>
      </c>
      <c r="F61" s="136">
        <v>138.4</v>
      </c>
      <c r="G61" s="185">
        <v>1665.6</v>
      </c>
      <c r="H61" s="158">
        <f>IF(AND(ISNUMBER(D61), ISNUMBER(F61)),
    ROUNDDOWN(
        MIN(
            IF(OR(ISBLANK(I61), I61=""),
                EOMONTH(DATE(LOHNTABELLE!$G$3, $A$1, 1), 0), I61)
            - MAX(D61, DATE(LOHNTABELLE!$G$3, $A$1, 1)) + 1)
        / DAY(EOMONTH(DATE(LOHNTABELLE!$G$3, $A$1, 1), 0)) * F61,
        2
    ),
    ""
)</f>
        <v>138.4</v>
      </c>
      <c r="I61" s="19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1665.6</v>
      </c>
      <c r="M61" s="164"/>
      <c r="N61" s="147"/>
    </row>
    <row r="62" spans="1:14" ht="16" customHeight="1">
      <c r="A62" s="130" t="s">
        <v>148</v>
      </c>
      <c r="B62" s="170">
        <v>505000</v>
      </c>
      <c r="C62" s="137" t="s">
        <v>370</v>
      </c>
      <c r="D62" s="193">
        <v>46054</v>
      </c>
      <c r="E62" s="134" t="s">
        <v>4</v>
      </c>
      <c r="F62" s="136">
        <v>138.4</v>
      </c>
      <c r="G62" s="185">
        <v>1616.8</v>
      </c>
      <c r="H62" s="158">
        <f>IF(AND(ISNUMBER(D62), ISNUMBER(F62)),
    ROUNDDOWN(
        MIN(
            IF(OR(ISBLANK(I62), I62=""),
                EOMONTH(DATE(LOHNTABELLE!$G$3, $A$1, 1), 0), I62)
            - MAX(D62, DATE(LOHNTABELLE!$G$3, $A$1, 1)) + 1)
        / DAY(EOMONTH(DATE(LOHNTABELLE!$G$3, $A$1, 1), 0)) * F62,
        2
    ),
    ""
)</f>
        <v>138.4</v>
      </c>
      <c r="I62" s="19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1616.8</v>
      </c>
      <c r="M62" s="164"/>
      <c r="N62" s="147"/>
    </row>
    <row r="63" spans="1:14" ht="16" customHeight="1">
      <c r="A63" s="130" t="s">
        <v>149</v>
      </c>
      <c r="B63" s="170"/>
      <c r="C63" s="137"/>
      <c r="D63" s="193"/>
      <c r="E63" s="134"/>
      <c r="F63" s="136"/>
      <c r="G63" s="185"/>
      <c r="H63" s="158" t="str">
        <f>IF(AND(ISNUMBER(D63), ISNUMBER(F63)),
    ROUNDDOWN(
        MIN(
            IF(OR(ISBLANK(I63), I63=""),
                EOMONTH(DATE(LOHNTABELLE!$G$3, $A$1, 1), 0), I63)
            - MAX(D63, DATE(LOHNTABELLE!$G$3, $A$1, 1)) + 1)
        / DAY(EOMONTH(DATE(LOHNTABELLE!$G$3, $A$1, 1), 0)) * F63,
        2
    ),
    ""
)</f>
        <v/>
      </c>
      <c r="I63" s="19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193"/>
      <c r="E64" s="134"/>
      <c r="F64" s="136"/>
      <c r="G64" s="185"/>
      <c r="H64" s="158" t="str">
        <f>IF(AND(ISNUMBER(D64), ISNUMBER(F64)),
    ROUNDDOWN(
        MIN(
            IF(OR(ISBLANK(I64), I64=""),
                EOMONTH(DATE(LOHNTABELLE!$G$3, $A$1, 1), 0), I64)
            - MAX(D64, DATE(LOHNTABELLE!$G$3, $A$1, 1)) + 1)
        / DAY(EOMONTH(DATE(LOHNTABELLE!$G$3, $A$1, 1), 0)) * F64,
        2
    ),
    ""
)</f>
        <v/>
      </c>
      <c r="I64" s="19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93"/>
      <c r="E65" s="134"/>
      <c r="F65" s="136"/>
      <c r="G65" s="185"/>
      <c r="H65" s="158" t="str">
        <f>IF(AND(ISNUMBER(D65), ISNUMBER(F65)),
    ROUNDDOWN(
        MIN(
            IF(OR(ISBLANK(I65), I65=""),
                EOMONTH(DATE(LOHNTABELLE!$G$3, $A$1, 1), 0), I65)
            - MAX(D65, DATE(LOHNTABELLE!$G$3, $A$1, 1)) + 1)
        / DAY(EOMONTH(DATE(LOHNTABELLE!$G$3, $A$1, 1), 0)) * F65,
        2
    ),
    ""
)</f>
        <v/>
      </c>
      <c r="I65" s="19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93"/>
      <c r="E66" s="134"/>
      <c r="F66" s="136"/>
      <c r="G66" s="185"/>
      <c r="H66" s="158" t="str">
        <f>IF(AND(ISNUMBER(D66), ISNUMBER(F66)),
    ROUNDDOWN(
        MIN(
            IF(OR(ISBLANK(I66), I66=""),
                EOMONTH(DATE(LOHNTABELLE!$G$3, $A$1, 1), 0), I66)
            - MAX(D66, DATE(LOHNTABELLE!$G$3, $A$1, 1)) + 1)
        / DAY(EOMONTH(DATE(LOHNTABELLE!$G$3, $A$1, 1), 0)) * F66,
        2
    ),
    ""
)</f>
        <v/>
      </c>
      <c r="I66" s="19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93"/>
      <c r="E67" s="134"/>
      <c r="F67" s="136"/>
      <c r="G67" s="185"/>
      <c r="H67" s="158" t="str">
        <f>IF(AND(ISNUMBER(D67), ISNUMBER(F67)),
    ROUNDDOWN(
        MIN(
            IF(OR(ISBLANK(I67), I67=""),
                EOMONTH(DATE(LOHNTABELLE!$G$3, $A$1, 1), 0), I67)
            - MAX(D67, DATE(LOHNTABELLE!$G$3, $A$1, 1)) + 1)
        / DAY(EOMONTH(DATE(LOHNTABELLE!$G$3, $A$1, 1), 0)) * F67,
        2
    ),
    ""
)</f>
        <v/>
      </c>
      <c r="I67" s="19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93"/>
      <c r="E68" s="134"/>
      <c r="F68" s="136"/>
      <c r="G68" s="185"/>
      <c r="H68" s="158" t="str">
        <f>IF(AND(ISNUMBER(D68), ISNUMBER(F68)),
    ROUNDDOWN(
        MIN(
            IF(OR(ISBLANK(I68), I68=""),
                EOMONTH(DATE(LOHNTABELLE!$G$3, $A$1, 1), 0), I68)
            - MAX(D68, DATE(LOHNTABELLE!$G$3, $A$1, 1)) + 1)
        / DAY(EOMONTH(DATE(LOHNTABELLE!$G$3, $A$1, 1), 0)) * F68,
        2
    ),
    ""
)</f>
        <v/>
      </c>
      <c r="I68" s="19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93"/>
      <c r="E69" s="134"/>
      <c r="F69" s="136"/>
      <c r="G69" s="185"/>
      <c r="H69" s="158" t="str">
        <f>IF(AND(ISNUMBER(D69), ISNUMBER(F69)),
    ROUNDDOWN(
        MIN(
            IF(OR(ISBLANK(I69), I69=""),
                EOMONTH(DATE(LOHNTABELLE!$G$3, $A$1, 1), 0), I69)
            - MAX(D69, DATE(LOHNTABELLE!$G$3, $A$1, 1)) + 1)
        / DAY(EOMONTH(DATE(LOHNTABELLE!$G$3, $A$1, 1), 0)) * F69,
        2
    ),
    ""
)</f>
        <v/>
      </c>
      <c r="I69" s="19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93"/>
      <c r="E70" s="134"/>
      <c r="F70" s="136"/>
      <c r="G70" s="185"/>
      <c r="H70" s="158" t="str">
        <f>IF(AND(ISNUMBER(D70), ISNUMBER(F70)),
    ROUNDDOWN(
        MIN(
            IF(OR(ISBLANK(I70), I70=""),
                EOMONTH(DATE(LOHNTABELLE!$G$3, $A$1, 1), 0), I70)
            - MAX(D70, DATE(LOHNTABELLE!$G$3, $A$1, 1)) + 1)
        / DAY(EOMONTH(DATE(LOHNTABELLE!$G$3, $A$1, 1), 0)) * F70,
        2
    ),
    ""
)</f>
        <v/>
      </c>
      <c r="I70" s="19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93"/>
      <c r="E71" s="134"/>
      <c r="F71" s="136"/>
      <c r="G71" s="185"/>
      <c r="H71" s="158" t="str">
        <f>IF(AND(ISNUMBER(D71), ISNUMBER(F71)),
    ROUNDDOWN(
        MIN(
            IF(OR(ISBLANK(I71), I71=""),
                EOMONTH(DATE(LOHNTABELLE!$G$3, $A$1, 1), 0), I71)
            - MAX(D71, DATE(LOHNTABELLE!$G$3, $A$1, 1)) + 1)
        / DAY(EOMONTH(DATE(LOHNTABELLE!$G$3, $A$1, 1), 0)) * F71,
        2
    ),
    ""
)</f>
        <v/>
      </c>
      <c r="I71" s="19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93"/>
      <c r="E72" s="134"/>
      <c r="F72" s="136"/>
      <c r="G72" s="185"/>
      <c r="H72" s="158" t="str">
        <f>IF(AND(ISNUMBER(D72), ISNUMBER(F72)),
    ROUNDDOWN(
        MIN(
            IF(OR(ISBLANK(I72), I72=""),
                EOMONTH(DATE(LOHNTABELLE!$G$3, $A$1, 1), 0), I72)
            - MAX(D72, DATE(LOHNTABELLE!$G$3, $A$1, 1)) + 1)
        / DAY(EOMONTH(DATE(LOHNTABELLE!$G$3, $A$1, 1), 0)) * F72,
        2
    ),
    ""
)</f>
        <v/>
      </c>
      <c r="I72" s="19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93"/>
      <c r="E73" s="134"/>
      <c r="F73" s="136"/>
      <c r="G73" s="185"/>
      <c r="H73" s="158" t="str">
        <f>IF(AND(ISNUMBER(D73), ISNUMBER(F73)),
    ROUNDDOWN(
        MIN(
            IF(OR(ISBLANK(I73), I73=""),
                EOMONTH(DATE(LOHNTABELLE!$G$3, $A$1, 1), 0), I73)
            - MAX(D73, DATE(LOHNTABELLE!$G$3, $A$1, 1)) + 1)
        / DAY(EOMONTH(DATE(LOHNTABELLE!$G$3, $A$1, 1), 0)) * F73,
        2
    ),
    ""
)</f>
        <v/>
      </c>
      <c r="I73" s="19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93"/>
      <c r="E74" s="134"/>
      <c r="F74" s="136"/>
      <c r="G74" s="185"/>
      <c r="H74" s="158" t="str">
        <f>IF(AND(ISNUMBER(D74), ISNUMBER(F74)),
    ROUNDDOWN(
        MIN(
            IF(OR(ISBLANK(I74), I74=""),
                EOMONTH(DATE(LOHNTABELLE!$G$3, $A$1, 1), 0), I74)
            - MAX(D74, DATE(LOHNTABELLE!$G$3, $A$1, 1)) + 1)
        / DAY(EOMONTH(DATE(LOHNTABELLE!$G$3, $A$1, 1), 0)) * F74,
        2
    ),
    ""
)</f>
        <v/>
      </c>
      <c r="I74" s="19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93"/>
      <c r="E75" s="134"/>
      <c r="F75" s="136"/>
      <c r="G75" s="185"/>
      <c r="H75" s="158" t="str">
        <f>IF(AND(ISNUMBER(D75), ISNUMBER(F75)),
    ROUNDDOWN(
        MIN(
            IF(OR(ISBLANK(I75), I75=""),
                EOMONTH(DATE(LOHNTABELLE!$G$3, $A$1, 1), 0), I75)
            - MAX(D75, DATE(LOHNTABELLE!$G$3, $A$1, 1)) + 1)
        / DAY(EOMONTH(DATE(LOHNTABELLE!$G$3, $A$1, 1), 0)) * F75,
        2
    ),
    ""
)</f>
        <v/>
      </c>
      <c r="I75" s="19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93"/>
      <c r="E76" s="134"/>
      <c r="F76" s="136"/>
      <c r="G76" s="185"/>
      <c r="H76" s="158" t="str">
        <f>IF(AND(ISNUMBER(D76), ISNUMBER(F76)),
    ROUNDDOWN(
        MIN(
            IF(OR(ISBLANK(I76), I76=""),
                EOMONTH(DATE(LOHNTABELLE!$G$3, $A$1, 1), 0), I76)
            - MAX(D76, DATE(LOHNTABELLE!$G$3, $A$1, 1)) + 1)
        / DAY(EOMONTH(DATE(LOHNTABELLE!$G$3, $A$1, 1), 0)) * F76,
        2
    ),
    ""
)</f>
        <v/>
      </c>
      <c r="I76" s="19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93"/>
      <c r="E77" s="134"/>
      <c r="F77" s="136"/>
      <c r="G77" s="185"/>
      <c r="H77" s="158" t="str">
        <f>IF(AND(ISNUMBER(D77), ISNUMBER(F77)),
    ROUNDDOWN(
        MIN(
            IF(OR(ISBLANK(I77), I77=""),
                EOMONTH(DATE(LOHNTABELLE!$G$3, $A$1, 1), 0), I77)
            - MAX(D77, DATE(LOHNTABELLE!$G$3, $A$1, 1)) + 1)
        / DAY(EOMONTH(DATE(LOHNTABELLE!$G$3, $A$1, 1), 0)) * F77,
        2
    ),
    ""
)</f>
        <v/>
      </c>
      <c r="I77" s="19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93"/>
      <c r="E78" s="134"/>
      <c r="F78" s="136"/>
      <c r="G78" s="185"/>
      <c r="H78" s="158" t="str">
        <f>IF(AND(ISNUMBER(D78), ISNUMBER(F78)),
    ROUNDDOWN(
        MIN(
            IF(OR(ISBLANK(I78), I78=""),
                EOMONTH(DATE(LOHNTABELLE!$G$3, $A$1, 1), 0), I78)
            - MAX(D78, DATE(LOHNTABELLE!$G$3, $A$1, 1)) + 1)
        / DAY(EOMONTH(DATE(LOHNTABELLE!$G$3, $A$1, 1), 0)) * F78,
        2
    ),
    ""
)</f>
        <v/>
      </c>
      <c r="I78" s="19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93"/>
      <c r="E79" s="134"/>
      <c r="F79" s="136"/>
      <c r="G79" s="185"/>
      <c r="H79" s="158" t="str">
        <f>IF(AND(ISNUMBER(D79), ISNUMBER(F79)),
    ROUNDDOWN(
        MIN(
            IF(OR(ISBLANK(I79), I79=""),
                EOMONTH(DATE(LOHNTABELLE!$G$3, $A$1, 1), 0), I79)
            - MAX(D79, DATE(LOHNTABELLE!$G$3, $A$1, 1)) + 1)
        / DAY(EOMONTH(DATE(LOHNTABELLE!$G$3, $A$1, 1), 0)) * F79,
        2
    ),
    ""
)</f>
        <v/>
      </c>
      <c r="I79" s="19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93"/>
      <c r="E80" s="134"/>
      <c r="F80" s="136"/>
      <c r="G80" s="185"/>
      <c r="H80" s="158" t="str">
        <f>IF(AND(ISNUMBER(D80), ISNUMBER(F80)),
    ROUNDDOWN(
        MIN(
            IF(OR(ISBLANK(I80), I80=""),
                EOMONTH(DATE(LOHNTABELLE!$G$3, $A$1, 1), 0), I80)
            - MAX(D80, DATE(LOHNTABELLE!$G$3, $A$1, 1)) + 1)
        / DAY(EOMONTH(DATE(LOHNTABELLE!$G$3, $A$1, 1), 0)) * F80,
        2
    ),
    ""
)</f>
        <v/>
      </c>
      <c r="I80" s="19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93"/>
      <c r="E81" s="134"/>
      <c r="F81" s="136"/>
      <c r="G81" s="185"/>
      <c r="H81" s="158" t="str">
        <f>IF(AND(ISNUMBER(D81), ISNUMBER(F81)),
    ROUNDDOWN(
        MIN(
            IF(OR(ISBLANK(I81), I81=""),
                EOMONTH(DATE(LOHNTABELLE!$G$3, $A$1, 1), 0), I81)
            - MAX(D81, DATE(LOHNTABELLE!$G$3, $A$1, 1)) + 1)
        / DAY(EOMONTH(DATE(LOHNTABELLE!$G$3, $A$1, 1), 0)) * F81,
        2
    ),
    ""
)</f>
        <v/>
      </c>
      <c r="I81" s="19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94"/>
      <c r="E82" s="150"/>
      <c r="F82" s="151"/>
      <c r="G82" s="186"/>
      <c r="H82" s="159" t="str">
        <f>IF(AND(ISNUMBER(D82), ISNUMBER(F82)),
    ROUNDDOWN(
        MIN(
            IF(OR(ISBLANK(I82), I82=""),
                EOMONTH(DATE(LOHNTABELLE!$G$3, $A$1, 1), 0), I82)
            - MAX(D82, DATE(LOHNTABELLE!$G$3, $A$1, 1)) + 1)
        / DAY(EOMONTH(DATE(LOHNTABELLE!$G$3, $A$1, 1), 0)) * F82,
        2
    ),
    ""
)</f>
        <v/>
      </c>
      <c r="I82" s="19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ZED6yL7E76qTT8OcLIhca4Hpg15M702DUKWz1Q7Ua1hbgohKUMhfvg7Dz3pden9wnSBTnI96igl+3I6EqFtzdQ==" saltValue="cxBWVXLM1swTWXPdYoYkGw==" spinCount="100000" sheet="1" objects="1" scenarios="1" sort="0" autoFilter="0"/>
  <sortState xmlns:xlrd2="http://schemas.microsoft.com/office/spreadsheetml/2017/richdata2" ref="B3:N82">
    <sortCondition ref="B3:B82"/>
    <sortCondition ref="C3:C82"/>
  </sortState>
  <mergeCells count="96">
    <mergeCell ref="B1:B2"/>
    <mergeCell ref="N1:N2"/>
    <mergeCell ref="Q9:R9"/>
    <mergeCell ref="O10:P10"/>
    <mergeCell ref="Q10:R10"/>
    <mergeCell ref="H1:H2"/>
    <mergeCell ref="C1:C2"/>
    <mergeCell ref="D1:D2"/>
    <mergeCell ref="E1:E2"/>
    <mergeCell ref="F1:F2"/>
    <mergeCell ref="G1:G2"/>
    <mergeCell ref="Q3:Q4"/>
    <mergeCell ref="R3:R4"/>
    <mergeCell ref="O6:R6"/>
    <mergeCell ref="O8:P8"/>
    <mergeCell ref="Q8:R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0:R20"/>
    <mergeCell ref="O21:P21"/>
    <mergeCell ref="Q21:R21"/>
    <mergeCell ref="O11:P11"/>
    <mergeCell ref="Q11:R11"/>
    <mergeCell ref="O12:P12"/>
    <mergeCell ref="Q12:R12"/>
    <mergeCell ref="O13:P13"/>
    <mergeCell ref="Q13:R13"/>
    <mergeCell ref="O14:P14"/>
    <mergeCell ref="Q14:R14"/>
    <mergeCell ref="O15:R15"/>
    <mergeCell ref="O17:P17"/>
    <mergeCell ref="Q17:R17"/>
    <mergeCell ref="O18:P18"/>
    <mergeCell ref="Q18:R18"/>
    <mergeCell ref="Q19:R19"/>
    <mergeCell ref="O31:P31"/>
    <mergeCell ref="Q31:R31"/>
    <mergeCell ref="O33:P34"/>
    <mergeCell ref="Q33:R34"/>
    <mergeCell ref="O22:P22"/>
    <mergeCell ref="Q22:R22"/>
    <mergeCell ref="O23:P23"/>
    <mergeCell ref="Q23:R23"/>
    <mergeCell ref="O24:P24"/>
    <mergeCell ref="Q24:R24"/>
    <mergeCell ref="O25:P25"/>
    <mergeCell ref="Q25:R25"/>
    <mergeCell ref="O26:P26"/>
    <mergeCell ref="Q26:R26"/>
    <mergeCell ref="Q27:R27"/>
    <mergeCell ref="Q28:R28"/>
    <mergeCell ref="O29:P29"/>
    <mergeCell ref="Q29:R29"/>
    <mergeCell ref="O38:P38"/>
    <mergeCell ref="Q38:R38"/>
    <mergeCell ref="S38:T38"/>
    <mergeCell ref="U38:V38"/>
    <mergeCell ref="S39:T39"/>
    <mergeCell ref="U39:V39"/>
    <mergeCell ref="Q39:R39"/>
    <mergeCell ref="S27:V27"/>
    <mergeCell ref="O37:P37"/>
    <mergeCell ref="Q37:R37"/>
    <mergeCell ref="S37:T37"/>
    <mergeCell ref="U37:V37"/>
    <mergeCell ref="S33:T34"/>
    <mergeCell ref="U33:V34"/>
    <mergeCell ref="O35:P35"/>
    <mergeCell ref="Q35:R35"/>
    <mergeCell ref="S35:T35"/>
    <mergeCell ref="U35:V35"/>
    <mergeCell ref="O36:P36"/>
    <mergeCell ref="Q36:R36"/>
    <mergeCell ref="S36:T36"/>
    <mergeCell ref="U36:V36"/>
    <mergeCell ref="O27:P27"/>
    <mergeCell ref="S40:T40"/>
    <mergeCell ref="U40:V40"/>
    <mergeCell ref="S41:T41"/>
    <mergeCell ref="U41:V41"/>
    <mergeCell ref="Q42:V42"/>
    <mergeCell ref="Q40:R40"/>
    <mergeCell ref="Q41:R41"/>
  </mergeCells>
  <phoneticPr fontId="15" type="noConversion"/>
  <dataValidations count="62">
    <dataValidation type="date" showInputMessage="1" showErrorMessage="1" sqref="I3:I82" xr:uid="{3FA1C798-270B-49F9-8A91-A9D3CFCE6184}">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717CF47F-6F63-174B-89D5-FBFB8892FCCE}">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138683A5-99DF-D84F-BD7F-A1F594738C84}">
      <formula1>KV_DD_AUGUST_3</formula1>
    </dataValidation>
    <dataValidation type="list" allowBlank="1" showInputMessage="1" showErrorMessage="1" sqref="F4" xr:uid="{DFCD4F77-169B-8740-B266-A71F625AAC54}">
      <formula1>KV_DD_AUGUST_4</formula1>
    </dataValidation>
    <dataValidation type="list" allowBlank="1" showInputMessage="1" showErrorMessage="1" sqref="F5" xr:uid="{3C9B8AE2-F60A-1C45-AB03-510BC75BFCDE}">
      <formula1>KV_DD_AUGUST_5</formula1>
    </dataValidation>
    <dataValidation type="list" allowBlank="1" showInputMessage="1" showErrorMessage="1" sqref="F6" xr:uid="{8BA7B030-8A45-2749-A153-DC40292C13E5}">
      <formula1>KV_DD_AUGUST_6</formula1>
    </dataValidation>
    <dataValidation type="list" allowBlank="1" showInputMessage="1" showErrorMessage="1" sqref="F7" xr:uid="{BE97ABE7-E63A-4B44-8A8D-7C7459DB19E0}">
      <formula1>KV_DD_AUGUST_7</formula1>
    </dataValidation>
    <dataValidation type="list" allowBlank="1" showInputMessage="1" showErrorMessage="1" sqref="F8" xr:uid="{D29626C2-F761-E641-ADDF-A297F58E0E0D}">
      <formula1>KV_DD_AUGUST_8</formula1>
    </dataValidation>
    <dataValidation type="list" allowBlank="1" showInputMessage="1" showErrorMessage="1" sqref="F9" xr:uid="{06D4D9D7-565A-7A47-9BCF-DA305E07DA48}">
      <formula1>KV_DD_AUGUST_9</formula1>
    </dataValidation>
    <dataValidation type="list" allowBlank="1" showInputMessage="1" showErrorMessage="1" sqref="F10" xr:uid="{D52BDCA8-B2E9-4E41-B122-D2F0D1B05498}">
      <formula1>KV_DD_AUGUST_10</formula1>
    </dataValidation>
    <dataValidation type="list" allowBlank="1" showInputMessage="1" showErrorMessage="1" sqref="F11" xr:uid="{FFFE84FF-B936-E544-A520-628C0A6E028B}">
      <formula1>KV_DD_AUGUST_11</formula1>
    </dataValidation>
    <dataValidation type="list" allowBlank="1" showInputMessage="1" showErrorMessage="1" sqref="F12" xr:uid="{B4D8A568-C5F6-A24E-9C74-A894769ED713}">
      <formula1>KV_DD_AUGUST_12</formula1>
    </dataValidation>
    <dataValidation type="list" allowBlank="1" showInputMessage="1" showErrorMessage="1" sqref="F13" xr:uid="{3AD2EF77-C7FB-A443-BB4E-9C75FDC30C5D}">
      <formula1>KV_DD_AUGUST_13</formula1>
    </dataValidation>
    <dataValidation type="list" allowBlank="1" showInputMessage="1" showErrorMessage="1" sqref="F14" xr:uid="{32DCD156-A4B4-8F4F-8D4D-C650790EF875}">
      <formula1>KV_DD_AUGUST_14</formula1>
    </dataValidation>
    <dataValidation type="list" allowBlank="1" showInputMessage="1" showErrorMessage="1" sqref="F15" xr:uid="{DAC5AE86-2D32-6D4A-93FD-AD11AB8DBCB4}">
      <formula1>KV_DD_AUGUST_15</formula1>
    </dataValidation>
    <dataValidation type="list" allowBlank="1" showInputMessage="1" showErrorMessage="1" sqref="F16" xr:uid="{C24B2DDD-7A59-7A40-BFF7-D4949322BDDB}">
      <formula1>KV_DD_AUGUST_16</formula1>
    </dataValidation>
    <dataValidation type="list" allowBlank="1" showInputMessage="1" showErrorMessage="1" sqref="F17" xr:uid="{59BBE4A8-AD68-7B43-A3EB-4E5C150CAFA9}">
      <formula1>KV_DD_AUGUST_17</formula1>
    </dataValidation>
    <dataValidation type="list" allowBlank="1" showInputMessage="1" showErrorMessage="1" sqref="F18" xr:uid="{07471820-2AEA-904E-8379-453F0DB2F03F}">
      <formula1>KV_DD_AUGUST_18</formula1>
    </dataValidation>
    <dataValidation type="list" allowBlank="1" showInputMessage="1" showErrorMessage="1" sqref="F19" xr:uid="{1A5C6F4B-4C25-BA43-A82B-83F693B68C06}">
      <formula1>KV_DD_AUGUST_19</formula1>
    </dataValidation>
    <dataValidation type="list" allowBlank="1" showInputMessage="1" showErrorMessage="1" sqref="F20" xr:uid="{0DB79DCB-52C5-9D42-AF91-C7765E047643}">
      <formula1>KV_DD_AUGUST_20</formula1>
    </dataValidation>
    <dataValidation type="list" allowBlank="1" showInputMessage="1" showErrorMessage="1" sqref="F21" xr:uid="{312C7780-9E87-DF40-A0FF-22EB6ED197A7}">
      <formula1>KV_DD_AUGUST_21</formula1>
    </dataValidation>
    <dataValidation type="list" allowBlank="1" showInputMessage="1" showErrorMessage="1" sqref="F22" xr:uid="{4F62EB83-9956-4E4B-B401-4C71FA074247}">
      <formula1>KV_DD_AUGUST_22</formula1>
    </dataValidation>
    <dataValidation type="list" allowBlank="1" showInputMessage="1" showErrorMessage="1" sqref="F23" xr:uid="{81E9370A-1A6D-E34C-B813-CA49BD6D0183}">
      <formula1>KV_DD_AUGUST_23</formula1>
    </dataValidation>
    <dataValidation type="list" allowBlank="1" showInputMessage="1" showErrorMessage="1" sqref="F24" xr:uid="{FE71ED44-2055-194A-B9C9-0EFC1D0D9C87}">
      <formula1>KV_DD_AUGUST_24</formula1>
    </dataValidation>
    <dataValidation type="list" allowBlank="1" showInputMessage="1" showErrorMessage="1" sqref="F25" xr:uid="{63ACB6DE-D5B2-5242-B1CB-68BB1749F942}">
      <formula1>KV_DD_AUGUST_25</formula1>
    </dataValidation>
    <dataValidation type="list" allowBlank="1" showInputMessage="1" showErrorMessage="1" sqref="F26" xr:uid="{C7B545B8-3F02-5948-8525-44CF6BEDA4CB}">
      <formula1>KV_DD_AUGUST_26</formula1>
    </dataValidation>
    <dataValidation type="list" allowBlank="1" showInputMessage="1" showErrorMessage="1" sqref="F27" xr:uid="{2C7E7ACB-B7B3-2446-8AB2-F316B16A461C}">
      <formula1>KV_DD_AUGUST_27</formula1>
    </dataValidation>
    <dataValidation type="list" allowBlank="1" showInputMessage="1" showErrorMessage="1" sqref="F28" xr:uid="{05596532-DED3-2848-9196-008405EBBC7E}">
      <formula1>KV_DD_AUGUST_28</formula1>
    </dataValidation>
    <dataValidation type="list" allowBlank="1" showInputMessage="1" showErrorMessage="1" sqref="F29" xr:uid="{A92B88EF-04B1-4A44-91D2-34ED106B640D}">
      <formula1>KV_DD_AUGUST_29</formula1>
    </dataValidation>
    <dataValidation type="list" allowBlank="1" showInputMessage="1" showErrorMessage="1" sqref="F30" xr:uid="{3B40B136-A478-754A-A1F4-24BB337E6643}">
      <formula1>KV_DD_AUGUST_30</formula1>
    </dataValidation>
    <dataValidation type="list" allowBlank="1" showInputMessage="1" showErrorMessage="1" sqref="F31" xr:uid="{1F4EC1D2-6CBF-A344-A8D1-42CD8F0B9F5B}">
      <formula1>KV_DD_AUGUST_31</formula1>
    </dataValidation>
    <dataValidation type="list" allowBlank="1" showInputMessage="1" showErrorMessage="1" sqref="F32" xr:uid="{33CB635B-3793-784D-97B4-AC9D36E1B042}">
      <formula1>KV_DD_AUGUST_32</formula1>
    </dataValidation>
    <dataValidation type="list" allowBlank="1" showInputMessage="1" showErrorMessage="1" sqref="F33" xr:uid="{92870ED4-B88B-ED47-A207-E86BBDF790A6}">
      <formula1>KV_DD_AUGUST_33</formula1>
    </dataValidation>
    <dataValidation type="list" allowBlank="1" showInputMessage="1" showErrorMessage="1" sqref="F34" xr:uid="{5F833BC9-C218-824E-841A-0EFA5C6123F0}">
      <formula1>KV_DD_AUGUST_34</formula1>
    </dataValidation>
    <dataValidation type="list" allowBlank="1" showInputMessage="1" showErrorMessage="1" sqref="F35" xr:uid="{6DDDCE83-0016-0246-A618-CAAEA2575DBE}">
      <formula1>KV_DD_AUGUST_35</formula1>
    </dataValidation>
    <dataValidation type="list" allowBlank="1" showInputMessage="1" showErrorMessage="1" sqref="F36" xr:uid="{7021A112-AD85-4745-ACB3-498618C46F1C}">
      <formula1>KV_DD_AUGUST_36</formula1>
    </dataValidation>
    <dataValidation type="list" allowBlank="1" showInputMessage="1" showErrorMessage="1" sqref="F37" xr:uid="{9A07162D-D3B7-D948-B8F4-1FC808A5924E}">
      <formula1>KV_DD_AUGUST_37</formula1>
    </dataValidation>
    <dataValidation type="list" allowBlank="1" showInputMessage="1" showErrorMessage="1" sqref="F38" xr:uid="{D4B13FFB-1656-2243-A6BC-2DC58A987991}">
      <formula1>KV_DD_AUGUST_38</formula1>
    </dataValidation>
    <dataValidation type="list" allowBlank="1" showInputMessage="1" showErrorMessage="1" sqref="F39" xr:uid="{C278C4FC-204E-F043-8039-AB3E0817C198}">
      <formula1>KV_DD_AUGUST_39</formula1>
    </dataValidation>
    <dataValidation type="list" allowBlank="1" showInputMessage="1" showErrorMessage="1" sqref="F40" xr:uid="{8FD0FDF1-9A1B-164F-8970-A833BFFF3EA0}">
      <formula1>KV_DD_AUGUST_40</formula1>
    </dataValidation>
    <dataValidation type="list" allowBlank="1" showInputMessage="1" showErrorMessage="1" sqref="F41" xr:uid="{8F8F0553-A8FC-9045-9C29-3D0A3DA71065}">
      <formula1>KV_DD_AUGUST_41</formula1>
    </dataValidation>
    <dataValidation type="list" allowBlank="1" showInputMessage="1" showErrorMessage="1" sqref="F42" xr:uid="{515E9833-4B4D-604D-994C-5BCC8CFEFE52}">
      <formula1>KV_DD_AUGUST_42</formula1>
    </dataValidation>
    <dataValidation type="list" allowBlank="1" showInputMessage="1" showErrorMessage="1" sqref="F43" xr:uid="{ED175132-2B70-A942-8E41-EE88E6DB2AA9}">
      <formula1>KV_DD_AUGUST_43</formula1>
    </dataValidation>
    <dataValidation type="list" allowBlank="1" showInputMessage="1" showErrorMessage="1" sqref="F44" xr:uid="{F537B43A-E595-1842-A516-3DFB94D8FFDE}">
      <formula1>KV_DD_AUGUST_44</formula1>
    </dataValidation>
    <dataValidation type="list" allowBlank="1" showInputMessage="1" showErrorMessage="1" sqref="F45" xr:uid="{1473EBCF-B1EC-3B4B-9D0F-01CB71D132D1}">
      <formula1>KV_DD_AUGUST_45</formula1>
    </dataValidation>
    <dataValidation type="list" allowBlank="1" showInputMessage="1" showErrorMessage="1" sqref="F46" xr:uid="{742E6F85-7832-184C-9B95-BCC3909FCB33}">
      <formula1>KV_DD_AUGUST_46</formula1>
    </dataValidation>
    <dataValidation type="list" allowBlank="1" showInputMessage="1" showErrorMessage="1" sqref="F47" xr:uid="{BA962BDE-BA22-0443-BC99-4D1761BC74AF}">
      <formula1>KV_DD_AUGUST_47</formula1>
    </dataValidation>
    <dataValidation type="list" allowBlank="1" showInputMessage="1" showErrorMessage="1" sqref="F48" xr:uid="{8552E553-C454-6144-A237-7CEF09DBEC91}">
      <formula1>KV_DD_AUGUST_48</formula1>
    </dataValidation>
    <dataValidation type="list" allowBlank="1" showInputMessage="1" showErrorMessage="1" sqref="F49" xr:uid="{F780BB56-8930-8548-8198-BD4BB02CC3AF}">
      <formula1>KV_DD_AUGUST_49</formula1>
    </dataValidation>
    <dataValidation type="list" allowBlank="1" showInputMessage="1" showErrorMessage="1" sqref="F50" xr:uid="{3AC2D54D-82A7-E94D-88A5-0D1EA8FCBB7F}">
      <formula1>KV_DD_AUGUST_50</formula1>
    </dataValidation>
    <dataValidation type="list" allowBlank="1" showInputMessage="1" showErrorMessage="1" sqref="F51" xr:uid="{0EA6D8BD-5F42-014E-8732-F27CC2F33D50}">
      <formula1>KV_DD_AUGUST_51</formula1>
    </dataValidation>
    <dataValidation type="list" allowBlank="1" showInputMessage="1" showErrorMessage="1" sqref="F52" xr:uid="{DE16BC48-F00D-0442-914D-C673A2014D21}">
      <formula1>KV_DD_AUGUST_52</formula1>
    </dataValidation>
    <dataValidation type="list" allowBlank="1" showInputMessage="1" showErrorMessage="1" sqref="F53" xr:uid="{68561C2E-EC3B-364F-B18B-73CE3439F1E5}">
      <formula1>KV_DD_AUGUST_53</formula1>
    </dataValidation>
    <dataValidation type="list" allowBlank="1" showInputMessage="1" showErrorMessage="1" sqref="F54" xr:uid="{D77DEA54-9D1A-4983-A95D-87EC0F5070F2}">
      <formula1>KV_DD_AUGUST_54</formula1>
    </dataValidation>
    <dataValidation type="list" allowBlank="1" showInputMessage="1" showErrorMessage="1" sqref="F55" xr:uid="{32C2D806-E42F-4258-8A44-9CEB439A8CB7}">
      <formula1>KV_DD_AUGUST_55</formula1>
    </dataValidation>
    <dataValidation type="list" allowBlank="1" showInputMessage="1" showErrorMessage="1" sqref="F56" xr:uid="{CDA0AEF8-F073-4E2D-A8F1-4015B0570457}">
      <formula1>KV_DD_AUGUST_56</formula1>
    </dataValidation>
    <dataValidation type="list" allowBlank="1" showInputMessage="1" showErrorMessage="1" sqref="F57" xr:uid="{4C3FDFF4-9668-2D44-BC1A-5739DE64674C}">
      <formula1>KV_DD_AUGUST_57</formula1>
    </dataValidation>
    <dataValidation type="list" allowBlank="1" showInputMessage="1" showErrorMessage="1" sqref="F58" xr:uid="{D0A767D6-4EFC-4C41-B51E-2D232A1BBCD0}">
      <formula1>KV_DD_AUGUST_58</formula1>
    </dataValidation>
    <dataValidation type="list" allowBlank="1" showInputMessage="1" showErrorMessage="1" sqref="F59" xr:uid="{22C0AA8C-C306-A14A-84ED-641851EBD651}">
      <formula1>KV_DD_AUGUST_59</formula1>
    </dataValidation>
    <dataValidation type="list" allowBlank="1" showInputMessage="1" showErrorMessage="1" sqref="F60" xr:uid="{7201C007-38D9-CB4B-8D07-29E119F2C85A}">
      <formula1>KV_DD_AUGUST_60</formula1>
    </dataValidation>
    <dataValidation type="list" allowBlank="1" showInputMessage="1" showErrorMessage="1" sqref="F61" xr:uid="{ABC9FD89-D839-494F-898D-311B1FCA0F2F}">
      <formula1>KV_DD_AUGUST_61</formula1>
    </dataValidation>
    <dataValidation type="list" allowBlank="1" showInputMessage="1" showErrorMessage="1" sqref="F62" xr:uid="{0A44C7A4-477A-8348-8784-021B137E11F3}">
      <formula1>KV_DD_AUGUST_62</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CopyData">
                <anchor moveWithCells="1" sizeWithCells="1">
                  <from>
                    <xdr:col>14</xdr:col>
                    <xdr:colOff>38100</xdr:colOff>
                    <xdr:row>0</xdr:row>
                    <xdr:rowOff>38100</xdr:rowOff>
                  </from>
                  <to>
                    <xdr:col>18</xdr:col>
                    <xdr:colOff>698500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153513FD-9715-4ECE-B997-6B594143A513}">
          <x14:formula1>
            <xm:f>LOHNTABELLE!$Q$4:$Q$17</xm:f>
          </x14:formula1>
          <xm:sqref>E3:E82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0326F-DE46-4259-A651-5F915B6F5B71}">
  <sheetPr codeName="Tabelle11"/>
  <dimension ref="A1:AC83"/>
  <sheetViews>
    <sheetView showGridLines="0" showRowColHeaders="0" zoomScaleNormal="100" workbookViewId="0">
      <pane ySplit="2" topLeftCell="A20"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9</v>
      </c>
      <c r="B1" s="302" t="s">
        <v>205</v>
      </c>
      <c r="C1" s="310" t="s">
        <v>52</v>
      </c>
      <c r="D1" s="308" t="s">
        <v>206</v>
      </c>
      <c r="E1" s="308" t="s">
        <v>0</v>
      </c>
      <c r="F1" s="308" t="s">
        <v>53</v>
      </c>
      <c r="G1" s="312" t="s">
        <v>54</v>
      </c>
      <c r="H1" s="314" t="s">
        <v>55</v>
      </c>
      <c r="I1" s="316" t="s">
        <v>207</v>
      </c>
      <c r="J1" s="318" t="s">
        <v>56</v>
      </c>
      <c r="K1" s="320" t="s">
        <v>57</v>
      </c>
      <c r="L1" s="322" t="s">
        <v>58</v>
      </c>
      <c r="M1" s="306" t="s">
        <v>59</v>
      </c>
      <c r="N1" s="303" t="s">
        <v>208</v>
      </c>
      <c r="AB1" s="41">
        <f>DATE(LOHNTABELLE!$G$3, $A$1, 1)</f>
        <v>46266</v>
      </c>
    </row>
    <row r="2" spans="1:28" ht="16" customHeight="1" thickBot="1">
      <c r="A2" s="129"/>
      <c r="B2" s="302"/>
      <c r="C2" s="311"/>
      <c r="D2" s="309"/>
      <c r="E2" s="309"/>
      <c r="F2" s="309"/>
      <c r="G2" s="313"/>
      <c r="H2" s="315"/>
      <c r="I2" s="317"/>
      <c r="J2" s="319"/>
      <c r="K2" s="321"/>
      <c r="L2" s="323"/>
      <c r="M2" s="307"/>
      <c r="N2" s="303"/>
      <c r="AB2" s="41">
        <f>EOMONTH(DATE(LOHNTABELLE!$G$3, $A$1, 1), 0)</f>
        <v>46295</v>
      </c>
    </row>
    <row r="3" spans="1:28" ht="16" customHeight="1">
      <c r="A3" s="130" t="s">
        <v>60</v>
      </c>
      <c r="B3" s="169">
        <v>55</v>
      </c>
      <c r="C3" s="166" t="s">
        <v>367</v>
      </c>
      <c r="D3" s="192">
        <v>46054</v>
      </c>
      <c r="E3" s="142" t="s">
        <v>4</v>
      </c>
      <c r="F3" s="167">
        <v>173</v>
      </c>
      <c r="G3" s="184">
        <v>3500</v>
      </c>
      <c r="H3" s="157">
        <f>IF(AND(ISNUMBER(D3), ISNUMBER(F3)),
    ROUNDDOWN(
        MIN(
            IF(OR(ISBLANK(I3), I3=""),
                EOMONTH(DATE(LOHNTABELLE!$G$3, $A$1, 1), 0), I3)
            - MAX(D3, DATE(LOHNTABELLE!$G$3, $A$1, 1)) + 1)
        / DAY(EOMONTH(DATE(LOHNTABELLE!$G$3, $A$1, 1), 0)) * F3,
        2
    ),
    ""
)</f>
        <v>173</v>
      </c>
      <c r="I3" s="19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42" t="s">
        <v>61</v>
      </c>
      <c r="P3" s="242" t="s">
        <v>62</v>
      </c>
      <c r="Q3" s="240" t="s">
        <v>63</v>
      </c>
      <c r="R3" s="280" t="s">
        <v>64</v>
      </c>
      <c r="AB3" s="43"/>
    </row>
    <row r="4" spans="1:28" ht="16" customHeight="1">
      <c r="A4" s="130" t="s">
        <v>65</v>
      </c>
      <c r="B4" s="170">
        <v>401006</v>
      </c>
      <c r="C4" s="137" t="s">
        <v>262</v>
      </c>
      <c r="D4" s="193">
        <v>38188</v>
      </c>
      <c r="E4" s="134" t="s">
        <v>24</v>
      </c>
      <c r="F4" s="136">
        <v>173</v>
      </c>
      <c r="G4" s="185">
        <v>2328</v>
      </c>
      <c r="H4" s="158">
        <f>IF(AND(ISNUMBER(D4), ISNUMBER(F4)),
    ROUNDDOWN(
        MIN(
            IF(OR(ISBLANK(I4), I4=""),
                EOMONTH(DATE(LOHNTABELLE!$G$3, $A$1, 1), 0), I4)
            - MAX(D4, DATE(LOHNTABELLE!$G$3, $A$1, 1)) + 1)
        / DAY(EOMONTH(DATE(LOHNTABELLE!$G$3, $A$1, 1), 0)) * F4,
        2
    ),
    ""
)</f>
        <v>173</v>
      </c>
      <c r="I4" s="19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43"/>
      <c r="P4" s="243"/>
      <c r="Q4" s="241"/>
      <c r="R4" s="281"/>
    </row>
    <row r="5" spans="1:28" ht="16" customHeight="1">
      <c r="A5" s="131" t="s">
        <v>66</v>
      </c>
      <c r="B5" s="170">
        <v>401010</v>
      </c>
      <c r="C5" s="137" t="s">
        <v>263</v>
      </c>
      <c r="D5" s="193">
        <v>39388</v>
      </c>
      <c r="E5" s="134" t="s">
        <v>12</v>
      </c>
      <c r="F5" s="136">
        <v>173</v>
      </c>
      <c r="G5" s="185">
        <v>2183</v>
      </c>
      <c r="H5" s="158">
        <f>IF(AND(ISNUMBER(D5), ISNUMBER(F5)),
    ROUNDDOWN(
        MIN(
            IF(OR(ISBLANK(I5), I5=""),
                EOMONTH(DATE(LOHNTABELLE!$G$3, $A$1, 1), 0), I5)
            - MAX(D5, DATE(LOHNTABELLE!$G$3, $A$1, 1)) + 1)
        / DAY(EOMONTH(DATE(LOHNTABELLE!$G$3, $A$1, 1), 0)) * F5,
        2
    ),
    ""
)</f>
        <v>173</v>
      </c>
      <c r="I5" s="19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859.3643883002909</v>
      </c>
      <c r="P5" s="49">
        <f>EINSTELLUNG!I14</f>
        <v>9</v>
      </c>
      <c r="Q5" s="48">
        <f>P5-O5</f>
        <v>-850.3643883002909</v>
      </c>
      <c r="R5" s="52">
        <f>IFERROR(Q5*Q42, 0)</f>
        <v>-14016.586584215618</v>
      </c>
    </row>
    <row r="6" spans="1:28" ht="16" customHeight="1">
      <c r="A6" s="130" t="s">
        <v>67</v>
      </c>
      <c r="B6" s="170">
        <v>401047</v>
      </c>
      <c r="C6" s="137" t="s">
        <v>265</v>
      </c>
      <c r="D6" s="193">
        <v>41154</v>
      </c>
      <c r="E6" s="134" t="s">
        <v>10</v>
      </c>
      <c r="F6" s="136">
        <v>173</v>
      </c>
      <c r="G6" s="185">
        <v>2123</v>
      </c>
      <c r="H6" s="158">
        <f>IF(AND(ISNUMBER(D6), ISNUMBER(F6)),
    ROUNDDOWN(
        MIN(
            IF(OR(ISBLANK(I6), I6=""),
                EOMONTH(DATE(LOHNTABELLE!$G$3, $A$1, 1), 0), I6)
            - MAX(D6, DATE(LOHNTABELLE!$G$3, $A$1, 1)) + 1)
        / DAY(EOMONTH(DATE(LOHNTABELLE!$G$3, $A$1, 1), 0)) * F6,
        2
    ),
    ""
)</f>
        <v>173</v>
      </c>
      <c r="I6" s="19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37" t="str">
        <f>IF(Q5&lt;0, "Schlecht! Zu wenig Urlaub abgebaut.", IF(Q5&gt;0, "Gut! Mehr Urlaub abgebaut als aufgebaut.", ""))</f>
        <v>Schlecht! Zu wenig Urlaub abgebaut.</v>
      </c>
      <c r="P6" s="238"/>
      <c r="Q6" s="238"/>
      <c r="R6" s="239"/>
    </row>
    <row r="7" spans="1:28" ht="16" customHeight="1">
      <c r="A7" s="130" t="s">
        <v>68</v>
      </c>
      <c r="B7" s="170">
        <v>401049</v>
      </c>
      <c r="C7" s="137" t="s">
        <v>264</v>
      </c>
      <c r="D7" s="193">
        <v>41130</v>
      </c>
      <c r="E7" s="134" t="s">
        <v>10</v>
      </c>
      <c r="F7" s="136">
        <v>173</v>
      </c>
      <c r="G7" s="185">
        <v>2123</v>
      </c>
      <c r="H7" s="158">
        <f>IF(AND(ISNUMBER(D7), ISNUMBER(F7)),
    ROUNDDOWN(
        MIN(
            IF(OR(ISBLANK(I7), I7=""),
                EOMONTH(DATE(LOHNTABELLE!$G$3, $A$1, 1), 0), I7)
            - MAX(D7, DATE(LOHNTABELLE!$G$3, $A$1, 1)) + 1)
        / DAY(EOMONTH(DATE(LOHNTABELLE!$G$3, $A$1, 1), 0)) * F7,
        2
    ),
    ""
)</f>
        <v>173</v>
      </c>
      <c r="I7" s="19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1" t="s">
        <v>69</v>
      </c>
      <c r="B8" s="170">
        <v>401051</v>
      </c>
      <c r="C8" s="137" t="s">
        <v>266</v>
      </c>
      <c r="D8" s="193">
        <v>41176</v>
      </c>
      <c r="E8" s="134" t="s">
        <v>10</v>
      </c>
      <c r="F8" s="136">
        <v>173</v>
      </c>
      <c r="G8" s="185">
        <v>2123</v>
      </c>
      <c r="H8" s="158">
        <f>IF(AND(ISNUMBER(D8), ISNUMBER(F8)),
    ROUNDDOWN(
        MIN(
            IF(OR(ISBLANK(I8), I8=""),
                EOMONTH(DATE(LOHNTABELLE!$G$3, $A$1, 1), 0), I8)
            - MAX(D8, DATE(LOHNTABELLE!$G$3, $A$1, 1)) + 1)
        / DAY(EOMONTH(DATE(LOHNTABELLE!$G$3, $A$1, 1), 0)) * F8,
        2
    ),
    ""
)</f>
        <v>173</v>
      </c>
      <c r="I8" s="19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45" t="s">
        <v>70</v>
      </c>
      <c r="P8" s="246"/>
      <c r="Q8" s="247">
        <f>SUM(H3:H82)</f>
        <v>8905.1799999999985</v>
      </c>
      <c r="R8" s="247"/>
    </row>
    <row r="9" spans="1:28" ht="16" customHeight="1">
      <c r="A9" s="130" t="s">
        <v>71</v>
      </c>
      <c r="B9" s="170">
        <v>401089</v>
      </c>
      <c r="C9" s="137" t="s">
        <v>280</v>
      </c>
      <c r="D9" s="193">
        <v>44868</v>
      </c>
      <c r="E9" s="134" t="s">
        <v>8</v>
      </c>
      <c r="F9" s="136">
        <v>173</v>
      </c>
      <c r="G9" s="185">
        <v>2082</v>
      </c>
      <c r="H9" s="158">
        <f>IF(AND(ISNUMBER(D9), ISNUMBER(F9)),
    ROUNDDOWN(
        MIN(
            IF(OR(ISBLANK(I9), I9=""),
                EOMONTH(DATE(LOHNTABELLE!$G$3, $A$1, 1), 0), I9)
            - MAX(D9, DATE(LOHNTABELLE!$G$3, $A$1, 1)) + 1)
        / DAY(EOMONTH(DATE(LOHNTABELLE!$G$3, $A$1, 1), 0)) * F9,
        2
    ),
    ""
)</f>
        <v>173</v>
      </c>
      <c r="I9" s="19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45" t="s">
        <v>72</v>
      </c>
      <c r="P9" s="246"/>
      <c r="Q9" s="247">
        <f>EINSTELLUNG!L30</f>
        <v>9</v>
      </c>
      <c r="R9" s="247"/>
      <c r="S9" s="53">
        <f>IFERROR(Q9/Q8, 0)</f>
        <v>1.0106477353630137E-3</v>
      </c>
    </row>
    <row r="10" spans="1:28" ht="16" customHeight="1">
      <c r="A10" s="130" t="s">
        <v>73</v>
      </c>
      <c r="B10" s="170">
        <v>401138</v>
      </c>
      <c r="C10" s="137" t="s">
        <v>267</v>
      </c>
      <c r="D10" s="193">
        <v>42006</v>
      </c>
      <c r="E10" s="134" t="s">
        <v>10</v>
      </c>
      <c r="F10" s="136">
        <v>173</v>
      </c>
      <c r="G10" s="185">
        <v>2123</v>
      </c>
      <c r="H10" s="158">
        <f>IF(AND(ISNUMBER(D10), ISNUMBER(F10)),
    ROUNDDOWN(
        MIN(
            IF(OR(ISBLANK(I10), I10=""),
                EOMONTH(DATE(LOHNTABELLE!$G$3, $A$1, 1), 0), I10)
            - MAX(D10, DATE(LOHNTABELLE!$G$3, $A$1, 1)) + 1)
        / DAY(EOMONTH(DATE(LOHNTABELLE!$G$3, $A$1, 1), 0)) * F10,
        2
    ),
    ""
)</f>
        <v>173</v>
      </c>
      <c r="I10" s="19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45" t="s">
        <v>74</v>
      </c>
      <c r="P10" s="246"/>
      <c r="Q10" s="247">
        <f>EINSTELLUNG!I30</f>
        <v>9</v>
      </c>
      <c r="R10" s="247"/>
    </row>
    <row r="11" spans="1:28" ht="16" customHeight="1">
      <c r="A11" s="131" t="s">
        <v>75</v>
      </c>
      <c r="B11" s="170">
        <v>401197</v>
      </c>
      <c r="C11" s="137" t="s">
        <v>268</v>
      </c>
      <c r="D11" s="193">
        <v>42644</v>
      </c>
      <c r="E11" s="134" t="s">
        <v>8</v>
      </c>
      <c r="F11" s="136">
        <v>173</v>
      </c>
      <c r="G11" s="185">
        <v>2082</v>
      </c>
      <c r="H11" s="158">
        <f>IF(AND(ISNUMBER(D11), ISNUMBER(F11)),
    ROUNDDOWN(
        MIN(
            IF(OR(ISBLANK(I11), I11=""),
                EOMONTH(DATE(LOHNTABELLE!$G$3, $A$1, 1), 0), I11)
            - MAX(D11, DATE(LOHNTABELLE!$G$3, $A$1, 1)) + 1)
        / DAY(EOMONTH(DATE(LOHNTABELLE!$G$3, $A$1, 1), 0)) * F11,
        2
    ),
    ""
)</f>
        <v>173</v>
      </c>
      <c r="I11" s="19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45" t="s">
        <v>76</v>
      </c>
      <c r="P11" s="246"/>
      <c r="Q11" s="247">
        <f>P5</f>
        <v>9</v>
      </c>
      <c r="R11" s="247"/>
    </row>
    <row r="12" spans="1:28" ht="16" customHeight="1">
      <c r="A12" s="130" t="s">
        <v>77</v>
      </c>
      <c r="B12" s="170">
        <v>401214</v>
      </c>
      <c r="C12" s="137" t="s">
        <v>294</v>
      </c>
      <c r="D12" s="193">
        <v>45636</v>
      </c>
      <c r="E12" s="134" t="s">
        <v>8</v>
      </c>
      <c r="F12" s="136">
        <v>173</v>
      </c>
      <c r="G12" s="185">
        <v>2082</v>
      </c>
      <c r="H12" s="158">
        <f>IF(AND(ISNUMBER(D12), ISNUMBER(F12)),
    ROUNDDOWN(
        MIN(
            IF(OR(ISBLANK(I12), I12=""),
                EOMONTH(DATE(LOHNTABELLE!$G$3, $A$1, 1), 0), I12)
            - MAX(D12, DATE(LOHNTABELLE!$G$3, $A$1, 1)) + 1)
        / DAY(EOMONTH(DATE(LOHNTABELLE!$G$3, $A$1, 1), 0)) * F12,
        2
    ),
    ""
)</f>
        <v>173</v>
      </c>
      <c r="I12" s="19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45" t="s">
        <v>78</v>
      </c>
      <c r="P12" s="246"/>
      <c r="Q12" s="276">
        <v>167</v>
      </c>
      <c r="R12" s="276"/>
    </row>
    <row r="13" spans="1:28" ht="16" customHeight="1">
      <c r="A13" s="130" t="s">
        <v>79</v>
      </c>
      <c r="B13" s="170">
        <v>401276</v>
      </c>
      <c r="C13" s="137" t="s">
        <v>269</v>
      </c>
      <c r="D13" s="193">
        <v>43252</v>
      </c>
      <c r="E13" s="134" t="s">
        <v>8</v>
      </c>
      <c r="F13" s="136">
        <v>173</v>
      </c>
      <c r="G13" s="185">
        <v>2082</v>
      </c>
      <c r="H13" s="158">
        <f>IF(AND(ISNUMBER(D13), ISNUMBER(F13)),
    ROUNDDOWN(
        MIN(
            IF(OR(ISBLANK(I13), I13=""),
                EOMONTH(DATE(LOHNTABELLE!$G$3, $A$1, 1), 0), I13)
            - MAX(D13, DATE(LOHNTABELLE!$G$3, $A$1, 1)) + 1)
        / DAY(EOMONTH(DATE(LOHNTABELLE!$G$3, $A$1, 1), 0)) * F13,
        2
    ),
    ""
)</f>
        <v>173</v>
      </c>
      <c r="I13" s="19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45" t="s">
        <v>80</v>
      </c>
      <c r="P13" s="246"/>
      <c r="Q13" s="247">
        <f>Q8-Q9-Q10-Q11-Q12</f>
        <v>8711.1799999999985</v>
      </c>
      <c r="R13" s="247"/>
    </row>
    <row r="14" spans="1:28" ht="16" customHeight="1">
      <c r="A14" s="131" t="s">
        <v>81</v>
      </c>
      <c r="B14" s="170">
        <v>401307</v>
      </c>
      <c r="C14" s="137" t="s">
        <v>270</v>
      </c>
      <c r="D14" s="193">
        <v>43571</v>
      </c>
      <c r="E14" s="134" t="s">
        <v>8</v>
      </c>
      <c r="F14" s="136">
        <v>173</v>
      </c>
      <c r="G14" s="185">
        <v>2082</v>
      </c>
      <c r="H14" s="158">
        <f>IF(AND(ISNUMBER(D14), ISNUMBER(F14)),
    ROUNDDOWN(
        MIN(
            IF(OR(ISBLANK(I14), I14=""),
                EOMONTH(DATE(LOHNTABELLE!$G$3, $A$1, 1), 0), I14)
            - MAX(D14, DATE(LOHNTABELLE!$G$3, $A$1, 1)) + 1)
        / DAY(EOMONTH(DATE(LOHNTABELLE!$G$3, $A$1, 1), 0)) * F14,
        2
    ),
    ""
)</f>
        <v>173</v>
      </c>
      <c r="I14" s="19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45" t="s">
        <v>82</v>
      </c>
      <c r="P14" s="246"/>
      <c r="Q14" s="247">
        <f>EINSTELLUNG!L14</f>
        <v>9</v>
      </c>
      <c r="R14" s="247"/>
    </row>
    <row r="15" spans="1:28" ht="16" customHeight="1">
      <c r="A15" s="130" t="s">
        <v>83</v>
      </c>
      <c r="B15" s="170">
        <v>401308</v>
      </c>
      <c r="C15" s="137" t="s">
        <v>271</v>
      </c>
      <c r="D15" s="193">
        <v>43579</v>
      </c>
      <c r="E15" s="134" t="s">
        <v>8</v>
      </c>
      <c r="F15" s="136">
        <v>173</v>
      </c>
      <c r="G15" s="185">
        <v>2082</v>
      </c>
      <c r="H15" s="158">
        <f>IF(AND(ISNUMBER(D15), ISNUMBER(F15)),
    ROUNDDOWN(
        MIN(
            IF(OR(ISBLANK(I15), I15=""),
                EOMONTH(DATE(LOHNTABELLE!$G$3, $A$1, 1), 0), I15)
            - MAX(D15, DATE(LOHNTABELLE!$G$3, $A$1, 1)) + 1)
        / DAY(EOMONTH(DATE(LOHNTABELLE!$G$3, $A$1, 1), 0)) * F15,
        2
    ),
    ""
)</f>
        <v>173</v>
      </c>
      <c r="I15" s="19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45" t="s">
        <v>84</v>
      </c>
      <c r="P15" s="246"/>
      <c r="Q15" s="247">
        <f>Q13-Q14</f>
        <v>8702.1799999999985</v>
      </c>
      <c r="R15" s="247"/>
      <c r="S15" s="100"/>
      <c r="T15" s="100"/>
      <c r="U15" s="100"/>
    </row>
    <row r="16" spans="1:28" ht="16" customHeight="1">
      <c r="A16" s="130" t="s">
        <v>85</v>
      </c>
      <c r="B16" s="170">
        <v>401389</v>
      </c>
      <c r="C16" s="137" t="s">
        <v>273</v>
      </c>
      <c r="D16" s="193">
        <v>44384</v>
      </c>
      <c r="E16" s="134" t="s">
        <v>22</v>
      </c>
      <c r="F16" s="136">
        <v>173</v>
      </c>
      <c r="G16" s="185">
        <v>2300</v>
      </c>
      <c r="H16" s="158">
        <f>IF(AND(ISNUMBER(D16), ISNUMBER(F16)),
    ROUNDDOWN(
        MIN(
            IF(OR(ISBLANK(I16), I16=""),
                EOMONTH(DATE(LOHNTABELLE!$G$3, $A$1, 1), 0), I16)
            - MAX(D16, DATE(LOHNTABELLE!$G$3, $A$1, 1)) + 1)
        / DAY(EOMONTH(DATE(LOHNTABELLE!$G$3, $A$1, 1), 0)) * F16,
        2
    ),
    ""
)</f>
        <v>173</v>
      </c>
      <c r="I16" s="19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248" t="str">
        <f>IF(Q15&lt;0, "Schlecht! Zu wenig Stunden für Dienstplan.", IF(Q15&gt;0, "Du hast mehr als genug Stunden für Dienstplan.", ""))</f>
        <v>Du hast mehr als genug Stunden für Dienstplan.</v>
      </c>
      <c r="P16" s="248"/>
      <c r="Q16" s="248"/>
      <c r="R16" s="248"/>
      <c r="W16" s="45"/>
    </row>
    <row r="17" spans="1:29" ht="16" customHeight="1">
      <c r="A17" s="131" t="s">
        <v>86</v>
      </c>
      <c r="B17" s="170">
        <v>401394</v>
      </c>
      <c r="C17" s="137" t="s">
        <v>272</v>
      </c>
      <c r="D17" s="193">
        <v>44379</v>
      </c>
      <c r="E17" s="134" t="s">
        <v>4</v>
      </c>
      <c r="F17" s="136">
        <v>173</v>
      </c>
      <c r="G17" s="185">
        <v>3500</v>
      </c>
      <c r="H17" s="158">
        <f>IF(AND(ISNUMBER(D17), ISNUMBER(F17)),
    ROUNDDOWN(
        MIN(
            IF(OR(ISBLANK(I17), I17=""),
                EOMONTH(DATE(LOHNTABELLE!$G$3, $A$1, 1), 0), I17)
            - MAX(D17, DATE(LOHNTABELLE!$G$3, $A$1, 1)) + 1)
        / DAY(EOMONTH(DATE(LOHNTABELLE!$G$3, $A$1, 1), 0)) * F17,
        2
    ),
    ""
)</f>
        <v>173</v>
      </c>
      <c r="I17" s="19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53" t="s">
        <v>87</v>
      </c>
      <c r="P17" s="254"/>
      <c r="Q17" s="277">
        <f>SUM(L3:L82)</f>
        <v>146784.4</v>
      </c>
      <c r="R17" s="277"/>
      <c r="W17" s="45"/>
    </row>
    <row r="18" spans="1:29" ht="16" customHeight="1">
      <c r="A18" s="130" t="s">
        <v>88</v>
      </c>
      <c r="B18" s="170">
        <v>401432</v>
      </c>
      <c r="C18" s="137" t="s">
        <v>274</v>
      </c>
      <c r="D18" s="193">
        <v>44441</v>
      </c>
      <c r="E18" s="134" t="s">
        <v>4</v>
      </c>
      <c r="F18" s="136">
        <v>173</v>
      </c>
      <c r="G18" s="185">
        <v>3500</v>
      </c>
      <c r="H18" s="158">
        <f>IF(AND(ISNUMBER(D18), ISNUMBER(F18)),
    ROUNDDOWN(
        MIN(
            IF(OR(ISBLANK(I18), I18=""),
                EOMONTH(DATE(LOHNTABELLE!$G$3, $A$1, 1), 0), I18)
            - MAX(D18, DATE(LOHNTABELLE!$G$3, $A$1, 1)) + 1)
        / DAY(EOMONTH(DATE(LOHNTABELLE!$G$3, $A$1, 1), 0)) * F18,
        2
    ),
    ""
)</f>
        <v>173</v>
      </c>
      <c r="I18" s="19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335"/>
      <c r="P18" s="366"/>
      <c r="Q18" s="367"/>
      <c r="R18" s="244"/>
    </row>
    <row r="19" spans="1:29" ht="16" customHeight="1">
      <c r="A19" s="130" t="s">
        <v>89</v>
      </c>
      <c r="B19" s="170">
        <v>401476</v>
      </c>
      <c r="C19" s="168" t="s">
        <v>276</v>
      </c>
      <c r="D19" s="193">
        <v>44504</v>
      </c>
      <c r="E19" s="134" t="s">
        <v>4</v>
      </c>
      <c r="F19" s="136">
        <v>173</v>
      </c>
      <c r="G19" s="185">
        <v>3500</v>
      </c>
      <c r="H19" s="158">
        <f>IF(AND(ISNUMBER(D19), ISNUMBER(F19)),
    ROUNDDOWN(
        MIN(
            IF(OR(ISBLANK(I19), I19=""),
                EOMONTH(DATE(LOHNTABELLE!$G$3, $A$1, 1), 0), I19)
            - MAX(D19, DATE(LOHNTABELLE!$G$3, $A$1, 1)) + 1)
        / DAY(EOMONTH(DATE(LOHNTABELLE!$G$3, $A$1, 1), 0)) * F19,
        2
    ),
    ""
)</f>
        <v>173</v>
      </c>
      <c r="I19" s="19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335"/>
      <c r="P19" s="366"/>
      <c r="Q19" s="367"/>
      <c r="R19" s="244"/>
    </row>
    <row r="20" spans="1:29" ht="16" customHeight="1">
      <c r="A20" s="131" t="s">
        <v>90</v>
      </c>
      <c r="B20" s="170">
        <v>401479</v>
      </c>
      <c r="C20" s="137" t="s">
        <v>277</v>
      </c>
      <c r="D20" s="193">
        <v>44511</v>
      </c>
      <c r="E20" s="134" t="s">
        <v>13</v>
      </c>
      <c r="F20" s="136">
        <v>173</v>
      </c>
      <c r="G20" s="185">
        <v>2160</v>
      </c>
      <c r="H20" s="158">
        <f>IF(AND(ISNUMBER(D20), ISNUMBER(F20)),
    ROUNDDOWN(
        MIN(
            IF(OR(ISBLANK(I20), I20=""),
                EOMONTH(DATE(LOHNTABELLE!$G$3, $A$1, 1), 0), I20)
            - MAX(D20, DATE(LOHNTABELLE!$G$3, $A$1, 1)) + 1)
        / DAY(EOMONTH(DATE(LOHNTABELLE!$G$3, $A$1, 1), 0)) * F20,
        2
    ),
    ""
)</f>
        <v>173</v>
      </c>
      <c r="I20" s="19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335"/>
      <c r="P20" s="366"/>
      <c r="Q20" s="367"/>
      <c r="R20" s="244"/>
    </row>
    <row r="21" spans="1:29" ht="16" customHeight="1">
      <c r="A21" s="130" t="s">
        <v>92</v>
      </c>
      <c r="B21" s="170">
        <v>401481</v>
      </c>
      <c r="C21" s="137" t="s">
        <v>278</v>
      </c>
      <c r="D21" s="193">
        <v>44531</v>
      </c>
      <c r="E21" s="134" t="s">
        <v>4</v>
      </c>
      <c r="F21" s="136">
        <v>173</v>
      </c>
      <c r="G21" s="185">
        <v>3500</v>
      </c>
      <c r="H21" s="158">
        <f>IF(AND(ISNUMBER(D21), ISNUMBER(F21)),
    ROUNDDOWN(
        MIN(
            IF(OR(ISBLANK(I21), I21=""),
                EOMONTH(DATE(LOHNTABELLE!$G$3, $A$1, 1), 0), I21)
            - MAX(D21, DATE(LOHNTABELLE!$G$3, $A$1, 1)) + 1)
        / DAY(EOMONTH(DATE(LOHNTABELLE!$G$3, $A$1, 1), 0)) * F21,
        2
    ),
    ""
)</f>
        <v>173</v>
      </c>
      <c r="I21" s="19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335" t="s">
        <v>356</v>
      </c>
      <c r="P21" s="366"/>
      <c r="Q21" s="367">
        <v>5000</v>
      </c>
      <c r="R21" s="244"/>
    </row>
    <row r="22" spans="1:29" ht="16" customHeight="1">
      <c r="A22" s="130" t="s">
        <v>93</v>
      </c>
      <c r="B22" s="170">
        <v>401558</v>
      </c>
      <c r="C22" s="137" t="s">
        <v>275</v>
      </c>
      <c r="D22" s="193">
        <v>44460</v>
      </c>
      <c r="E22" s="134" t="s">
        <v>4</v>
      </c>
      <c r="F22" s="136">
        <v>173</v>
      </c>
      <c r="G22" s="185">
        <v>3500</v>
      </c>
      <c r="H22" s="158">
        <f>IF(AND(ISNUMBER(D22), ISNUMBER(F22)),
    ROUNDDOWN(
        MIN(
            IF(OR(ISBLANK(I22), I22=""),
                EOMONTH(DATE(LOHNTABELLE!$G$3, $A$1, 1), 0), I22)
            - MAX(D22, DATE(LOHNTABELLE!$G$3, $A$1, 1)) + 1)
        / DAY(EOMONTH(DATE(LOHNTABELLE!$G$3, $A$1, 1), 0)) * F22,
        2
    ),
    ""
)</f>
        <v>173</v>
      </c>
      <c r="I22" s="19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335"/>
      <c r="P22" s="366"/>
      <c r="Q22" s="367"/>
      <c r="R22" s="244"/>
    </row>
    <row r="23" spans="1:29" ht="16" customHeight="1">
      <c r="A23" s="131" t="s">
        <v>94</v>
      </c>
      <c r="B23" s="170">
        <v>401564</v>
      </c>
      <c r="C23" s="137" t="s">
        <v>279</v>
      </c>
      <c r="D23" s="193">
        <v>44824</v>
      </c>
      <c r="E23" s="134" t="s">
        <v>4</v>
      </c>
      <c r="F23" s="136">
        <v>173</v>
      </c>
      <c r="G23" s="185">
        <v>3500</v>
      </c>
      <c r="H23" s="158">
        <f>IF(AND(ISNUMBER(D23), ISNUMBER(F23)),
    ROUNDDOWN(
        MIN(
            IF(OR(ISBLANK(I23), I23=""),
                EOMONTH(DATE(LOHNTABELLE!$G$3, $A$1, 1), 0), I23)
            - MAX(D23, DATE(LOHNTABELLE!$G$3, $A$1, 1)) + 1)
        / DAY(EOMONTH(DATE(LOHNTABELLE!$G$3, $A$1, 1), 0)) * F23,
        2
    ),
    ""
)</f>
        <v>173</v>
      </c>
      <c r="I23" s="19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335"/>
      <c r="P23" s="366"/>
      <c r="Q23" s="367"/>
      <c r="R23" s="244"/>
      <c r="W23" s="45"/>
    </row>
    <row r="24" spans="1:29" ht="16" customHeight="1">
      <c r="A24" s="130" t="s">
        <v>95</v>
      </c>
      <c r="B24" s="170">
        <v>401583</v>
      </c>
      <c r="C24" s="137" t="s">
        <v>281</v>
      </c>
      <c r="D24" s="193">
        <v>44900</v>
      </c>
      <c r="E24" s="134" t="s">
        <v>21</v>
      </c>
      <c r="F24" s="136">
        <v>173</v>
      </c>
      <c r="G24" s="185">
        <v>2300</v>
      </c>
      <c r="H24" s="158">
        <f>IF(AND(ISNUMBER(D24), ISNUMBER(F24)),
    ROUNDDOWN(
        MIN(
            IF(OR(ISBLANK(I24), I24=""),
                EOMONTH(DATE(LOHNTABELLE!$G$3, $A$1, 1), 0), I24)
            - MAX(D24, DATE(LOHNTABELLE!$G$3, $A$1, 1)) + 1)
        / DAY(EOMONTH(DATE(LOHNTABELLE!$G$3, $A$1, 1), 0)) * F24,
        2
    ),
    ""
)</f>
        <v>173</v>
      </c>
      <c r="I24" s="19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35"/>
      <c r="P24" s="366"/>
      <c r="Q24" s="367"/>
      <c r="R24" s="244"/>
      <c r="W24" s="45"/>
    </row>
    <row r="25" spans="1:29" ht="16" customHeight="1" thickBot="1">
      <c r="A25" s="130" t="s">
        <v>96</v>
      </c>
      <c r="B25" s="170">
        <v>401589</v>
      </c>
      <c r="C25" s="137" t="s">
        <v>282</v>
      </c>
      <c r="D25" s="193">
        <v>44926</v>
      </c>
      <c r="E25" s="134" t="s">
        <v>21</v>
      </c>
      <c r="F25" s="136">
        <v>173</v>
      </c>
      <c r="G25" s="185">
        <v>2300</v>
      </c>
      <c r="H25" s="158">
        <f>IF(AND(ISNUMBER(D25), ISNUMBER(F25)),
    ROUNDDOWN(
        MIN(
            IF(OR(ISBLANK(I25), I25=""),
                EOMONTH(DATE(LOHNTABELLE!$G$3, $A$1, 1), 0), I25)
            - MAX(D25, DATE(LOHNTABELLE!$G$3, $A$1, 1)) + 1)
        / DAY(EOMONTH(DATE(LOHNTABELLE!$G$3, $A$1, 1), 0)) * F25,
        2
    ),
    ""
)</f>
        <v>173</v>
      </c>
      <c r="I25" s="19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350"/>
      <c r="P25" s="368"/>
      <c r="Q25" s="369"/>
      <c r="R25" s="286"/>
    </row>
    <row r="26" spans="1:29" ht="16" customHeight="1">
      <c r="A26" s="131" t="s">
        <v>97</v>
      </c>
      <c r="B26" s="170">
        <v>401602</v>
      </c>
      <c r="C26" s="139" t="s">
        <v>283</v>
      </c>
      <c r="D26" s="193">
        <v>45975</v>
      </c>
      <c r="E26" s="134" t="s">
        <v>4</v>
      </c>
      <c r="F26" s="136">
        <v>173</v>
      </c>
      <c r="G26" s="185">
        <v>3500</v>
      </c>
      <c r="H26" s="158">
        <f>IF(AND(ISNUMBER(D26), ISNUMBER(F26)),
    ROUNDDOWN(
        MIN(
            IF(OR(ISBLANK(I26), I26=""),
                EOMONTH(DATE(LOHNTABELLE!$G$3, $A$1, 1), 0), I26)
            - MAX(D26, DATE(LOHNTABELLE!$G$3, $A$1, 1)) + 1)
        / DAY(EOMONTH(DATE(LOHNTABELLE!$G$3, $A$1, 1), 0)) * F26,
        2
    ),
    ""
)</f>
        <v>173</v>
      </c>
      <c r="I26" s="19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96"/>
      <c r="P26" s="297"/>
      <c r="Q26" s="287"/>
      <c r="R26" s="288"/>
    </row>
    <row r="27" spans="1:29" ht="16" customHeight="1">
      <c r="A27" s="130" t="s">
        <v>98</v>
      </c>
      <c r="B27" s="170">
        <v>401605</v>
      </c>
      <c r="C27" s="137" t="s">
        <v>284</v>
      </c>
      <c r="D27" s="193">
        <v>44986</v>
      </c>
      <c r="E27" s="134" t="s">
        <v>4</v>
      </c>
      <c r="F27" s="136">
        <v>173</v>
      </c>
      <c r="G27" s="185">
        <v>3500</v>
      </c>
      <c r="H27" s="158">
        <f>IF(AND(ISNUMBER(D27), ISNUMBER(F27)),
    ROUNDDOWN(
        MIN(
            IF(OR(ISBLANK(I27), I27=""),
                EOMONTH(DATE(LOHNTABELLE!$G$3, $A$1, 1), 0), I27)
            - MAX(D27, DATE(LOHNTABELLE!$G$3, $A$1, 1)) + 1)
        / DAY(EOMONTH(DATE(LOHNTABELLE!$G$3, $A$1, 1), 0)) * F27,
        2
    ),
    ""
)</f>
        <v>173</v>
      </c>
      <c r="I27" s="19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51"/>
      <c r="P27" s="252"/>
      <c r="Q27" s="244"/>
      <c r="R27" s="289"/>
      <c r="S27" s="249" t="s">
        <v>99</v>
      </c>
      <c r="T27" s="250"/>
      <c r="U27" s="250"/>
      <c r="V27" s="250"/>
    </row>
    <row r="28" spans="1:29" ht="16" customHeight="1" thickBot="1">
      <c r="A28" s="130" t="s">
        <v>100</v>
      </c>
      <c r="B28" s="170">
        <v>401626</v>
      </c>
      <c r="C28" s="137" t="s">
        <v>285</v>
      </c>
      <c r="D28" s="193">
        <v>45063</v>
      </c>
      <c r="E28" s="134" t="s">
        <v>4</v>
      </c>
      <c r="F28" s="136">
        <v>173</v>
      </c>
      <c r="G28" s="185">
        <v>3500</v>
      </c>
      <c r="H28" s="158">
        <f>IF(AND(ISNUMBER(D28), ISNUMBER(F28)),
    ROUNDDOWN(
        MIN(
            IF(OR(ISBLANK(I28), I28=""),
                EOMONTH(DATE(LOHNTABELLE!$G$3, $A$1, 1), 0), I28)
            - MAX(D28, DATE(LOHNTABELLE!$G$3, $A$1, 1)) + 1)
        / DAY(EOMONTH(DATE(LOHNTABELLE!$G$3, $A$1, 1), 0)) * F28,
        2
    ),
    ""
)</f>
        <v>173</v>
      </c>
      <c r="I28" s="19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90"/>
      <c r="P28" s="291"/>
      <c r="Q28" s="292"/>
      <c r="R28" s="293"/>
    </row>
    <row r="29" spans="1:29" ht="16" customHeight="1" thickBot="1">
      <c r="A29" s="131" t="s">
        <v>101</v>
      </c>
      <c r="B29" s="170">
        <v>401633</v>
      </c>
      <c r="C29" s="137" t="s">
        <v>286</v>
      </c>
      <c r="D29" s="193">
        <v>45089</v>
      </c>
      <c r="E29" s="134" t="s">
        <v>21</v>
      </c>
      <c r="F29" s="136">
        <v>173</v>
      </c>
      <c r="G29" s="185">
        <v>2300</v>
      </c>
      <c r="H29" s="158">
        <f>IF(AND(ISNUMBER(D29), ISNUMBER(F29)),
    ROUNDDOWN(
        MIN(
            IF(OR(ISBLANK(I29), I29=""),
                EOMONTH(DATE(LOHNTABELLE!$G$3, $A$1, 1), 0), I29)
            - MAX(D29, DATE(LOHNTABELLE!$G$3, $A$1, 1)) + 1)
        / DAY(EOMONTH(DATE(LOHNTABELLE!$G$3, $A$1, 1), 0)) * F29,
        2
    ),
    ""
)</f>
        <v>173</v>
      </c>
      <c r="I29" s="19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82" t="s">
        <v>102</v>
      </c>
      <c r="P29" s="283"/>
      <c r="Q29" s="284">
        <f>EINSTELLUNG!O14</f>
        <v>9</v>
      </c>
      <c r="R29" s="285"/>
    </row>
    <row r="30" spans="1:29" ht="16" customHeight="1">
      <c r="A30" s="130" t="s">
        <v>103</v>
      </c>
      <c r="B30" s="170">
        <v>401647</v>
      </c>
      <c r="C30" s="137" t="s">
        <v>287</v>
      </c>
      <c r="D30" s="193">
        <v>45182</v>
      </c>
      <c r="E30" s="134" t="s">
        <v>4</v>
      </c>
      <c r="F30" s="136">
        <v>173</v>
      </c>
      <c r="G30" s="185">
        <v>3500</v>
      </c>
      <c r="H30" s="158">
        <f>IF(AND(ISNUMBER(D30), ISNUMBER(F30)),
    ROUNDDOWN(
        MIN(
            IF(OR(ISBLANK(I30), I30=""),
                EOMONTH(DATE(LOHNTABELLE!$G$3, $A$1, 1), 0), I30)
            - MAX(D30, DATE(LOHNTABELLE!$G$3, $A$1, 1)) + 1)
        / DAY(EOMONTH(DATE(LOHNTABELLE!$G$3, $A$1, 1), 0)) * F30,
        2
    ),
    ""
)</f>
        <v>173</v>
      </c>
      <c r="I30" s="19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193">
        <v>45261</v>
      </c>
      <c r="E31" s="134" t="s">
        <v>4</v>
      </c>
      <c r="F31" s="136">
        <v>173</v>
      </c>
      <c r="G31" s="185">
        <v>3500</v>
      </c>
      <c r="H31" s="158">
        <f>IF(AND(ISNUMBER(D31), ISNUMBER(F31)),
    ROUNDDOWN(
        MIN(
            IF(OR(ISBLANK(I31), I31=""),
                EOMONTH(DATE(LOHNTABELLE!$G$3, $A$1, 1), 0), I31)
            - MAX(D31, DATE(LOHNTABELLE!$G$3, $A$1, 1)) + 1)
        / DAY(EOMONTH(DATE(LOHNTABELLE!$G$3, $A$1, 1), 0)) * F31,
        2
    ),
    ""
)</f>
        <v>173</v>
      </c>
      <c r="I31" s="19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98">
        <v>0</v>
      </c>
      <c r="P31" s="299"/>
      <c r="Q31" s="300">
        <v>0</v>
      </c>
      <c r="R31" s="301"/>
    </row>
    <row r="32" spans="1:29" ht="16" customHeight="1">
      <c r="A32" s="131" t="s">
        <v>106</v>
      </c>
      <c r="B32" s="170">
        <v>401670</v>
      </c>
      <c r="C32" s="137" t="s">
        <v>289</v>
      </c>
      <c r="D32" s="193">
        <v>45358</v>
      </c>
      <c r="E32" s="134" t="s">
        <v>4</v>
      </c>
      <c r="F32" s="136">
        <v>173</v>
      </c>
      <c r="G32" s="185">
        <v>3500</v>
      </c>
      <c r="H32" s="158">
        <f>IF(AND(ISNUMBER(D32), ISNUMBER(F32)),
    ROUNDDOWN(
        MIN(
            IF(OR(ISBLANK(I32), I32=""),
                EOMONTH(DATE(LOHNTABELLE!$G$3, $A$1, 1), 0), I32)
            - MAX(D32, DATE(LOHNTABELLE!$G$3, $A$1, 1)) + 1)
        / DAY(EOMONTH(DATE(LOHNTABELLE!$G$3, $A$1, 1), 0)) * F32,
        2
    ),
    ""
)</f>
        <v>173</v>
      </c>
      <c r="I32" s="19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0" t="s">
        <v>107</v>
      </c>
      <c r="B33" s="170">
        <v>401678</v>
      </c>
      <c r="C33" s="137" t="s">
        <v>290</v>
      </c>
      <c r="D33" s="193">
        <v>45414</v>
      </c>
      <c r="E33" s="134" t="s">
        <v>4</v>
      </c>
      <c r="F33" s="136">
        <v>173</v>
      </c>
      <c r="G33" s="185">
        <v>3500</v>
      </c>
      <c r="H33" s="158">
        <f>IF(AND(ISNUMBER(D33), ISNUMBER(F33)),
    ROUNDDOWN(
        MIN(
            IF(OR(ISBLANK(I33), I33=""),
                EOMONTH(DATE(LOHNTABELLE!$G$3, $A$1, 1), 0), I33)
            - MAX(D33, DATE(LOHNTABELLE!$G$3, $A$1, 1)) + 1)
        / DAY(EOMONTH(DATE(LOHNTABELLE!$G$3, $A$1, 1), 0)) * F33,
        2
    ),
    ""
)</f>
        <v>173</v>
      </c>
      <c r="I33" s="19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66"/>
      <c r="P33" s="267"/>
      <c r="Q33" s="364" t="str">
        <f>EINSTELLUNG!B3</f>
        <v>Budget Zahlen</v>
      </c>
      <c r="R33" s="364"/>
      <c r="S33" s="365" t="str">
        <f>EINSTELLUNG!B19</f>
        <v>Projection/Aktuell Zahlen</v>
      </c>
      <c r="T33" s="365"/>
      <c r="U33" s="365" t="s">
        <v>110</v>
      </c>
      <c r="V33" s="365"/>
    </row>
    <row r="34" spans="1:24" ht="16" customHeight="1">
      <c r="A34" s="130" t="s">
        <v>111</v>
      </c>
      <c r="B34" s="170">
        <v>401690</v>
      </c>
      <c r="C34" s="137" t="s">
        <v>292</v>
      </c>
      <c r="D34" s="193">
        <v>45536</v>
      </c>
      <c r="E34" s="134" t="s">
        <v>4</v>
      </c>
      <c r="F34" s="136">
        <v>173</v>
      </c>
      <c r="G34" s="185">
        <v>3500</v>
      </c>
      <c r="H34" s="158">
        <f>IF(AND(ISNUMBER(D34), ISNUMBER(F34)),
    ROUNDDOWN(
        MIN(
            IF(OR(ISBLANK(I34), I34=""),
                EOMONTH(DATE(LOHNTABELLE!$G$3, $A$1, 1), 0), I34)
            - MAX(D34, DATE(LOHNTABELLE!$G$3, $A$1, 1)) + 1)
        / DAY(EOMONTH(DATE(LOHNTABELLE!$G$3, $A$1, 1), 0)) * F34,
        2
    ),
    ""
)</f>
        <v>173</v>
      </c>
      <c r="I34" s="19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66"/>
      <c r="P34" s="267"/>
      <c r="Q34" s="364"/>
      <c r="R34" s="364"/>
      <c r="S34" s="365"/>
      <c r="T34" s="365"/>
      <c r="U34" s="365"/>
      <c r="V34" s="365"/>
    </row>
    <row r="35" spans="1:24" ht="16" customHeight="1">
      <c r="A35" s="131" t="s">
        <v>112</v>
      </c>
      <c r="B35" s="170">
        <v>401703</v>
      </c>
      <c r="C35" s="137" t="s">
        <v>293</v>
      </c>
      <c r="D35" s="193">
        <v>45616</v>
      </c>
      <c r="E35" s="134" t="s">
        <v>4</v>
      </c>
      <c r="F35" s="136">
        <v>173</v>
      </c>
      <c r="G35" s="185">
        <v>3500</v>
      </c>
      <c r="H35" s="158">
        <f>IF(AND(ISNUMBER(D35), ISNUMBER(F35)),
    ROUNDDOWN(
        MIN(
            IF(OR(ISBLANK(I35), I35=""),
                EOMONTH(DATE(LOHNTABELLE!$G$3, $A$1, 1), 0), I35)
            - MAX(D35, DATE(LOHNTABELLE!$G$3, $A$1, 1)) + 1)
        / DAY(EOMONTH(DATE(LOHNTABELLE!$G$3, $A$1, 1), 0)) * F35,
        2
    ),
    ""
)</f>
        <v>173</v>
      </c>
      <c r="I35" s="19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55" t="s">
        <v>113</v>
      </c>
      <c r="P35" s="256"/>
      <c r="Q35" s="257">
        <f>EINSTELLUNG!C14</f>
        <v>9</v>
      </c>
      <c r="R35" s="257"/>
      <c r="S35" s="257">
        <f>EINSTELLUNG!C30</f>
        <v>9</v>
      </c>
      <c r="T35" s="257"/>
      <c r="U35" s="258">
        <f>S35-Q35</f>
        <v>0</v>
      </c>
      <c r="V35" s="258"/>
    </row>
    <row r="36" spans="1:24" ht="16" customHeight="1">
      <c r="A36" s="130" t="s">
        <v>114</v>
      </c>
      <c r="B36" s="170">
        <v>401715</v>
      </c>
      <c r="C36" s="137" t="s">
        <v>295</v>
      </c>
      <c r="D36" s="193">
        <v>45755</v>
      </c>
      <c r="E36" s="134" t="s">
        <v>4</v>
      </c>
      <c r="F36" s="136">
        <v>173</v>
      </c>
      <c r="G36" s="185">
        <v>3500</v>
      </c>
      <c r="H36" s="158">
        <f>IF(AND(ISNUMBER(D36), ISNUMBER(F36)),
    ROUNDDOWN(
        MIN(
            IF(OR(ISBLANK(I36), I36=""),
                EOMONTH(DATE(LOHNTABELLE!$G$3, $A$1, 1), 0), I36)
            - MAX(D36, DATE(LOHNTABELLE!$G$3, $A$1, 1)) + 1)
        / DAY(EOMONTH(DATE(LOHNTABELLE!$G$3, $A$1, 1), 0)) * F36,
        2
    ),
    ""
)</f>
        <v>173</v>
      </c>
      <c r="I36" s="19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55" t="s">
        <v>115</v>
      </c>
      <c r="P36" s="256"/>
      <c r="Q36" s="257">
        <f>EINSTELLUNG!D14</f>
        <v>9</v>
      </c>
      <c r="R36" s="257"/>
      <c r="S36" s="261" cm="1">
        <f t="array" ref="S36">SumMergedCells(Q17:R29)</f>
        <v>151793.4</v>
      </c>
      <c r="T36" s="263"/>
      <c r="U36" s="258">
        <f t="shared" ref="U36:U41" si="2">S36-Q36</f>
        <v>151784.4</v>
      </c>
      <c r="V36" s="258"/>
    </row>
    <row r="37" spans="1:24" ht="16" customHeight="1">
      <c r="A37" s="130" t="s">
        <v>116</v>
      </c>
      <c r="B37" s="170">
        <v>401716</v>
      </c>
      <c r="C37" s="137" t="s">
        <v>296</v>
      </c>
      <c r="D37" s="193">
        <v>45800</v>
      </c>
      <c r="E37" s="134" t="s">
        <v>4</v>
      </c>
      <c r="F37" s="136">
        <v>173</v>
      </c>
      <c r="G37" s="185">
        <v>3500</v>
      </c>
      <c r="H37" s="158">
        <f>IF(AND(ISNUMBER(D37), ISNUMBER(F37)),
    ROUNDDOWN(
        MIN(
            IF(OR(ISBLANK(I37), I37=""),
                EOMONTH(DATE(LOHNTABELLE!$G$3, $A$1, 1), 0), I37)
            - MAX(D37, DATE(LOHNTABELLE!$G$3, $A$1, 1)) + 1)
        / DAY(EOMONTH(DATE(LOHNTABELLE!$G$3, $A$1, 1), 0)) * F37,
        2
    ),
    ""
)</f>
        <v>173</v>
      </c>
      <c r="I37" s="19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55" t="s">
        <v>117</v>
      </c>
      <c r="P37" s="256"/>
      <c r="Q37" s="264">
        <f>IF(ISERROR(Q36/Q35), 0, Q36/Q35)</f>
        <v>1</v>
      </c>
      <c r="R37" s="264"/>
      <c r="S37" s="264">
        <f>IF(ISERROR(S36/S35), 0, S36/S35)</f>
        <v>16865.933333333334</v>
      </c>
      <c r="T37" s="264"/>
      <c r="U37" s="265">
        <f t="shared" si="2"/>
        <v>16864.933333333334</v>
      </c>
      <c r="V37" s="265"/>
    </row>
    <row r="38" spans="1:24" ht="16" customHeight="1">
      <c r="A38" s="131" t="s">
        <v>118</v>
      </c>
      <c r="B38" s="170">
        <v>401717</v>
      </c>
      <c r="C38" s="139" t="s">
        <v>297</v>
      </c>
      <c r="D38" s="193">
        <v>45814</v>
      </c>
      <c r="E38" s="134" t="s">
        <v>4</v>
      </c>
      <c r="F38" s="136">
        <v>173</v>
      </c>
      <c r="G38" s="185">
        <v>3500</v>
      </c>
      <c r="H38" s="158">
        <f>IF(AND(ISNUMBER(D38), ISNUMBER(F38)),
    ROUNDDOWN(
        MIN(
            IF(OR(ISBLANK(I39), I39=""),
                EOMONTH(DATE(LOHNTABELLE!$G$3, $A$1, 1), 0), I39)
            - MAX(D38, DATE(LOHNTABELLE!$G$3, $A$1, 1)) + 1)
        / DAY(EOMONTH(DATE(LOHNTABELLE!$G$3, $A$1, 1), 0)) * F38,
        2
    ),
    ""
)</f>
        <v>173</v>
      </c>
      <c r="I38" s="19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55" t="s">
        <v>119</v>
      </c>
      <c r="P38" s="256"/>
      <c r="Q38" s="259">
        <f>EINSTELLUNG!F14</f>
        <v>9</v>
      </c>
      <c r="R38" s="259"/>
      <c r="S38" s="259">
        <f>EINSTELLUNG!F30</f>
        <v>9</v>
      </c>
      <c r="T38" s="259"/>
      <c r="U38" s="260">
        <f t="shared" si="2"/>
        <v>0</v>
      </c>
      <c r="V38" s="260"/>
    </row>
    <row r="39" spans="1:24" ht="16" customHeight="1">
      <c r="A39" s="130" t="s">
        <v>120</v>
      </c>
      <c r="B39" s="170">
        <v>401722</v>
      </c>
      <c r="C39" s="137" t="s">
        <v>298</v>
      </c>
      <c r="D39" s="193">
        <v>45848</v>
      </c>
      <c r="E39" s="134" t="s">
        <v>4</v>
      </c>
      <c r="F39" s="136">
        <v>86.5</v>
      </c>
      <c r="G39" s="185">
        <v>1010.5</v>
      </c>
      <c r="H39" s="158">
        <f>IF(AND(ISNUMBER(D39), ISNUMBER(F39)),
    ROUNDDOWN(
        MIN(
            IF(OR(ISBLANK(I40), I40=""),
                EOMONTH(DATE(LOHNTABELLE!$G$3, $A$1, 1), 0), I40)
            - MAX(D39, DATE(LOHNTABELLE!$G$3, $A$1, 1)) + 1)
        / DAY(EOMONTH(DATE(LOHNTABELLE!$G$3, $A$1, 1), 0)) * F39,
        2
    ),
    ""
)</f>
        <v>86.5</v>
      </c>
      <c r="I39" s="19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55" t="s">
        <v>121</v>
      </c>
      <c r="P39" s="256"/>
      <c r="Q39" s="257">
        <f>IF(Q38=0, 0, Q35/Q38)</f>
        <v>1</v>
      </c>
      <c r="R39" s="257"/>
      <c r="S39" s="257">
        <f>IF(S38=0, 0, S35/S38)</f>
        <v>1</v>
      </c>
      <c r="T39" s="257"/>
      <c r="U39" s="258">
        <f t="shared" si="2"/>
        <v>0</v>
      </c>
      <c r="V39" s="258"/>
    </row>
    <row r="40" spans="1:24" ht="16" customHeight="1">
      <c r="A40" s="130" t="s">
        <v>122</v>
      </c>
      <c r="B40" s="170">
        <v>401723</v>
      </c>
      <c r="C40" s="137" t="s">
        <v>299</v>
      </c>
      <c r="D40" s="193">
        <v>45852</v>
      </c>
      <c r="E40" s="134" t="s">
        <v>4</v>
      </c>
      <c r="F40" s="136">
        <v>86.5</v>
      </c>
      <c r="G40" s="185">
        <v>1010.5</v>
      </c>
      <c r="H40" s="158">
        <f>IF(AND(ISNUMBER(D40), ISNUMBER(F40)),
    ROUNDDOWN(
        MIN(
            IF(OR(ISBLANK(I40), I40=""),
                EOMONTH(DATE(LOHNTABELLE!$G$3, $A$1, 1), 0), I40)
            - MAX(D40, DATE(LOHNTABELLE!$G$3, $A$1, 1)) + 1)
        / DAY(EOMONTH(DATE(LOHNTABELLE!$G$3, $A$1, 1), 0)) * F40,
        2
    ),
    ""
)</f>
        <v>86.5</v>
      </c>
      <c r="I40" s="19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55" t="s">
        <v>123</v>
      </c>
      <c r="P40" s="256"/>
      <c r="Q40" s="257">
        <f>IF(Q13=0, 0, Q35/Q13)</f>
        <v>1.0331550949469533E-3</v>
      </c>
      <c r="R40" s="257"/>
      <c r="S40" s="257">
        <f>IF(Q13=0, 0, S35/Q13)</f>
        <v>1.0331550949469533E-3</v>
      </c>
      <c r="T40" s="257"/>
      <c r="U40" s="258">
        <f t="shared" si="2"/>
        <v>0</v>
      </c>
      <c r="V40" s="258"/>
    </row>
    <row r="41" spans="1:24" ht="16" customHeight="1">
      <c r="A41" s="131" t="s">
        <v>124</v>
      </c>
      <c r="B41" s="170">
        <v>401726</v>
      </c>
      <c r="C41" s="137" t="s">
        <v>300</v>
      </c>
      <c r="D41" s="193">
        <v>45870</v>
      </c>
      <c r="E41" s="134" t="s">
        <v>4</v>
      </c>
      <c r="F41" s="136">
        <v>86.5</v>
      </c>
      <c r="G41" s="185">
        <v>1010.5</v>
      </c>
      <c r="H41" s="158">
        <f>IF(AND(ISNUMBER(D41), ISNUMBER(F41)),
    ROUNDDOWN(
        MIN(
            IF(OR(ISBLANK(I41), I41=""),
                EOMONTH(DATE(LOHNTABELLE!$G$3, $A$1, 1), 0), I41)
            - MAX(D41, DATE(LOHNTABELLE!$G$3, $A$1, 1)) + 1)
        / DAY(EOMONTH(DATE(LOHNTABELLE!$G$3, $A$1, 1), 0)) * F41,
        2
    ),
    ""
)</f>
        <v>86.5</v>
      </c>
      <c r="I41" s="19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55" t="s">
        <v>125</v>
      </c>
      <c r="P41" s="256"/>
      <c r="Q41" s="259">
        <f>IF(Q13=0, 0, Q38/Q13)</f>
        <v>1.0331550949469533E-3</v>
      </c>
      <c r="R41" s="259"/>
      <c r="S41" s="259">
        <f>IF(Q13=0, 0, S38/Q13)</f>
        <v>1.0331550949469533E-3</v>
      </c>
      <c r="T41" s="259"/>
      <c r="U41" s="260">
        <f t="shared" si="2"/>
        <v>0</v>
      </c>
      <c r="V41" s="260"/>
    </row>
    <row r="42" spans="1:24" ht="16" customHeight="1">
      <c r="A42" s="130" t="s">
        <v>126</v>
      </c>
      <c r="B42" s="170">
        <v>401730</v>
      </c>
      <c r="C42" s="137" t="s">
        <v>302</v>
      </c>
      <c r="D42" s="193">
        <v>45895</v>
      </c>
      <c r="E42" s="134" t="s">
        <v>4</v>
      </c>
      <c r="F42" s="136">
        <v>86.5</v>
      </c>
      <c r="G42" s="185">
        <v>1010.5</v>
      </c>
      <c r="H42" s="158">
        <f>IF(AND(ISNUMBER(D42), ISNUMBER(F42)),
    ROUNDDOWN(
        MIN(
            IF(OR(ISBLANK(I42), I42=""),
                EOMONTH(DATE(LOHNTABELLE!$G$3, $A$1, 1), 0), I42)
            - MAX(D42, DATE(LOHNTABELLE!$G$3, $A$1, 1)) + 1)
        / DAY(EOMONTH(DATE(LOHNTABELLE!$G$3, $A$1, 1), 0)) * F42,
        2
    ),
    ""
)</f>
        <v>86.5</v>
      </c>
      <c r="I42" s="19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55" t="s">
        <v>127</v>
      </c>
      <c r="P42" s="256"/>
      <c r="Q42" s="261">
        <f>IFERROR(Q17/Q8, 0)</f>
        <v>16.483035716290971</v>
      </c>
      <c r="R42" s="262"/>
      <c r="S42" s="262"/>
      <c r="T42" s="262"/>
      <c r="U42" s="262"/>
      <c r="V42" s="263"/>
    </row>
    <row r="43" spans="1:24" ht="16" customHeight="1">
      <c r="A43" s="130" t="s">
        <v>128</v>
      </c>
      <c r="B43" s="170">
        <v>401731</v>
      </c>
      <c r="C43" s="137" t="s">
        <v>301</v>
      </c>
      <c r="D43" s="193">
        <v>45899</v>
      </c>
      <c r="E43" s="134" t="s">
        <v>4</v>
      </c>
      <c r="F43" s="136">
        <v>86.5</v>
      </c>
      <c r="G43" s="185">
        <v>1010.5</v>
      </c>
      <c r="H43" s="158">
        <f>IF(AND(ISNUMBER(D43), ISNUMBER(F43)),
    ROUNDDOWN(
        MIN(
            IF(OR(ISBLANK(I43), I43=""),
                EOMONTH(DATE(LOHNTABELLE!$G$3, $A$1, 1), 0), I43)
            - MAX(D43, DATE(LOHNTABELLE!$G$3, $A$1, 1)) + 1)
        / DAY(EOMONTH(DATE(LOHNTABELLE!$G$3, $A$1, 1), 0)) * F43,
        2
    ),
    ""
)</f>
        <v>86.5</v>
      </c>
      <c r="I43" s="19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1" t="s">
        <v>129</v>
      </c>
      <c r="B44" s="170">
        <v>401734</v>
      </c>
      <c r="C44" s="137" t="s">
        <v>303</v>
      </c>
      <c r="D44" s="193">
        <v>45904</v>
      </c>
      <c r="E44" s="134" t="s">
        <v>4</v>
      </c>
      <c r="F44" s="136">
        <v>86.5</v>
      </c>
      <c r="G44" s="185">
        <v>1010.5</v>
      </c>
      <c r="H44" s="158">
        <f>IF(AND(ISNUMBER(D44), ISNUMBER(F44)),
    ROUNDDOWN(
        MIN(
            IF(OR(ISBLANK(I44), I44=""),
                EOMONTH(DATE(LOHNTABELLE!$G$3, $A$1, 1), 0), I44)
            - MAX(D44, DATE(LOHNTABELLE!$G$3, $A$1, 1)) + 1)
        / DAY(EOMONTH(DATE(LOHNTABELLE!$G$3, $A$1, 1), 0)) * F44,
        2
    ),
    ""
)</f>
        <v>86.5</v>
      </c>
      <c r="I44" s="19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0" t="s">
        <v>131</v>
      </c>
      <c r="B45" s="170">
        <v>401736</v>
      </c>
      <c r="C45" s="137" t="s">
        <v>304</v>
      </c>
      <c r="D45" s="19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9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193">
        <v>45906</v>
      </c>
      <c r="E46" s="134" t="s">
        <v>4</v>
      </c>
      <c r="F46" s="136">
        <v>86.5</v>
      </c>
      <c r="G46" s="185">
        <v>1010.5</v>
      </c>
      <c r="H46" s="158">
        <f>IF(AND(ISNUMBER(D46), ISNUMBER(F46)),
    ROUNDDOWN(
        MIN(
            IF(OR(ISBLANK(I46), I46=""),
                EOMONTH(DATE(LOHNTABELLE!$G$3, $A$1, 1), 0), I46)
            - MAX(D46, DATE(LOHNTABELLE!$G$3, $A$1, 1)) + 1)
        / DAY(EOMONTH(DATE(LOHNTABELLE!$G$3, $A$1, 1), 0)) * F46,
        2
    ),
    ""
)</f>
        <v>86.5</v>
      </c>
      <c r="I46" s="19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1" t="s">
        <v>133</v>
      </c>
      <c r="B47" s="170">
        <v>401738</v>
      </c>
      <c r="C47" s="137" t="s">
        <v>306</v>
      </c>
      <c r="D47" s="193">
        <v>45909</v>
      </c>
      <c r="E47" s="134" t="s">
        <v>4</v>
      </c>
      <c r="F47" s="136">
        <v>86.5</v>
      </c>
      <c r="G47" s="185">
        <v>1010.5</v>
      </c>
      <c r="H47" s="158">
        <f>IF(AND(ISNUMBER(D47), ISNUMBER(F47)),
    ROUNDDOWN(
        MIN(
            IF(OR(ISBLANK(I47), I47=""),
                EOMONTH(DATE(LOHNTABELLE!$G$3, $A$1, 1), 0), I47)
            - MAX(D47, DATE(LOHNTABELLE!$G$3, $A$1, 1)) + 1)
        / DAY(EOMONTH(DATE(LOHNTABELLE!$G$3, $A$1, 1), 0)) * F47,
        2
    ),
    ""
)</f>
        <v>86.5</v>
      </c>
      <c r="I47" s="19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193">
        <v>45934</v>
      </c>
      <c r="E48" s="134" t="s">
        <v>4</v>
      </c>
      <c r="F48" s="136">
        <v>86.5</v>
      </c>
      <c r="G48" s="185">
        <v>1010.5</v>
      </c>
      <c r="H48" s="158">
        <f>IF(AND(ISNUMBER(D48), ISNUMBER(F48)),
    ROUNDDOWN(
        MIN(
            IF(OR(ISBLANK(I48), I48=""),
                EOMONTH(DATE(LOHNTABELLE!$G$3, $A$1, 1), 0), I48)
            - MAX(D48, DATE(LOHNTABELLE!$G$3, $A$1, 1)) + 1)
        / DAY(EOMONTH(DATE(LOHNTABELLE!$G$3, $A$1, 1), 0)) * F48,
        2
    ),
    ""
)</f>
        <v>86.5</v>
      </c>
      <c r="I48" s="19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0" t="s">
        <v>135</v>
      </c>
      <c r="B49" s="170">
        <v>401747</v>
      </c>
      <c r="C49" s="137" t="s">
        <v>307</v>
      </c>
      <c r="D49" s="193">
        <v>45941</v>
      </c>
      <c r="E49" s="134" t="s">
        <v>4</v>
      </c>
      <c r="F49" s="136">
        <v>86.5</v>
      </c>
      <c r="G49" s="185">
        <v>1010.5</v>
      </c>
      <c r="H49" s="158">
        <f>IF(AND(ISNUMBER(D49), ISNUMBER(F49)),
    ROUNDDOWN(
        MIN(
            IF(OR(ISBLANK(I49), I49=""),
                EOMONTH(DATE(LOHNTABELLE!$G$3, $A$1, 1), 0), I49)
            - MAX(D49, DATE(LOHNTABELLE!$G$3, $A$1, 1)) + 1)
        / DAY(EOMONTH(DATE(LOHNTABELLE!$G$3, $A$1, 1), 0)) * F49,
        2
    ),
    ""
)</f>
        <v>86.5</v>
      </c>
      <c r="I49" s="19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1" t="s">
        <v>136</v>
      </c>
      <c r="B50" s="170">
        <v>401748</v>
      </c>
      <c r="C50" s="137" t="s">
        <v>308</v>
      </c>
      <c r="D50" s="193">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9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193">
        <v>45961</v>
      </c>
      <c r="E51" s="134" t="s">
        <v>4</v>
      </c>
      <c r="F51" s="136">
        <v>86.5</v>
      </c>
      <c r="G51" s="185">
        <v>1010.5</v>
      </c>
      <c r="H51" s="158">
        <f>IF(AND(ISNUMBER(D51), ISNUMBER(F51)),
    ROUNDDOWN(
        MIN(
            IF(OR(ISBLANK(I51), I51=""),
                EOMONTH(DATE(LOHNTABELLE!$G$3, $A$1, 1), 0), I51)
            - MAX(D51, DATE(LOHNTABELLE!$G$3, $A$1, 1)) + 1)
        / DAY(EOMONTH(DATE(LOHNTABELLE!$G$3, $A$1, 1), 0)) * F51,
        2
    ),
    ""
)</f>
        <v>86.5</v>
      </c>
      <c r="I51" s="19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193">
        <v>45986</v>
      </c>
      <c r="E52" s="134" t="s">
        <v>4</v>
      </c>
      <c r="F52" s="136">
        <v>86.5</v>
      </c>
      <c r="G52" s="185">
        <v>1010.5</v>
      </c>
      <c r="H52" s="158">
        <f>IF(AND(ISNUMBER(D52), ISNUMBER(F52)),
    ROUNDDOWN(
        MIN(
            IF(OR(ISBLANK(I52), I52=""),
                EOMONTH(DATE(LOHNTABELLE!$G$3, $A$1, 1), 0), I52)
            - MAX(D52, DATE(LOHNTABELLE!$G$3, $A$1, 1)) + 1)
        / DAY(EOMONTH(DATE(LOHNTABELLE!$G$3, $A$1, 1), 0)) * F52,
        2
    ),
    ""
)</f>
        <v>86.5</v>
      </c>
      <c r="I52" s="19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355</v>
      </c>
      <c r="D53" s="193">
        <v>46082</v>
      </c>
      <c r="E53" s="134" t="s">
        <v>4</v>
      </c>
      <c r="F53" s="136">
        <v>173</v>
      </c>
      <c r="G53" s="185">
        <v>3500</v>
      </c>
      <c r="H53" s="158">
        <f>IF(AND(ISNUMBER(D53), ISNUMBER(F53)),
    ROUNDDOWN(
        MIN(
            IF(OR(ISBLANK(I53), I53=""),
                EOMONTH(DATE(LOHNTABELLE!$G$3, $A$1, 1), 0), I53)
            - MAX(D53, DATE(LOHNTABELLE!$G$3, $A$1, 1)) + 1)
        / DAY(EOMONTH(DATE(LOHNTABELLE!$G$3, $A$1, 1), 0)) * F53,
        2
    ),
    ""
)</f>
        <v>173</v>
      </c>
      <c r="I53" s="19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3500</v>
      </c>
      <c r="M53" s="164"/>
      <c r="N53" s="147"/>
    </row>
    <row r="54" spans="1:14" ht="16" customHeight="1">
      <c r="A54" s="130" t="s">
        <v>140</v>
      </c>
      <c r="B54" s="170">
        <v>402000</v>
      </c>
      <c r="C54" s="137" t="s">
        <v>362</v>
      </c>
      <c r="D54" s="193">
        <v>46143</v>
      </c>
      <c r="E54" s="134" t="s">
        <v>4</v>
      </c>
      <c r="F54" s="136">
        <v>173</v>
      </c>
      <c r="G54" s="185">
        <v>3500</v>
      </c>
      <c r="H54" s="158">
        <f>IF(AND(ISNUMBER(D54), ISNUMBER(F54)),
    ROUNDDOWN(
        MIN(
            IF(OR(ISBLANK(I54), I54=""),
                EOMONTH(DATE(LOHNTABELLE!$G$3, $A$1, 1), 0), I54)
            - MAX(D54, DATE(LOHNTABELLE!$G$3, $A$1, 1)) + 1)
        / DAY(EOMONTH(DATE(LOHNTABELLE!$G$3, $A$1, 1), 0)) * F54,
        2
    ),
    ""
)</f>
        <v>173</v>
      </c>
      <c r="I54" s="19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402004</v>
      </c>
      <c r="C55" s="137" t="s">
        <v>364</v>
      </c>
      <c r="D55" s="193">
        <v>46122</v>
      </c>
      <c r="E55" s="134" t="s">
        <v>4</v>
      </c>
      <c r="F55" s="136">
        <v>173</v>
      </c>
      <c r="G55" s="185">
        <v>3500</v>
      </c>
      <c r="H55" s="158">
        <f>IF(AND(ISNUMBER(D55), ISNUMBER(F55)),
    ROUNDDOWN(
        MIN(
            IF(OR(ISBLANK(I55), I55=""),
                EOMONTH(DATE(LOHNTABELLE!$G$3, $A$1, 1), 0), I55)
            - MAX(D55, DATE(LOHNTABELLE!$G$3, $A$1, 1)) + 1)
        / DAY(EOMONTH(DATE(LOHNTABELLE!$G$3, $A$1, 1), 0)) * F55,
        2
    ),
    ""
)</f>
        <v>173</v>
      </c>
      <c r="I55" s="19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1" t="s">
        <v>142</v>
      </c>
      <c r="B56" s="170">
        <v>402405</v>
      </c>
      <c r="C56" s="137" t="s">
        <v>366</v>
      </c>
      <c r="D56" s="193">
        <v>46054</v>
      </c>
      <c r="E56" s="134" t="s">
        <v>4</v>
      </c>
      <c r="F56" s="136">
        <v>173</v>
      </c>
      <c r="G56" s="185">
        <v>3500</v>
      </c>
      <c r="H56" s="158">
        <f>IF(AND(ISNUMBER(D56), ISNUMBER(F56)),
    ROUNDDOWN(
        MIN(
            IF(OR(ISBLANK(I56), I56=""),
                EOMONTH(DATE(LOHNTABELLE!$G$3, $A$1, 1), 0), I56)
            - MAX(D56, DATE(LOHNTABELLE!$G$3, $A$1, 1)) + 1)
        / DAY(EOMONTH(DATE(LOHNTABELLE!$G$3, $A$1, 1), 0)) * F56,
        2
    ),
    ""
)</f>
        <v>173</v>
      </c>
      <c r="I56" s="19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0" t="s">
        <v>143</v>
      </c>
      <c r="B57" s="170">
        <v>500600</v>
      </c>
      <c r="C57" s="137" t="s">
        <v>371</v>
      </c>
      <c r="D57" s="193">
        <v>46054</v>
      </c>
      <c r="E57" s="134" t="s">
        <v>4</v>
      </c>
      <c r="F57" s="136">
        <v>151.38</v>
      </c>
      <c r="G57" s="185">
        <v>5000</v>
      </c>
      <c r="H57" s="158">
        <f>IF(AND(ISNUMBER(D57), ISNUMBER(F57)),
    ROUNDDOWN(
        MIN(
            IF(OR(ISBLANK(I57), I57=""),
                EOMONTH(DATE(LOHNTABELLE!$G$3, $A$1, 1), 0), I57)
            - MAX(D57, DATE(LOHNTABELLE!$G$3, $A$1, 1)) + 1)
        / DAY(EOMONTH(DATE(LOHNTABELLE!$G$3, $A$1, 1), 0)) * F57,
        2
    ),
    ""
)</f>
        <v>151.38</v>
      </c>
      <c r="I57" s="19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5000</v>
      </c>
      <c r="M57" s="164"/>
      <c r="N57" s="147"/>
    </row>
    <row r="58" spans="1:14" ht="16" customHeight="1">
      <c r="A58" s="130" t="s">
        <v>144</v>
      </c>
      <c r="B58" s="170">
        <v>502000</v>
      </c>
      <c r="C58" s="137" t="s">
        <v>365</v>
      </c>
      <c r="D58" s="193">
        <v>46147</v>
      </c>
      <c r="E58" s="134" t="s">
        <v>4</v>
      </c>
      <c r="F58" s="136">
        <v>173</v>
      </c>
      <c r="G58" s="185">
        <v>3500</v>
      </c>
      <c r="H58" s="158">
        <f>IF(AND(ISNUMBER(D58), ISNUMBER(F58)),
    ROUNDDOWN(
        MIN(
            IF(OR(ISBLANK(I58), I58=""),
                EOMONTH(DATE(LOHNTABELLE!$G$3, $A$1, 1), 0), I58)
            - MAX(D58, DATE(LOHNTABELLE!$G$3, $A$1, 1)) + 1)
        / DAY(EOMONTH(DATE(LOHNTABELLE!$G$3, $A$1, 1), 0)) * F58,
        2
    ),
    ""
)</f>
        <v>173</v>
      </c>
      <c r="I58" s="19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3500</v>
      </c>
      <c r="M58" s="164"/>
      <c r="N58" s="147"/>
    </row>
    <row r="59" spans="1:14" ht="16" customHeight="1">
      <c r="A59" s="131" t="s">
        <v>145</v>
      </c>
      <c r="B59" s="170">
        <v>503000</v>
      </c>
      <c r="C59" s="137" t="s">
        <v>368</v>
      </c>
      <c r="D59" s="193">
        <v>42401</v>
      </c>
      <c r="E59" s="134" t="s">
        <v>4</v>
      </c>
      <c r="F59" s="136">
        <v>173</v>
      </c>
      <c r="G59" s="185">
        <v>3500</v>
      </c>
      <c r="H59" s="158">
        <f>IF(AND(ISNUMBER(D59), ISNUMBER(F59)),
    ROUNDDOWN(
        MIN(
            IF(OR(ISBLANK(I59), I59=""),
                EOMONTH(DATE(LOHNTABELLE!$G$3, $A$1, 1), 0), I59)
            - MAX(D59, DATE(LOHNTABELLE!$G$3, $A$1, 1)) + 1)
        / DAY(EOMONTH(DATE(LOHNTABELLE!$G$3, $A$1, 1), 0)) * F59,
        2
    ),
    ""
)</f>
        <v>173</v>
      </c>
      <c r="I59" s="19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504000</v>
      </c>
      <c r="C60" s="137" t="s">
        <v>369</v>
      </c>
      <c r="D60" s="193">
        <v>46054</v>
      </c>
      <c r="E60" s="134" t="s">
        <v>8</v>
      </c>
      <c r="F60" s="136">
        <v>138.4</v>
      </c>
      <c r="G60" s="185">
        <v>1665.6</v>
      </c>
      <c r="H60" s="158">
        <f>IF(AND(ISNUMBER(D60), ISNUMBER(F60)),
    ROUNDDOWN(
        MIN(
            IF(OR(ISBLANK(I60), I60=""),
                EOMONTH(DATE(LOHNTABELLE!$G$3, $A$1, 1), 0), I60)
            - MAX(D60, DATE(LOHNTABELLE!$G$3, $A$1, 1)) + 1)
        / DAY(EOMONTH(DATE(LOHNTABELLE!$G$3, $A$1, 1), 0)) * F60,
        2
    ),
    ""
)</f>
        <v>138.4</v>
      </c>
      <c r="I60" s="19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1665.6</v>
      </c>
      <c r="M60" s="164"/>
      <c r="N60" s="147"/>
    </row>
    <row r="61" spans="1:14" ht="16" customHeight="1">
      <c r="A61" s="130" t="s">
        <v>147</v>
      </c>
      <c r="B61" s="170">
        <v>505000</v>
      </c>
      <c r="C61" s="137" t="s">
        <v>370</v>
      </c>
      <c r="D61" s="193">
        <v>46054</v>
      </c>
      <c r="E61" s="134" t="s">
        <v>4</v>
      </c>
      <c r="F61" s="136">
        <v>138.4</v>
      </c>
      <c r="G61" s="185">
        <v>1616.8</v>
      </c>
      <c r="H61" s="158">
        <f>IF(AND(ISNUMBER(D61), ISNUMBER(F61)),
    ROUNDDOWN(
        MIN(
            IF(OR(ISBLANK(I61), I61=""),
                EOMONTH(DATE(LOHNTABELLE!$G$3, $A$1, 1), 0), I61)
            - MAX(D61, DATE(LOHNTABELLE!$G$3, $A$1, 1)) + 1)
        / DAY(EOMONTH(DATE(LOHNTABELLE!$G$3, $A$1, 1), 0)) * F61,
        2
    ),
    ""
)</f>
        <v>138.4</v>
      </c>
      <c r="I61" s="19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1616.8</v>
      </c>
      <c r="M61" s="164"/>
      <c r="N61" s="147"/>
    </row>
    <row r="62" spans="1:14" ht="16" customHeight="1">
      <c r="A62" s="131" t="s">
        <v>148</v>
      </c>
      <c r="B62" s="170"/>
      <c r="C62" s="137"/>
      <c r="D62" s="193"/>
      <c r="E62" s="134"/>
      <c r="F62" s="136"/>
      <c r="G62" s="185"/>
      <c r="H62" s="158" t="str">
        <f>IF(AND(ISNUMBER(D62), ISNUMBER(F62)),
    ROUNDDOWN(
        MIN(
            IF(OR(ISBLANK(I62), I62=""),
                EOMONTH(DATE(LOHNTABELLE!$G$3, $A$1, 1), 0), I62)
            - MAX(D62, DATE(LOHNTABELLE!$G$3, $A$1, 1)) + 1)
        / DAY(EOMONTH(DATE(LOHNTABELLE!$G$3, $A$1, 1), 0)) * F62,
        2
    ),
    ""
)</f>
        <v/>
      </c>
      <c r="I62" s="19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193"/>
      <c r="E63" s="134"/>
      <c r="F63" s="136"/>
      <c r="G63" s="185"/>
      <c r="H63" s="158" t="str">
        <f>IF(AND(ISNUMBER(D63), ISNUMBER(F63)),
    ROUNDDOWN(
        MIN(
            IF(OR(ISBLANK(I63), I63=""),
                EOMONTH(DATE(LOHNTABELLE!$G$3, $A$1, 1), 0), I63)
            - MAX(D63, DATE(LOHNTABELLE!$G$3, $A$1, 1)) + 1)
        / DAY(EOMONTH(DATE(LOHNTABELLE!$G$3, $A$1, 1), 0)) * F63,
        2
    ),
    ""
)</f>
        <v/>
      </c>
      <c r="I63" s="19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193"/>
      <c r="E64" s="134"/>
      <c r="F64" s="136"/>
      <c r="G64" s="185"/>
      <c r="H64" s="158" t="str">
        <f>IF(AND(ISNUMBER(D64), ISNUMBER(F64)),
    ROUNDDOWN(
        MIN(
            IF(OR(ISBLANK(I64), I64=""),
                EOMONTH(DATE(LOHNTABELLE!$G$3, $A$1, 1), 0), I64)
            - MAX(D64, DATE(LOHNTABELLE!$G$3, $A$1, 1)) + 1)
        / DAY(EOMONTH(DATE(LOHNTABELLE!$G$3, $A$1, 1), 0)) * F64,
        2
    ),
    ""
)</f>
        <v/>
      </c>
      <c r="I64" s="19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93"/>
      <c r="E65" s="134"/>
      <c r="F65" s="136"/>
      <c r="G65" s="185"/>
      <c r="H65" s="158" t="str">
        <f>IF(AND(ISNUMBER(D65), ISNUMBER(F65)),
    ROUNDDOWN(
        MIN(
            IF(OR(ISBLANK(I65), I65=""),
                EOMONTH(DATE(LOHNTABELLE!$G$3, $A$1, 1), 0), I65)
            - MAX(D65, DATE(LOHNTABELLE!$G$3, $A$1, 1)) + 1)
        / DAY(EOMONTH(DATE(LOHNTABELLE!$G$3, $A$1, 1), 0)) * F65,
        2
    ),
    ""
)</f>
        <v/>
      </c>
      <c r="I65" s="19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93"/>
      <c r="E66" s="134"/>
      <c r="F66" s="136"/>
      <c r="G66" s="185"/>
      <c r="H66" s="158" t="str">
        <f>IF(AND(ISNUMBER(D66), ISNUMBER(F66)),
    ROUNDDOWN(
        MIN(
            IF(OR(ISBLANK(I66), I66=""),
                EOMONTH(DATE(LOHNTABELLE!$G$3, $A$1, 1), 0), I66)
            - MAX(D66, DATE(LOHNTABELLE!$G$3, $A$1, 1)) + 1)
        / DAY(EOMONTH(DATE(LOHNTABELLE!$G$3, $A$1, 1), 0)) * F66,
        2
    ),
    ""
)</f>
        <v/>
      </c>
      <c r="I66" s="19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93"/>
      <c r="E67" s="134"/>
      <c r="F67" s="136"/>
      <c r="G67" s="185"/>
      <c r="H67" s="158" t="str">
        <f>IF(AND(ISNUMBER(D67), ISNUMBER(F67)),
    ROUNDDOWN(
        MIN(
            IF(OR(ISBLANK(I67), I67=""),
                EOMONTH(DATE(LOHNTABELLE!$G$3, $A$1, 1), 0), I67)
            - MAX(D67, DATE(LOHNTABELLE!$G$3, $A$1, 1)) + 1)
        / DAY(EOMONTH(DATE(LOHNTABELLE!$G$3, $A$1, 1), 0)) * F67,
        2
    ),
    ""
)</f>
        <v/>
      </c>
      <c r="I67" s="19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1" t="s">
        <v>154</v>
      </c>
      <c r="B68" s="170"/>
      <c r="C68" s="137"/>
      <c r="D68" s="193"/>
      <c r="E68" s="134"/>
      <c r="F68" s="136"/>
      <c r="G68" s="185"/>
      <c r="H68" s="158" t="str">
        <f>IF(AND(ISNUMBER(D68), ISNUMBER(F68)),
    ROUNDDOWN(
        MIN(
            IF(OR(ISBLANK(I68), I68=""),
                EOMONTH(DATE(LOHNTABELLE!$G$3, $A$1, 1), 0), I68)
            - MAX(D68, DATE(LOHNTABELLE!$G$3, $A$1, 1)) + 1)
        / DAY(EOMONTH(DATE(LOHNTABELLE!$G$3, $A$1, 1), 0)) * F68,
        2
    ),
    ""
)</f>
        <v/>
      </c>
      <c r="I68" s="19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0" t="s">
        <v>155</v>
      </c>
      <c r="B69" s="170"/>
      <c r="C69" s="137"/>
      <c r="D69" s="193"/>
      <c r="E69" s="134"/>
      <c r="F69" s="136"/>
      <c r="G69" s="185"/>
      <c r="H69" s="158" t="str">
        <f>IF(AND(ISNUMBER(D69), ISNUMBER(F69)),
    ROUNDDOWN(
        MIN(
            IF(OR(ISBLANK(I69), I69=""),
                EOMONTH(DATE(LOHNTABELLE!$G$3, $A$1, 1), 0), I69)
            - MAX(D69, DATE(LOHNTABELLE!$G$3, $A$1, 1)) + 1)
        / DAY(EOMONTH(DATE(LOHNTABELLE!$G$3, $A$1, 1), 0)) * F69,
        2
    ),
    ""
)</f>
        <v/>
      </c>
      <c r="I69" s="19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93"/>
      <c r="E70" s="134"/>
      <c r="F70" s="136"/>
      <c r="G70" s="185"/>
      <c r="H70" s="158" t="str">
        <f>IF(AND(ISNUMBER(D70), ISNUMBER(F70)),
    ROUNDDOWN(
        MIN(
            IF(OR(ISBLANK(I70), I70=""),
                EOMONTH(DATE(LOHNTABELLE!$G$3, $A$1, 1), 0), I70)
            - MAX(D70, DATE(LOHNTABELLE!$G$3, $A$1, 1)) + 1)
        / DAY(EOMONTH(DATE(LOHNTABELLE!$G$3, $A$1, 1), 0)) * F70,
        2
    ),
    ""
)</f>
        <v/>
      </c>
      <c r="I70" s="19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1" t="s">
        <v>157</v>
      </c>
      <c r="B71" s="170"/>
      <c r="C71" s="137"/>
      <c r="D71" s="193"/>
      <c r="E71" s="134"/>
      <c r="F71" s="136"/>
      <c r="G71" s="185"/>
      <c r="H71" s="158" t="str">
        <f>IF(AND(ISNUMBER(D71), ISNUMBER(F71)),
    ROUNDDOWN(
        MIN(
            IF(OR(ISBLANK(I71), I71=""),
                EOMONTH(DATE(LOHNTABELLE!$G$3, $A$1, 1), 0), I71)
            - MAX(D71, DATE(LOHNTABELLE!$G$3, $A$1, 1)) + 1)
        / DAY(EOMONTH(DATE(LOHNTABELLE!$G$3, $A$1, 1), 0)) * F71,
        2
    ),
    ""
)</f>
        <v/>
      </c>
      <c r="I71" s="19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93"/>
      <c r="E72" s="134"/>
      <c r="F72" s="136"/>
      <c r="G72" s="185"/>
      <c r="H72" s="158" t="str">
        <f>IF(AND(ISNUMBER(D72), ISNUMBER(F72)),
    ROUNDDOWN(
        MIN(
            IF(OR(ISBLANK(I72), I72=""),
                EOMONTH(DATE(LOHNTABELLE!$G$3, $A$1, 1), 0), I72)
            - MAX(D72, DATE(LOHNTABELLE!$G$3, $A$1, 1)) + 1)
        / DAY(EOMONTH(DATE(LOHNTABELLE!$G$3, $A$1, 1), 0)) * F72,
        2
    ),
    ""
)</f>
        <v/>
      </c>
      <c r="I72" s="19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0" t="s">
        <v>159</v>
      </c>
      <c r="B73" s="170"/>
      <c r="C73" s="137"/>
      <c r="D73" s="193"/>
      <c r="E73" s="134"/>
      <c r="F73" s="136"/>
      <c r="G73" s="185"/>
      <c r="H73" s="158" t="str">
        <f>IF(AND(ISNUMBER(D73), ISNUMBER(F73)),
    ROUNDDOWN(
        MIN(
            IF(OR(ISBLANK(I73), I73=""),
                EOMONTH(DATE(LOHNTABELLE!$G$3, $A$1, 1), 0), I73)
            - MAX(D73, DATE(LOHNTABELLE!$G$3, $A$1, 1)) + 1)
        / DAY(EOMONTH(DATE(LOHNTABELLE!$G$3, $A$1, 1), 0)) * F73,
        2
    ),
    ""
)</f>
        <v/>
      </c>
      <c r="I73" s="19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1" t="s">
        <v>160</v>
      </c>
      <c r="B74" s="170"/>
      <c r="C74" s="137"/>
      <c r="D74" s="193"/>
      <c r="E74" s="134"/>
      <c r="F74" s="136"/>
      <c r="G74" s="185"/>
      <c r="H74" s="158" t="str">
        <f>IF(AND(ISNUMBER(D74), ISNUMBER(F74)),
    ROUNDDOWN(
        MIN(
            IF(OR(ISBLANK(I74), I74=""),
                EOMONTH(DATE(LOHNTABELLE!$G$3, $A$1, 1), 0), I74)
            - MAX(D74, DATE(LOHNTABELLE!$G$3, $A$1, 1)) + 1)
        / DAY(EOMONTH(DATE(LOHNTABELLE!$G$3, $A$1, 1), 0)) * F74,
        2
    ),
    ""
)</f>
        <v/>
      </c>
      <c r="I74" s="19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93"/>
      <c r="E75" s="134"/>
      <c r="F75" s="136"/>
      <c r="G75" s="185"/>
      <c r="H75" s="158" t="str">
        <f>IF(AND(ISNUMBER(D75), ISNUMBER(F75)),
    ROUNDDOWN(
        MIN(
            IF(OR(ISBLANK(I75), I75=""),
                EOMONTH(DATE(LOHNTABELLE!$G$3, $A$1, 1), 0), I75)
            - MAX(D75, DATE(LOHNTABELLE!$G$3, $A$1, 1)) + 1)
        / DAY(EOMONTH(DATE(LOHNTABELLE!$G$3, $A$1, 1), 0)) * F75,
        2
    ),
    ""
)</f>
        <v/>
      </c>
      <c r="I75" s="19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93"/>
      <c r="E76" s="134"/>
      <c r="F76" s="136"/>
      <c r="G76" s="185"/>
      <c r="H76" s="158" t="str">
        <f>IF(AND(ISNUMBER(D76), ISNUMBER(F76)),
    ROUNDDOWN(
        MIN(
            IF(OR(ISBLANK(I76), I76=""),
                EOMONTH(DATE(LOHNTABELLE!$G$3, $A$1, 1), 0), I76)
            - MAX(D76, DATE(LOHNTABELLE!$G$3, $A$1, 1)) + 1)
        / DAY(EOMONTH(DATE(LOHNTABELLE!$G$3, $A$1, 1), 0)) * F76,
        2
    ),
    ""
)</f>
        <v/>
      </c>
      <c r="I76" s="19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93"/>
      <c r="E77" s="134"/>
      <c r="F77" s="136"/>
      <c r="G77" s="185"/>
      <c r="H77" s="158" t="str">
        <f>IF(AND(ISNUMBER(D77), ISNUMBER(F77)),
    ROUNDDOWN(
        MIN(
            IF(OR(ISBLANK(I77), I77=""),
                EOMONTH(DATE(LOHNTABELLE!$G$3, $A$1, 1), 0), I77)
            - MAX(D77, DATE(LOHNTABELLE!$G$3, $A$1, 1)) + 1)
        / DAY(EOMONTH(DATE(LOHNTABELLE!$G$3, $A$1, 1), 0)) * F77,
        2
    ),
    ""
)</f>
        <v/>
      </c>
      <c r="I77" s="19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93"/>
      <c r="E78" s="134"/>
      <c r="F78" s="136"/>
      <c r="G78" s="185"/>
      <c r="H78" s="158" t="str">
        <f>IF(AND(ISNUMBER(D78), ISNUMBER(F78)),
    ROUNDDOWN(
        MIN(
            IF(OR(ISBLANK(I78), I78=""),
                EOMONTH(DATE(LOHNTABELLE!$G$3, $A$1, 1), 0), I78)
            - MAX(D78, DATE(LOHNTABELLE!$G$3, $A$1, 1)) + 1)
        / DAY(EOMONTH(DATE(LOHNTABELLE!$G$3, $A$1, 1), 0)) * F78,
        2
    ),
    ""
)</f>
        <v/>
      </c>
      <c r="I78" s="19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93"/>
      <c r="E79" s="134"/>
      <c r="F79" s="136"/>
      <c r="G79" s="185"/>
      <c r="H79" s="158" t="str">
        <f>IF(AND(ISNUMBER(D79), ISNUMBER(F79)),
    ROUNDDOWN(
        MIN(
            IF(OR(ISBLANK(I79), I79=""),
                EOMONTH(DATE(LOHNTABELLE!$G$3, $A$1, 1), 0), I79)
            - MAX(D79, DATE(LOHNTABELLE!$G$3, $A$1, 1)) + 1)
        / DAY(EOMONTH(DATE(LOHNTABELLE!$G$3, $A$1, 1), 0)) * F79,
        2
    ),
    ""
)</f>
        <v/>
      </c>
      <c r="I79" s="19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1" t="s">
        <v>166</v>
      </c>
      <c r="B80" s="170"/>
      <c r="C80" s="137"/>
      <c r="D80" s="193"/>
      <c r="E80" s="134"/>
      <c r="F80" s="136"/>
      <c r="G80" s="185"/>
      <c r="H80" s="158" t="str">
        <f>IF(AND(ISNUMBER(D80), ISNUMBER(F80)),
    ROUNDDOWN(
        MIN(
            IF(OR(ISBLANK(I80), I80=""),
                EOMONTH(DATE(LOHNTABELLE!$G$3, $A$1, 1), 0), I80)
            - MAX(D80, DATE(LOHNTABELLE!$G$3, $A$1, 1)) + 1)
        / DAY(EOMONTH(DATE(LOHNTABELLE!$G$3, $A$1, 1), 0)) * F80,
        2
    ),
    ""
)</f>
        <v/>
      </c>
      <c r="I80" s="19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0" t="s">
        <v>167</v>
      </c>
      <c r="B81" s="170"/>
      <c r="C81" s="137"/>
      <c r="D81" s="193"/>
      <c r="E81" s="134"/>
      <c r="F81" s="136"/>
      <c r="G81" s="185"/>
      <c r="H81" s="158" t="str">
        <f>IF(AND(ISNUMBER(D81), ISNUMBER(F81)),
    ROUNDDOWN(
        MIN(
            IF(OR(ISBLANK(I81), I81=""),
                EOMONTH(DATE(LOHNTABELLE!$G$3, $A$1, 1), 0), I81)
            - MAX(D81, DATE(LOHNTABELLE!$G$3, $A$1, 1)) + 1)
        / DAY(EOMONTH(DATE(LOHNTABELLE!$G$3, $A$1, 1), 0)) * F81,
        2
    ),
    ""
)</f>
        <v/>
      </c>
      <c r="I81" s="19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94"/>
      <c r="E82" s="150"/>
      <c r="F82" s="151"/>
      <c r="G82" s="186"/>
      <c r="H82" s="159" t="str">
        <f>IF(AND(ISNUMBER(D82), ISNUMBER(F82)),
    ROUNDDOWN(
        MIN(
            IF(OR(ISBLANK(I82), I82=""),
                EOMONTH(DATE(LOHNTABELLE!$G$3, $A$1, 1), 0), I82)
            - MAX(D82, DATE(LOHNTABELLE!$G$3, $A$1, 1)) + 1)
        / DAY(EOMONTH(DATE(LOHNTABELLE!$G$3, $A$1, 1), 0)) * F82,
        2
    ),
    ""
)</f>
        <v/>
      </c>
      <c r="I82" s="19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W21m5GdpheJNXi0B6etvwZArjHlBq7m5eAktKjcvm8rWFGKBNf2qnz+3Cpv76AMZFB5vIKiHL7bhGrTSJgbFpQ==" saltValue="qWfqp+TZrbY4oWrEFATa1w==" spinCount="100000" sheet="1" objects="1" scenarios="1" sort="0" autoFilter="0"/>
  <sortState xmlns:xlrd2="http://schemas.microsoft.com/office/spreadsheetml/2017/richdata2" ref="B3:N82">
    <sortCondition ref="B3:B82"/>
    <sortCondition ref="C3:C82"/>
  </sortState>
  <mergeCells count="98">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O11:P11"/>
    <mergeCell ref="Q11:R11"/>
    <mergeCell ref="O12:P12"/>
    <mergeCell ref="Q12:R12"/>
    <mergeCell ref="O13:P13"/>
    <mergeCell ref="Q13:R13"/>
    <mergeCell ref="O14:P14"/>
    <mergeCell ref="Q14:R14"/>
    <mergeCell ref="O17:P17"/>
    <mergeCell ref="Q17:R17"/>
    <mergeCell ref="O18:P18"/>
    <mergeCell ref="Q18:R18"/>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phoneticPr fontId="15" type="noConversion"/>
  <dataValidations count="62">
    <dataValidation type="date" showInputMessage="1" showErrorMessage="1" sqref="I41:I82 I3:I39" xr:uid="{069F4C2F-43DB-4E85-BD7E-D3289A837429}">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A0F41737-EF39-6044-A0F1-F54223658BB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8E061863-252D-2847-92AF-F9233B209791}">
      <formula1>KV_DD_SEPTEMBER_3</formula1>
    </dataValidation>
    <dataValidation type="list" allowBlank="1" showInputMessage="1" showErrorMessage="1" sqref="F4" xr:uid="{67B6941F-931E-454E-9BC8-01C60AF909F0}">
      <formula1>KV_DD_SEPTEMBER_4</formula1>
    </dataValidation>
    <dataValidation type="list" allowBlank="1" showInputMessage="1" showErrorMessage="1" sqref="F5" xr:uid="{82936F3D-A7DC-314E-8B33-62AC513C750C}">
      <formula1>KV_DD_SEPTEMBER_5</formula1>
    </dataValidation>
    <dataValidation type="list" allowBlank="1" showInputMessage="1" showErrorMessage="1" sqref="F6" xr:uid="{001D9E0E-4733-EE46-B977-E9B3C99CFFDD}">
      <formula1>KV_DD_SEPTEMBER_6</formula1>
    </dataValidation>
    <dataValidation type="list" allowBlank="1" showInputMessage="1" showErrorMessage="1" sqref="F7" xr:uid="{983A2040-B083-3047-9BBC-E65F8EB4DD05}">
      <formula1>KV_DD_SEPTEMBER_7</formula1>
    </dataValidation>
    <dataValidation type="list" allowBlank="1" showInputMessage="1" showErrorMessage="1" sqref="F8" xr:uid="{9B3D9E48-7588-0641-A832-D6DFC68A0C54}">
      <formula1>KV_DD_SEPTEMBER_8</formula1>
    </dataValidation>
    <dataValidation type="list" allowBlank="1" showInputMessage="1" showErrorMessage="1" sqref="F9" xr:uid="{6066FBB5-22E0-CF4D-BFF9-C4E8F4A3E607}">
      <formula1>KV_DD_SEPTEMBER_9</formula1>
    </dataValidation>
    <dataValidation type="list" allowBlank="1" showInputMessage="1" showErrorMessage="1" sqref="F10" xr:uid="{C37C8643-0CEF-B04D-87B4-955857AA9BB1}">
      <formula1>KV_DD_SEPTEMBER_10</formula1>
    </dataValidation>
    <dataValidation type="list" allowBlank="1" showInputMessage="1" showErrorMessage="1" sqref="F11" xr:uid="{240637C3-3D8D-524F-8BFC-A52579CFB2A1}">
      <formula1>KV_DD_SEPTEMBER_11</formula1>
    </dataValidation>
    <dataValidation type="list" allowBlank="1" showInputMessage="1" showErrorMessage="1" sqref="F12" xr:uid="{1EA8A346-5B6B-604F-AD48-FDDE35C11100}">
      <formula1>KV_DD_SEPTEMBER_12</formula1>
    </dataValidation>
    <dataValidation type="list" allowBlank="1" showInputMessage="1" showErrorMessage="1" sqref="F13" xr:uid="{BB4EAA84-CEE0-BF41-8111-84AECA209FAA}">
      <formula1>KV_DD_SEPTEMBER_13</formula1>
    </dataValidation>
    <dataValidation type="list" allowBlank="1" showInputMessage="1" showErrorMessage="1" sqref="F14" xr:uid="{87C8E8F6-98CD-694A-912B-AB059EED97B7}">
      <formula1>KV_DD_SEPTEMBER_14</formula1>
    </dataValidation>
    <dataValidation type="list" allowBlank="1" showInputMessage="1" showErrorMessage="1" sqref="F15" xr:uid="{CC62DB4D-DD88-BD44-B1D3-051E19263001}">
      <formula1>KV_DD_SEPTEMBER_15</formula1>
    </dataValidation>
    <dataValidation type="list" allowBlank="1" showInputMessage="1" showErrorMessage="1" sqref="F16" xr:uid="{F786F942-3460-3544-9053-249A67536714}">
      <formula1>KV_DD_SEPTEMBER_16</formula1>
    </dataValidation>
    <dataValidation type="list" allowBlank="1" showInputMessage="1" showErrorMessage="1" sqref="F17" xr:uid="{352A52FD-1700-344F-82ED-9785EC1883E3}">
      <formula1>KV_DD_SEPTEMBER_17</formula1>
    </dataValidation>
    <dataValidation type="list" allowBlank="1" showInputMessage="1" showErrorMessage="1" sqref="F18" xr:uid="{8DDB6DBB-58D1-8143-9A9A-BFAA49366808}">
      <formula1>KV_DD_SEPTEMBER_18</formula1>
    </dataValidation>
    <dataValidation type="list" allowBlank="1" showInputMessage="1" showErrorMessage="1" sqref="F19" xr:uid="{BC195EBC-9F6E-1649-8F84-3009BC20B46E}">
      <formula1>KV_DD_SEPTEMBER_19</formula1>
    </dataValidation>
    <dataValidation type="list" allowBlank="1" showInputMessage="1" showErrorMessage="1" sqref="F20" xr:uid="{4259147D-EE60-3A44-BA13-EF7719AFC59F}">
      <formula1>KV_DD_SEPTEMBER_20</formula1>
    </dataValidation>
    <dataValidation type="list" allowBlank="1" showInputMessage="1" showErrorMessage="1" sqref="F21" xr:uid="{7CB73F53-EE29-A348-A719-D436D5E41F3A}">
      <formula1>KV_DD_SEPTEMBER_21</formula1>
    </dataValidation>
    <dataValidation type="list" allowBlank="1" showInputMessage="1" showErrorMessage="1" sqref="F22" xr:uid="{F11E3169-239E-8D46-AAF2-B91CB65A8F36}">
      <formula1>KV_DD_SEPTEMBER_22</formula1>
    </dataValidation>
    <dataValidation type="list" allowBlank="1" showInputMessage="1" showErrorMessage="1" sqref="F23" xr:uid="{572011A6-5D52-684C-A381-7851E8888839}">
      <formula1>KV_DD_SEPTEMBER_23</formula1>
    </dataValidation>
    <dataValidation type="list" allowBlank="1" showInputMessage="1" showErrorMessage="1" sqref="F24" xr:uid="{1D29BEBD-515D-9548-AFD3-FCAF039A1D59}">
      <formula1>KV_DD_SEPTEMBER_24</formula1>
    </dataValidation>
    <dataValidation type="list" allowBlank="1" showInputMessage="1" showErrorMessage="1" sqref="F25" xr:uid="{21CAABAD-D68E-2D45-AE44-6B36193B550D}">
      <formula1>KV_DD_SEPTEMBER_25</formula1>
    </dataValidation>
    <dataValidation type="list" allowBlank="1" showInputMessage="1" showErrorMessage="1" sqref="F26" xr:uid="{CE2D7B7F-8238-A744-AFA7-637AD1E855AE}">
      <formula1>KV_DD_SEPTEMBER_26</formula1>
    </dataValidation>
    <dataValidation type="list" allowBlank="1" showInputMessage="1" showErrorMessage="1" sqref="F27" xr:uid="{18768C20-4816-CF47-B622-9BB6C07B2406}">
      <formula1>KV_DD_SEPTEMBER_27</formula1>
    </dataValidation>
    <dataValidation type="list" allowBlank="1" showInputMessage="1" showErrorMessage="1" sqref="F28" xr:uid="{AC32A331-52D7-FE4F-BF6E-A4EC90577FA9}">
      <formula1>KV_DD_SEPTEMBER_28</formula1>
    </dataValidation>
    <dataValidation type="list" allowBlank="1" showInputMessage="1" showErrorMessage="1" sqref="F29" xr:uid="{B0CCCFC6-ED32-8A42-B193-FE314E9AEB7D}">
      <formula1>KV_DD_SEPTEMBER_29</formula1>
    </dataValidation>
    <dataValidation type="list" allowBlank="1" showInputMessage="1" showErrorMessage="1" sqref="F30" xr:uid="{137A7357-FDAB-CE4B-827E-93EF1DD8C07C}">
      <formula1>KV_DD_SEPTEMBER_30</formula1>
    </dataValidation>
    <dataValidation type="list" allowBlank="1" showInputMessage="1" showErrorMessage="1" sqref="F31" xr:uid="{C363E00D-36ED-B945-9C02-0B55AF8902D3}">
      <formula1>KV_DD_SEPTEMBER_31</formula1>
    </dataValidation>
    <dataValidation type="list" allowBlank="1" showInputMessage="1" showErrorMessage="1" sqref="F32" xr:uid="{E2398BD9-86FA-4942-A0FB-29BC6185291A}">
      <formula1>KV_DD_SEPTEMBER_32</formula1>
    </dataValidation>
    <dataValidation type="list" allowBlank="1" showInputMessage="1" showErrorMessage="1" sqref="F33" xr:uid="{391A5C39-9BAF-3440-80D7-7A3F000A9D91}">
      <formula1>KV_DD_SEPTEMBER_33</formula1>
    </dataValidation>
    <dataValidation type="list" allowBlank="1" showInputMessage="1" showErrorMessage="1" sqref="F34" xr:uid="{37D5BC64-6857-664D-B698-99AFB2C0A370}">
      <formula1>KV_DD_SEPTEMBER_34</formula1>
    </dataValidation>
    <dataValidation type="list" allowBlank="1" showInputMessage="1" showErrorMessage="1" sqref="F35" xr:uid="{6BC57AF7-2F4D-7048-A978-2D1832F91792}">
      <formula1>KV_DD_SEPTEMBER_35</formula1>
    </dataValidation>
    <dataValidation type="list" allowBlank="1" showInputMessage="1" showErrorMessage="1" sqref="F36" xr:uid="{47C38E3B-10D9-5946-A78A-76AD8EFC5CDB}">
      <formula1>KV_DD_SEPTEMBER_36</formula1>
    </dataValidation>
    <dataValidation type="list" allowBlank="1" showInputMessage="1" showErrorMessage="1" sqref="F37" xr:uid="{6CC56668-89A5-3A41-B32C-6C9A755595F2}">
      <formula1>KV_DD_SEPTEMBER_37</formula1>
    </dataValidation>
    <dataValidation type="list" allowBlank="1" showInputMessage="1" showErrorMessage="1" sqref="F38" xr:uid="{93F4FAB8-78B1-E846-8C93-D77ABAED3D82}">
      <formula1>KV_DD_SEPTEMBER_38</formula1>
    </dataValidation>
    <dataValidation type="list" allowBlank="1" showInputMessage="1" showErrorMessage="1" sqref="F39" xr:uid="{57F6567B-8549-E046-AF0B-8348EDA7F7BD}">
      <formula1>KV_DD_SEPTEMBER_39</formula1>
    </dataValidation>
    <dataValidation type="list" allowBlank="1" showInputMessage="1" showErrorMessage="1" sqref="F40" xr:uid="{68B2B410-469A-3645-882B-6F41339F4C8B}">
      <formula1>KV_DD_SEPTEMBER_40</formula1>
    </dataValidation>
    <dataValidation type="list" allowBlank="1" showInputMessage="1" showErrorMessage="1" sqref="F41" xr:uid="{A4A9CC29-8F8F-D149-966D-CAAA36583425}">
      <formula1>KV_DD_SEPTEMBER_41</formula1>
    </dataValidation>
    <dataValidation type="list" allowBlank="1" showInputMessage="1" showErrorMessage="1" sqref="F42" xr:uid="{77254D60-360D-6149-92A3-7541F78EAEBD}">
      <formula1>KV_DD_SEPTEMBER_42</formula1>
    </dataValidation>
    <dataValidation type="list" allowBlank="1" showInputMessage="1" showErrorMessage="1" sqref="F43" xr:uid="{BC2750EF-7652-6043-AD12-A4976FF1F55B}">
      <formula1>KV_DD_SEPTEMBER_43</formula1>
    </dataValidation>
    <dataValidation type="list" allowBlank="1" showInputMessage="1" showErrorMessage="1" sqref="F44" xr:uid="{F090DF3D-1218-8441-939D-35A97B2851F9}">
      <formula1>KV_DD_SEPTEMBER_44</formula1>
    </dataValidation>
    <dataValidation type="list" allowBlank="1" showInputMessage="1" showErrorMessage="1" sqref="F45" xr:uid="{9F56230D-584B-0947-B88E-8AD5ED24B979}">
      <formula1>KV_DD_SEPTEMBER_45</formula1>
    </dataValidation>
    <dataValidation type="list" allowBlank="1" showInputMessage="1" showErrorMessage="1" sqref="F46" xr:uid="{B768E2E7-96F1-D34B-A6F0-F946CECDCDEC}">
      <formula1>KV_DD_SEPTEMBER_46</formula1>
    </dataValidation>
    <dataValidation type="list" allowBlank="1" showInputMessage="1" showErrorMessage="1" sqref="F47" xr:uid="{778B4B98-0EFD-2941-909E-97D31B403584}">
      <formula1>KV_DD_SEPTEMBER_47</formula1>
    </dataValidation>
    <dataValidation type="list" allowBlank="1" showInputMessage="1" showErrorMessage="1" sqref="F48" xr:uid="{82D2E4CE-98FD-DC48-B23B-370E98FA45EE}">
      <formula1>KV_DD_SEPTEMBER_48</formula1>
    </dataValidation>
    <dataValidation type="list" allowBlank="1" showInputMessage="1" showErrorMessage="1" sqref="F49" xr:uid="{AB30B40B-23EE-F74F-8098-7B0108318012}">
      <formula1>KV_DD_SEPTEMBER_49</formula1>
    </dataValidation>
    <dataValidation type="list" allowBlank="1" showInputMessage="1" showErrorMessage="1" sqref="F50" xr:uid="{2E8640AC-07EB-7E4B-8795-D6527F02877B}">
      <formula1>KV_DD_SEPTEMBER_50</formula1>
    </dataValidation>
    <dataValidation type="list" allowBlank="1" showInputMessage="1" showErrorMessage="1" sqref="F51" xr:uid="{8497F4FD-0AD2-264D-8D92-64B0D77594A8}">
      <formula1>KV_DD_SEPTEMBER_51</formula1>
    </dataValidation>
    <dataValidation type="list" allowBlank="1" showInputMessage="1" showErrorMessage="1" sqref="F52" xr:uid="{39F86132-482C-DB4B-8EF5-416883BC0DAF}">
      <formula1>KV_DD_SEPTEMBER_52</formula1>
    </dataValidation>
    <dataValidation type="list" allowBlank="1" showInputMessage="1" showErrorMessage="1" sqref="F53" xr:uid="{88D36A66-58FB-BF4C-8D4A-8D7A44719E8D}">
      <formula1>KV_DD_SEPTEMBER_53</formula1>
    </dataValidation>
    <dataValidation type="list" allowBlank="1" showInputMessage="1" showErrorMessage="1" sqref="F54" xr:uid="{D15B32FE-D979-4464-973A-35730CEF4E44}">
      <formula1>KV_DD_SEPTEMBER_54</formula1>
    </dataValidation>
    <dataValidation type="list" allowBlank="1" showInputMessage="1" showErrorMessage="1" sqref="F55" xr:uid="{73DC1BAD-196A-4213-A7BA-0A51437FD15B}">
      <formula1>KV_DD_SEPTEMBER_55</formula1>
    </dataValidation>
    <dataValidation type="list" allowBlank="1" showInputMessage="1" showErrorMessage="1" sqref="F56" xr:uid="{2B5EE8B9-CAA3-433E-A7A6-75E4E8EA856E}">
      <formula1>KV_DD_SEPTEMBER_56</formula1>
    </dataValidation>
    <dataValidation type="list" allowBlank="1" showInputMessage="1" showErrorMessage="1" sqref="F57" xr:uid="{79A9DE6D-E8C7-0942-922B-3A1E2AEECE93}">
      <formula1>KV_DD_SEPTEMBER_57</formula1>
    </dataValidation>
    <dataValidation type="list" allowBlank="1" showInputMessage="1" showErrorMessage="1" sqref="F58" xr:uid="{312B9999-05EC-704E-851F-3D62AD30FBC6}">
      <formula1>KV_DD_SEPTEMBER_58</formula1>
    </dataValidation>
    <dataValidation type="list" allowBlank="1" showInputMessage="1" showErrorMessage="1" sqref="F59" xr:uid="{A058A0B8-F65B-DA4D-96C1-AB40E6C01805}">
      <formula1>KV_DD_SEPTEMBER_59</formula1>
    </dataValidation>
    <dataValidation type="list" allowBlank="1" showInputMessage="1" showErrorMessage="1" sqref="F60" xr:uid="{1AD184D1-49EC-6544-9F2F-C9B4B10E3D53}">
      <formula1>KV_DD_SEPTEMBER_60</formula1>
    </dataValidation>
    <dataValidation type="list" allowBlank="1" showInputMessage="1" showErrorMessage="1" sqref="F61" xr:uid="{AFA93BE8-5246-3140-B245-27600757A853}">
      <formula1>KV_DD_SEPTEMBER_61</formula1>
    </dataValidation>
    <dataValidation type="list" allowBlank="1" showInputMessage="1" showErrorMessage="1" sqref="F62" xr:uid="{CA888291-FFEC-884F-AE04-A4BBCE42294A}">
      <formula1>KV_DD_SEPTEMBER_62</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3554" r:id="rId4" name="Button 2">
              <controlPr defaultSize="0" print="0" autoFill="0" autoPict="0" macro="[0]!CopyData">
                <anchor moveWithCells="1" sizeWithCells="1">
                  <from>
                    <xdr:col>14</xdr:col>
                    <xdr:colOff>38100</xdr:colOff>
                    <xdr:row>0</xdr:row>
                    <xdr:rowOff>50800</xdr:rowOff>
                  </from>
                  <to>
                    <xdr:col>18</xdr:col>
                    <xdr:colOff>685800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4995BEA-E394-433A-AA4E-2E93139E968F}">
          <x14:formula1>
            <xm:f>LOHNTABELLE!$Q$4:$Q$17</xm:f>
          </x14:formula1>
          <xm:sqref>E3:E82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82B2-7AD1-44B7-B6C2-31F6E26B51E1}">
  <sheetPr codeName="Tabelle12"/>
  <dimension ref="A1:AC83"/>
  <sheetViews>
    <sheetView showGridLines="0" showRowColHeaders="0" zoomScaleNormal="100" workbookViewId="0">
      <pane ySplit="2" topLeftCell="A30"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10</v>
      </c>
      <c r="B1" s="302" t="s">
        <v>205</v>
      </c>
      <c r="C1" s="310" t="s">
        <v>52</v>
      </c>
      <c r="D1" s="308" t="s">
        <v>206</v>
      </c>
      <c r="E1" s="308" t="s">
        <v>0</v>
      </c>
      <c r="F1" s="308" t="s">
        <v>53</v>
      </c>
      <c r="G1" s="312" t="s">
        <v>54</v>
      </c>
      <c r="H1" s="314" t="s">
        <v>55</v>
      </c>
      <c r="I1" s="316" t="s">
        <v>207</v>
      </c>
      <c r="J1" s="318" t="s">
        <v>56</v>
      </c>
      <c r="K1" s="320" t="s">
        <v>57</v>
      </c>
      <c r="L1" s="322" t="s">
        <v>58</v>
      </c>
      <c r="M1" s="306" t="s">
        <v>59</v>
      </c>
      <c r="N1" s="303" t="s">
        <v>208</v>
      </c>
      <c r="AB1" s="41">
        <f>DATE(LOHNTABELLE!$G$3, $A$1, 1)</f>
        <v>46296</v>
      </c>
    </row>
    <row r="2" spans="1:28" ht="16" customHeight="1" thickBot="1">
      <c r="A2" s="129"/>
      <c r="B2" s="302"/>
      <c r="C2" s="311"/>
      <c r="D2" s="309"/>
      <c r="E2" s="309"/>
      <c r="F2" s="309"/>
      <c r="G2" s="313"/>
      <c r="H2" s="315"/>
      <c r="I2" s="317"/>
      <c r="J2" s="319"/>
      <c r="K2" s="321"/>
      <c r="L2" s="323"/>
      <c r="M2" s="307"/>
      <c r="N2" s="303"/>
      <c r="AB2" s="41">
        <f>EOMONTH(DATE(LOHNTABELLE!$G$3, $A$1, 1), 0)</f>
        <v>46326</v>
      </c>
    </row>
    <row r="3" spans="1:28" ht="16" customHeight="1">
      <c r="A3" s="130" t="s">
        <v>60</v>
      </c>
      <c r="B3" s="169">
        <v>55</v>
      </c>
      <c r="C3" s="166" t="s">
        <v>367</v>
      </c>
      <c r="D3" s="192">
        <v>46054</v>
      </c>
      <c r="E3" s="142" t="s">
        <v>4</v>
      </c>
      <c r="F3" s="167">
        <v>173</v>
      </c>
      <c r="G3" s="184">
        <v>3500</v>
      </c>
      <c r="H3" s="157">
        <f>IF(AND(ISNUMBER(D3), ISNUMBER(F3)),
    ROUNDDOWN(
        MIN(
            IF(OR(ISBLANK(I3), I3=""),
                EOMONTH(DATE(LOHNTABELLE!$G$3, $A$1, 1), 0), I3)
            - MAX(D3, DATE(LOHNTABELLE!$G$3, $A$1, 1)) + 1)
        / DAY(EOMONTH(DATE(LOHNTABELLE!$G$3, $A$1, 1), 0)) * F3,
        2
    ),
    ""
)</f>
        <v>173</v>
      </c>
      <c r="I3" s="19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42" t="s">
        <v>61</v>
      </c>
      <c r="P3" s="242" t="s">
        <v>62</v>
      </c>
      <c r="Q3" s="240" t="s">
        <v>63</v>
      </c>
      <c r="R3" s="280" t="s">
        <v>64</v>
      </c>
      <c r="AB3" s="43"/>
    </row>
    <row r="4" spans="1:28" ht="16" customHeight="1">
      <c r="A4" s="130" t="s">
        <v>65</v>
      </c>
      <c r="B4" s="170">
        <v>401006</v>
      </c>
      <c r="C4" s="137" t="s">
        <v>262</v>
      </c>
      <c r="D4" s="193">
        <v>38188</v>
      </c>
      <c r="E4" s="134" t="s">
        <v>24</v>
      </c>
      <c r="F4" s="136">
        <v>173</v>
      </c>
      <c r="G4" s="185">
        <v>2328</v>
      </c>
      <c r="H4" s="158">
        <f>IF(AND(ISNUMBER(D4), ISNUMBER(F4)),
    ROUNDDOWN(
        MIN(
            IF(OR(ISBLANK(I4), I4=""),
                EOMONTH(DATE(LOHNTABELLE!$G$3, $A$1, 1), 0), I4)
            - MAX(D4, DATE(LOHNTABELLE!$G$3, $A$1, 1)) + 1)
        / DAY(EOMONTH(DATE(LOHNTABELLE!$G$3, $A$1, 1), 0)) * F4,
        2
    ),
    ""
)</f>
        <v>173</v>
      </c>
      <c r="I4" s="19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43"/>
      <c r="P4" s="243"/>
      <c r="Q4" s="241"/>
      <c r="R4" s="281"/>
    </row>
    <row r="5" spans="1:28" ht="16" customHeight="1">
      <c r="A5" s="131" t="s">
        <v>66</v>
      </c>
      <c r="B5" s="170">
        <v>401010</v>
      </c>
      <c r="C5" s="137" t="s">
        <v>263</v>
      </c>
      <c r="D5" s="193">
        <v>39388</v>
      </c>
      <c r="E5" s="134" t="s">
        <v>12</v>
      </c>
      <c r="F5" s="136">
        <v>173</v>
      </c>
      <c r="G5" s="185">
        <v>2183</v>
      </c>
      <c r="H5" s="158">
        <f>IF(AND(ISNUMBER(D5), ISNUMBER(F5)),
    ROUNDDOWN(
        MIN(
            IF(OR(ISBLANK(I5), I5=""),
                EOMONTH(DATE(LOHNTABELLE!$G$3, $A$1, 1), 0), I5)
            - MAX(D5, DATE(LOHNTABELLE!$G$3, $A$1, 1)) + 1)
        / DAY(EOMONTH(DATE(LOHNTABELLE!$G$3, $A$1, 1), 0)) * F5,
        2
    ),
    ""
)</f>
        <v>173</v>
      </c>
      <c r="I5" s="19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859.3643883002909</v>
      </c>
      <c r="P5" s="49">
        <f>EINSTELLUNG!I15</f>
        <v>10</v>
      </c>
      <c r="Q5" s="48">
        <f>P5-O5</f>
        <v>-849.3643883002909</v>
      </c>
      <c r="R5" s="52">
        <f>IFERROR(Q5*Q42, 0)</f>
        <v>-14000.103548499328</v>
      </c>
    </row>
    <row r="6" spans="1:28" ht="16" customHeight="1">
      <c r="A6" s="130" t="s">
        <v>67</v>
      </c>
      <c r="B6" s="170">
        <v>401047</v>
      </c>
      <c r="C6" s="137" t="s">
        <v>265</v>
      </c>
      <c r="D6" s="193">
        <v>41154</v>
      </c>
      <c r="E6" s="134" t="s">
        <v>10</v>
      </c>
      <c r="F6" s="136">
        <v>173</v>
      </c>
      <c r="G6" s="185">
        <v>2123</v>
      </c>
      <c r="H6" s="158">
        <f>IF(AND(ISNUMBER(D6), ISNUMBER(F6)),
    ROUNDDOWN(
        MIN(
            IF(OR(ISBLANK(I6), I6=""),
                EOMONTH(DATE(LOHNTABELLE!$G$3, $A$1, 1), 0), I6)
            - MAX(D6, DATE(LOHNTABELLE!$G$3, $A$1, 1)) + 1)
        / DAY(EOMONTH(DATE(LOHNTABELLE!$G$3, $A$1, 1), 0)) * F6,
        2
    ),
    ""
)</f>
        <v>173</v>
      </c>
      <c r="I6" s="19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37" t="str">
        <f>IF(Q5&lt;0, "Schlecht! Zu wenig Urlaub abgebaut.", IF(Q5&gt;0, "Gut! Mehr Urlaub abgebaut als aufgebaut.", ""))</f>
        <v>Schlecht! Zu wenig Urlaub abgebaut.</v>
      </c>
      <c r="P6" s="238"/>
      <c r="Q6" s="238"/>
      <c r="R6" s="239"/>
    </row>
    <row r="7" spans="1:28" ht="16" customHeight="1">
      <c r="A7" s="130" t="s">
        <v>68</v>
      </c>
      <c r="B7" s="170">
        <v>401049</v>
      </c>
      <c r="C7" s="137" t="s">
        <v>264</v>
      </c>
      <c r="D7" s="193">
        <v>41130</v>
      </c>
      <c r="E7" s="134" t="s">
        <v>10</v>
      </c>
      <c r="F7" s="136">
        <v>173</v>
      </c>
      <c r="G7" s="185">
        <v>2123</v>
      </c>
      <c r="H7" s="158">
        <f>IF(AND(ISNUMBER(D7), ISNUMBER(F7)),
    ROUNDDOWN(
        MIN(
            IF(OR(ISBLANK(I7), I7=""),
                EOMONTH(DATE(LOHNTABELLE!$G$3, $A$1, 1), 0), I7)
            - MAX(D7, DATE(LOHNTABELLE!$G$3, $A$1, 1)) + 1)
        / DAY(EOMONTH(DATE(LOHNTABELLE!$G$3, $A$1, 1), 0)) * F7,
        2
    ),
    ""
)</f>
        <v>173</v>
      </c>
      <c r="I7" s="19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193">
        <v>41176</v>
      </c>
      <c r="E8" s="134" t="s">
        <v>10</v>
      </c>
      <c r="F8" s="136">
        <v>173</v>
      </c>
      <c r="G8" s="185">
        <v>2123</v>
      </c>
      <c r="H8" s="158">
        <f>IF(AND(ISNUMBER(D8), ISNUMBER(F8)),
    ROUNDDOWN(
        MIN(
            IF(OR(ISBLANK(I8), I8=""),
                EOMONTH(DATE(LOHNTABELLE!$G$3, $A$1, 1), 0), I8)
            - MAX(D8, DATE(LOHNTABELLE!$G$3, $A$1, 1)) + 1)
        / DAY(EOMONTH(DATE(LOHNTABELLE!$G$3, $A$1, 1), 0)) * F8,
        2
    ),
    ""
)</f>
        <v>173</v>
      </c>
      <c r="I8" s="19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45" t="s">
        <v>70</v>
      </c>
      <c r="P8" s="246"/>
      <c r="Q8" s="247">
        <f>SUM(H3:H82)</f>
        <v>8905.1799999999985</v>
      </c>
      <c r="R8" s="247"/>
    </row>
    <row r="9" spans="1:28" ht="16" customHeight="1">
      <c r="A9" s="131" t="s">
        <v>71</v>
      </c>
      <c r="B9" s="170">
        <v>401089</v>
      </c>
      <c r="C9" s="137" t="s">
        <v>280</v>
      </c>
      <c r="D9" s="193">
        <v>44868</v>
      </c>
      <c r="E9" s="134" t="s">
        <v>8</v>
      </c>
      <c r="F9" s="136">
        <v>173</v>
      </c>
      <c r="G9" s="185">
        <v>2082</v>
      </c>
      <c r="H9" s="158">
        <f>IF(AND(ISNUMBER(D9), ISNUMBER(F9)),
    ROUNDDOWN(
        MIN(
            IF(OR(ISBLANK(I9), I9=""),
                EOMONTH(DATE(LOHNTABELLE!$G$3, $A$1, 1), 0), I9)
            - MAX(D9, DATE(LOHNTABELLE!$G$3, $A$1, 1)) + 1)
        / DAY(EOMONTH(DATE(LOHNTABELLE!$G$3, $A$1, 1), 0)) * F9,
        2
    ),
    ""
)</f>
        <v>173</v>
      </c>
      <c r="I9" s="19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45" t="s">
        <v>72</v>
      </c>
      <c r="P9" s="246"/>
      <c r="Q9" s="247">
        <f>EINSTELLUNG!L31</f>
        <v>10</v>
      </c>
      <c r="R9" s="247"/>
      <c r="S9" s="53">
        <f>IFERROR(Q9/Q8, 0)</f>
        <v>1.1229419281811263E-3</v>
      </c>
    </row>
    <row r="10" spans="1:28" ht="16" customHeight="1">
      <c r="A10" s="130" t="s">
        <v>73</v>
      </c>
      <c r="B10" s="170">
        <v>401138</v>
      </c>
      <c r="C10" s="137" t="s">
        <v>267</v>
      </c>
      <c r="D10" s="193">
        <v>42006</v>
      </c>
      <c r="E10" s="134" t="s">
        <v>10</v>
      </c>
      <c r="F10" s="136">
        <v>173</v>
      </c>
      <c r="G10" s="185">
        <v>2123</v>
      </c>
      <c r="H10" s="158">
        <f>IF(AND(ISNUMBER(D10), ISNUMBER(F10)),
    ROUNDDOWN(
        MIN(
            IF(OR(ISBLANK(I10), I10=""),
                EOMONTH(DATE(LOHNTABELLE!$G$3, $A$1, 1), 0), I10)
            - MAX(D10, DATE(LOHNTABELLE!$G$3, $A$1, 1)) + 1)
        / DAY(EOMONTH(DATE(LOHNTABELLE!$G$3, $A$1, 1), 0)) * F10,
        2
    ),
    ""
)</f>
        <v>173</v>
      </c>
      <c r="I10" s="19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45" t="s">
        <v>74</v>
      </c>
      <c r="P10" s="246"/>
      <c r="Q10" s="247">
        <f>EINSTELLUNG!I31</f>
        <v>10</v>
      </c>
      <c r="R10" s="247"/>
    </row>
    <row r="11" spans="1:28" ht="16" customHeight="1">
      <c r="A11" s="130" t="s">
        <v>75</v>
      </c>
      <c r="B11" s="170">
        <v>401197</v>
      </c>
      <c r="C11" s="137" t="s">
        <v>268</v>
      </c>
      <c r="D11" s="193">
        <v>42644</v>
      </c>
      <c r="E11" s="134" t="s">
        <v>8</v>
      </c>
      <c r="F11" s="136">
        <v>173</v>
      </c>
      <c r="G11" s="185">
        <v>2082</v>
      </c>
      <c r="H11" s="158">
        <f>IF(AND(ISNUMBER(D11), ISNUMBER(F11)),
    ROUNDDOWN(
        MIN(
            IF(OR(ISBLANK(I11), I11=""),
                EOMONTH(DATE(LOHNTABELLE!$G$3, $A$1, 1), 0), I11)
            - MAX(D11, DATE(LOHNTABELLE!$G$3, $A$1, 1)) + 1)
        / DAY(EOMONTH(DATE(LOHNTABELLE!$G$3, $A$1, 1), 0)) * F11,
        2
    ),
    ""
)</f>
        <v>173</v>
      </c>
      <c r="I11" s="19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45" t="s">
        <v>76</v>
      </c>
      <c r="P11" s="246"/>
      <c r="Q11" s="247">
        <f>P5</f>
        <v>10</v>
      </c>
      <c r="R11" s="247"/>
    </row>
    <row r="12" spans="1:28" ht="16" customHeight="1">
      <c r="A12" s="130" t="s">
        <v>77</v>
      </c>
      <c r="B12" s="170">
        <v>401214</v>
      </c>
      <c r="C12" s="137" t="s">
        <v>294</v>
      </c>
      <c r="D12" s="193">
        <v>45636</v>
      </c>
      <c r="E12" s="134" t="s">
        <v>8</v>
      </c>
      <c r="F12" s="136">
        <v>173</v>
      </c>
      <c r="G12" s="185">
        <v>2082</v>
      </c>
      <c r="H12" s="158">
        <f>IF(AND(ISNUMBER(D12), ISNUMBER(F12)),
    ROUNDDOWN(
        MIN(
            IF(OR(ISBLANK(I12), I12=""),
                EOMONTH(DATE(LOHNTABELLE!$G$3, $A$1, 1), 0), I12)
            - MAX(D12, DATE(LOHNTABELLE!$G$3, $A$1, 1)) + 1)
        / DAY(EOMONTH(DATE(LOHNTABELLE!$G$3, $A$1, 1), 0)) * F12,
        2
    ),
    ""
)</f>
        <v>173</v>
      </c>
      <c r="I12" s="19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45" t="s">
        <v>78</v>
      </c>
      <c r="P12" s="246"/>
      <c r="Q12" s="276">
        <v>-121</v>
      </c>
      <c r="R12" s="276"/>
    </row>
    <row r="13" spans="1:28" ht="16" customHeight="1">
      <c r="A13" s="131" t="s">
        <v>79</v>
      </c>
      <c r="B13" s="170">
        <v>401276</v>
      </c>
      <c r="C13" s="137" t="s">
        <v>269</v>
      </c>
      <c r="D13" s="193">
        <v>43252</v>
      </c>
      <c r="E13" s="134" t="s">
        <v>8</v>
      </c>
      <c r="F13" s="136">
        <v>173</v>
      </c>
      <c r="G13" s="185">
        <v>2082</v>
      </c>
      <c r="H13" s="158">
        <f>IF(AND(ISNUMBER(D13), ISNUMBER(F13)),
    ROUNDDOWN(
        MIN(
            IF(OR(ISBLANK(I13), I13=""),
                EOMONTH(DATE(LOHNTABELLE!$G$3, $A$1, 1), 0), I13)
            - MAX(D13, DATE(LOHNTABELLE!$G$3, $A$1, 1)) + 1)
        / DAY(EOMONTH(DATE(LOHNTABELLE!$G$3, $A$1, 1), 0)) * F13,
        2
    ),
    ""
)</f>
        <v>173</v>
      </c>
      <c r="I13" s="19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45" t="s">
        <v>80</v>
      </c>
      <c r="P13" s="246"/>
      <c r="Q13" s="247">
        <f>Q8-Q9-Q10-Q11-Q12</f>
        <v>8996.1799999999985</v>
      </c>
      <c r="R13" s="247"/>
    </row>
    <row r="14" spans="1:28" ht="16" customHeight="1">
      <c r="A14" s="130" t="s">
        <v>81</v>
      </c>
      <c r="B14" s="170">
        <v>401307</v>
      </c>
      <c r="C14" s="137" t="s">
        <v>270</v>
      </c>
      <c r="D14" s="193">
        <v>43571</v>
      </c>
      <c r="E14" s="134" t="s">
        <v>8</v>
      </c>
      <c r="F14" s="136">
        <v>173</v>
      </c>
      <c r="G14" s="185">
        <v>2082</v>
      </c>
      <c r="H14" s="158">
        <f>IF(AND(ISNUMBER(D14), ISNUMBER(F14)),
    ROUNDDOWN(
        MIN(
            IF(OR(ISBLANK(I14), I14=""),
                EOMONTH(DATE(LOHNTABELLE!$G$3, $A$1, 1), 0), I14)
            - MAX(D14, DATE(LOHNTABELLE!$G$3, $A$1, 1)) + 1)
        / DAY(EOMONTH(DATE(LOHNTABELLE!$G$3, $A$1, 1), 0)) * F14,
        2
    ),
    ""
)</f>
        <v>173</v>
      </c>
      <c r="I14" s="19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45" t="s">
        <v>82</v>
      </c>
      <c r="P14" s="246"/>
      <c r="Q14" s="247">
        <f>EINSTELLUNG!L15</f>
        <v>10</v>
      </c>
      <c r="R14" s="247"/>
    </row>
    <row r="15" spans="1:28" ht="16" customHeight="1">
      <c r="A15" s="130" t="s">
        <v>83</v>
      </c>
      <c r="B15" s="170">
        <v>401308</v>
      </c>
      <c r="C15" s="137" t="s">
        <v>271</v>
      </c>
      <c r="D15" s="193">
        <v>43579</v>
      </c>
      <c r="E15" s="134" t="s">
        <v>8</v>
      </c>
      <c r="F15" s="136">
        <v>173</v>
      </c>
      <c r="G15" s="185">
        <v>2082</v>
      </c>
      <c r="H15" s="158">
        <f>IF(AND(ISNUMBER(D15), ISNUMBER(F15)),
    ROUNDDOWN(
        MIN(
            IF(OR(ISBLANK(I15), I15=""),
                EOMONTH(DATE(LOHNTABELLE!$G$3, $A$1, 1), 0), I15)
            - MAX(D15, DATE(LOHNTABELLE!$G$3, $A$1, 1)) + 1)
        / DAY(EOMONTH(DATE(LOHNTABELLE!$G$3, $A$1, 1), 0)) * F15,
        2
    ),
    ""
)</f>
        <v>173</v>
      </c>
      <c r="I15" s="19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45" t="s">
        <v>84</v>
      </c>
      <c r="P15" s="246"/>
      <c r="Q15" s="247">
        <f>Q13-Q14</f>
        <v>8986.1799999999985</v>
      </c>
      <c r="R15" s="247"/>
      <c r="S15" s="100"/>
      <c r="T15" s="100"/>
      <c r="U15" s="100"/>
    </row>
    <row r="16" spans="1:28" ht="16" customHeight="1">
      <c r="A16" s="130" t="s">
        <v>85</v>
      </c>
      <c r="B16" s="170">
        <v>401389</v>
      </c>
      <c r="C16" s="137" t="s">
        <v>273</v>
      </c>
      <c r="D16" s="193">
        <v>44384</v>
      </c>
      <c r="E16" s="134" t="s">
        <v>22</v>
      </c>
      <c r="F16" s="136">
        <v>173</v>
      </c>
      <c r="G16" s="185">
        <v>2300</v>
      </c>
      <c r="H16" s="158">
        <f>IF(AND(ISNUMBER(D16), ISNUMBER(F16)),
    ROUNDDOWN(
        MIN(
            IF(OR(ISBLANK(I16), I16=""),
                EOMONTH(DATE(LOHNTABELLE!$G$3, $A$1, 1), 0), I16)
            - MAX(D16, DATE(LOHNTABELLE!$G$3, $A$1, 1)) + 1)
        / DAY(EOMONTH(DATE(LOHNTABELLE!$G$3, $A$1, 1), 0)) * F16,
        2
    ),
    ""
)</f>
        <v>173</v>
      </c>
      <c r="I16" s="19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248" t="str">
        <f>IF(Q15&lt;0, "Schlecht! Zu wenig Stunden für Dienstplan.", IF(Q15&gt;0, "Du hast mehr als genug Stunden für Dienstplan.", ""))</f>
        <v>Du hast mehr als genug Stunden für Dienstplan.</v>
      </c>
      <c r="P16" s="248"/>
      <c r="Q16" s="248"/>
      <c r="R16" s="248"/>
      <c r="W16" s="45"/>
    </row>
    <row r="17" spans="1:29" ht="16" customHeight="1">
      <c r="A17" s="131" t="s">
        <v>86</v>
      </c>
      <c r="B17" s="170">
        <v>401394</v>
      </c>
      <c r="C17" s="137" t="s">
        <v>272</v>
      </c>
      <c r="D17" s="193">
        <v>44379</v>
      </c>
      <c r="E17" s="134" t="s">
        <v>4</v>
      </c>
      <c r="F17" s="136">
        <v>173</v>
      </c>
      <c r="G17" s="185">
        <v>3500</v>
      </c>
      <c r="H17" s="158">
        <f>IF(AND(ISNUMBER(D17), ISNUMBER(F17)),
    ROUNDDOWN(
        MIN(
            IF(OR(ISBLANK(I17), I17=""),
                EOMONTH(DATE(LOHNTABELLE!$G$3, $A$1, 1), 0), I17)
            - MAX(D17, DATE(LOHNTABELLE!$G$3, $A$1, 1)) + 1)
        / DAY(EOMONTH(DATE(LOHNTABELLE!$G$3, $A$1, 1), 0)) * F17,
        2
    ),
    ""
)</f>
        <v>173</v>
      </c>
      <c r="I17" s="19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53" t="s">
        <v>87</v>
      </c>
      <c r="P17" s="254"/>
      <c r="Q17" s="277">
        <f>SUM(L3:L82)</f>
        <v>146784.4</v>
      </c>
      <c r="R17" s="277"/>
      <c r="W17" s="45"/>
    </row>
    <row r="18" spans="1:29" ht="16" customHeight="1">
      <c r="A18" s="130" t="s">
        <v>88</v>
      </c>
      <c r="B18" s="170">
        <v>401432</v>
      </c>
      <c r="C18" s="137" t="s">
        <v>274</v>
      </c>
      <c r="D18" s="193">
        <v>44441</v>
      </c>
      <c r="E18" s="134" t="s">
        <v>4</v>
      </c>
      <c r="F18" s="136">
        <v>173</v>
      </c>
      <c r="G18" s="185">
        <v>3500</v>
      </c>
      <c r="H18" s="158">
        <f>IF(AND(ISNUMBER(D18), ISNUMBER(F18)),
    ROUNDDOWN(
        MIN(
            IF(OR(ISBLANK(I18), I18=""),
                EOMONTH(DATE(LOHNTABELLE!$G$3, $A$1, 1), 0), I18)
            - MAX(D18, DATE(LOHNTABELLE!$G$3, $A$1, 1)) + 1)
        / DAY(EOMONTH(DATE(LOHNTABELLE!$G$3, $A$1, 1), 0)) * F18,
        2
    ),
    ""
)</f>
        <v>173</v>
      </c>
      <c r="I18" s="19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335"/>
      <c r="P18" s="366"/>
      <c r="Q18" s="367"/>
      <c r="R18" s="244"/>
    </row>
    <row r="19" spans="1:29" ht="16" customHeight="1">
      <c r="A19" s="130" t="s">
        <v>89</v>
      </c>
      <c r="B19" s="170">
        <v>401476</v>
      </c>
      <c r="C19" s="137" t="s">
        <v>276</v>
      </c>
      <c r="D19" s="193">
        <v>44504</v>
      </c>
      <c r="E19" s="134" t="s">
        <v>4</v>
      </c>
      <c r="F19" s="136">
        <v>173</v>
      </c>
      <c r="G19" s="185">
        <v>3500</v>
      </c>
      <c r="H19" s="158">
        <f>IF(AND(ISNUMBER(D19), ISNUMBER(F19)),
    ROUNDDOWN(
        MIN(
            IF(OR(ISBLANK(I19), I19=""),
                EOMONTH(DATE(LOHNTABELLE!$G$3, $A$1, 1), 0), I19)
            - MAX(D19, DATE(LOHNTABELLE!$G$3, $A$1, 1)) + 1)
        / DAY(EOMONTH(DATE(LOHNTABELLE!$G$3, $A$1, 1), 0)) * F19,
        2
    ),
    ""
)</f>
        <v>173</v>
      </c>
      <c r="I19" s="19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335"/>
      <c r="P19" s="366"/>
      <c r="Q19" s="367"/>
      <c r="R19" s="244"/>
    </row>
    <row r="20" spans="1:29" ht="16" customHeight="1">
      <c r="A20" s="130" t="s">
        <v>90</v>
      </c>
      <c r="B20" s="170">
        <v>401479</v>
      </c>
      <c r="C20" s="137" t="s">
        <v>277</v>
      </c>
      <c r="D20" s="193">
        <v>44511</v>
      </c>
      <c r="E20" s="134" t="s">
        <v>13</v>
      </c>
      <c r="F20" s="136">
        <v>173</v>
      </c>
      <c r="G20" s="185">
        <v>2160</v>
      </c>
      <c r="H20" s="158">
        <f>IF(AND(ISNUMBER(D20), ISNUMBER(F20)),
    ROUNDDOWN(
        MIN(
            IF(OR(ISBLANK(I20), I20=""),
                EOMONTH(DATE(LOHNTABELLE!$G$3, $A$1, 1), 0), I20)
            - MAX(D20, DATE(LOHNTABELLE!$G$3, $A$1, 1)) + 1)
        / DAY(EOMONTH(DATE(LOHNTABELLE!$G$3, $A$1, 1), 0)) * F20,
        2
    ),
    ""
)</f>
        <v>173</v>
      </c>
      <c r="I20" s="19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335"/>
      <c r="P20" s="366"/>
      <c r="Q20" s="367"/>
      <c r="R20" s="244"/>
    </row>
    <row r="21" spans="1:29" ht="16" customHeight="1">
      <c r="A21" s="131" t="s">
        <v>92</v>
      </c>
      <c r="B21" s="170">
        <v>401481</v>
      </c>
      <c r="C21" s="137" t="s">
        <v>278</v>
      </c>
      <c r="D21" s="193">
        <v>44531</v>
      </c>
      <c r="E21" s="134" t="s">
        <v>4</v>
      </c>
      <c r="F21" s="136">
        <v>173</v>
      </c>
      <c r="G21" s="185">
        <v>3500</v>
      </c>
      <c r="H21" s="158">
        <f>IF(AND(ISNUMBER(D21), ISNUMBER(F21)),
    ROUNDDOWN(
        MIN(
            IF(OR(ISBLANK(I21), I21=""),
                EOMONTH(DATE(LOHNTABELLE!$G$3, $A$1, 1), 0), I21)
            - MAX(D21, DATE(LOHNTABELLE!$G$3, $A$1, 1)) + 1)
        / DAY(EOMONTH(DATE(LOHNTABELLE!$G$3, $A$1, 1), 0)) * F21,
        2
    ),
    ""
)</f>
        <v>173</v>
      </c>
      <c r="I21" s="19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335" t="s">
        <v>356</v>
      </c>
      <c r="P21" s="366"/>
      <c r="Q21" s="367">
        <v>5000</v>
      </c>
      <c r="R21" s="244"/>
    </row>
    <row r="22" spans="1:29" ht="16" customHeight="1">
      <c r="A22" s="130" t="s">
        <v>93</v>
      </c>
      <c r="B22" s="170">
        <v>401558</v>
      </c>
      <c r="C22" s="137" t="s">
        <v>275</v>
      </c>
      <c r="D22" s="193">
        <v>44460</v>
      </c>
      <c r="E22" s="134" t="s">
        <v>4</v>
      </c>
      <c r="F22" s="136">
        <v>173</v>
      </c>
      <c r="G22" s="185">
        <v>3500</v>
      </c>
      <c r="H22" s="158">
        <f>IF(AND(ISNUMBER(D22), ISNUMBER(F22)),
    ROUNDDOWN(
        MIN(
            IF(OR(ISBLANK(I22), I22=""),
                EOMONTH(DATE(LOHNTABELLE!$G$3, $A$1, 1), 0), I22)
            - MAX(D22, DATE(LOHNTABELLE!$G$3, $A$1, 1)) + 1)
        / DAY(EOMONTH(DATE(LOHNTABELLE!$G$3, $A$1, 1), 0)) * F22,
        2
    ),
    ""
)</f>
        <v>173</v>
      </c>
      <c r="I22" s="19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335"/>
      <c r="P22" s="366"/>
      <c r="Q22" s="367"/>
      <c r="R22" s="244"/>
    </row>
    <row r="23" spans="1:29" ht="16" customHeight="1">
      <c r="A23" s="130" t="s">
        <v>94</v>
      </c>
      <c r="B23" s="170">
        <v>401564</v>
      </c>
      <c r="C23" s="137" t="s">
        <v>279</v>
      </c>
      <c r="D23" s="193">
        <v>44824</v>
      </c>
      <c r="E23" s="134" t="s">
        <v>4</v>
      </c>
      <c r="F23" s="136">
        <v>173</v>
      </c>
      <c r="G23" s="185">
        <v>3500</v>
      </c>
      <c r="H23" s="158">
        <f>IF(AND(ISNUMBER(D23), ISNUMBER(F23)),
    ROUNDDOWN(
        MIN(
            IF(OR(ISBLANK(I23), I23=""),
                EOMONTH(DATE(LOHNTABELLE!$G$3, $A$1, 1), 0), I23)
            - MAX(D23, DATE(LOHNTABELLE!$G$3, $A$1, 1)) + 1)
        / DAY(EOMONTH(DATE(LOHNTABELLE!$G$3, $A$1, 1), 0)) * F23,
        2
    ),
    ""
)</f>
        <v>173</v>
      </c>
      <c r="I23" s="19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335"/>
      <c r="P23" s="366"/>
      <c r="Q23" s="367"/>
      <c r="R23" s="244"/>
      <c r="W23" s="45"/>
    </row>
    <row r="24" spans="1:29" ht="16" customHeight="1">
      <c r="A24" s="130" t="s">
        <v>95</v>
      </c>
      <c r="B24" s="170">
        <v>401583</v>
      </c>
      <c r="C24" s="137" t="s">
        <v>281</v>
      </c>
      <c r="D24" s="193">
        <v>44900</v>
      </c>
      <c r="E24" s="134" t="s">
        <v>21</v>
      </c>
      <c r="F24" s="136">
        <v>173</v>
      </c>
      <c r="G24" s="185">
        <v>2300</v>
      </c>
      <c r="H24" s="158">
        <f>IF(AND(ISNUMBER(D24), ISNUMBER(F24)),
    ROUNDDOWN(
        MIN(
            IF(OR(ISBLANK(I24), I24=""),
                EOMONTH(DATE(LOHNTABELLE!$G$3, $A$1, 1), 0), I24)
            - MAX(D24, DATE(LOHNTABELLE!$G$3, $A$1, 1)) + 1)
        / DAY(EOMONTH(DATE(LOHNTABELLE!$G$3, $A$1, 1), 0)) * F24,
        2
    ),
    ""
)</f>
        <v>173</v>
      </c>
      <c r="I24" s="19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35"/>
      <c r="P24" s="366"/>
      <c r="Q24" s="367"/>
      <c r="R24" s="244"/>
      <c r="W24" s="45"/>
    </row>
    <row r="25" spans="1:29" ht="16" customHeight="1" thickBot="1">
      <c r="A25" s="131" t="s">
        <v>96</v>
      </c>
      <c r="B25" s="170">
        <v>401589</v>
      </c>
      <c r="C25" s="137" t="s">
        <v>282</v>
      </c>
      <c r="D25" s="193">
        <v>44926</v>
      </c>
      <c r="E25" s="134" t="s">
        <v>21</v>
      </c>
      <c r="F25" s="136">
        <v>173</v>
      </c>
      <c r="G25" s="185">
        <v>2300</v>
      </c>
      <c r="H25" s="158">
        <f>IF(AND(ISNUMBER(D25), ISNUMBER(F25)),
    ROUNDDOWN(
        MIN(
            IF(OR(ISBLANK(I25), I25=""),
                EOMONTH(DATE(LOHNTABELLE!$G$3, $A$1, 1), 0), I25)
            - MAX(D25, DATE(LOHNTABELLE!$G$3, $A$1, 1)) + 1)
        / DAY(EOMONTH(DATE(LOHNTABELLE!$G$3, $A$1, 1), 0)) * F25,
        2
    ),
    ""
)</f>
        <v>173</v>
      </c>
      <c r="I25" s="19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350"/>
      <c r="P25" s="368"/>
      <c r="Q25" s="369"/>
      <c r="R25" s="286"/>
    </row>
    <row r="26" spans="1:29" ht="16" customHeight="1">
      <c r="A26" s="130" t="s">
        <v>97</v>
      </c>
      <c r="B26" s="170">
        <v>401602</v>
      </c>
      <c r="C26" s="139" t="s">
        <v>283</v>
      </c>
      <c r="D26" s="193">
        <v>45975</v>
      </c>
      <c r="E26" s="134" t="s">
        <v>4</v>
      </c>
      <c r="F26" s="136">
        <v>173</v>
      </c>
      <c r="G26" s="185">
        <v>3500</v>
      </c>
      <c r="H26" s="158">
        <f>IF(AND(ISNUMBER(D26), ISNUMBER(F26)),
    ROUNDDOWN(
        MIN(
            IF(OR(ISBLANK(I26), I26=""),
                EOMONTH(DATE(LOHNTABELLE!$G$3, $A$1, 1), 0), I26)
            - MAX(D26, DATE(LOHNTABELLE!$G$3, $A$1, 1)) + 1)
        / DAY(EOMONTH(DATE(LOHNTABELLE!$G$3, $A$1, 1), 0)) * F26,
        2
    ),
    ""
)</f>
        <v>173</v>
      </c>
      <c r="I26" s="19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96"/>
      <c r="P26" s="297"/>
      <c r="Q26" s="287"/>
      <c r="R26" s="288"/>
    </row>
    <row r="27" spans="1:29" ht="16" customHeight="1">
      <c r="A27" s="130" t="s">
        <v>98</v>
      </c>
      <c r="B27" s="170">
        <v>401605</v>
      </c>
      <c r="C27" s="137" t="s">
        <v>284</v>
      </c>
      <c r="D27" s="193">
        <v>44986</v>
      </c>
      <c r="E27" s="134" t="s">
        <v>4</v>
      </c>
      <c r="F27" s="136">
        <v>173</v>
      </c>
      <c r="G27" s="185">
        <v>3500</v>
      </c>
      <c r="H27" s="158">
        <f>IF(AND(ISNUMBER(D27), ISNUMBER(F27)),
    ROUNDDOWN(
        MIN(
            IF(OR(ISBLANK(I27), I27=""),
                EOMONTH(DATE(LOHNTABELLE!$G$3, $A$1, 1), 0), I27)
            - MAX(D27, DATE(LOHNTABELLE!$G$3, $A$1, 1)) + 1)
        / DAY(EOMONTH(DATE(LOHNTABELLE!$G$3, $A$1, 1), 0)) * F27,
        2
    ),
    ""
)</f>
        <v>173</v>
      </c>
      <c r="I27" s="19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51"/>
      <c r="P27" s="252"/>
      <c r="Q27" s="244"/>
      <c r="R27" s="289"/>
      <c r="S27" s="249" t="s">
        <v>99</v>
      </c>
      <c r="T27" s="250"/>
      <c r="U27" s="250"/>
      <c r="V27" s="250"/>
    </row>
    <row r="28" spans="1:29" ht="16" customHeight="1" thickBot="1">
      <c r="A28" s="130" t="s">
        <v>100</v>
      </c>
      <c r="B28" s="170">
        <v>401626</v>
      </c>
      <c r="C28" s="137" t="s">
        <v>285</v>
      </c>
      <c r="D28" s="193">
        <v>45063</v>
      </c>
      <c r="E28" s="134" t="s">
        <v>4</v>
      </c>
      <c r="F28" s="136">
        <v>173</v>
      </c>
      <c r="G28" s="185">
        <v>3500</v>
      </c>
      <c r="H28" s="158">
        <f>IF(AND(ISNUMBER(D28), ISNUMBER(F28)),
    ROUNDDOWN(
        MIN(
            IF(OR(ISBLANK(I28), I28=""),
                EOMONTH(DATE(LOHNTABELLE!$G$3, $A$1, 1), 0), I28)
            - MAX(D28, DATE(LOHNTABELLE!$G$3, $A$1, 1)) + 1)
        / DAY(EOMONTH(DATE(LOHNTABELLE!$G$3, $A$1, 1), 0)) * F28,
        2
    ),
    ""
)</f>
        <v>173</v>
      </c>
      <c r="I28" s="19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90"/>
      <c r="P28" s="291"/>
      <c r="Q28" s="292"/>
      <c r="R28" s="293"/>
    </row>
    <row r="29" spans="1:29" ht="16" customHeight="1" thickBot="1">
      <c r="A29" s="131" t="s">
        <v>101</v>
      </c>
      <c r="B29" s="170">
        <v>401633</v>
      </c>
      <c r="C29" s="137" t="s">
        <v>286</v>
      </c>
      <c r="D29" s="193">
        <v>45089</v>
      </c>
      <c r="E29" s="134" t="s">
        <v>21</v>
      </c>
      <c r="F29" s="136">
        <v>173</v>
      </c>
      <c r="G29" s="185">
        <v>2300</v>
      </c>
      <c r="H29" s="158">
        <f>IF(AND(ISNUMBER(D29), ISNUMBER(F29)),
    ROUNDDOWN(
        MIN(
            IF(OR(ISBLANK(I29), I29=""),
                EOMONTH(DATE(LOHNTABELLE!$G$3, $A$1, 1), 0), I29)
            - MAX(D29, DATE(LOHNTABELLE!$G$3, $A$1, 1)) + 1)
        / DAY(EOMONTH(DATE(LOHNTABELLE!$G$3, $A$1, 1), 0)) * F29,
        2
    ),
    ""
)</f>
        <v>173</v>
      </c>
      <c r="I29" s="19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82" t="s">
        <v>102</v>
      </c>
      <c r="P29" s="283"/>
      <c r="Q29" s="284">
        <f>EINSTELLUNG!O15</f>
        <v>10</v>
      </c>
      <c r="R29" s="285"/>
    </row>
    <row r="30" spans="1:29" ht="16" customHeight="1">
      <c r="A30" s="130" t="s">
        <v>103</v>
      </c>
      <c r="B30" s="170">
        <v>401647</v>
      </c>
      <c r="C30" s="137" t="s">
        <v>287</v>
      </c>
      <c r="D30" s="193">
        <v>45182</v>
      </c>
      <c r="E30" s="134" t="s">
        <v>4</v>
      </c>
      <c r="F30" s="136">
        <v>173</v>
      </c>
      <c r="G30" s="185">
        <v>3500</v>
      </c>
      <c r="H30" s="158">
        <f>IF(AND(ISNUMBER(D30), ISNUMBER(F30)),
    ROUNDDOWN(
        MIN(
            IF(OR(ISBLANK(I30), I30=""),
                EOMONTH(DATE(LOHNTABELLE!$G$3, $A$1, 1), 0), I30)
            - MAX(D30, DATE(LOHNTABELLE!$G$3, $A$1, 1)) + 1)
        / DAY(EOMONTH(DATE(LOHNTABELLE!$G$3, $A$1, 1), 0)) * F30,
        2
    ),
    ""
)</f>
        <v>173</v>
      </c>
      <c r="I30" s="19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193">
        <v>45261</v>
      </c>
      <c r="E31" s="134" t="s">
        <v>4</v>
      </c>
      <c r="F31" s="136">
        <v>173</v>
      </c>
      <c r="G31" s="185">
        <v>3500</v>
      </c>
      <c r="H31" s="158">
        <f>IF(AND(ISNUMBER(D31), ISNUMBER(F31)),
    ROUNDDOWN(
        MIN(
            IF(OR(ISBLANK(I31), I31=""),
                EOMONTH(DATE(LOHNTABELLE!$G$3, $A$1, 1), 0), I31)
            - MAX(D31, DATE(LOHNTABELLE!$G$3, $A$1, 1)) + 1)
        / DAY(EOMONTH(DATE(LOHNTABELLE!$G$3, $A$1, 1), 0)) * F31,
        2
    ),
    ""
)</f>
        <v>173</v>
      </c>
      <c r="I31" s="19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98">
        <v>0</v>
      </c>
      <c r="P31" s="299"/>
      <c r="Q31" s="300">
        <v>0</v>
      </c>
      <c r="R31" s="301"/>
    </row>
    <row r="32" spans="1:29" ht="16" customHeight="1">
      <c r="A32" s="130" t="s">
        <v>106</v>
      </c>
      <c r="B32" s="170">
        <v>401670</v>
      </c>
      <c r="C32" s="137" t="s">
        <v>289</v>
      </c>
      <c r="D32" s="193">
        <v>45358</v>
      </c>
      <c r="E32" s="134" t="s">
        <v>4</v>
      </c>
      <c r="F32" s="136">
        <v>173</v>
      </c>
      <c r="G32" s="185">
        <v>3500</v>
      </c>
      <c r="H32" s="158">
        <f>IF(AND(ISNUMBER(D32), ISNUMBER(F32)),
    ROUNDDOWN(
        MIN(
            IF(OR(ISBLANK(I32), I32=""),
                EOMONTH(DATE(LOHNTABELLE!$G$3, $A$1, 1), 0), I32)
            - MAX(D32, DATE(LOHNTABELLE!$G$3, $A$1, 1)) + 1)
        / DAY(EOMONTH(DATE(LOHNTABELLE!$G$3, $A$1, 1), 0)) * F32,
        2
    ),
    ""
)</f>
        <v>173</v>
      </c>
      <c r="I32" s="19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401678</v>
      </c>
      <c r="C33" s="137" t="s">
        <v>290</v>
      </c>
      <c r="D33" s="193">
        <v>45414</v>
      </c>
      <c r="E33" s="134" t="s">
        <v>4</v>
      </c>
      <c r="F33" s="136">
        <v>173</v>
      </c>
      <c r="G33" s="185">
        <v>3500</v>
      </c>
      <c r="H33" s="158">
        <f>IF(AND(ISNUMBER(D33), ISNUMBER(F33)),
    ROUNDDOWN(
        MIN(
            IF(OR(ISBLANK(I33), I33=""),
                EOMONTH(DATE(LOHNTABELLE!$G$3, $A$1, 1), 0), I33)
            - MAX(D33, DATE(LOHNTABELLE!$G$3, $A$1, 1)) + 1)
        / DAY(EOMONTH(DATE(LOHNTABELLE!$G$3, $A$1, 1), 0)) * F33,
        2
    ),
    ""
)</f>
        <v>173</v>
      </c>
      <c r="I33" s="19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66"/>
      <c r="P33" s="267"/>
      <c r="Q33" s="364" t="str">
        <f>EINSTELLUNG!B3</f>
        <v>Budget Zahlen</v>
      </c>
      <c r="R33" s="364"/>
      <c r="S33" s="365" t="str">
        <f>EINSTELLUNG!B19</f>
        <v>Projection/Aktuell Zahlen</v>
      </c>
      <c r="T33" s="365"/>
      <c r="U33" s="365" t="s">
        <v>110</v>
      </c>
      <c r="V33" s="365"/>
    </row>
    <row r="34" spans="1:24" ht="16" customHeight="1">
      <c r="A34" s="130" t="s">
        <v>111</v>
      </c>
      <c r="B34" s="170">
        <v>401690</v>
      </c>
      <c r="C34" s="137" t="s">
        <v>292</v>
      </c>
      <c r="D34" s="193">
        <v>45536</v>
      </c>
      <c r="E34" s="134" t="s">
        <v>4</v>
      </c>
      <c r="F34" s="136">
        <v>173</v>
      </c>
      <c r="G34" s="185">
        <v>3500</v>
      </c>
      <c r="H34" s="158">
        <f>IF(AND(ISNUMBER(D34), ISNUMBER(F34)),
    ROUNDDOWN(
        MIN(
            IF(OR(ISBLANK(I34), I34=""),
                EOMONTH(DATE(LOHNTABELLE!$G$3, $A$1, 1), 0), I34)
            - MAX(D34, DATE(LOHNTABELLE!$G$3, $A$1, 1)) + 1)
        / DAY(EOMONTH(DATE(LOHNTABELLE!$G$3, $A$1, 1), 0)) * F34,
        2
    ),
    ""
)</f>
        <v>173</v>
      </c>
      <c r="I34" s="19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66"/>
      <c r="P34" s="267"/>
      <c r="Q34" s="364"/>
      <c r="R34" s="364"/>
      <c r="S34" s="365"/>
      <c r="T34" s="365"/>
      <c r="U34" s="365"/>
      <c r="V34" s="365"/>
    </row>
    <row r="35" spans="1:24" ht="16" customHeight="1">
      <c r="A35" s="130" t="s">
        <v>112</v>
      </c>
      <c r="B35" s="170">
        <v>401703</v>
      </c>
      <c r="C35" s="137" t="s">
        <v>293</v>
      </c>
      <c r="D35" s="193">
        <v>45616</v>
      </c>
      <c r="E35" s="134" t="s">
        <v>4</v>
      </c>
      <c r="F35" s="136">
        <v>173</v>
      </c>
      <c r="G35" s="185">
        <v>3500</v>
      </c>
      <c r="H35" s="158">
        <f>IF(AND(ISNUMBER(D35), ISNUMBER(F35)),
    ROUNDDOWN(
        MIN(
            IF(OR(ISBLANK(I35), I35=""),
                EOMONTH(DATE(LOHNTABELLE!$G$3, $A$1, 1), 0), I35)
            - MAX(D35, DATE(LOHNTABELLE!$G$3, $A$1, 1)) + 1)
        / DAY(EOMONTH(DATE(LOHNTABELLE!$G$3, $A$1, 1), 0)) * F35,
        2
    ),
    ""
)</f>
        <v>173</v>
      </c>
      <c r="I35" s="19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55" t="s">
        <v>113</v>
      </c>
      <c r="P35" s="256"/>
      <c r="Q35" s="257">
        <f>EINSTELLUNG!C15</f>
        <v>10</v>
      </c>
      <c r="R35" s="257"/>
      <c r="S35" s="257">
        <f>EINSTELLUNG!C31</f>
        <v>10</v>
      </c>
      <c r="T35" s="257"/>
      <c r="U35" s="258">
        <f>S35-Q35</f>
        <v>0</v>
      </c>
      <c r="V35" s="258"/>
    </row>
    <row r="36" spans="1:24" ht="16" customHeight="1">
      <c r="A36" s="130" t="s">
        <v>114</v>
      </c>
      <c r="B36" s="170">
        <v>401715</v>
      </c>
      <c r="C36" s="137" t="s">
        <v>295</v>
      </c>
      <c r="D36" s="193">
        <v>45755</v>
      </c>
      <c r="E36" s="134" t="s">
        <v>4</v>
      </c>
      <c r="F36" s="136">
        <v>173</v>
      </c>
      <c r="G36" s="185">
        <v>3500</v>
      </c>
      <c r="H36" s="158">
        <f>IF(AND(ISNUMBER(D36), ISNUMBER(F36)),
    ROUNDDOWN(
        MIN(
            IF(OR(ISBLANK(I36), I36=""),
                EOMONTH(DATE(LOHNTABELLE!$G$3, $A$1, 1), 0), I36)
            - MAX(D36, DATE(LOHNTABELLE!$G$3, $A$1, 1)) + 1)
        / DAY(EOMONTH(DATE(LOHNTABELLE!$G$3, $A$1, 1), 0)) * F36,
        2
    ),
    ""
)</f>
        <v>173</v>
      </c>
      <c r="I36" s="19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55" t="s">
        <v>115</v>
      </c>
      <c r="P36" s="256"/>
      <c r="Q36" s="257">
        <f>EINSTELLUNG!D15</f>
        <v>10</v>
      </c>
      <c r="R36" s="257"/>
      <c r="S36" s="261" cm="1">
        <f t="array" ref="S36">SumMergedCells(Q17:R29)</f>
        <v>151794.4</v>
      </c>
      <c r="T36" s="263"/>
      <c r="U36" s="258">
        <f t="shared" ref="U36:U41" si="2">S36-Q36</f>
        <v>151784.4</v>
      </c>
      <c r="V36" s="258"/>
    </row>
    <row r="37" spans="1:24" ht="16" customHeight="1">
      <c r="A37" s="131" t="s">
        <v>116</v>
      </c>
      <c r="B37" s="170">
        <v>401716</v>
      </c>
      <c r="C37" s="137" t="s">
        <v>296</v>
      </c>
      <c r="D37" s="193">
        <v>45800</v>
      </c>
      <c r="E37" s="134" t="s">
        <v>4</v>
      </c>
      <c r="F37" s="136">
        <v>173</v>
      </c>
      <c r="G37" s="185">
        <v>3500</v>
      </c>
      <c r="H37" s="158">
        <f>IF(AND(ISNUMBER(D37), ISNUMBER(F37)),
    ROUNDDOWN(
        MIN(
            IF(OR(ISBLANK(I37), I37=""),
                EOMONTH(DATE(LOHNTABELLE!$G$3, $A$1, 1), 0), I37)
            - MAX(D37, DATE(LOHNTABELLE!$G$3, $A$1, 1)) + 1)
        / DAY(EOMONTH(DATE(LOHNTABELLE!$G$3, $A$1, 1), 0)) * F37,
        2
    ),
    ""
)</f>
        <v>173</v>
      </c>
      <c r="I37" s="19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55" t="s">
        <v>117</v>
      </c>
      <c r="P37" s="256"/>
      <c r="Q37" s="264">
        <f>IF(ISERROR(Q36/Q35), 0, Q36/Q35)</f>
        <v>1</v>
      </c>
      <c r="R37" s="264"/>
      <c r="S37" s="264">
        <f>IF(ISERROR(S36/S35), 0, S36/S35)</f>
        <v>15179.439999999999</v>
      </c>
      <c r="T37" s="264"/>
      <c r="U37" s="265">
        <f t="shared" si="2"/>
        <v>15178.439999999999</v>
      </c>
      <c r="V37" s="265"/>
    </row>
    <row r="38" spans="1:24" ht="16" customHeight="1">
      <c r="A38" s="130" t="s">
        <v>118</v>
      </c>
      <c r="B38" s="170">
        <v>401717</v>
      </c>
      <c r="C38" s="139" t="s">
        <v>297</v>
      </c>
      <c r="D38" s="193">
        <v>45814</v>
      </c>
      <c r="E38" s="134" t="s">
        <v>4</v>
      </c>
      <c r="F38" s="136">
        <v>173</v>
      </c>
      <c r="G38" s="185">
        <v>3500</v>
      </c>
      <c r="H38" s="158">
        <f>IF(AND(ISNUMBER(D38), ISNUMBER(F38)),
    ROUNDDOWN(
        MIN(
            IF(OR(ISBLANK(I39), I39=""),
                EOMONTH(DATE(LOHNTABELLE!$G$3, $A$1, 1), 0), I39)
            - MAX(D38, DATE(LOHNTABELLE!$G$3, $A$1, 1)) + 1)
        / DAY(EOMONTH(DATE(LOHNTABELLE!$G$3, $A$1, 1), 0)) * F38,
        2
    ),
    ""
)</f>
        <v>173</v>
      </c>
      <c r="I38" s="19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55" t="s">
        <v>119</v>
      </c>
      <c r="P38" s="256"/>
      <c r="Q38" s="259">
        <f>EINSTELLUNG!F15</f>
        <v>10</v>
      </c>
      <c r="R38" s="259"/>
      <c r="S38" s="259">
        <f>EINSTELLUNG!F31</f>
        <v>10</v>
      </c>
      <c r="T38" s="259"/>
      <c r="U38" s="260">
        <f t="shared" si="2"/>
        <v>0</v>
      </c>
      <c r="V38" s="260"/>
    </row>
    <row r="39" spans="1:24" ht="16" customHeight="1">
      <c r="A39" s="130" t="s">
        <v>120</v>
      </c>
      <c r="B39" s="170">
        <v>401722</v>
      </c>
      <c r="C39" s="137" t="s">
        <v>298</v>
      </c>
      <c r="D39" s="193">
        <v>45848</v>
      </c>
      <c r="E39" s="134" t="s">
        <v>4</v>
      </c>
      <c r="F39" s="136">
        <v>86.5</v>
      </c>
      <c r="G39" s="185">
        <v>1010.5</v>
      </c>
      <c r="H39" s="158">
        <f>IF(AND(ISNUMBER(D39), ISNUMBER(F39)),
    ROUNDDOWN(
        MIN(
            IF(OR(ISBLANK(I40), I40=""),
                EOMONTH(DATE(LOHNTABELLE!$G$3, $A$1, 1), 0), I40)
            - MAX(D39, DATE(LOHNTABELLE!$G$3, $A$1, 1)) + 1)
        / DAY(EOMONTH(DATE(LOHNTABELLE!$G$3, $A$1, 1), 0)) * F39,
        2
    ),
    ""
)</f>
        <v>86.5</v>
      </c>
      <c r="I39" s="19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55" t="s">
        <v>121</v>
      </c>
      <c r="P39" s="256"/>
      <c r="Q39" s="257">
        <f>IF(Q38=0, 0, Q35/Q38)</f>
        <v>1</v>
      </c>
      <c r="R39" s="257"/>
      <c r="S39" s="257">
        <f>IF(S38=0, 0, S35/S38)</f>
        <v>1</v>
      </c>
      <c r="T39" s="257"/>
      <c r="U39" s="258">
        <f t="shared" si="2"/>
        <v>0</v>
      </c>
      <c r="V39" s="258"/>
    </row>
    <row r="40" spans="1:24" ht="16" customHeight="1">
      <c r="A40" s="130" t="s">
        <v>122</v>
      </c>
      <c r="B40" s="170">
        <v>401723</v>
      </c>
      <c r="C40" s="137" t="s">
        <v>299</v>
      </c>
      <c r="D40" s="193">
        <v>45852</v>
      </c>
      <c r="E40" s="134" t="s">
        <v>4</v>
      </c>
      <c r="F40" s="136">
        <v>86.5</v>
      </c>
      <c r="G40" s="185">
        <v>1010.5</v>
      </c>
      <c r="H40" s="158">
        <f>IF(AND(ISNUMBER(D40), ISNUMBER(F40)),
    ROUNDDOWN(
        MIN(
            IF(OR(ISBLANK(I40), I40=""),
                EOMONTH(DATE(LOHNTABELLE!$G$3, $A$1, 1), 0), I40)
            - MAX(D40, DATE(LOHNTABELLE!$G$3, $A$1, 1)) + 1)
        / DAY(EOMONTH(DATE(LOHNTABELLE!$G$3, $A$1, 1), 0)) * F40,
        2
    ),
    ""
)</f>
        <v>86.5</v>
      </c>
      <c r="I40" s="19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55" t="s">
        <v>123</v>
      </c>
      <c r="P40" s="256"/>
      <c r="Q40" s="257">
        <f>IF(Q13=0, 0, Q35/Q13)</f>
        <v>1.1115829163044762E-3</v>
      </c>
      <c r="R40" s="257"/>
      <c r="S40" s="257">
        <f>IF(Q13=0, 0, S35/Q13)</f>
        <v>1.1115829163044762E-3</v>
      </c>
      <c r="T40" s="257"/>
      <c r="U40" s="258">
        <f t="shared" si="2"/>
        <v>0</v>
      </c>
      <c r="V40" s="258"/>
    </row>
    <row r="41" spans="1:24" ht="16" customHeight="1">
      <c r="A41" s="131" t="s">
        <v>124</v>
      </c>
      <c r="B41" s="170">
        <v>401726</v>
      </c>
      <c r="C41" s="137" t="s">
        <v>300</v>
      </c>
      <c r="D41" s="193">
        <v>45870</v>
      </c>
      <c r="E41" s="134" t="s">
        <v>4</v>
      </c>
      <c r="F41" s="136">
        <v>86.5</v>
      </c>
      <c r="G41" s="185">
        <v>1010.5</v>
      </c>
      <c r="H41" s="158">
        <f>IF(AND(ISNUMBER(D41), ISNUMBER(F41)),
    ROUNDDOWN(
        MIN(
            IF(OR(ISBLANK(I41), I41=""),
                EOMONTH(DATE(LOHNTABELLE!$G$3, $A$1, 1), 0), I41)
            - MAX(D41, DATE(LOHNTABELLE!$G$3, $A$1, 1)) + 1)
        / DAY(EOMONTH(DATE(LOHNTABELLE!$G$3, $A$1, 1), 0)) * F41,
        2
    ),
    ""
)</f>
        <v>86.5</v>
      </c>
      <c r="I41" s="19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55" t="s">
        <v>125</v>
      </c>
      <c r="P41" s="256"/>
      <c r="Q41" s="259">
        <f>IF(Q13=0, 0, Q38/Q13)</f>
        <v>1.1115829163044762E-3</v>
      </c>
      <c r="R41" s="259"/>
      <c r="S41" s="259">
        <f>IF(Q13=0, 0, S38/Q13)</f>
        <v>1.1115829163044762E-3</v>
      </c>
      <c r="T41" s="259"/>
      <c r="U41" s="260">
        <f t="shared" si="2"/>
        <v>0</v>
      </c>
      <c r="V41" s="260"/>
    </row>
    <row r="42" spans="1:24" ht="16" customHeight="1">
      <c r="A42" s="130" t="s">
        <v>126</v>
      </c>
      <c r="B42" s="170">
        <v>401730</v>
      </c>
      <c r="C42" s="137" t="s">
        <v>302</v>
      </c>
      <c r="D42" s="193">
        <v>45895</v>
      </c>
      <c r="E42" s="134" t="s">
        <v>4</v>
      </c>
      <c r="F42" s="136">
        <v>86.5</v>
      </c>
      <c r="G42" s="185">
        <v>1010.5</v>
      </c>
      <c r="H42" s="158">
        <f>IF(AND(ISNUMBER(D42), ISNUMBER(F42)),
    ROUNDDOWN(
        MIN(
            IF(OR(ISBLANK(I42), I42=""),
                EOMONTH(DATE(LOHNTABELLE!$G$3, $A$1, 1), 0), I42)
            - MAX(D42, DATE(LOHNTABELLE!$G$3, $A$1, 1)) + 1)
        / DAY(EOMONTH(DATE(LOHNTABELLE!$G$3, $A$1, 1), 0)) * F42,
        2
    ),
    ""
)</f>
        <v>86.5</v>
      </c>
      <c r="I42" s="19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55" t="s">
        <v>127</v>
      </c>
      <c r="P42" s="256"/>
      <c r="Q42" s="261">
        <f>IFERROR(Q17/Q8, 0)</f>
        <v>16.483035716290971</v>
      </c>
      <c r="R42" s="262"/>
      <c r="S42" s="262"/>
      <c r="T42" s="262"/>
      <c r="U42" s="262"/>
      <c r="V42" s="263"/>
    </row>
    <row r="43" spans="1:24" ht="16" customHeight="1">
      <c r="A43" s="130" t="s">
        <v>128</v>
      </c>
      <c r="B43" s="170">
        <v>401731</v>
      </c>
      <c r="C43" s="137" t="s">
        <v>301</v>
      </c>
      <c r="D43" s="193">
        <v>45899</v>
      </c>
      <c r="E43" s="134" t="s">
        <v>4</v>
      </c>
      <c r="F43" s="136">
        <v>86.5</v>
      </c>
      <c r="G43" s="185">
        <v>1010.5</v>
      </c>
      <c r="H43" s="158">
        <f>IF(AND(ISNUMBER(D43), ISNUMBER(F43)),
    ROUNDDOWN(
        MIN(
            IF(OR(ISBLANK(I43), I43=""),
                EOMONTH(DATE(LOHNTABELLE!$G$3, $A$1, 1), 0), I43)
            - MAX(D43, DATE(LOHNTABELLE!$G$3, $A$1, 1)) + 1)
        / DAY(EOMONTH(DATE(LOHNTABELLE!$G$3, $A$1, 1), 0)) * F43,
        2
    ),
    ""
)</f>
        <v>86.5</v>
      </c>
      <c r="I43" s="19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193">
        <v>45904</v>
      </c>
      <c r="E44" s="134" t="s">
        <v>4</v>
      </c>
      <c r="F44" s="136">
        <v>86.5</v>
      </c>
      <c r="G44" s="185">
        <v>1010.5</v>
      </c>
      <c r="H44" s="158">
        <f>IF(AND(ISNUMBER(D44), ISNUMBER(F44)),
    ROUNDDOWN(
        MIN(
            IF(OR(ISBLANK(I44), I44=""),
                EOMONTH(DATE(LOHNTABELLE!$G$3, $A$1, 1), 0), I44)
            - MAX(D44, DATE(LOHNTABELLE!$G$3, $A$1, 1)) + 1)
        / DAY(EOMONTH(DATE(LOHNTABELLE!$G$3, $A$1, 1), 0)) * F44,
        2
    ),
    ""
)</f>
        <v>86.5</v>
      </c>
      <c r="I44" s="19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19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9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193">
        <v>45906</v>
      </c>
      <c r="E46" s="134" t="s">
        <v>4</v>
      </c>
      <c r="F46" s="136">
        <v>86.5</v>
      </c>
      <c r="G46" s="185">
        <v>1010.5</v>
      </c>
      <c r="H46" s="158">
        <f>IF(AND(ISNUMBER(D46), ISNUMBER(F46)),
    ROUNDDOWN(
        MIN(
            IF(OR(ISBLANK(I46), I46=""),
                EOMONTH(DATE(LOHNTABELLE!$G$3, $A$1, 1), 0), I46)
            - MAX(D46, DATE(LOHNTABELLE!$G$3, $A$1, 1)) + 1)
        / DAY(EOMONTH(DATE(LOHNTABELLE!$G$3, $A$1, 1), 0)) * F46,
        2
    ),
    ""
)</f>
        <v>86.5</v>
      </c>
      <c r="I46" s="19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193">
        <v>45909</v>
      </c>
      <c r="E47" s="134" t="s">
        <v>4</v>
      </c>
      <c r="F47" s="136">
        <v>86.5</v>
      </c>
      <c r="G47" s="185">
        <v>1010.5</v>
      </c>
      <c r="H47" s="158">
        <f>IF(AND(ISNUMBER(D47), ISNUMBER(F47)),
    ROUNDDOWN(
        MIN(
            IF(OR(ISBLANK(I47), I47=""),
                EOMONTH(DATE(LOHNTABELLE!$G$3, $A$1, 1), 0), I47)
            - MAX(D47, DATE(LOHNTABELLE!$G$3, $A$1, 1)) + 1)
        / DAY(EOMONTH(DATE(LOHNTABELLE!$G$3, $A$1, 1), 0)) * F47,
        2
    ),
    ""
)</f>
        <v>86.5</v>
      </c>
      <c r="I47" s="19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193">
        <v>45934</v>
      </c>
      <c r="E48" s="134" t="s">
        <v>4</v>
      </c>
      <c r="F48" s="136">
        <v>86.5</v>
      </c>
      <c r="G48" s="185">
        <v>1010.5</v>
      </c>
      <c r="H48" s="158">
        <f>IF(AND(ISNUMBER(D48), ISNUMBER(F48)),
    ROUNDDOWN(
        MIN(
            IF(OR(ISBLANK(I48), I48=""),
                EOMONTH(DATE(LOHNTABELLE!$G$3, $A$1, 1), 0), I48)
            - MAX(D48, DATE(LOHNTABELLE!$G$3, $A$1, 1)) + 1)
        / DAY(EOMONTH(DATE(LOHNTABELLE!$G$3, $A$1, 1), 0)) * F48,
        2
    ),
    ""
)</f>
        <v>86.5</v>
      </c>
      <c r="I48" s="19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7" t="s">
        <v>307</v>
      </c>
      <c r="D49" s="193">
        <v>45941</v>
      </c>
      <c r="E49" s="134" t="s">
        <v>4</v>
      </c>
      <c r="F49" s="136">
        <v>86.5</v>
      </c>
      <c r="G49" s="185">
        <v>1010.5</v>
      </c>
      <c r="H49" s="158">
        <f>IF(AND(ISNUMBER(D49), ISNUMBER(F49)),
    ROUNDDOWN(
        MIN(
            IF(OR(ISBLANK(I49), I49=""),
                EOMONTH(DATE(LOHNTABELLE!$G$3, $A$1, 1), 0), I49)
            - MAX(D49, DATE(LOHNTABELLE!$G$3, $A$1, 1)) + 1)
        / DAY(EOMONTH(DATE(LOHNTABELLE!$G$3, $A$1, 1), 0)) * F49,
        2
    ),
    ""
)</f>
        <v>86.5</v>
      </c>
      <c r="I49" s="19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193">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9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193">
        <v>45961</v>
      </c>
      <c r="E51" s="134" t="s">
        <v>4</v>
      </c>
      <c r="F51" s="136">
        <v>86.5</v>
      </c>
      <c r="G51" s="185">
        <v>1010.5</v>
      </c>
      <c r="H51" s="158">
        <f>IF(AND(ISNUMBER(D51), ISNUMBER(F51)),
    ROUNDDOWN(
        MIN(
            IF(OR(ISBLANK(I51), I51=""),
                EOMONTH(DATE(LOHNTABELLE!$G$3, $A$1, 1), 0), I51)
            - MAX(D51, DATE(LOHNTABELLE!$G$3, $A$1, 1)) + 1)
        / DAY(EOMONTH(DATE(LOHNTABELLE!$G$3, $A$1, 1), 0)) * F51,
        2
    ),
    ""
)</f>
        <v>86.5</v>
      </c>
      <c r="I51" s="19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193">
        <v>45986</v>
      </c>
      <c r="E52" s="134" t="s">
        <v>4</v>
      </c>
      <c r="F52" s="136">
        <v>86.5</v>
      </c>
      <c r="G52" s="185">
        <v>1010.5</v>
      </c>
      <c r="H52" s="158">
        <f>IF(AND(ISNUMBER(D52), ISNUMBER(F52)),
    ROUNDDOWN(
        MIN(
            IF(OR(ISBLANK(I52), I52=""),
                EOMONTH(DATE(LOHNTABELLE!$G$3, $A$1, 1), 0), I52)
            - MAX(D52, DATE(LOHNTABELLE!$G$3, $A$1, 1)) + 1)
        / DAY(EOMONTH(DATE(LOHNTABELLE!$G$3, $A$1, 1), 0)) * F52,
        2
    ),
    ""
)</f>
        <v>86.5</v>
      </c>
      <c r="I52" s="19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355</v>
      </c>
      <c r="D53" s="193">
        <v>46082</v>
      </c>
      <c r="E53" s="134" t="s">
        <v>4</v>
      </c>
      <c r="F53" s="136">
        <v>173</v>
      </c>
      <c r="G53" s="185">
        <v>3500</v>
      </c>
      <c r="H53" s="158">
        <f>IF(AND(ISNUMBER(D53), ISNUMBER(F53)),
    ROUNDDOWN(
        MIN(
            IF(OR(ISBLANK(I53), I53=""),
                EOMONTH(DATE(LOHNTABELLE!$G$3, $A$1, 1), 0), I53)
            - MAX(D53, DATE(LOHNTABELLE!$G$3, $A$1, 1)) + 1)
        / DAY(EOMONTH(DATE(LOHNTABELLE!$G$3, $A$1, 1), 0)) * F53,
        2
    ),
    ""
)</f>
        <v>173</v>
      </c>
      <c r="I53" s="19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3500</v>
      </c>
      <c r="M53" s="164"/>
      <c r="N53" s="147"/>
    </row>
    <row r="54" spans="1:14" ht="16" customHeight="1">
      <c r="A54" s="130" t="s">
        <v>140</v>
      </c>
      <c r="B54" s="170">
        <v>402000</v>
      </c>
      <c r="C54" s="137" t="s">
        <v>362</v>
      </c>
      <c r="D54" s="193">
        <v>46143</v>
      </c>
      <c r="E54" s="134" t="s">
        <v>4</v>
      </c>
      <c r="F54" s="136">
        <v>173</v>
      </c>
      <c r="G54" s="185">
        <v>3500</v>
      </c>
      <c r="H54" s="158">
        <f>IF(AND(ISNUMBER(D54), ISNUMBER(F54)),
    ROUNDDOWN(
        MIN(
            IF(OR(ISBLANK(I54), I54=""),
                EOMONTH(DATE(LOHNTABELLE!$G$3, $A$1, 1), 0), I54)
            - MAX(D54, DATE(LOHNTABELLE!$G$3, $A$1, 1)) + 1)
        / DAY(EOMONTH(DATE(LOHNTABELLE!$G$3, $A$1, 1), 0)) * F54,
        2
    ),
    ""
)</f>
        <v>173</v>
      </c>
      <c r="I54" s="19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402004</v>
      </c>
      <c r="C55" s="137" t="s">
        <v>364</v>
      </c>
      <c r="D55" s="193">
        <v>46122</v>
      </c>
      <c r="E55" s="134" t="s">
        <v>4</v>
      </c>
      <c r="F55" s="136">
        <v>173</v>
      </c>
      <c r="G55" s="185">
        <v>3500</v>
      </c>
      <c r="H55" s="158">
        <f>IF(AND(ISNUMBER(D55), ISNUMBER(F55)),
    ROUNDDOWN(
        MIN(
            IF(OR(ISBLANK(I55), I55=""),
                EOMONTH(DATE(LOHNTABELLE!$G$3, $A$1, 1), 0), I55)
            - MAX(D55, DATE(LOHNTABELLE!$G$3, $A$1, 1)) + 1)
        / DAY(EOMONTH(DATE(LOHNTABELLE!$G$3, $A$1, 1), 0)) * F55,
        2
    ),
    ""
)</f>
        <v>173</v>
      </c>
      <c r="I55" s="19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v>402405</v>
      </c>
      <c r="C56" s="137" t="s">
        <v>366</v>
      </c>
      <c r="D56" s="193">
        <v>46054</v>
      </c>
      <c r="E56" s="134" t="s">
        <v>4</v>
      </c>
      <c r="F56" s="136">
        <v>173</v>
      </c>
      <c r="G56" s="185">
        <v>3500</v>
      </c>
      <c r="H56" s="158">
        <f>IF(AND(ISNUMBER(D56), ISNUMBER(F56)),
    ROUNDDOWN(
        MIN(
            IF(OR(ISBLANK(I56), I56=""),
                EOMONTH(DATE(LOHNTABELLE!$G$3, $A$1, 1), 0), I56)
            - MAX(D56, DATE(LOHNTABELLE!$G$3, $A$1, 1)) + 1)
        / DAY(EOMONTH(DATE(LOHNTABELLE!$G$3, $A$1, 1), 0)) * F56,
        2
    ),
    ""
)</f>
        <v>173</v>
      </c>
      <c r="I56" s="19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1" t="s">
        <v>143</v>
      </c>
      <c r="B57" s="170">
        <v>500600</v>
      </c>
      <c r="C57" s="137" t="s">
        <v>371</v>
      </c>
      <c r="D57" s="193">
        <v>46054</v>
      </c>
      <c r="E57" s="134" t="s">
        <v>4</v>
      </c>
      <c r="F57" s="136">
        <v>151.38</v>
      </c>
      <c r="G57" s="185">
        <v>5000</v>
      </c>
      <c r="H57" s="158">
        <f>IF(AND(ISNUMBER(D57), ISNUMBER(F57)),
    ROUNDDOWN(
        MIN(
            IF(OR(ISBLANK(I57), I57=""),
                EOMONTH(DATE(LOHNTABELLE!$G$3, $A$1, 1), 0), I57)
            - MAX(D57, DATE(LOHNTABELLE!$G$3, $A$1, 1)) + 1)
        / DAY(EOMONTH(DATE(LOHNTABELLE!$G$3, $A$1, 1), 0)) * F57,
        2
    ),
    ""
)</f>
        <v>151.38</v>
      </c>
      <c r="I57" s="19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5000</v>
      </c>
      <c r="M57" s="164"/>
      <c r="N57" s="147"/>
    </row>
    <row r="58" spans="1:14" ht="16" customHeight="1">
      <c r="A58" s="130" t="s">
        <v>144</v>
      </c>
      <c r="B58" s="170">
        <v>502000</v>
      </c>
      <c r="C58" s="137" t="s">
        <v>365</v>
      </c>
      <c r="D58" s="193">
        <v>46147</v>
      </c>
      <c r="E58" s="134" t="s">
        <v>4</v>
      </c>
      <c r="F58" s="136">
        <v>173</v>
      </c>
      <c r="G58" s="185">
        <v>3500</v>
      </c>
      <c r="H58" s="158">
        <f>IF(AND(ISNUMBER(D58), ISNUMBER(F58)),
    ROUNDDOWN(
        MIN(
            IF(OR(ISBLANK(I58), I58=""),
                EOMONTH(DATE(LOHNTABELLE!$G$3, $A$1, 1), 0), I58)
            - MAX(D58, DATE(LOHNTABELLE!$G$3, $A$1, 1)) + 1)
        / DAY(EOMONTH(DATE(LOHNTABELLE!$G$3, $A$1, 1), 0)) * F58,
        2
    ),
    ""
)</f>
        <v>173</v>
      </c>
      <c r="I58" s="19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3500</v>
      </c>
      <c r="M58" s="164"/>
      <c r="N58" s="147"/>
    </row>
    <row r="59" spans="1:14" ht="16" customHeight="1">
      <c r="A59" s="130" t="s">
        <v>145</v>
      </c>
      <c r="B59" s="170">
        <v>503000</v>
      </c>
      <c r="C59" s="137" t="s">
        <v>368</v>
      </c>
      <c r="D59" s="193">
        <v>42401</v>
      </c>
      <c r="E59" s="134" t="s">
        <v>4</v>
      </c>
      <c r="F59" s="136">
        <v>173</v>
      </c>
      <c r="G59" s="185">
        <v>3500</v>
      </c>
      <c r="H59" s="158">
        <f>IF(AND(ISNUMBER(D59), ISNUMBER(F59)),
    ROUNDDOWN(
        MIN(
            IF(OR(ISBLANK(I59), I59=""),
                EOMONTH(DATE(LOHNTABELLE!$G$3, $A$1, 1), 0), I59)
            - MAX(D59, DATE(LOHNTABELLE!$G$3, $A$1, 1)) + 1)
        / DAY(EOMONTH(DATE(LOHNTABELLE!$G$3, $A$1, 1), 0)) * F59,
        2
    ),
    ""
)</f>
        <v>173</v>
      </c>
      <c r="I59" s="19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504000</v>
      </c>
      <c r="C60" s="137" t="s">
        <v>369</v>
      </c>
      <c r="D60" s="193">
        <v>46054</v>
      </c>
      <c r="E60" s="134" t="s">
        <v>8</v>
      </c>
      <c r="F60" s="136">
        <v>138.4</v>
      </c>
      <c r="G60" s="185">
        <v>1665.6</v>
      </c>
      <c r="H60" s="158">
        <f>IF(AND(ISNUMBER(D60), ISNUMBER(F60)),
    ROUNDDOWN(
        MIN(
            IF(OR(ISBLANK(I60), I60=""),
                EOMONTH(DATE(LOHNTABELLE!$G$3, $A$1, 1), 0), I60)
            - MAX(D60, DATE(LOHNTABELLE!$G$3, $A$1, 1)) + 1)
        / DAY(EOMONTH(DATE(LOHNTABELLE!$G$3, $A$1, 1), 0)) * F60,
        2
    ),
    ""
)</f>
        <v>138.4</v>
      </c>
      <c r="I60" s="19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1665.6</v>
      </c>
      <c r="M60" s="164"/>
      <c r="N60" s="147"/>
    </row>
    <row r="61" spans="1:14" ht="16" customHeight="1">
      <c r="A61" s="131" t="s">
        <v>147</v>
      </c>
      <c r="B61" s="170">
        <v>505000</v>
      </c>
      <c r="C61" s="137" t="s">
        <v>370</v>
      </c>
      <c r="D61" s="193">
        <v>46054</v>
      </c>
      <c r="E61" s="134" t="s">
        <v>4</v>
      </c>
      <c r="F61" s="136">
        <v>138.4</v>
      </c>
      <c r="G61" s="185">
        <v>1616.8</v>
      </c>
      <c r="H61" s="158">
        <f>IF(AND(ISNUMBER(D61), ISNUMBER(F61)),
    ROUNDDOWN(
        MIN(
            IF(OR(ISBLANK(I61), I61=""),
                EOMONTH(DATE(LOHNTABELLE!$G$3, $A$1, 1), 0), I61)
            - MAX(D61, DATE(LOHNTABELLE!$G$3, $A$1, 1)) + 1)
        / DAY(EOMONTH(DATE(LOHNTABELLE!$G$3, $A$1, 1), 0)) * F61,
        2
    ),
    ""
)</f>
        <v>138.4</v>
      </c>
      <c r="I61" s="19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1616.8</v>
      </c>
      <c r="M61" s="164"/>
      <c r="N61" s="147"/>
    </row>
    <row r="62" spans="1:14" ht="16" customHeight="1">
      <c r="A62" s="130" t="s">
        <v>148</v>
      </c>
      <c r="B62" s="170"/>
      <c r="C62" s="137"/>
      <c r="D62" s="193"/>
      <c r="E62" s="134"/>
      <c r="F62" s="136"/>
      <c r="G62" s="185"/>
      <c r="H62" s="158" t="str">
        <f>IF(AND(ISNUMBER(D62), ISNUMBER(F62)),
    ROUNDDOWN(
        MIN(
            IF(OR(ISBLANK(I62), I62=""),
                EOMONTH(DATE(LOHNTABELLE!$G$3, $A$1, 1), 0), I62)
            - MAX(D62, DATE(LOHNTABELLE!$G$3, $A$1, 1)) + 1)
        / DAY(EOMONTH(DATE(LOHNTABELLE!$G$3, $A$1, 1), 0)) * F62,
        2
    ),
    ""
)</f>
        <v/>
      </c>
      <c r="I62" s="19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193"/>
      <c r="E63" s="134"/>
      <c r="F63" s="136"/>
      <c r="G63" s="185"/>
      <c r="H63" s="158" t="str">
        <f>IF(AND(ISNUMBER(D63), ISNUMBER(F63)),
    ROUNDDOWN(
        MIN(
            IF(OR(ISBLANK(I63), I63=""),
                EOMONTH(DATE(LOHNTABELLE!$G$3, $A$1, 1), 0), I63)
            - MAX(D63, DATE(LOHNTABELLE!$G$3, $A$1, 1)) + 1)
        / DAY(EOMONTH(DATE(LOHNTABELLE!$G$3, $A$1, 1), 0)) * F63,
        2
    ),
    ""
)</f>
        <v/>
      </c>
      <c r="I63" s="19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193"/>
      <c r="E64" s="134"/>
      <c r="F64" s="136"/>
      <c r="G64" s="185"/>
      <c r="H64" s="158" t="str">
        <f>IF(AND(ISNUMBER(D64), ISNUMBER(F64)),
    ROUNDDOWN(
        MIN(
            IF(OR(ISBLANK(I64), I64=""),
                EOMONTH(DATE(LOHNTABELLE!$G$3, $A$1, 1), 0), I64)
            - MAX(D64, DATE(LOHNTABELLE!$G$3, $A$1, 1)) + 1)
        / DAY(EOMONTH(DATE(LOHNTABELLE!$G$3, $A$1, 1), 0)) * F64,
        2
    ),
    ""
)</f>
        <v/>
      </c>
      <c r="I64" s="19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93"/>
      <c r="E65" s="134"/>
      <c r="F65" s="136"/>
      <c r="G65" s="185"/>
      <c r="H65" s="158" t="str">
        <f>IF(AND(ISNUMBER(D65), ISNUMBER(F65)),
    ROUNDDOWN(
        MIN(
            IF(OR(ISBLANK(I65), I65=""),
                EOMONTH(DATE(LOHNTABELLE!$G$3, $A$1, 1), 0), I65)
            - MAX(D65, DATE(LOHNTABELLE!$G$3, $A$1, 1)) + 1)
        / DAY(EOMONTH(DATE(LOHNTABELLE!$G$3, $A$1, 1), 0)) * F65,
        2
    ),
    ""
)</f>
        <v/>
      </c>
      <c r="I65" s="19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93"/>
      <c r="E66" s="134"/>
      <c r="F66" s="136"/>
      <c r="G66" s="185"/>
      <c r="H66" s="158" t="str">
        <f>IF(AND(ISNUMBER(D66), ISNUMBER(F66)),
    ROUNDDOWN(
        MIN(
            IF(OR(ISBLANK(I66), I66=""),
                EOMONTH(DATE(LOHNTABELLE!$G$3, $A$1, 1), 0), I66)
            - MAX(D66, DATE(LOHNTABELLE!$G$3, $A$1, 1)) + 1)
        / DAY(EOMONTH(DATE(LOHNTABELLE!$G$3, $A$1, 1), 0)) * F66,
        2
    ),
    ""
)</f>
        <v/>
      </c>
      <c r="I66" s="19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93"/>
      <c r="E67" s="134"/>
      <c r="F67" s="136"/>
      <c r="G67" s="185"/>
      <c r="H67" s="158" t="str">
        <f>IF(AND(ISNUMBER(D67), ISNUMBER(F67)),
    ROUNDDOWN(
        MIN(
            IF(OR(ISBLANK(I67), I67=""),
                EOMONTH(DATE(LOHNTABELLE!$G$3, $A$1, 1), 0), I67)
            - MAX(D67, DATE(LOHNTABELLE!$G$3, $A$1, 1)) + 1)
        / DAY(EOMONTH(DATE(LOHNTABELLE!$G$3, $A$1, 1), 0)) * F67,
        2
    ),
    ""
)</f>
        <v/>
      </c>
      <c r="I67" s="19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93"/>
      <c r="E68" s="134"/>
      <c r="F68" s="136"/>
      <c r="G68" s="185"/>
      <c r="H68" s="158" t="str">
        <f>IF(AND(ISNUMBER(D68), ISNUMBER(F68)),
    ROUNDDOWN(
        MIN(
            IF(OR(ISBLANK(I68), I68=""),
                EOMONTH(DATE(LOHNTABELLE!$G$3, $A$1, 1), 0), I68)
            - MAX(D68, DATE(LOHNTABELLE!$G$3, $A$1, 1)) + 1)
        / DAY(EOMONTH(DATE(LOHNTABELLE!$G$3, $A$1, 1), 0)) * F68,
        2
    ),
    ""
)</f>
        <v/>
      </c>
      <c r="I68" s="19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93"/>
      <c r="E69" s="134"/>
      <c r="F69" s="136"/>
      <c r="G69" s="185"/>
      <c r="H69" s="158" t="str">
        <f>IF(AND(ISNUMBER(D69), ISNUMBER(F69)),
    ROUNDDOWN(
        MIN(
            IF(OR(ISBLANK(I69), I69=""),
                EOMONTH(DATE(LOHNTABELLE!$G$3, $A$1, 1), 0), I69)
            - MAX(D69, DATE(LOHNTABELLE!$G$3, $A$1, 1)) + 1)
        / DAY(EOMONTH(DATE(LOHNTABELLE!$G$3, $A$1, 1), 0)) * F69,
        2
    ),
    ""
)</f>
        <v/>
      </c>
      <c r="I69" s="19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93"/>
      <c r="E70" s="134"/>
      <c r="F70" s="136"/>
      <c r="G70" s="185"/>
      <c r="H70" s="158" t="str">
        <f>IF(AND(ISNUMBER(D70), ISNUMBER(F70)),
    ROUNDDOWN(
        MIN(
            IF(OR(ISBLANK(I70), I70=""),
                EOMONTH(DATE(LOHNTABELLE!$G$3, $A$1, 1), 0), I70)
            - MAX(D70, DATE(LOHNTABELLE!$G$3, $A$1, 1)) + 1)
        / DAY(EOMONTH(DATE(LOHNTABELLE!$G$3, $A$1, 1), 0)) * F70,
        2
    ),
    ""
)</f>
        <v/>
      </c>
      <c r="I70" s="19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93"/>
      <c r="E71" s="134"/>
      <c r="F71" s="136"/>
      <c r="G71" s="185"/>
      <c r="H71" s="158" t="str">
        <f>IF(AND(ISNUMBER(D71), ISNUMBER(F71)),
    ROUNDDOWN(
        MIN(
            IF(OR(ISBLANK(I71), I71=""),
                EOMONTH(DATE(LOHNTABELLE!$G$3, $A$1, 1), 0), I71)
            - MAX(D71, DATE(LOHNTABELLE!$G$3, $A$1, 1)) + 1)
        / DAY(EOMONTH(DATE(LOHNTABELLE!$G$3, $A$1, 1), 0)) * F71,
        2
    ),
    ""
)</f>
        <v/>
      </c>
      <c r="I71" s="19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93"/>
      <c r="E72" s="134"/>
      <c r="F72" s="136"/>
      <c r="G72" s="185"/>
      <c r="H72" s="158" t="str">
        <f>IF(AND(ISNUMBER(D72), ISNUMBER(F72)),
    ROUNDDOWN(
        MIN(
            IF(OR(ISBLANK(I72), I72=""),
                EOMONTH(DATE(LOHNTABELLE!$G$3, $A$1, 1), 0), I72)
            - MAX(D72, DATE(LOHNTABELLE!$G$3, $A$1, 1)) + 1)
        / DAY(EOMONTH(DATE(LOHNTABELLE!$G$3, $A$1, 1), 0)) * F72,
        2
    ),
    ""
)</f>
        <v/>
      </c>
      <c r="I72" s="19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93"/>
      <c r="E73" s="134"/>
      <c r="F73" s="136"/>
      <c r="G73" s="185"/>
      <c r="H73" s="158" t="str">
        <f>IF(AND(ISNUMBER(D73), ISNUMBER(F73)),
    ROUNDDOWN(
        MIN(
            IF(OR(ISBLANK(I73), I73=""),
                EOMONTH(DATE(LOHNTABELLE!$G$3, $A$1, 1), 0), I73)
            - MAX(D73, DATE(LOHNTABELLE!$G$3, $A$1, 1)) + 1)
        / DAY(EOMONTH(DATE(LOHNTABELLE!$G$3, $A$1, 1), 0)) * F73,
        2
    ),
    ""
)</f>
        <v/>
      </c>
      <c r="I73" s="19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93"/>
      <c r="E74" s="134"/>
      <c r="F74" s="136"/>
      <c r="G74" s="185"/>
      <c r="H74" s="158" t="str">
        <f>IF(AND(ISNUMBER(D74), ISNUMBER(F74)),
    ROUNDDOWN(
        MIN(
            IF(OR(ISBLANK(I74), I74=""),
                EOMONTH(DATE(LOHNTABELLE!$G$3, $A$1, 1), 0), I74)
            - MAX(D74, DATE(LOHNTABELLE!$G$3, $A$1, 1)) + 1)
        / DAY(EOMONTH(DATE(LOHNTABELLE!$G$3, $A$1, 1), 0)) * F74,
        2
    ),
    ""
)</f>
        <v/>
      </c>
      <c r="I74" s="19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93"/>
      <c r="E75" s="134"/>
      <c r="F75" s="136"/>
      <c r="G75" s="185"/>
      <c r="H75" s="158" t="str">
        <f>IF(AND(ISNUMBER(D75), ISNUMBER(F75)),
    ROUNDDOWN(
        MIN(
            IF(OR(ISBLANK(I75), I75=""),
                EOMONTH(DATE(LOHNTABELLE!$G$3, $A$1, 1), 0), I75)
            - MAX(D75, DATE(LOHNTABELLE!$G$3, $A$1, 1)) + 1)
        / DAY(EOMONTH(DATE(LOHNTABELLE!$G$3, $A$1, 1), 0)) * F75,
        2
    ),
    ""
)</f>
        <v/>
      </c>
      <c r="I75" s="19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93"/>
      <c r="E76" s="134"/>
      <c r="F76" s="136"/>
      <c r="G76" s="185"/>
      <c r="H76" s="158" t="str">
        <f>IF(AND(ISNUMBER(D76), ISNUMBER(F76)),
    ROUNDDOWN(
        MIN(
            IF(OR(ISBLANK(I76), I76=""),
                EOMONTH(DATE(LOHNTABELLE!$G$3, $A$1, 1), 0), I76)
            - MAX(D76, DATE(LOHNTABELLE!$G$3, $A$1, 1)) + 1)
        / DAY(EOMONTH(DATE(LOHNTABELLE!$G$3, $A$1, 1), 0)) * F76,
        2
    ),
    ""
)</f>
        <v/>
      </c>
      <c r="I76" s="19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93"/>
      <c r="E77" s="134"/>
      <c r="F77" s="136"/>
      <c r="G77" s="185"/>
      <c r="H77" s="158" t="str">
        <f>IF(AND(ISNUMBER(D77), ISNUMBER(F77)),
    ROUNDDOWN(
        MIN(
            IF(OR(ISBLANK(I77), I77=""),
                EOMONTH(DATE(LOHNTABELLE!$G$3, $A$1, 1), 0), I77)
            - MAX(D77, DATE(LOHNTABELLE!$G$3, $A$1, 1)) + 1)
        / DAY(EOMONTH(DATE(LOHNTABELLE!$G$3, $A$1, 1), 0)) * F77,
        2
    ),
    ""
)</f>
        <v/>
      </c>
      <c r="I77" s="19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93"/>
      <c r="E78" s="134"/>
      <c r="F78" s="136"/>
      <c r="G78" s="185"/>
      <c r="H78" s="158" t="str">
        <f>IF(AND(ISNUMBER(D78), ISNUMBER(F78)),
    ROUNDDOWN(
        MIN(
            IF(OR(ISBLANK(I78), I78=""),
                EOMONTH(DATE(LOHNTABELLE!$G$3, $A$1, 1), 0), I78)
            - MAX(D78, DATE(LOHNTABELLE!$G$3, $A$1, 1)) + 1)
        / DAY(EOMONTH(DATE(LOHNTABELLE!$G$3, $A$1, 1), 0)) * F78,
        2
    ),
    ""
)</f>
        <v/>
      </c>
      <c r="I78" s="19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93"/>
      <c r="E79" s="134"/>
      <c r="F79" s="136"/>
      <c r="G79" s="185"/>
      <c r="H79" s="158" t="str">
        <f>IF(AND(ISNUMBER(D79), ISNUMBER(F79)),
    ROUNDDOWN(
        MIN(
            IF(OR(ISBLANK(I79), I79=""),
                EOMONTH(DATE(LOHNTABELLE!$G$3, $A$1, 1), 0), I79)
            - MAX(D79, DATE(LOHNTABELLE!$G$3, $A$1, 1)) + 1)
        / DAY(EOMONTH(DATE(LOHNTABELLE!$G$3, $A$1, 1), 0)) * F79,
        2
    ),
    ""
)</f>
        <v/>
      </c>
      <c r="I79" s="19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93"/>
      <c r="E80" s="134"/>
      <c r="F80" s="136"/>
      <c r="G80" s="185"/>
      <c r="H80" s="158" t="str">
        <f>IF(AND(ISNUMBER(D80), ISNUMBER(F80)),
    ROUNDDOWN(
        MIN(
            IF(OR(ISBLANK(I80), I80=""),
                EOMONTH(DATE(LOHNTABELLE!$G$3, $A$1, 1), 0), I80)
            - MAX(D80, DATE(LOHNTABELLE!$G$3, $A$1, 1)) + 1)
        / DAY(EOMONTH(DATE(LOHNTABELLE!$G$3, $A$1, 1), 0)) * F80,
        2
    ),
    ""
)</f>
        <v/>
      </c>
      <c r="I80" s="19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93"/>
      <c r="E81" s="134"/>
      <c r="F81" s="136"/>
      <c r="G81" s="185"/>
      <c r="H81" s="158" t="str">
        <f>IF(AND(ISNUMBER(D81), ISNUMBER(F81)),
    ROUNDDOWN(
        MIN(
            IF(OR(ISBLANK(I81), I81=""),
                EOMONTH(DATE(LOHNTABELLE!$G$3, $A$1, 1), 0), I81)
            - MAX(D81, DATE(LOHNTABELLE!$G$3, $A$1, 1)) + 1)
        / DAY(EOMONTH(DATE(LOHNTABELLE!$G$3, $A$1, 1), 0)) * F81,
        2
    ),
    ""
)</f>
        <v/>
      </c>
      <c r="I81" s="19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94"/>
      <c r="E82" s="150"/>
      <c r="F82" s="151"/>
      <c r="G82" s="186"/>
      <c r="H82" s="159" t="str">
        <f>IF(AND(ISNUMBER(D82), ISNUMBER(F82)),
    ROUNDDOWN(
        MIN(
            IF(OR(ISBLANK(I82), I82=""),
                EOMONTH(DATE(LOHNTABELLE!$G$3, $A$1, 1), 0), I82)
            - MAX(D82, DATE(LOHNTABELLE!$G$3, $A$1, 1)) + 1)
        / DAY(EOMONTH(DATE(LOHNTABELLE!$G$3, $A$1, 1), 0)) * F82,
        2
    ),
    ""
)</f>
        <v/>
      </c>
      <c r="I82" s="19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NmgZFW7CCw9ctDglFOFDAofiCkh2FPp5Jd2Y3ySJJ76mSfmSGR84Y22CRFmq8fVSKTgELg4auA3jA61cqhN7HQ==" saltValue="7dRUmEoNsTjRU1n04sYz9A==" spinCount="100000" sheet="1" objects="1" scenarios="1" sort="0" autoFilter="0"/>
  <sortState xmlns:xlrd2="http://schemas.microsoft.com/office/spreadsheetml/2017/richdata2" ref="B3:N82">
    <sortCondition ref="B3:B82"/>
    <sortCondition ref="C3:C82"/>
  </sortState>
  <mergeCells count="98">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O11:P11"/>
    <mergeCell ref="Q11:R11"/>
    <mergeCell ref="O12:P12"/>
    <mergeCell ref="Q12:R12"/>
    <mergeCell ref="O13:P13"/>
    <mergeCell ref="Q13:R13"/>
    <mergeCell ref="O14:P14"/>
    <mergeCell ref="Q14:R14"/>
    <mergeCell ref="O17:P17"/>
    <mergeCell ref="Q17:R17"/>
    <mergeCell ref="O18:P18"/>
    <mergeCell ref="Q18:R18"/>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phoneticPr fontId="15" type="noConversion"/>
  <dataValidations count="61">
    <dataValidation type="date" showInputMessage="1" showErrorMessage="1" sqref="I3:I82" xr:uid="{D0D621F2-DA35-42D7-8DA1-63CA65FD400F}">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B3352FA1-9B8E-1840-A02E-2F313A5494E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EBB326D2-A993-0B44-9055-7B732149F270}">
      <formula1>KV_DD_OKTOBER_3</formula1>
    </dataValidation>
    <dataValidation type="list" allowBlank="1" showInputMessage="1" showErrorMessage="1" sqref="F4" xr:uid="{4381597C-8168-9748-AFB1-EB1AACCCE48A}">
      <formula1>KV_DD_OKTOBER_4</formula1>
    </dataValidation>
    <dataValidation type="list" allowBlank="1" showInputMessage="1" showErrorMessage="1" sqref="F5" xr:uid="{EEC88AB8-367F-4D4A-920B-BAE29EED563F}">
      <formula1>KV_DD_OKTOBER_5</formula1>
    </dataValidation>
    <dataValidation type="list" allowBlank="1" showInputMessage="1" showErrorMessage="1" sqref="F6" xr:uid="{A2E19057-516F-D24C-9AD9-31BAF9EA8CEB}">
      <formula1>KV_DD_OKTOBER_6</formula1>
    </dataValidation>
    <dataValidation type="list" allowBlank="1" showInputMessage="1" showErrorMessage="1" sqref="F7" xr:uid="{5780E8B4-258D-AA45-AA35-AEE34318C46A}">
      <formula1>KV_DD_OKTOBER_7</formula1>
    </dataValidation>
    <dataValidation type="list" allowBlank="1" showInputMessage="1" showErrorMessage="1" sqref="F8" xr:uid="{DB60B6FC-1431-3246-ABA8-60ED514A776A}">
      <formula1>KV_DD_OKTOBER_8</formula1>
    </dataValidation>
    <dataValidation type="list" allowBlank="1" showInputMessage="1" showErrorMessage="1" sqref="F9" xr:uid="{F298469B-705E-D34C-9CA3-9E5B2FF60EF9}">
      <formula1>KV_DD_OKTOBER_9</formula1>
    </dataValidation>
    <dataValidation type="list" allowBlank="1" showInputMessage="1" showErrorMessage="1" sqref="F10" xr:uid="{CB159F17-7F8A-574A-95BF-34D35C3715E5}">
      <formula1>KV_DD_OKTOBER_10</formula1>
    </dataValidation>
    <dataValidation type="list" allowBlank="1" showInputMessage="1" showErrorMessage="1" sqref="F11" xr:uid="{A0E283B2-8089-594D-8E80-C780BA4B77D8}">
      <formula1>KV_DD_OKTOBER_11</formula1>
    </dataValidation>
    <dataValidation type="list" allowBlank="1" showInputMessage="1" showErrorMessage="1" sqref="F12" xr:uid="{763B6F94-5048-F24E-84F6-C8849258859F}">
      <formula1>KV_DD_OKTOBER_12</formula1>
    </dataValidation>
    <dataValidation type="list" allowBlank="1" showInputMessage="1" showErrorMessage="1" sqref="F13" xr:uid="{8D5041FB-6567-6640-AB7B-76662653AD23}">
      <formula1>KV_DD_OKTOBER_13</formula1>
    </dataValidation>
    <dataValidation type="list" allowBlank="1" showInputMessage="1" showErrorMessage="1" sqref="F14" xr:uid="{3BE23F46-FC6D-834D-9C7B-C2A1A77E7D82}">
      <formula1>KV_DD_OKTOBER_14</formula1>
    </dataValidation>
    <dataValidation type="list" allowBlank="1" showInputMessage="1" showErrorMessage="1" sqref="F15" xr:uid="{7516A758-DA5E-FD46-92E8-0F2BDD5C39C0}">
      <formula1>KV_DD_OKTOBER_15</formula1>
    </dataValidation>
    <dataValidation type="list" allowBlank="1" showInputMessage="1" showErrorMessage="1" sqref="F16" xr:uid="{BA06827E-7A7C-8242-A098-339A752C3A18}">
      <formula1>KV_DD_OKTOBER_16</formula1>
    </dataValidation>
    <dataValidation type="list" allowBlank="1" showInputMessage="1" showErrorMessage="1" sqref="F17" xr:uid="{E7971747-D5AE-E74E-9CD8-B2B98E48CB45}">
      <formula1>KV_DD_OKTOBER_17</formula1>
    </dataValidation>
    <dataValidation type="list" allowBlank="1" showInputMessage="1" showErrorMessage="1" sqref="F18" xr:uid="{44D411C4-2ED3-4242-9759-2AE1CCE07EED}">
      <formula1>KV_DD_OKTOBER_18</formula1>
    </dataValidation>
    <dataValidation type="list" allowBlank="1" showInputMessage="1" showErrorMessage="1" sqref="F19" xr:uid="{17EF5FF5-B00E-AC44-8F7B-F656FE4533D4}">
      <formula1>KV_DD_OKTOBER_19</formula1>
    </dataValidation>
    <dataValidation type="list" allowBlank="1" showInputMessage="1" showErrorMessage="1" sqref="F20" xr:uid="{138A0A20-8D3B-D745-9E5B-3B8B2408FEE5}">
      <formula1>KV_DD_OKTOBER_20</formula1>
    </dataValidation>
    <dataValidation type="list" allowBlank="1" showInputMessage="1" showErrorMessage="1" sqref="F21" xr:uid="{A15833E2-4FB8-DF48-8FDF-F5EE1FB28B09}">
      <formula1>KV_DD_OKTOBER_21</formula1>
    </dataValidation>
    <dataValidation type="list" allowBlank="1" showInputMessage="1" showErrorMessage="1" sqref="F22" xr:uid="{D64EC81F-7756-CC49-B458-53FC29E1BFE9}">
      <formula1>KV_DD_OKTOBER_22</formula1>
    </dataValidation>
    <dataValidation type="list" allowBlank="1" showInputMessage="1" showErrorMessage="1" sqref="F23" xr:uid="{4C676D5D-761B-284E-A73C-F974A1A6F1CD}">
      <formula1>KV_DD_OKTOBER_23</formula1>
    </dataValidation>
    <dataValidation type="list" allowBlank="1" showInputMessage="1" showErrorMessage="1" sqref="F24" xr:uid="{1D07C10D-CC0E-8A4E-B243-5BF25F5B8BE3}">
      <formula1>KV_DD_OKTOBER_24</formula1>
    </dataValidation>
    <dataValidation type="list" allowBlank="1" showInputMessage="1" showErrorMessage="1" sqref="F25" xr:uid="{28E06E8F-FB67-C94B-9EE0-5FEF392A89A2}">
      <formula1>KV_DD_OKTOBER_25</formula1>
    </dataValidation>
    <dataValidation type="list" allowBlank="1" showInputMessage="1" showErrorMessage="1" sqref="F26" xr:uid="{4701E075-832D-394F-A70B-6BCA94781B00}">
      <formula1>KV_DD_OKTOBER_26</formula1>
    </dataValidation>
    <dataValidation type="list" allowBlank="1" showInputMessage="1" showErrorMessage="1" sqref="F27" xr:uid="{C91F88B9-C39E-D94F-835F-221E11255C29}">
      <formula1>KV_DD_OKTOBER_27</formula1>
    </dataValidation>
    <dataValidation type="list" allowBlank="1" showInputMessage="1" showErrorMessage="1" sqref="F28" xr:uid="{42E19D4A-E100-0F4A-A608-54738F926472}">
      <formula1>KV_DD_OKTOBER_28</formula1>
    </dataValidation>
    <dataValidation type="list" allowBlank="1" showInputMessage="1" showErrorMessage="1" sqref="F29" xr:uid="{15EC42CB-3302-7442-BACB-B47CFF4AF428}">
      <formula1>KV_DD_OKTOBER_29</formula1>
    </dataValidation>
    <dataValidation type="list" allowBlank="1" showInputMessage="1" showErrorMessage="1" sqref="F30" xr:uid="{BB221B88-640D-3343-9A2F-6FAC86A5918C}">
      <formula1>KV_DD_OKTOBER_30</formula1>
    </dataValidation>
    <dataValidation type="list" allowBlank="1" showInputMessage="1" showErrorMessage="1" sqref="F31" xr:uid="{986230BB-87FD-A24F-8269-96421ED0A948}">
      <formula1>KV_DD_OKTOBER_31</formula1>
    </dataValidation>
    <dataValidation type="list" allowBlank="1" showInputMessage="1" showErrorMessage="1" sqref="F32" xr:uid="{068BEA0C-8D67-8949-A603-D61F58B0D2DB}">
      <formula1>KV_DD_OKTOBER_32</formula1>
    </dataValidation>
    <dataValidation type="list" allowBlank="1" showInputMessage="1" showErrorMessage="1" sqref="F33" xr:uid="{54892A59-7CF5-D540-9486-5890C87BA1E9}">
      <formula1>KV_DD_OKTOBER_33</formula1>
    </dataValidation>
    <dataValidation type="list" allowBlank="1" showInputMessage="1" showErrorMessage="1" sqref="F34" xr:uid="{ABB0EEB2-3F81-FA4A-8239-D97CD0DE20C2}">
      <formula1>KV_DD_OKTOBER_34</formula1>
    </dataValidation>
    <dataValidation type="list" allowBlank="1" showInputMessage="1" showErrorMessage="1" sqref="F35" xr:uid="{7BFC3FE1-FF92-CD4D-802D-304358F0117D}">
      <formula1>KV_DD_OKTOBER_35</formula1>
    </dataValidation>
    <dataValidation type="list" allowBlank="1" showInputMessage="1" showErrorMessage="1" sqref="F36" xr:uid="{BBBB6DD6-4503-6943-B198-FD5298107653}">
      <formula1>KV_DD_OKTOBER_36</formula1>
    </dataValidation>
    <dataValidation type="list" allowBlank="1" showInputMessage="1" showErrorMessage="1" sqref="F37" xr:uid="{15C04849-9BDF-0C44-B13D-B78FCDB6BA65}">
      <formula1>KV_DD_OKTOBER_37</formula1>
    </dataValidation>
    <dataValidation type="list" allowBlank="1" showInputMessage="1" showErrorMessage="1" sqref="F38" xr:uid="{4EDB79C0-8A5B-D649-8351-17D59CF61E76}">
      <formula1>KV_DD_OKTOBER_38</formula1>
    </dataValidation>
    <dataValidation type="list" allowBlank="1" showInputMessage="1" showErrorMessage="1" sqref="F39" xr:uid="{FDD07195-B64A-CC4B-B743-0C6F3987D112}">
      <formula1>KV_DD_OKTOBER_39</formula1>
    </dataValidation>
    <dataValidation type="list" allowBlank="1" showInputMessage="1" showErrorMessage="1" sqref="F40" xr:uid="{F5E8B998-1DDF-9E41-9826-534F6BC503A4}">
      <formula1>KV_DD_OKTOBER_40</formula1>
    </dataValidation>
    <dataValidation type="list" allowBlank="1" showInputMessage="1" showErrorMessage="1" sqref="F41" xr:uid="{FB2CC720-5DBC-654D-B1BB-6613AC05F66E}">
      <formula1>KV_DD_OKTOBER_41</formula1>
    </dataValidation>
    <dataValidation type="list" allowBlank="1" showInputMessage="1" showErrorMessage="1" sqref="F42" xr:uid="{44BAF861-DD50-5442-858E-12C12765FEC5}">
      <formula1>KV_DD_OKTOBER_42</formula1>
    </dataValidation>
    <dataValidation type="list" allowBlank="1" showInputMessage="1" showErrorMessage="1" sqref="F43" xr:uid="{6682B9BB-C8D1-C343-8C74-E170FF54875A}">
      <formula1>KV_DD_OKTOBER_43</formula1>
    </dataValidation>
    <dataValidation type="list" allowBlank="1" showInputMessage="1" showErrorMessage="1" sqref="F44" xr:uid="{B6A2C18F-AD89-EB45-87B3-B3589F8885F7}">
      <formula1>KV_DD_OKTOBER_44</formula1>
    </dataValidation>
    <dataValidation type="list" allowBlank="1" showInputMessage="1" showErrorMessage="1" sqref="F45" xr:uid="{3B1D039D-0085-784C-A144-A11A741531D6}">
      <formula1>KV_DD_OKTOBER_45</formula1>
    </dataValidation>
    <dataValidation type="list" allowBlank="1" showInputMessage="1" showErrorMessage="1" sqref="F46" xr:uid="{3DD51413-DF9D-134A-B2E1-55763F8F9742}">
      <formula1>KV_DD_OKTOBER_46</formula1>
    </dataValidation>
    <dataValidation type="list" allowBlank="1" showInputMessage="1" showErrorMessage="1" sqref="F47" xr:uid="{BAC5EB58-3DB9-EB41-8B00-1BD66B1865B2}">
      <formula1>KV_DD_OKTOBER_47</formula1>
    </dataValidation>
    <dataValidation type="list" allowBlank="1" showInputMessage="1" showErrorMessage="1" sqref="F48" xr:uid="{C89495F7-237F-1C46-9DCD-B7E7B79FB85C}">
      <formula1>KV_DD_OKTOBER_48</formula1>
    </dataValidation>
    <dataValidation type="list" allowBlank="1" showInputMessage="1" showErrorMessage="1" sqref="F49" xr:uid="{A3BCB04B-9FB4-FB44-BB47-70DBD1CC6746}">
      <formula1>KV_DD_OKTOBER_49</formula1>
    </dataValidation>
    <dataValidation type="list" allowBlank="1" showInputMessage="1" showErrorMessage="1" sqref="F50" xr:uid="{640BAF8D-F909-2C4A-967F-9842F253155E}">
      <formula1>KV_DD_OKTOBER_50</formula1>
    </dataValidation>
    <dataValidation type="list" allowBlank="1" showInputMessage="1" showErrorMessage="1" sqref="F51" xr:uid="{CCDFB12B-A124-2846-80EF-F07A148C2CF8}">
      <formula1>KV_DD_OKTOBER_51</formula1>
    </dataValidation>
    <dataValidation type="list" allowBlank="1" showInputMessage="1" showErrorMessage="1" sqref="F52" xr:uid="{365663F9-1D0B-CF46-B3A0-CA8395F4B288}">
      <formula1>KV_DD_OKTOBER_52</formula1>
    </dataValidation>
    <dataValidation type="list" allowBlank="1" showInputMessage="1" showErrorMessage="1" sqref="F53" xr:uid="{AB6C63C7-5C78-A54C-A174-4CDD46D2712C}">
      <formula1>KV_DD_OKTOBER_53</formula1>
    </dataValidation>
    <dataValidation type="list" allowBlank="1" showInputMessage="1" showErrorMessage="1" sqref="F54" xr:uid="{D89493DF-69DF-408A-8030-971BA8B4B400}">
      <formula1>KV_DD_OKTOBER_54</formula1>
    </dataValidation>
    <dataValidation type="list" allowBlank="1" showInputMessage="1" showErrorMessage="1" sqref="F55" xr:uid="{3C292533-7BD9-479E-B034-1EB8B9882000}">
      <formula1>KV_DD_OKTOBER_55</formula1>
    </dataValidation>
    <dataValidation type="list" allowBlank="1" showInputMessage="1" showErrorMessage="1" sqref="F56" xr:uid="{3EA0C2DD-7B4E-40D4-AC68-C475DF5B817F}">
      <formula1>KV_DD_OKTOBER_56</formula1>
    </dataValidation>
    <dataValidation type="list" allowBlank="1" showInputMessage="1" showErrorMessage="1" sqref="F57" xr:uid="{A70C3A30-926D-A746-8D6C-115E3BD334E6}">
      <formula1>KV_DD_OKTOBER_57</formula1>
    </dataValidation>
    <dataValidation type="list" allowBlank="1" showInputMessage="1" showErrorMessage="1" sqref="F58" xr:uid="{CBEEA223-1320-1D48-B609-2E04027DAA9C}">
      <formula1>KV_DD_OKTOBER_58</formula1>
    </dataValidation>
    <dataValidation type="list" allowBlank="1" showInputMessage="1" showErrorMessage="1" sqref="F59" xr:uid="{8385CD2E-DD62-554C-9C8D-918D5CD7885C}">
      <formula1>KV_DD_OKTOBER_59</formula1>
    </dataValidation>
    <dataValidation type="list" allowBlank="1" showInputMessage="1" showErrorMessage="1" sqref="F60" xr:uid="{DE89139D-C436-2A4B-9746-DC07B8AAF887}">
      <formula1>KV_DD_OKTOBER_60</formula1>
    </dataValidation>
    <dataValidation type="list" allowBlank="1" showInputMessage="1" showErrorMessage="1" sqref="F61" xr:uid="{DFDEF5D5-A175-E44C-A136-E10E2C6AF3B8}">
      <formula1>KV_DD_OKTOBER_61</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4578" r:id="rId4" name="Button 2">
              <controlPr defaultSize="0" print="0" autoFill="0" autoPict="0" macro="[0]!CopyData">
                <anchor moveWithCells="1" sizeWithCells="1">
                  <from>
                    <xdr:col>14</xdr:col>
                    <xdr:colOff>38100</xdr:colOff>
                    <xdr:row>0</xdr:row>
                    <xdr:rowOff>50800</xdr:rowOff>
                  </from>
                  <to>
                    <xdr:col>18</xdr:col>
                    <xdr:colOff>571500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59CF507-C939-43D2-AF66-52A555E46499}">
          <x14:formula1>
            <xm:f>LOHNTABELLE!$Q$4:$Q$17</xm:f>
          </x14:formula1>
          <xm:sqref>E3:E82</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EAD6F-1357-44DB-BA9B-30CCEAF4322F}">
  <sheetPr codeName="Tabelle19"/>
  <dimension ref="A1:AC83"/>
  <sheetViews>
    <sheetView showGridLines="0" showRowColHeaders="0" zoomScaleNormal="100" workbookViewId="0">
      <pane ySplit="2" topLeftCell="A3"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11</v>
      </c>
      <c r="B1" s="302" t="s">
        <v>205</v>
      </c>
      <c r="C1" s="310" t="s">
        <v>52</v>
      </c>
      <c r="D1" s="308" t="s">
        <v>206</v>
      </c>
      <c r="E1" s="308" t="s">
        <v>0</v>
      </c>
      <c r="F1" s="308" t="s">
        <v>53</v>
      </c>
      <c r="G1" s="312" t="s">
        <v>54</v>
      </c>
      <c r="H1" s="314" t="s">
        <v>55</v>
      </c>
      <c r="I1" s="316" t="s">
        <v>207</v>
      </c>
      <c r="J1" s="318" t="s">
        <v>56</v>
      </c>
      <c r="K1" s="320" t="s">
        <v>57</v>
      </c>
      <c r="L1" s="322" t="s">
        <v>58</v>
      </c>
      <c r="M1" s="306" t="s">
        <v>59</v>
      </c>
      <c r="N1" s="303" t="s">
        <v>208</v>
      </c>
      <c r="AB1" s="41">
        <f>DATE(LOHNTABELLE!$G$3, $A$1, 1)</f>
        <v>46327</v>
      </c>
    </row>
    <row r="2" spans="1:28" ht="16" customHeight="1" thickBot="1">
      <c r="A2" s="129"/>
      <c r="B2" s="302"/>
      <c r="C2" s="311"/>
      <c r="D2" s="309"/>
      <c r="E2" s="309"/>
      <c r="F2" s="309"/>
      <c r="G2" s="313"/>
      <c r="H2" s="315"/>
      <c r="I2" s="317"/>
      <c r="J2" s="319"/>
      <c r="K2" s="321"/>
      <c r="L2" s="323"/>
      <c r="M2" s="307"/>
      <c r="N2" s="303"/>
      <c r="AB2" s="41">
        <f>EOMONTH(DATE(LOHNTABELLE!$G$3, $A$1, 1), 0)</f>
        <v>46356</v>
      </c>
    </row>
    <row r="3" spans="1:28" ht="16" customHeight="1">
      <c r="A3" s="130" t="s">
        <v>60</v>
      </c>
      <c r="B3" s="169">
        <v>55</v>
      </c>
      <c r="C3" s="166" t="s">
        <v>367</v>
      </c>
      <c r="D3" s="192">
        <v>46054</v>
      </c>
      <c r="E3" s="142" t="s">
        <v>4</v>
      </c>
      <c r="F3" s="167">
        <v>173</v>
      </c>
      <c r="G3" s="184">
        <v>3500</v>
      </c>
      <c r="H3" s="157">
        <f>IF(AND(ISNUMBER(D3), ISNUMBER(F3)),
    ROUNDDOWN(
        MIN(
            IF(OR(ISBLANK(I3), I3=""),
                EOMONTH(DATE(LOHNTABELLE!$G$3, $A$1, 1), 0), I3)
            - MAX(D3, DATE(LOHNTABELLE!$G$3, $A$1, 1)) + 1)
        / DAY(EOMONTH(DATE(LOHNTABELLE!$G$3, $A$1, 1), 0)) * F3,
        2
    ),
    ""
)</f>
        <v>173</v>
      </c>
      <c r="I3" s="19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42" t="s">
        <v>61</v>
      </c>
      <c r="P3" s="242" t="s">
        <v>62</v>
      </c>
      <c r="Q3" s="240" t="s">
        <v>63</v>
      </c>
      <c r="R3" s="280" t="s">
        <v>64</v>
      </c>
      <c r="AB3" s="43"/>
    </row>
    <row r="4" spans="1:28" ht="16" customHeight="1">
      <c r="A4" s="130" t="s">
        <v>65</v>
      </c>
      <c r="B4" s="170">
        <v>401006</v>
      </c>
      <c r="C4" s="137" t="s">
        <v>262</v>
      </c>
      <c r="D4" s="193">
        <v>38188</v>
      </c>
      <c r="E4" s="134" t="s">
        <v>24</v>
      </c>
      <c r="F4" s="136">
        <v>173</v>
      </c>
      <c r="G4" s="185">
        <v>2328</v>
      </c>
      <c r="H4" s="158">
        <f>IF(AND(ISNUMBER(D4), ISNUMBER(F4)),
    ROUNDDOWN(
        MIN(
            IF(OR(ISBLANK(I4), I4=""),
                EOMONTH(DATE(LOHNTABELLE!$G$3, $A$1, 1), 0), I4)
            - MAX(D4, DATE(LOHNTABELLE!$G$3, $A$1, 1)) + 1)
        / DAY(EOMONTH(DATE(LOHNTABELLE!$G$3, $A$1, 1), 0)) * F4,
        2
    ),
    ""
)</f>
        <v>173</v>
      </c>
      <c r="I4" s="19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43"/>
      <c r="P4" s="243"/>
      <c r="Q4" s="241"/>
      <c r="R4" s="281"/>
    </row>
    <row r="5" spans="1:28" ht="16" customHeight="1">
      <c r="A5" s="131" t="s">
        <v>66</v>
      </c>
      <c r="B5" s="170">
        <v>401010</v>
      </c>
      <c r="C5" s="137" t="s">
        <v>263</v>
      </c>
      <c r="D5" s="193">
        <v>39388</v>
      </c>
      <c r="E5" s="134" t="s">
        <v>12</v>
      </c>
      <c r="F5" s="136">
        <v>173</v>
      </c>
      <c r="G5" s="185">
        <v>2183</v>
      </c>
      <c r="H5" s="158">
        <f>IF(AND(ISNUMBER(D5), ISNUMBER(F5)),
    ROUNDDOWN(
        MIN(
            IF(OR(ISBLANK(I5), I5=""),
                EOMONTH(DATE(LOHNTABELLE!$G$3, $A$1, 1), 0), I5)
            - MAX(D5, DATE(LOHNTABELLE!$G$3, $A$1, 1)) + 1)
        / DAY(EOMONTH(DATE(LOHNTABELLE!$G$3, $A$1, 1), 0)) * F5,
        2
    ),
    ""
)</f>
        <v>173</v>
      </c>
      <c r="I5" s="19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859.3643883002909</v>
      </c>
      <c r="P5" s="49">
        <f>EINSTELLUNG!I16</f>
        <v>11</v>
      </c>
      <c r="Q5" s="48">
        <f>P5-O5</f>
        <v>-848.3643883002909</v>
      </c>
      <c r="R5" s="52">
        <f>IFERROR(Q5*Q42, 0)</f>
        <v>-13983.620512783036</v>
      </c>
    </row>
    <row r="6" spans="1:28" ht="16" customHeight="1">
      <c r="A6" s="130" t="s">
        <v>67</v>
      </c>
      <c r="B6" s="170">
        <v>401047</v>
      </c>
      <c r="C6" s="137" t="s">
        <v>265</v>
      </c>
      <c r="D6" s="193">
        <v>41154</v>
      </c>
      <c r="E6" s="134" t="s">
        <v>10</v>
      </c>
      <c r="F6" s="136">
        <v>173</v>
      </c>
      <c r="G6" s="185">
        <v>2123</v>
      </c>
      <c r="H6" s="158">
        <f>IF(AND(ISNUMBER(D6), ISNUMBER(F6)),
    ROUNDDOWN(
        MIN(
            IF(OR(ISBLANK(I6), I6=""),
                EOMONTH(DATE(LOHNTABELLE!$G$3, $A$1, 1), 0), I6)
            - MAX(D6, DATE(LOHNTABELLE!$G$3, $A$1, 1)) + 1)
        / DAY(EOMONTH(DATE(LOHNTABELLE!$G$3, $A$1, 1), 0)) * F6,
        2
    ),
    ""
)</f>
        <v>173</v>
      </c>
      <c r="I6" s="19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37" t="str">
        <f>IF(Q5&lt;0, "Schlecht! Zu wenig Urlaub abgebaut.", IF(Q5&gt;0, "Gut! Mehr Urlaub abgebaut als aufgebaut.", ""))</f>
        <v>Schlecht! Zu wenig Urlaub abgebaut.</v>
      </c>
      <c r="P6" s="238"/>
      <c r="Q6" s="238"/>
      <c r="R6" s="239"/>
    </row>
    <row r="7" spans="1:28" ht="16" customHeight="1">
      <c r="A7" s="130" t="s">
        <v>68</v>
      </c>
      <c r="B7" s="170">
        <v>401049</v>
      </c>
      <c r="C7" s="137" t="s">
        <v>264</v>
      </c>
      <c r="D7" s="193">
        <v>41130</v>
      </c>
      <c r="E7" s="134" t="s">
        <v>10</v>
      </c>
      <c r="F7" s="136">
        <v>173</v>
      </c>
      <c r="G7" s="185">
        <v>2123</v>
      </c>
      <c r="H7" s="158">
        <f>IF(AND(ISNUMBER(D7), ISNUMBER(F7)),
    ROUNDDOWN(
        MIN(
            IF(OR(ISBLANK(I7), I7=""),
                EOMONTH(DATE(LOHNTABELLE!$G$3, $A$1, 1), 0), I7)
            - MAX(D7, DATE(LOHNTABELLE!$G$3, $A$1, 1)) + 1)
        / DAY(EOMONTH(DATE(LOHNTABELLE!$G$3, $A$1, 1), 0)) * F7,
        2
    ),
    ""
)</f>
        <v>173</v>
      </c>
      <c r="I7" s="19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1" t="s">
        <v>69</v>
      </c>
      <c r="B8" s="170">
        <v>401051</v>
      </c>
      <c r="C8" s="137" t="s">
        <v>266</v>
      </c>
      <c r="D8" s="193">
        <v>41176</v>
      </c>
      <c r="E8" s="134" t="s">
        <v>10</v>
      </c>
      <c r="F8" s="136">
        <v>173</v>
      </c>
      <c r="G8" s="185">
        <v>2123</v>
      </c>
      <c r="H8" s="158">
        <f>IF(AND(ISNUMBER(D8), ISNUMBER(F8)),
    ROUNDDOWN(
        MIN(
            IF(OR(ISBLANK(I8), I8=""),
                EOMONTH(DATE(LOHNTABELLE!$G$3, $A$1, 1), 0), I8)
            - MAX(D8, DATE(LOHNTABELLE!$G$3, $A$1, 1)) + 1)
        / DAY(EOMONTH(DATE(LOHNTABELLE!$G$3, $A$1, 1), 0)) * F8,
        2
    ),
    ""
)</f>
        <v>173</v>
      </c>
      <c r="I8" s="19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45" t="s">
        <v>70</v>
      </c>
      <c r="P8" s="246"/>
      <c r="Q8" s="247">
        <f>SUM(H3:H82)</f>
        <v>8905.1799999999985</v>
      </c>
      <c r="R8" s="247"/>
    </row>
    <row r="9" spans="1:28" ht="16" customHeight="1">
      <c r="A9" s="130" t="s">
        <v>71</v>
      </c>
      <c r="B9" s="170">
        <v>401089</v>
      </c>
      <c r="C9" s="137" t="s">
        <v>280</v>
      </c>
      <c r="D9" s="193">
        <v>44868</v>
      </c>
      <c r="E9" s="134" t="s">
        <v>8</v>
      </c>
      <c r="F9" s="136">
        <v>173</v>
      </c>
      <c r="G9" s="185">
        <v>2082</v>
      </c>
      <c r="H9" s="158">
        <f>IF(AND(ISNUMBER(D9), ISNUMBER(F9)),
    ROUNDDOWN(
        MIN(
            IF(OR(ISBLANK(I9), I9=""),
                EOMONTH(DATE(LOHNTABELLE!$G$3, $A$1, 1), 0), I9)
            - MAX(D9, DATE(LOHNTABELLE!$G$3, $A$1, 1)) + 1)
        / DAY(EOMONTH(DATE(LOHNTABELLE!$G$3, $A$1, 1), 0)) * F9,
        2
    ),
    ""
)</f>
        <v>173</v>
      </c>
      <c r="I9" s="19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45" t="s">
        <v>72</v>
      </c>
      <c r="P9" s="246"/>
      <c r="Q9" s="247">
        <f>EINSTELLUNG!L32</f>
        <v>11</v>
      </c>
      <c r="R9" s="247"/>
      <c r="S9" s="53">
        <f>IFERROR(Q9/Q8, 0)</f>
        <v>1.2352361209992389E-3</v>
      </c>
    </row>
    <row r="10" spans="1:28" ht="16" customHeight="1">
      <c r="A10" s="130" t="s">
        <v>73</v>
      </c>
      <c r="B10" s="170">
        <v>401138</v>
      </c>
      <c r="C10" s="137" t="s">
        <v>267</v>
      </c>
      <c r="D10" s="193">
        <v>42006</v>
      </c>
      <c r="E10" s="134" t="s">
        <v>10</v>
      </c>
      <c r="F10" s="136">
        <v>173</v>
      </c>
      <c r="G10" s="185">
        <v>2123</v>
      </c>
      <c r="H10" s="158">
        <f>IF(AND(ISNUMBER(D10), ISNUMBER(F10)),
    ROUNDDOWN(
        MIN(
            IF(OR(ISBLANK(I10), I10=""),
                EOMONTH(DATE(LOHNTABELLE!$G$3, $A$1, 1), 0), I10)
            - MAX(D10, DATE(LOHNTABELLE!$G$3, $A$1, 1)) + 1)
        / DAY(EOMONTH(DATE(LOHNTABELLE!$G$3, $A$1, 1), 0)) * F10,
        2
    ),
    ""
)</f>
        <v>173</v>
      </c>
      <c r="I10" s="19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45" t="s">
        <v>74</v>
      </c>
      <c r="P10" s="246"/>
      <c r="Q10" s="247">
        <f>EINSTELLUNG!I32</f>
        <v>11</v>
      </c>
      <c r="R10" s="247"/>
    </row>
    <row r="11" spans="1:28" ht="16" customHeight="1">
      <c r="A11" s="131" t="s">
        <v>75</v>
      </c>
      <c r="B11" s="170">
        <v>401197</v>
      </c>
      <c r="C11" s="137" t="s">
        <v>268</v>
      </c>
      <c r="D11" s="193">
        <v>42644</v>
      </c>
      <c r="E11" s="134" t="s">
        <v>8</v>
      </c>
      <c r="F11" s="136">
        <v>173</v>
      </c>
      <c r="G11" s="185">
        <v>2082</v>
      </c>
      <c r="H11" s="158">
        <f>IF(AND(ISNUMBER(D11), ISNUMBER(F11)),
    ROUNDDOWN(
        MIN(
            IF(OR(ISBLANK(I11), I11=""),
                EOMONTH(DATE(LOHNTABELLE!$G$3, $A$1, 1), 0), I11)
            - MAX(D11, DATE(LOHNTABELLE!$G$3, $A$1, 1)) + 1)
        / DAY(EOMONTH(DATE(LOHNTABELLE!$G$3, $A$1, 1), 0)) * F11,
        2
    ),
    ""
)</f>
        <v>173</v>
      </c>
      <c r="I11" s="19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45" t="s">
        <v>76</v>
      </c>
      <c r="P11" s="246"/>
      <c r="Q11" s="247">
        <f>P5</f>
        <v>11</v>
      </c>
      <c r="R11" s="247"/>
    </row>
    <row r="12" spans="1:28" ht="16" customHeight="1">
      <c r="A12" s="130" t="s">
        <v>77</v>
      </c>
      <c r="B12" s="170">
        <v>401214</v>
      </c>
      <c r="C12" s="137" t="s">
        <v>294</v>
      </c>
      <c r="D12" s="193">
        <v>45636</v>
      </c>
      <c r="E12" s="134" t="s">
        <v>8</v>
      </c>
      <c r="F12" s="136">
        <v>173</v>
      </c>
      <c r="G12" s="185">
        <v>2082</v>
      </c>
      <c r="H12" s="158">
        <f>IF(AND(ISNUMBER(D12), ISNUMBER(F12)),
    ROUNDDOWN(
        MIN(
            IF(OR(ISBLANK(I12), I12=""),
                EOMONTH(DATE(LOHNTABELLE!$G$3, $A$1, 1), 0), I12)
            - MAX(D12, DATE(LOHNTABELLE!$G$3, $A$1, 1)) + 1)
        / DAY(EOMONTH(DATE(LOHNTABELLE!$G$3, $A$1, 1), 0)) * F12,
        2
    ),
    ""
)</f>
        <v>173</v>
      </c>
      <c r="I12" s="19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45" t="s">
        <v>80</v>
      </c>
      <c r="P12" s="246"/>
      <c r="Q12" s="247">
        <f>Q8-Q9-Q10-Q11</f>
        <v>8872.1799999999985</v>
      </c>
      <c r="R12" s="247"/>
    </row>
    <row r="13" spans="1:28" ht="16" customHeight="1">
      <c r="A13" s="130" t="s">
        <v>79</v>
      </c>
      <c r="B13" s="170">
        <v>401276</v>
      </c>
      <c r="C13" s="137" t="s">
        <v>269</v>
      </c>
      <c r="D13" s="193">
        <v>43252</v>
      </c>
      <c r="E13" s="134" t="s">
        <v>8</v>
      </c>
      <c r="F13" s="136">
        <v>173</v>
      </c>
      <c r="G13" s="185">
        <v>2082</v>
      </c>
      <c r="H13" s="158">
        <f>IF(AND(ISNUMBER(D13), ISNUMBER(F13)),
    ROUNDDOWN(
        MIN(
            IF(OR(ISBLANK(I13), I13=""),
                EOMONTH(DATE(LOHNTABELLE!$G$3, $A$1, 1), 0), I13)
            - MAX(D13, DATE(LOHNTABELLE!$G$3, $A$1, 1)) + 1)
        / DAY(EOMONTH(DATE(LOHNTABELLE!$G$3, $A$1, 1), 0)) * F13,
        2
    ),
    ""
)</f>
        <v>173</v>
      </c>
      <c r="I13" s="19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45" t="s">
        <v>82</v>
      </c>
      <c r="P13" s="246"/>
      <c r="Q13" s="247">
        <f>EINSTELLUNG!L16</f>
        <v>11</v>
      </c>
      <c r="R13" s="247"/>
    </row>
    <row r="14" spans="1:28" ht="16" customHeight="1">
      <c r="A14" s="131" t="s">
        <v>81</v>
      </c>
      <c r="B14" s="170">
        <v>401307</v>
      </c>
      <c r="C14" s="137" t="s">
        <v>270</v>
      </c>
      <c r="D14" s="193">
        <v>43571</v>
      </c>
      <c r="E14" s="134" t="s">
        <v>8</v>
      </c>
      <c r="F14" s="136">
        <v>173</v>
      </c>
      <c r="G14" s="185">
        <v>2082</v>
      </c>
      <c r="H14" s="158">
        <f>IF(AND(ISNUMBER(D14), ISNUMBER(F14)),
    ROUNDDOWN(
        MIN(
            IF(OR(ISBLANK(I14), I14=""),
                EOMONTH(DATE(LOHNTABELLE!$G$3, $A$1, 1), 0), I14)
            - MAX(D14, DATE(LOHNTABELLE!$G$3, $A$1, 1)) + 1)
        / DAY(EOMONTH(DATE(LOHNTABELLE!$G$3, $A$1, 1), 0)) * F14,
        2
    ),
    ""
)</f>
        <v>173</v>
      </c>
      <c r="I14" s="19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45" t="s">
        <v>84</v>
      </c>
      <c r="P14" s="246"/>
      <c r="Q14" s="247">
        <f>Q12-Q13</f>
        <v>8861.1799999999985</v>
      </c>
      <c r="R14" s="247"/>
    </row>
    <row r="15" spans="1:28" ht="16" customHeight="1">
      <c r="A15" s="130" t="s">
        <v>83</v>
      </c>
      <c r="B15" s="170">
        <v>401308</v>
      </c>
      <c r="C15" s="137" t="s">
        <v>271</v>
      </c>
      <c r="D15" s="193">
        <v>43579</v>
      </c>
      <c r="E15" s="134" t="s">
        <v>8</v>
      </c>
      <c r="F15" s="136">
        <v>173</v>
      </c>
      <c r="G15" s="185">
        <v>2082</v>
      </c>
      <c r="H15" s="158">
        <f>IF(AND(ISNUMBER(D15), ISNUMBER(F15)),
    ROUNDDOWN(
        MIN(
            IF(OR(ISBLANK(I15), I15=""),
                EOMONTH(DATE(LOHNTABELLE!$G$3, $A$1, 1), 0), I15)
            - MAX(D15, DATE(LOHNTABELLE!$G$3, $A$1, 1)) + 1)
        / DAY(EOMONTH(DATE(LOHNTABELLE!$G$3, $A$1, 1), 0)) * F15,
        2
    ),
    ""
)</f>
        <v>173</v>
      </c>
      <c r="I15" s="19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370" t="str">
        <f>IF(Q14&lt;0, "Schlecht! Zu wenig Stunden für Dienstplan.", IF(Q14&gt;0, "Du hast mehr als genug Stunden für Dienstplan.", ""))</f>
        <v>Du hast mehr als genug Stunden für Dienstplan.</v>
      </c>
      <c r="P15" s="370"/>
      <c r="Q15" s="370"/>
      <c r="R15" s="370"/>
      <c r="S15" s="100"/>
      <c r="T15" s="100"/>
      <c r="U15" s="100"/>
    </row>
    <row r="16" spans="1:28" ht="16" customHeight="1">
      <c r="A16" s="130" t="s">
        <v>85</v>
      </c>
      <c r="B16" s="170">
        <v>401389</v>
      </c>
      <c r="C16" s="137" t="s">
        <v>273</v>
      </c>
      <c r="D16" s="193">
        <v>44384</v>
      </c>
      <c r="E16" s="134" t="s">
        <v>22</v>
      </c>
      <c r="F16" s="136">
        <v>173</v>
      </c>
      <c r="G16" s="185">
        <v>2300</v>
      </c>
      <c r="H16" s="158">
        <f>IF(AND(ISNUMBER(D16), ISNUMBER(F16)),
    ROUNDDOWN(
        MIN(
            IF(OR(ISBLANK(I16), I16=""),
                EOMONTH(DATE(LOHNTABELLE!$G$3, $A$1, 1), 0), I16)
            - MAX(D16, DATE(LOHNTABELLE!$G$3, $A$1, 1)) + 1)
        / DAY(EOMONTH(DATE(LOHNTABELLE!$G$3, $A$1, 1), 0)) * F16,
        2
    ),
    ""
)</f>
        <v>173</v>
      </c>
      <c r="I16" s="19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W16" s="45"/>
    </row>
    <row r="17" spans="1:29" ht="16" customHeight="1">
      <c r="A17" s="131" t="s">
        <v>86</v>
      </c>
      <c r="B17" s="170">
        <v>401394</v>
      </c>
      <c r="C17" s="137" t="s">
        <v>272</v>
      </c>
      <c r="D17" s="193">
        <v>44379</v>
      </c>
      <c r="E17" s="134" t="s">
        <v>4</v>
      </c>
      <c r="F17" s="136">
        <v>173</v>
      </c>
      <c r="G17" s="185">
        <v>3500</v>
      </c>
      <c r="H17" s="158">
        <f>IF(AND(ISNUMBER(D17), ISNUMBER(F17)),
    ROUNDDOWN(
        MIN(
            IF(OR(ISBLANK(I17), I17=""),
                EOMONTH(DATE(LOHNTABELLE!$G$3, $A$1, 1), 0), I17)
            - MAX(D17, DATE(LOHNTABELLE!$G$3, $A$1, 1)) + 1)
        / DAY(EOMONTH(DATE(LOHNTABELLE!$G$3, $A$1, 1), 0)) * F17,
        2
    ),
    ""
)</f>
        <v>173</v>
      </c>
      <c r="I17" s="19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53" t="s">
        <v>87</v>
      </c>
      <c r="P17" s="254"/>
      <c r="Q17" s="277">
        <f>SUM(L3:L82)</f>
        <v>146784.4</v>
      </c>
      <c r="R17" s="277"/>
      <c r="W17" s="45"/>
    </row>
    <row r="18" spans="1:29" ht="16" customHeight="1">
      <c r="A18" s="130" t="s">
        <v>88</v>
      </c>
      <c r="B18" s="170">
        <v>401432</v>
      </c>
      <c r="C18" s="137" t="s">
        <v>274</v>
      </c>
      <c r="D18" s="193">
        <v>44441</v>
      </c>
      <c r="E18" s="134" t="s">
        <v>4</v>
      </c>
      <c r="F18" s="136">
        <v>173</v>
      </c>
      <c r="G18" s="185">
        <v>3500</v>
      </c>
      <c r="H18" s="158">
        <f>IF(AND(ISNUMBER(D18), ISNUMBER(F18)),
    ROUNDDOWN(
        MIN(
            IF(OR(ISBLANK(I18), I18=""),
                EOMONTH(DATE(LOHNTABELLE!$G$3, $A$1, 1), 0), I18)
            - MAX(D18, DATE(LOHNTABELLE!$G$3, $A$1, 1)) + 1)
        / DAY(EOMONTH(DATE(LOHNTABELLE!$G$3, $A$1, 1), 0)) * F18,
        2
    ),
    ""
)</f>
        <v>173</v>
      </c>
      <c r="I18" s="19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335"/>
      <c r="P18" s="366"/>
      <c r="Q18" s="367"/>
      <c r="R18" s="244"/>
    </row>
    <row r="19" spans="1:29" ht="16" customHeight="1">
      <c r="A19" s="130" t="s">
        <v>89</v>
      </c>
      <c r="B19" s="170">
        <v>401476</v>
      </c>
      <c r="C19" s="137" t="s">
        <v>276</v>
      </c>
      <c r="D19" s="193">
        <v>44504</v>
      </c>
      <c r="E19" s="134" t="s">
        <v>4</v>
      </c>
      <c r="F19" s="136">
        <v>173</v>
      </c>
      <c r="G19" s="185">
        <v>3500</v>
      </c>
      <c r="H19" s="158">
        <f>IF(AND(ISNUMBER(D19), ISNUMBER(F19)),
    ROUNDDOWN(
        MIN(
            IF(OR(ISBLANK(I19), I19=""),
                EOMONTH(DATE(LOHNTABELLE!$G$3, $A$1, 1), 0), I19)
            - MAX(D19, DATE(LOHNTABELLE!$G$3, $A$1, 1)) + 1)
        / DAY(EOMONTH(DATE(LOHNTABELLE!$G$3, $A$1, 1), 0)) * F19,
        2
    ),
    ""
)</f>
        <v>173</v>
      </c>
      <c r="I19" s="19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335"/>
      <c r="P19" s="366"/>
      <c r="Q19" s="367"/>
      <c r="R19" s="244"/>
    </row>
    <row r="20" spans="1:29" ht="16" customHeight="1">
      <c r="A20" s="131" t="s">
        <v>90</v>
      </c>
      <c r="B20" s="170">
        <v>401479</v>
      </c>
      <c r="C20" s="137" t="s">
        <v>277</v>
      </c>
      <c r="D20" s="193">
        <v>44511</v>
      </c>
      <c r="E20" s="134" t="s">
        <v>13</v>
      </c>
      <c r="F20" s="136">
        <v>173</v>
      </c>
      <c r="G20" s="185">
        <v>2160</v>
      </c>
      <c r="H20" s="158">
        <f>IF(AND(ISNUMBER(D20), ISNUMBER(F20)),
    ROUNDDOWN(
        MIN(
            IF(OR(ISBLANK(I20), I20=""),
                EOMONTH(DATE(LOHNTABELLE!$G$3, $A$1, 1), 0), I20)
            - MAX(D20, DATE(LOHNTABELLE!$G$3, $A$1, 1)) + 1)
        / DAY(EOMONTH(DATE(LOHNTABELLE!$G$3, $A$1, 1), 0)) * F20,
        2
    ),
    ""
)</f>
        <v>173</v>
      </c>
      <c r="I20" s="19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335"/>
      <c r="P20" s="366"/>
      <c r="Q20" s="367"/>
      <c r="R20" s="244"/>
    </row>
    <row r="21" spans="1:29" ht="16" customHeight="1">
      <c r="A21" s="130" t="s">
        <v>92</v>
      </c>
      <c r="B21" s="170">
        <v>401481</v>
      </c>
      <c r="C21" s="137" t="s">
        <v>278</v>
      </c>
      <c r="D21" s="193">
        <v>44531</v>
      </c>
      <c r="E21" s="134" t="s">
        <v>4</v>
      </c>
      <c r="F21" s="136">
        <v>173</v>
      </c>
      <c r="G21" s="185">
        <v>3500</v>
      </c>
      <c r="H21" s="158">
        <f>IF(AND(ISNUMBER(D21), ISNUMBER(F21)),
    ROUNDDOWN(
        MIN(
            IF(OR(ISBLANK(I21), I21=""),
                EOMONTH(DATE(LOHNTABELLE!$G$3, $A$1, 1), 0), I21)
            - MAX(D21, DATE(LOHNTABELLE!$G$3, $A$1, 1)) + 1)
        / DAY(EOMONTH(DATE(LOHNTABELLE!$G$3, $A$1, 1), 0)) * F21,
        2
    ),
    ""
)</f>
        <v>173</v>
      </c>
      <c r="I21" s="19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335" t="s">
        <v>356</v>
      </c>
      <c r="P21" s="366"/>
      <c r="Q21" s="367">
        <v>5000</v>
      </c>
      <c r="R21" s="244"/>
    </row>
    <row r="22" spans="1:29" ht="16" customHeight="1">
      <c r="A22" s="130" t="s">
        <v>93</v>
      </c>
      <c r="B22" s="170">
        <v>401558</v>
      </c>
      <c r="C22" s="137" t="s">
        <v>275</v>
      </c>
      <c r="D22" s="193">
        <v>44460</v>
      </c>
      <c r="E22" s="134" t="s">
        <v>4</v>
      </c>
      <c r="F22" s="136">
        <v>173</v>
      </c>
      <c r="G22" s="185">
        <v>3500</v>
      </c>
      <c r="H22" s="158">
        <f>IF(AND(ISNUMBER(D22), ISNUMBER(F22)),
    ROUNDDOWN(
        MIN(
            IF(OR(ISBLANK(I22), I22=""),
                EOMONTH(DATE(LOHNTABELLE!$G$3, $A$1, 1), 0), I22)
            - MAX(D22, DATE(LOHNTABELLE!$G$3, $A$1, 1)) + 1)
        / DAY(EOMONTH(DATE(LOHNTABELLE!$G$3, $A$1, 1), 0)) * F22,
        2
    ),
    ""
)</f>
        <v>173</v>
      </c>
      <c r="I22" s="19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335"/>
      <c r="P22" s="366"/>
      <c r="Q22" s="367"/>
      <c r="R22" s="244"/>
    </row>
    <row r="23" spans="1:29" ht="16" customHeight="1">
      <c r="A23" s="131" t="s">
        <v>94</v>
      </c>
      <c r="B23" s="170">
        <v>401564</v>
      </c>
      <c r="C23" s="137" t="s">
        <v>279</v>
      </c>
      <c r="D23" s="193">
        <v>44824</v>
      </c>
      <c r="E23" s="134" t="s">
        <v>4</v>
      </c>
      <c r="F23" s="136">
        <v>173</v>
      </c>
      <c r="G23" s="185">
        <v>3500</v>
      </c>
      <c r="H23" s="158">
        <f>IF(AND(ISNUMBER(D23), ISNUMBER(F23)),
    ROUNDDOWN(
        MIN(
            IF(OR(ISBLANK(I23), I23=""),
                EOMONTH(DATE(LOHNTABELLE!$G$3, $A$1, 1), 0), I23)
            - MAX(D23, DATE(LOHNTABELLE!$G$3, $A$1, 1)) + 1)
        / DAY(EOMONTH(DATE(LOHNTABELLE!$G$3, $A$1, 1), 0)) * F23,
        2
    ),
    ""
)</f>
        <v>173</v>
      </c>
      <c r="I23" s="19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335"/>
      <c r="P23" s="366"/>
      <c r="Q23" s="367"/>
      <c r="R23" s="244"/>
      <c r="W23" s="45"/>
    </row>
    <row r="24" spans="1:29" ht="16" customHeight="1">
      <c r="A24" s="130" t="s">
        <v>95</v>
      </c>
      <c r="B24" s="170">
        <v>401583</v>
      </c>
      <c r="C24" s="137" t="s">
        <v>281</v>
      </c>
      <c r="D24" s="193">
        <v>44900</v>
      </c>
      <c r="E24" s="134" t="s">
        <v>21</v>
      </c>
      <c r="F24" s="136">
        <v>173</v>
      </c>
      <c r="G24" s="185">
        <v>2300</v>
      </c>
      <c r="H24" s="158">
        <f>IF(AND(ISNUMBER(D24), ISNUMBER(F24)),
    ROUNDDOWN(
        MIN(
            IF(OR(ISBLANK(I24), I24=""),
                EOMONTH(DATE(LOHNTABELLE!$G$3, $A$1, 1), 0), I24)
            - MAX(D24, DATE(LOHNTABELLE!$G$3, $A$1, 1)) + 1)
        / DAY(EOMONTH(DATE(LOHNTABELLE!$G$3, $A$1, 1), 0)) * F24,
        2
    ),
    ""
)</f>
        <v>173</v>
      </c>
      <c r="I24" s="19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35"/>
      <c r="P24" s="366"/>
      <c r="Q24" s="367"/>
      <c r="R24" s="244"/>
      <c r="W24" s="45"/>
    </row>
    <row r="25" spans="1:29" ht="16" customHeight="1" thickBot="1">
      <c r="A25" s="130" t="s">
        <v>96</v>
      </c>
      <c r="B25" s="170">
        <v>401589</v>
      </c>
      <c r="C25" s="137" t="s">
        <v>282</v>
      </c>
      <c r="D25" s="193">
        <v>44926</v>
      </c>
      <c r="E25" s="134" t="s">
        <v>21</v>
      </c>
      <c r="F25" s="136">
        <v>173</v>
      </c>
      <c r="G25" s="185">
        <v>2300</v>
      </c>
      <c r="H25" s="158">
        <f>IF(AND(ISNUMBER(D25), ISNUMBER(F25)),
    ROUNDDOWN(
        MIN(
            IF(OR(ISBLANK(I25), I25=""),
                EOMONTH(DATE(LOHNTABELLE!$G$3, $A$1, 1), 0), I25)
            - MAX(D25, DATE(LOHNTABELLE!$G$3, $A$1, 1)) + 1)
        / DAY(EOMONTH(DATE(LOHNTABELLE!$G$3, $A$1, 1), 0)) * F25,
        2
    ),
    ""
)</f>
        <v>173</v>
      </c>
      <c r="I25" s="19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350"/>
      <c r="P25" s="368"/>
      <c r="Q25" s="369"/>
      <c r="R25" s="286"/>
    </row>
    <row r="26" spans="1:29" ht="16" customHeight="1">
      <c r="A26" s="131" t="s">
        <v>97</v>
      </c>
      <c r="B26" s="170">
        <v>401602</v>
      </c>
      <c r="C26" s="139" t="s">
        <v>283</v>
      </c>
      <c r="D26" s="193">
        <v>45975</v>
      </c>
      <c r="E26" s="134" t="s">
        <v>4</v>
      </c>
      <c r="F26" s="136">
        <v>173</v>
      </c>
      <c r="G26" s="185">
        <v>3500</v>
      </c>
      <c r="H26" s="158">
        <f>IF(AND(ISNUMBER(D26), ISNUMBER(F26)),
    ROUNDDOWN(
        MIN(
            IF(OR(ISBLANK(I26), I26=""),
                EOMONTH(DATE(LOHNTABELLE!$G$3, $A$1, 1), 0), I26)
            - MAX(D26, DATE(LOHNTABELLE!$G$3, $A$1, 1)) + 1)
        / DAY(EOMONTH(DATE(LOHNTABELLE!$G$3, $A$1, 1), 0)) * F26,
        2
    ),
    ""
)</f>
        <v>173</v>
      </c>
      <c r="I26" s="19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96"/>
      <c r="P26" s="297"/>
      <c r="Q26" s="287"/>
      <c r="R26" s="288"/>
    </row>
    <row r="27" spans="1:29" ht="16" customHeight="1">
      <c r="A27" s="130" t="s">
        <v>98</v>
      </c>
      <c r="B27" s="170">
        <v>401605</v>
      </c>
      <c r="C27" s="137" t="s">
        <v>284</v>
      </c>
      <c r="D27" s="193">
        <v>44986</v>
      </c>
      <c r="E27" s="134" t="s">
        <v>4</v>
      </c>
      <c r="F27" s="136">
        <v>173</v>
      </c>
      <c r="G27" s="185">
        <v>3500</v>
      </c>
      <c r="H27" s="158">
        <f>IF(AND(ISNUMBER(D27), ISNUMBER(F27)),
    ROUNDDOWN(
        MIN(
            IF(OR(ISBLANK(I27), I27=""),
                EOMONTH(DATE(LOHNTABELLE!$G$3, $A$1, 1), 0), I27)
            - MAX(D27, DATE(LOHNTABELLE!$G$3, $A$1, 1)) + 1)
        / DAY(EOMONTH(DATE(LOHNTABELLE!$G$3, $A$1, 1), 0)) * F27,
        2
    ),
    ""
)</f>
        <v>173</v>
      </c>
      <c r="I27" s="19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51"/>
      <c r="P27" s="252"/>
      <c r="Q27" s="244"/>
      <c r="R27" s="289"/>
      <c r="S27" s="249" t="s">
        <v>99</v>
      </c>
      <c r="T27" s="250"/>
      <c r="U27" s="250"/>
      <c r="V27" s="250"/>
    </row>
    <row r="28" spans="1:29" ht="16" customHeight="1" thickBot="1">
      <c r="A28" s="130" t="s">
        <v>100</v>
      </c>
      <c r="B28" s="170">
        <v>401626</v>
      </c>
      <c r="C28" s="137" t="s">
        <v>285</v>
      </c>
      <c r="D28" s="193">
        <v>45063</v>
      </c>
      <c r="E28" s="134" t="s">
        <v>4</v>
      </c>
      <c r="F28" s="136">
        <v>173</v>
      </c>
      <c r="G28" s="185">
        <v>3500</v>
      </c>
      <c r="H28" s="158">
        <f>IF(AND(ISNUMBER(D28), ISNUMBER(F28)),
    ROUNDDOWN(
        MIN(
            IF(OR(ISBLANK(I28), I28=""),
                EOMONTH(DATE(LOHNTABELLE!$G$3, $A$1, 1), 0), I28)
            - MAX(D28, DATE(LOHNTABELLE!$G$3, $A$1, 1)) + 1)
        / DAY(EOMONTH(DATE(LOHNTABELLE!$G$3, $A$1, 1), 0)) * F28,
        2
    ),
    ""
)</f>
        <v>173</v>
      </c>
      <c r="I28" s="19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90"/>
      <c r="P28" s="291"/>
      <c r="Q28" s="292"/>
      <c r="R28" s="293"/>
    </row>
    <row r="29" spans="1:29" ht="16" customHeight="1" thickBot="1">
      <c r="A29" s="131" t="s">
        <v>101</v>
      </c>
      <c r="B29" s="170">
        <v>401633</v>
      </c>
      <c r="C29" s="137" t="s">
        <v>286</v>
      </c>
      <c r="D29" s="193">
        <v>45089</v>
      </c>
      <c r="E29" s="134" t="s">
        <v>21</v>
      </c>
      <c r="F29" s="136">
        <v>173</v>
      </c>
      <c r="G29" s="185">
        <v>2300</v>
      </c>
      <c r="H29" s="158">
        <f>IF(AND(ISNUMBER(D29), ISNUMBER(F29)),
    ROUNDDOWN(
        MIN(
            IF(OR(ISBLANK(I29), I29=""),
                EOMONTH(DATE(LOHNTABELLE!$G$3, $A$1, 1), 0), I29)
            - MAX(D29, DATE(LOHNTABELLE!$G$3, $A$1, 1)) + 1)
        / DAY(EOMONTH(DATE(LOHNTABELLE!$G$3, $A$1, 1), 0)) * F29,
        2
    ),
    ""
)</f>
        <v>173</v>
      </c>
      <c r="I29" s="19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82" t="s">
        <v>102</v>
      </c>
      <c r="P29" s="283"/>
      <c r="Q29" s="284">
        <f>EINSTELLUNG!O16</f>
        <v>11</v>
      </c>
      <c r="R29" s="285"/>
    </row>
    <row r="30" spans="1:29" ht="16" customHeight="1">
      <c r="A30" s="130" t="s">
        <v>103</v>
      </c>
      <c r="B30" s="170">
        <v>401647</v>
      </c>
      <c r="C30" s="137" t="s">
        <v>287</v>
      </c>
      <c r="D30" s="193">
        <v>45182</v>
      </c>
      <c r="E30" s="134" t="s">
        <v>4</v>
      </c>
      <c r="F30" s="136">
        <v>173</v>
      </c>
      <c r="G30" s="185">
        <v>3500</v>
      </c>
      <c r="H30" s="158">
        <f>IF(AND(ISNUMBER(D30), ISNUMBER(F30)),
    ROUNDDOWN(
        MIN(
            IF(OR(ISBLANK(I30), I30=""),
                EOMONTH(DATE(LOHNTABELLE!$G$3, $A$1, 1), 0), I30)
            - MAX(D30, DATE(LOHNTABELLE!$G$3, $A$1, 1)) + 1)
        / DAY(EOMONTH(DATE(LOHNTABELLE!$G$3, $A$1, 1), 0)) * F30,
        2
    ),
    ""
)</f>
        <v>173</v>
      </c>
      <c r="I30" s="19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193">
        <v>45261</v>
      </c>
      <c r="E31" s="134" t="s">
        <v>4</v>
      </c>
      <c r="F31" s="136">
        <v>173</v>
      </c>
      <c r="G31" s="185">
        <v>3500</v>
      </c>
      <c r="H31" s="158">
        <f>IF(AND(ISNUMBER(D31), ISNUMBER(F31)),
    ROUNDDOWN(
        MIN(
            IF(OR(ISBLANK(I31), I31=""),
                EOMONTH(DATE(LOHNTABELLE!$G$3, $A$1, 1), 0), I31)
            - MAX(D31, DATE(LOHNTABELLE!$G$3, $A$1, 1)) + 1)
        / DAY(EOMONTH(DATE(LOHNTABELLE!$G$3, $A$1, 1), 0)) * F31,
        2
    ),
    ""
)</f>
        <v>173</v>
      </c>
      <c r="I31" s="19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98">
        <v>0</v>
      </c>
      <c r="P31" s="299"/>
      <c r="Q31" s="300">
        <v>0</v>
      </c>
      <c r="R31" s="301"/>
    </row>
    <row r="32" spans="1:29" ht="16" customHeight="1">
      <c r="A32" s="131" t="s">
        <v>106</v>
      </c>
      <c r="B32" s="170">
        <v>401670</v>
      </c>
      <c r="C32" s="137" t="s">
        <v>289</v>
      </c>
      <c r="D32" s="193">
        <v>45358</v>
      </c>
      <c r="E32" s="134" t="s">
        <v>4</v>
      </c>
      <c r="F32" s="136">
        <v>173</v>
      </c>
      <c r="G32" s="185">
        <v>3500</v>
      </c>
      <c r="H32" s="158">
        <f>IF(AND(ISNUMBER(D32), ISNUMBER(F32)),
    ROUNDDOWN(
        MIN(
            IF(OR(ISBLANK(I32), I32=""),
                EOMONTH(DATE(LOHNTABELLE!$G$3, $A$1, 1), 0), I32)
            - MAX(D32, DATE(LOHNTABELLE!$G$3, $A$1, 1)) + 1)
        / DAY(EOMONTH(DATE(LOHNTABELLE!$G$3, $A$1, 1), 0)) * F32,
        2
    ),
    ""
)</f>
        <v>173</v>
      </c>
      <c r="I32" s="19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0" t="s">
        <v>107</v>
      </c>
      <c r="B33" s="170">
        <v>401678</v>
      </c>
      <c r="C33" s="137" t="s">
        <v>290</v>
      </c>
      <c r="D33" s="193">
        <v>45414</v>
      </c>
      <c r="E33" s="134" t="s">
        <v>4</v>
      </c>
      <c r="F33" s="136">
        <v>173</v>
      </c>
      <c r="G33" s="185">
        <v>3500</v>
      </c>
      <c r="H33" s="158">
        <f>IF(AND(ISNUMBER(D33), ISNUMBER(F33)),
    ROUNDDOWN(
        MIN(
            IF(OR(ISBLANK(I33), I33=""),
                EOMONTH(DATE(LOHNTABELLE!$G$3, $A$1, 1), 0), I33)
            - MAX(D33, DATE(LOHNTABELLE!$G$3, $A$1, 1)) + 1)
        / DAY(EOMONTH(DATE(LOHNTABELLE!$G$3, $A$1, 1), 0)) * F33,
        2
    ),
    ""
)</f>
        <v>173</v>
      </c>
      <c r="I33" s="19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66"/>
      <c r="P33" s="267"/>
      <c r="Q33" s="364" t="str">
        <f>EINSTELLUNG!B3</f>
        <v>Budget Zahlen</v>
      </c>
      <c r="R33" s="364"/>
      <c r="S33" s="365" t="str">
        <f>EINSTELLUNG!B19</f>
        <v>Projection/Aktuell Zahlen</v>
      </c>
      <c r="T33" s="365"/>
      <c r="U33" s="365" t="s">
        <v>110</v>
      </c>
      <c r="V33" s="365"/>
    </row>
    <row r="34" spans="1:24" ht="16" customHeight="1">
      <c r="A34" s="130" t="s">
        <v>111</v>
      </c>
      <c r="B34" s="170">
        <v>401690</v>
      </c>
      <c r="C34" s="137" t="s">
        <v>292</v>
      </c>
      <c r="D34" s="193">
        <v>45536</v>
      </c>
      <c r="E34" s="134" t="s">
        <v>4</v>
      </c>
      <c r="F34" s="136">
        <v>173</v>
      </c>
      <c r="G34" s="185">
        <v>3500</v>
      </c>
      <c r="H34" s="158">
        <f>IF(AND(ISNUMBER(D34), ISNUMBER(F34)),
    ROUNDDOWN(
        MIN(
            IF(OR(ISBLANK(I34), I34=""),
                EOMONTH(DATE(LOHNTABELLE!$G$3, $A$1, 1), 0), I34)
            - MAX(D34, DATE(LOHNTABELLE!$G$3, $A$1, 1)) + 1)
        / DAY(EOMONTH(DATE(LOHNTABELLE!$G$3, $A$1, 1), 0)) * F34,
        2
    ),
    ""
)</f>
        <v>173</v>
      </c>
      <c r="I34" s="19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66"/>
      <c r="P34" s="267"/>
      <c r="Q34" s="364"/>
      <c r="R34" s="364"/>
      <c r="S34" s="365"/>
      <c r="T34" s="365"/>
      <c r="U34" s="365"/>
      <c r="V34" s="365"/>
    </row>
    <row r="35" spans="1:24" ht="16" customHeight="1">
      <c r="A35" s="131" t="s">
        <v>112</v>
      </c>
      <c r="B35" s="170">
        <v>401703</v>
      </c>
      <c r="C35" s="137" t="s">
        <v>293</v>
      </c>
      <c r="D35" s="193">
        <v>45616</v>
      </c>
      <c r="E35" s="134" t="s">
        <v>4</v>
      </c>
      <c r="F35" s="136">
        <v>173</v>
      </c>
      <c r="G35" s="185">
        <v>3500</v>
      </c>
      <c r="H35" s="158">
        <f>IF(AND(ISNUMBER(D35), ISNUMBER(F35)),
    ROUNDDOWN(
        MIN(
            IF(OR(ISBLANK(I35), I35=""),
                EOMONTH(DATE(LOHNTABELLE!$G$3, $A$1, 1), 0), I35)
            - MAX(D35, DATE(LOHNTABELLE!$G$3, $A$1, 1)) + 1)
        / DAY(EOMONTH(DATE(LOHNTABELLE!$G$3, $A$1, 1), 0)) * F35,
        2
    ),
    ""
)</f>
        <v>173</v>
      </c>
      <c r="I35" s="19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55" t="s">
        <v>113</v>
      </c>
      <c r="P35" s="256"/>
      <c r="Q35" s="257">
        <f>EINSTELLUNG!C16</f>
        <v>11</v>
      </c>
      <c r="R35" s="257"/>
      <c r="S35" s="257">
        <f>EINSTELLUNG!C32</f>
        <v>11</v>
      </c>
      <c r="T35" s="257"/>
      <c r="U35" s="258">
        <f>S35-Q35</f>
        <v>0</v>
      </c>
      <c r="V35" s="258"/>
    </row>
    <row r="36" spans="1:24" ht="16" customHeight="1">
      <c r="A36" s="130" t="s">
        <v>114</v>
      </c>
      <c r="B36" s="170">
        <v>401715</v>
      </c>
      <c r="C36" s="137" t="s">
        <v>295</v>
      </c>
      <c r="D36" s="193">
        <v>45755</v>
      </c>
      <c r="E36" s="134" t="s">
        <v>4</v>
      </c>
      <c r="F36" s="136">
        <v>173</v>
      </c>
      <c r="G36" s="185">
        <v>3500</v>
      </c>
      <c r="H36" s="158">
        <f>IF(AND(ISNUMBER(D36), ISNUMBER(F36)),
    ROUNDDOWN(
        MIN(
            IF(OR(ISBLANK(I36), I36=""),
                EOMONTH(DATE(LOHNTABELLE!$G$3, $A$1, 1), 0), I36)
            - MAX(D36, DATE(LOHNTABELLE!$G$3, $A$1, 1)) + 1)
        / DAY(EOMONTH(DATE(LOHNTABELLE!$G$3, $A$1, 1), 0)) * F36,
        2
    ),
    ""
)</f>
        <v>173</v>
      </c>
      <c r="I36" s="19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55" t="s">
        <v>115</v>
      </c>
      <c r="P36" s="256"/>
      <c r="Q36" s="257">
        <f>EINSTELLUNG!D16</f>
        <v>11</v>
      </c>
      <c r="R36" s="257"/>
      <c r="S36" s="261" cm="1">
        <f t="array" ref="S36">SumMergedCells(Q17:R29)</f>
        <v>151795.4</v>
      </c>
      <c r="T36" s="263"/>
      <c r="U36" s="258">
        <f t="shared" ref="U36:U41" si="2">S36-Q36</f>
        <v>151784.4</v>
      </c>
      <c r="V36" s="258"/>
    </row>
    <row r="37" spans="1:24" ht="16" customHeight="1">
      <c r="A37" s="130" t="s">
        <v>116</v>
      </c>
      <c r="B37" s="170">
        <v>401716</v>
      </c>
      <c r="C37" s="137" t="s">
        <v>296</v>
      </c>
      <c r="D37" s="193">
        <v>45800</v>
      </c>
      <c r="E37" s="134" t="s">
        <v>4</v>
      </c>
      <c r="F37" s="136">
        <v>173</v>
      </c>
      <c r="G37" s="185">
        <v>3500</v>
      </c>
      <c r="H37" s="158">
        <f>IF(AND(ISNUMBER(D37), ISNUMBER(F37)),
    ROUNDDOWN(
        MIN(
            IF(OR(ISBLANK(I37), I37=""),
                EOMONTH(DATE(LOHNTABELLE!$G$3, $A$1, 1), 0), I37)
            - MAX(D37, DATE(LOHNTABELLE!$G$3, $A$1, 1)) + 1)
        / DAY(EOMONTH(DATE(LOHNTABELLE!$G$3, $A$1, 1), 0)) * F37,
        2
    ),
    ""
)</f>
        <v>173</v>
      </c>
      <c r="I37" s="19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55" t="s">
        <v>117</v>
      </c>
      <c r="P37" s="256"/>
      <c r="Q37" s="264">
        <f>IF(ISERROR(Q36/Q35), 0, Q36/Q35)</f>
        <v>1</v>
      </c>
      <c r="R37" s="264"/>
      <c r="S37" s="264">
        <f>IF(ISERROR(S36/S35), 0, S36/S35)</f>
        <v>13799.581818181818</v>
      </c>
      <c r="T37" s="264"/>
      <c r="U37" s="265">
        <f t="shared" si="2"/>
        <v>13798.581818181818</v>
      </c>
      <c r="V37" s="265"/>
    </row>
    <row r="38" spans="1:24" ht="16" customHeight="1">
      <c r="A38" s="131" t="s">
        <v>118</v>
      </c>
      <c r="B38" s="170">
        <v>401717</v>
      </c>
      <c r="C38" s="139" t="s">
        <v>297</v>
      </c>
      <c r="D38" s="193">
        <v>45814</v>
      </c>
      <c r="E38" s="134" t="s">
        <v>4</v>
      </c>
      <c r="F38" s="136">
        <v>173</v>
      </c>
      <c r="G38" s="185">
        <v>3500</v>
      </c>
      <c r="H38" s="158">
        <f>IF(AND(ISNUMBER(D38), ISNUMBER(F38)),
    ROUNDDOWN(
        MIN(
            IF(OR(ISBLANK(I39), I39=""),
                EOMONTH(DATE(LOHNTABELLE!$G$3, $A$1, 1), 0), I39)
            - MAX(D38, DATE(LOHNTABELLE!$G$3, $A$1, 1)) + 1)
        / DAY(EOMONTH(DATE(LOHNTABELLE!$G$3, $A$1, 1), 0)) * F38,
        2
    ),
    ""
)</f>
        <v>173</v>
      </c>
      <c r="I38" s="19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55" t="s">
        <v>119</v>
      </c>
      <c r="P38" s="256"/>
      <c r="Q38" s="259">
        <f>EINSTELLUNG!F16</f>
        <v>11</v>
      </c>
      <c r="R38" s="259"/>
      <c r="S38" s="259">
        <f>EINSTELLUNG!F32</f>
        <v>11</v>
      </c>
      <c r="T38" s="259"/>
      <c r="U38" s="260">
        <f t="shared" si="2"/>
        <v>0</v>
      </c>
      <c r="V38" s="260"/>
    </row>
    <row r="39" spans="1:24" ht="16" customHeight="1">
      <c r="A39" s="130" t="s">
        <v>120</v>
      </c>
      <c r="B39" s="170">
        <v>401722</v>
      </c>
      <c r="C39" s="137" t="s">
        <v>298</v>
      </c>
      <c r="D39" s="193">
        <v>45848</v>
      </c>
      <c r="E39" s="134" t="s">
        <v>4</v>
      </c>
      <c r="F39" s="136">
        <v>86.5</v>
      </c>
      <c r="G39" s="185">
        <v>1010.5</v>
      </c>
      <c r="H39" s="158">
        <f>IF(AND(ISNUMBER(D39), ISNUMBER(F39)),
    ROUNDDOWN(
        MIN(
            IF(OR(ISBLANK(I40), I40=""),
                EOMONTH(DATE(LOHNTABELLE!$G$3, $A$1, 1), 0), I40)
            - MAX(D39, DATE(LOHNTABELLE!$G$3, $A$1, 1)) + 1)
        / DAY(EOMONTH(DATE(LOHNTABELLE!$G$3, $A$1, 1), 0)) * F39,
        2
    ),
    ""
)</f>
        <v>86.5</v>
      </c>
      <c r="I39" s="19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55" t="s">
        <v>121</v>
      </c>
      <c r="P39" s="256"/>
      <c r="Q39" s="257">
        <f>IF(Q38=0, 0, Q35/Q38)</f>
        <v>1</v>
      </c>
      <c r="R39" s="257"/>
      <c r="S39" s="257">
        <f>IF(S38=0, 0, S35/S38)</f>
        <v>1</v>
      </c>
      <c r="T39" s="257"/>
      <c r="U39" s="258">
        <f t="shared" si="2"/>
        <v>0</v>
      </c>
      <c r="V39" s="258"/>
    </row>
    <row r="40" spans="1:24" ht="16" customHeight="1">
      <c r="A40" s="130" t="s">
        <v>122</v>
      </c>
      <c r="B40" s="170">
        <v>401723</v>
      </c>
      <c r="C40" s="137" t="s">
        <v>299</v>
      </c>
      <c r="D40" s="193">
        <v>45852</v>
      </c>
      <c r="E40" s="134" t="s">
        <v>4</v>
      </c>
      <c r="F40" s="136">
        <v>86.5</v>
      </c>
      <c r="G40" s="185">
        <v>1010.5</v>
      </c>
      <c r="H40" s="158">
        <f>IF(AND(ISNUMBER(D40), ISNUMBER(F40)),
    ROUNDDOWN(
        MIN(
            IF(OR(ISBLANK(I40), I40=""),
                EOMONTH(DATE(LOHNTABELLE!$G$3, $A$1, 1), 0), I40)
            - MAX(D40, DATE(LOHNTABELLE!$G$3, $A$1, 1)) + 1)
        / DAY(EOMONTH(DATE(LOHNTABELLE!$G$3, $A$1, 1), 0)) * F40,
        2
    ),
    ""
)</f>
        <v>86.5</v>
      </c>
      <c r="I40" s="19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55" t="s">
        <v>123</v>
      </c>
      <c r="P40" s="256"/>
      <c r="Q40" s="257">
        <f>IF(Q12=0, 0, Q35/Q12)</f>
        <v>1.2398305715168088E-3</v>
      </c>
      <c r="R40" s="257"/>
      <c r="S40" s="257">
        <f>IF(Q12=0, 0, S35/Q12)</f>
        <v>1.2398305715168088E-3</v>
      </c>
      <c r="T40" s="257"/>
      <c r="U40" s="258">
        <f t="shared" si="2"/>
        <v>0</v>
      </c>
      <c r="V40" s="258"/>
    </row>
    <row r="41" spans="1:24" ht="16" customHeight="1">
      <c r="A41" s="131" t="s">
        <v>124</v>
      </c>
      <c r="B41" s="170">
        <v>401726</v>
      </c>
      <c r="C41" s="137" t="s">
        <v>300</v>
      </c>
      <c r="D41" s="193">
        <v>45870</v>
      </c>
      <c r="E41" s="134" t="s">
        <v>4</v>
      </c>
      <c r="F41" s="136">
        <v>86.5</v>
      </c>
      <c r="G41" s="185">
        <v>1010.5</v>
      </c>
      <c r="H41" s="158">
        <f>IF(AND(ISNUMBER(D41), ISNUMBER(F41)),
    ROUNDDOWN(
        MIN(
            IF(OR(ISBLANK(I41), I41=""),
                EOMONTH(DATE(LOHNTABELLE!$G$3, $A$1, 1), 0), I41)
            - MAX(D41, DATE(LOHNTABELLE!$G$3, $A$1, 1)) + 1)
        / DAY(EOMONTH(DATE(LOHNTABELLE!$G$3, $A$1, 1), 0)) * F41,
        2
    ),
    ""
)</f>
        <v>86.5</v>
      </c>
      <c r="I41" s="19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55" t="s">
        <v>125</v>
      </c>
      <c r="P41" s="256"/>
      <c r="Q41" s="259">
        <f>IF(Q12=0, 0, Q38/Q12)</f>
        <v>1.2398305715168088E-3</v>
      </c>
      <c r="R41" s="259"/>
      <c r="S41" s="259">
        <f>IF(Q12=0, 0, S38/Q12)</f>
        <v>1.2398305715168088E-3</v>
      </c>
      <c r="T41" s="259"/>
      <c r="U41" s="260">
        <f t="shared" si="2"/>
        <v>0</v>
      </c>
      <c r="V41" s="260"/>
    </row>
    <row r="42" spans="1:24" ht="16" customHeight="1">
      <c r="A42" s="130" t="s">
        <v>126</v>
      </c>
      <c r="B42" s="170">
        <v>401730</v>
      </c>
      <c r="C42" s="137" t="s">
        <v>302</v>
      </c>
      <c r="D42" s="193">
        <v>45895</v>
      </c>
      <c r="E42" s="134" t="s">
        <v>4</v>
      </c>
      <c r="F42" s="136">
        <v>86.5</v>
      </c>
      <c r="G42" s="185">
        <v>1010.5</v>
      </c>
      <c r="H42" s="158">
        <f>IF(AND(ISNUMBER(D42), ISNUMBER(F42)),
    ROUNDDOWN(
        MIN(
            IF(OR(ISBLANK(I42), I42=""),
                EOMONTH(DATE(LOHNTABELLE!$G$3, $A$1, 1), 0), I42)
            - MAX(D42, DATE(LOHNTABELLE!$G$3, $A$1, 1)) + 1)
        / DAY(EOMONTH(DATE(LOHNTABELLE!$G$3, $A$1, 1), 0)) * F42,
        2
    ),
    ""
)</f>
        <v>86.5</v>
      </c>
      <c r="I42" s="19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55" t="s">
        <v>127</v>
      </c>
      <c r="P42" s="256"/>
      <c r="Q42" s="261">
        <f>IFERROR(Q17/Q8, 0)</f>
        <v>16.483035716290971</v>
      </c>
      <c r="R42" s="262"/>
      <c r="S42" s="262"/>
      <c r="T42" s="262"/>
      <c r="U42" s="262"/>
      <c r="V42" s="263"/>
    </row>
    <row r="43" spans="1:24" ht="16" customHeight="1">
      <c r="A43" s="130" t="s">
        <v>128</v>
      </c>
      <c r="B43" s="170">
        <v>401731</v>
      </c>
      <c r="C43" s="137" t="s">
        <v>301</v>
      </c>
      <c r="D43" s="193">
        <v>45899</v>
      </c>
      <c r="E43" s="134" t="s">
        <v>4</v>
      </c>
      <c r="F43" s="136">
        <v>86.5</v>
      </c>
      <c r="G43" s="185">
        <v>1010.5</v>
      </c>
      <c r="H43" s="158">
        <f>IF(AND(ISNUMBER(D43), ISNUMBER(F43)),
    ROUNDDOWN(
        MIN(
            IF(OR(ISBLANK(I43), I43=""),
                EOMONTH(DATE(LOHNTABELLE!$G$3, $A$1, 1), 0), I43)
            - MAX(D43, DATE(LOHNTABELLE!$G$3, $A$1, 1)) + 1)
        / DAY(EOMONTH(DATE(LOHNTABELLE!$G$3, $A$1, 1), 0)) * F43,
        2
    ),
    ""
)</f>
        <v>86.5</v>
      </c>
      <c r="I43" s="19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1" t="s">
        <v>129</v>
      </c>
      <c r="B44" s="170">
        <v>401734</v>
      </c>
      <c r="C44" s="137" t="s">
        <v>303</v>
      </c>
      <c r="D44" s="193">
        <v>45904</v>
      </c>
      <c r="E44" s="134" t="s">
        <v>4</v>
      </c>
      <c r="F44" s="136">
        <v>86.5</v>
      </c>
      <c r="G44" s="185">
        <v>1010.5</v>
      </c>
      <c r="H44" s="158">
        <f>IF(AND(ISNUMBER(D44), ISNUMBER(F44)),
    ROUNDDOWN(
        MIN(
            IF(OR(ISBLANK(I44), I44=""),
                EOMONTH(DATE(LOHNTABELLE!$G$3, $A$1, 1), 0), I44)
            - MAX(D44, DATE(LOHNTABELLE!$G$3, $A$1, 1)) + 1)
        / DAY(EOMONTH(DATE(LOHNTABELLE!$G$3, $A$1, 1), 0)) * F44,
        2
    ),
    ""
)</f>
        <v>86.5</v>
      </c>
      <c r="I44" s="19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0" t="s">
        <v>131</v>
      </c>
      <c r="B45" s="170">
        <v>401736</v>
      </c>
      <c r="C45" s="137" t="s">
        <v>304</v>
      </c>
      <c r="D45" s="19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9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193">
        <v>45906</v>
      </c>
      <c r="E46" s="134" t="s">
        <v>4</v>
      </c>
      <c r="F46" s="136">
        <v>86.5</v>
      </c>
      <c r="G46" s="185">
        <v>1010.5</v>
      </c>
      <c r="H46" s="158">
        <f>IF(AND(ISNUMBER(D46), ISNUMBER(F46)),
    ROUNDDOWN(
        MIN(
            IF(OR(ISBLANK(I46), I46=""),
                EOMONTH(DATE(LOHNTABELLE!$G$3, $A$1, 1), 0), I46)
            - MAX(D46, DATE(LOHNTABELLE!$G$3, $A$1, 1)) + 1)
        / DAY(EOMONTH(DATE(LOHNTABELLE!$G$3, $A$1, 1), 0)) * F46,
        2
    ),
    ""
)</f>
        <v>86.5</v>
      </c>
      <c r="I46" s="19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1" t="s">
        <v>133</v>
      </c>
      <c r="B47" s="170">
        <v>401738</v>
      </c>
      <c r="C47" s="137" t="s">
        <v>306</v>
      </c>
      <c r="D47" s="193">
        <v>45909</v>
      </c>
      <c r="E47" s="134" t="s">
        <v>4</v>
      </c>
      <c r="F47" s="136">
        <v>86.5</v>
      </c>
      <c r="G47" s="185">
        <v>1010.5</v>
      </c>
      <c r="H47" s="158">
        <f>IF(AND(ISNUMBER(D47), ISNUMBER(F47)),
    ROUNDDOWN(
        MIN(
            IF(OR(ISBLANK(I47), I47=""),
                EOMONTH(DATE(LOHNTABELLE!$G$3, $A$1, 1), 0), I47)
            - MAX(D47, DATE(LOHNTABELLE!$G$3, $A$1, 1)) + 1)
        / DAY(EOMONTH(DATE(LOHNTABELLE!$G$3, $A$1, 1), 0)) * F47,
        2
    ),
    ""
)</f>
        <v>86.5</v>
      </c>
      <c r="I47" s="19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193">
        <v>45934</v>
      </c>
      <c r="E48" s="134" t="s">
        <v>4</v>
      </c>
      <c r="F48" s="136">
        <v>86.5</v>
      </c>
      <c r="G48" s="185">
        <v>1010.5</v>
      </c>
      <c r="H48" s="158">
        <f>IF(AND(ISNUMBER(D48), ISNUMBER(F48)),
    ROUNDDOWN(
        MIN(
            IF(OR(ISBLANK(I48), I48=""),
                EOMONTH(DATE(LOHNTABELLE!$G$3, $A$1, 1), 0), I48)
            - MAX(D48, DATE(LOHNTABELLE!$G$3, $A$1, 1)) + 1)
        / DAY(EOMONTH(DATE(LOHNTABELLE!$G$3, $A$1, 1), 0)) * F48,
        2
    ),
    ""
)</f>
        <v>86.5</v>
      </c>
      <c r="I48" s="19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0" t="s">
        <v>135</v>
      </c>
      <c r="B49" s="170">
        <v>401747</v>
      </c>
      <c r="C49" s="137" t="s">
        <v>307</v>
      </c>
      <c r="D49" s="193">
        <v>45941</v>
      </c>
      <c r="E49" s="134" t="s">
        <v>4</v>
      </c>
      <c r="F49" s="136">
        <v>86.5</v>
      </c>
      <c r="G49" s="185">
        <v>1010.5</v>
      </c>
      <c r="H49" s="158">
        <f>IF(AND(ISNUMBER(D49), ISNUMBER(F49)),
    ROUNDDOWN(
        MIN(
            IF(OR(ISBLANK(I49), I49=""),
                EOMONTH(DATE(LOHNTABELLE!$G$3, $A$1, 1), 0), I49)
            - MAX(D49, DATE(LOHNTABELLE!$G$3, $A$1, 1)) + 1)
        / DAY(EOMONTH(DATE(LOHNTABELLE!$G$3, $A$1, 1), 0)) * F49,
        2
    ),
    ""
)</f>
        <v>86.5</v>
      </c>
      <c r="I49" s="19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1" t="s">
        <v>136</v>
      </c>
      <c r="B50" s="170">
        <v>401748</v>
      </c>
      <c r="C50" s="137" t="s">
        <v>308</v>
      </c>
      <c r="D50" s="193">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9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193">
        <v>45961</v>
      </c>
      <c r="E51" s="134" t="s">
        <v>4</v>
      </c>
      <c r="F51" s="136">
        <v>86.5</v>
      </c>
      <c r="G51" s="185">
        <v>1010.5</v>
      </c>
      <c r="H51" s="158">
        <f>IF(AND(ISNUMBER(D51), ISNUMBER(F51)),
    ROUNDDOWN(
        MIN(
            IF(OR(ISBLANK(I51), I51=""),
                EOMONTH(DATE(LOHNTABELLE!$G$3, $A$1, 1), 0), I51)
            - MAX(D51, DATE(LOHNTABELLE!$G$3, $A$1, 1)) + 1)
        / DAY(EOMONTH(DATE(LOHNTABELLE!$G$3, $A$1, 1), 0)) * F51,
        2
    ),
    ""
)</f>
        <v>86.5</v>
      </c>
      <c r="I51" s="19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193">
        <v>45986</v>
      </c>
      <c r="E52" s="134" t="s">
        <v>4</v>
      </c>
      <c r="F52" s="136">
        <v>86.5</v>
      </c>
      <c r="G52" s="185">
        <v>1010.5</v>
      </c>
      <c r="H52" s="158">
        <f>IF(AND(ISNUMBER(D52), ISNUMBER(F52)),
    ROUNDDOWN(
        MIN(
            IF(OR(ISBLANK(I52), I52=""),
                EOMONTH(DATE(LOHNTABELLE!$G$3, $A$1, 1), 0), I52)
            - MAX(D52, DATE(LOHNTABELLE!$G$3, $A$1, 1)) + 1)
        / DAY(EOMONTH(DATE(LOHNTABELLE!$G$3, $A$1, 1), 0)) * F52,
        2
    ),
    ""
)</f>
        <v>86.5</v>
      </c>
      <c r="I52" s="19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355</v>
      </c>
      <c r="D53" s="193">
        <v>46082</v>
      </c>
      <c r="E53" s="134" t="s">
        <v>4</v>
      </c>
      <c r="F53" s="136">
        <v>173</v>
      </c>
      <c r="G53" s="185">
        <v>3500</v>
      </c>
      <c r="H53" s="158">
        <f>IF(AND(ISNUMBER(D53), ISNUMBER(F53)),
    ROUNDDOWN(
        MIN(
            IF(OR(ISBLANK(I53), I53=""),
                EOMONTH(DATE(LOHNTABELLE!$G$3, $A$1, 1), 0), I53)
            - MAX(D53, DATE(LOHNTABELLE!$G$3, $A$1, 1)) + 1)
        / DAY(EOMONTH(DATE(LOHNTABELLE!$G$3, $A$1, 1), 0)) * F53,
        2
    ),
    ""
)</f>
        <v>173</v>
      </c>
      <c r="I53" s="19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3500</v>
      </c>
      <c r="M53" s="164"/>
      <c r="N53" s="147"/>
    </row>
    <row r="54" spans="1:14" ht="16" customHeight="1">
      <c r="A54" s="130" t="s">
        <v>140</v>
      </c>
      <c r="B54" s="170">
        <v>402000</v>
      </c>
      <c r="C54" s="137" t="s">
        <v>362</v>
      </c>
      <c r="D54" s="193">
        <v>46143</v>
      </c>
      <c r="E54" s="134" t="s">
        <v>4</v>
      </c>
      <c r="F54" s="136">
        <v>173</v>
      </c>
      <c r="G54" s="185">
        <v>3500</v>
      </c>
      <c r="H54" s="158">
        <f>IF(AND(ISNUMBER(D54), ISNUMBER(F54)),
    ROUNDDOWN(
        MIN(
            IF(OR(ISBLANK(I54), I54=""),
                EOMONTH(DATE(LOHNTABELLE!$G$3, $A$1, 1), 0), I54)
            - MAX(D54, DATE(LOHNTABELLE!$G$3, $A$1, 1)) + 1)
        / DAY(EOMONTH(DATE(LOHNTABELLE!$G$3, $A$1, 1), 0)) * F54,
        2
    ),
    ""
)</f>
        <v>173</v>
      </c>
      <c r="I54" s="19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402004</v>
      </c>
      <c r="C55" s="137" t="s">
        <v>364</v>
      </c>
      <c r="D55" s="193">
        <v>46122</v>
      </c>
      <c r="E55" s="134" t="s">
        <v>4</v>
      </c>
      <c r="F55" s="136">
        <v>173</v>
      </c>
      <c r="G55" s="185">
        <v>3500</v>
      </c>
      <c r="H55" s="158">
        <f>IF(AND(ISNUMBER(D55), ISNUMBER(F55)),
    ROUNDDOWN(
        MIN(
            IF(OR(ISBLANK(I55), I55=""),
                EOMONTH(DATE(LOHNTABELLE!$G$3, $A$1, 1), 0), I55)
            - MAX(D55, DATE(LOHNTABELLE!$G$3, $A$1, 1)) + 1)
        / DAY(EOMONTH(DATE(LOHNTABELLE!$G$3, $A$1, 1), 0)) * F55,
        2
    ),
    ""
)</f>
        <v>173</v>
      </c>
      <c r="I55" s="19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1" t="s">
        <v>142</v>
      </c>
      <c r="B56" s="170">
        <v>402405</v>
      </c>
      <c r="C56" s="137" t="s">
        <v>366</v>
      </c>
      <c r="D56" s="193">
        <v>46054</v>
      </c>
      <c r="E56" s="134" t="s">
        <v>4</v>
      </c>
      <c r="F56" s="136">
        <v>173</v>
      </c>
      <c r="G56" s="185">
        <v>3500</v>
      </c>
      <c r="H56" s="158">
        <f>IF(AND(ISNUMBER(D56), ISNUMBER(F56)),
    ROUNDDOWN(
        MIN(
            IF(OR(ISBLANK(I56), I56=""),
                EOMONTH(DATE(LOHNTABELLE!$G$3, $A$1, 1), 0), I56)
            - MAX(D56, DATE(LOHNTABELLE!$G$3, $A$1, 1)) + 1)
        / DAY(EOMONTH(DATE(LOHNTABELLE!$G$3, $A$1, 1), 0)) * F56,
        2
    ),
    ""
)</f>
        <v>173</v>
      </c>
      <c r="I56" s="19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0" t="s">
        <v>143</v>
      </c>
      <c r="B57" s="170">
        <v>500600</v>
      </c>
      <c r="C57" s="137" t="s">
        <v>371</v>
      </c>
      <c r="D57" s="193">
        <v>46054</v>
      </c>
      <c r="E57" s="134" t="s">
        <v>4</v>
      </c>
      <c r="F57" s="136">
        <v>151.38</v>
      </c>
      <c r="G57" s="185">
        <v>5000</v>
      </c>
      <c r="H57" s="158">
        <f>IF(AND(ISNUMBER(D57), ISNUMBER(F57)),
    ROUNDDOWN(
        MIN(
            IF(OR(ISBLANK(I57), I57=""),
                EOMONTH(DATE(LOHNTABELLE!$G$3, $A$1, 1), 0), I57)
            - MAX(D57, DATE(LOHNTABELLE!$G$3, $A$1, 1)) + 1)
        / DAY(EOMONTH(DATE(LOHNTABELLE!$G$3, $A$1, 1), 0)) * F57,
        2
    ),
    ""
)</f>
        <v>151.38</v>
      </c>
      <c r="I57" s="19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5000</v>
      </c>
      <c r="M57" s="164"/>
      <c r="N57" s="147"/>
    </row>
    <row r="58" spans="1:14" ht="16" customHeight="1">
      <c r="A58" s="130" t="s">
        <v>144</v>
      </c>
      <c r="B58" s="170">
        <v>502000</v>
      </c>
      <c r="C58" s="137" t="s">
        <v>365</v>
      </c>
      <c r="D58" s="193">
        <v>46147</v>
      </c>
      <c r="E58" s="134" t="s">
        <v>4</v>
      </c>
      <c r="F58" s="136">
        <v>173</v>
      </c>
      <c r="G58" s="185">
        <v>3500</v>
      </c>
      <c r="H58" s="158">
        <f>IF(AND(ISNUMBER(D58), ISNUMBER(F58)),
    ROUNDDOWN(
        MIN(
            IF(OR(ISBLANK(I58), I58=""),
                EOMONTH(DATE(LOHNTABELLE!$G$3, $A$1, 1), 0), I58)
            - MAX(D58, DATE(LOHNTABELLE!$G$3, $A$1, 1)) + 1)
        / DAY(EOMONTH(DATE(LOHNTABELLE!$G$3, $A$1, 1), 0)) * F58,
        2
    ),
    ""
)</f>
        <v>173</v>
      </c>
      <c r="I58" s="19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3500</v>
      </c>
      <c r="M58" s="164"/>
      <c r="N58" s="147"/>
    </row>
    <row r="59" spans="1:14" ht="16" customHeight="1">
      <c r="A59" s="131" t="s">
        <v>145</v>
      </c>
      <c r="B59" s="170">
        <v>503000</v>
      </c>
      <c r="C59" s="137" t="s">
        <v>368</v>
      </c>
      <c r="D59" s="193">
        <v>42401</v>
      </c>
      <c r="E59" s="134" t="s">
        <v>4</v>
      </c>
      <c r="F59" s="136">
        <v>173</v>
      </c>
      <c r="G59" s="185">
        <v>3500</v>
      </c>
      <c r="H59" s="158">
        <f>IF(AND(ISNUMBER(D59), ISNUMBER(F59)),
    ROUNDDOWN(
        MIN(
            IF(OR(ISBLANK(I59), I59=""),
                EOMONTH(DATE(LOHNTABELLE!$G$3, $A$1, 1), 0), I59)
            - MAX(D59, DATE(LOHNTABELLE!$G$3, $A$1, 1)) + 1)
        / DAY(EOMONTH(DATE(LOHNTABELLE!$G$3, $A$1, 1), 0)) * F59,
        2
    ),
    ""
)</f>
        <v>173</v>
      </c>
      <c r="I59" s="19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504000</v>
      </c>
      <c r="C60" s="137" t="s">
        <v>369</v>
      </c>
      <c r="D60" s="193">
        <v>46054</v>
      </c>
      <c r="E60" s="134" t="s">
        <v>8</v>
      </c>
      <c r="F60" s="136">
        <v>138.4</v>
      </c>
      <c r="G60" s="185">
        <v>1665.6</v>
      </c>
      <c r="H60" s="158">
        <f>IF(AND(ISNUMBER(D60), ISNUMBER(F60)),
    ROUNDDOWN(
        MIN(
            IF(OR(ISBLANK(I60), I60=""),
                EOMONTH(DATE(LOHNTABELLE!$G$3, $A$1, 1), 0), I60)
            - MAX(D60, DATE(LOHNTABELLE!$G$3, $A$1, 1)) + 1)
        / DAY(EOMONTH(DATE(LOHNTABELLE!$G$3, $A$1, 1), 0)) * F60,
        2
    ),
    ""
)</f>
        <v>138.4</v>
      </c>
      <c r="I60" s="19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1665.6</v>
      </c>
      <c r="M60" s="164"/>
      <c r="N60" s="147"/>
    </row>
    <row r="61" spans="1:14" ht="16" customHeight="1">
      <c r="A61" s="130" t="s">
        <v>147</v>
      </c>
      <c r="B61" s="170">
        <v>505000</v>
      </c>
      <c r="C61" s="137" t="s">
        <v>370</v>
      </c>
      <c r="D61" s="193">
        <v>46054</v>
      </c>
      <c r="E61" s="134" t="s">
        <v>4</v>
      </c>
      <c r="F61" s="136">
        <v>138.4</v>
      </c>
      <c r="G61" s="185">
        <v>1616.8</v>
      </c>
      <c r="H61" s="158">
        <f>IF(AND(ISNUMBER(D61), ISNUMBER(F61)),
    ROUNDDOWN(
        MIN(
            IF(OR(ISBLANK(I61), I61=""),
                EOMONTH(DATE(LOHNTABELLE!$G$3, $A$1, 1), 0), I61)
            - MAX(D61, DATE(LOHNTABELLE!$G$3, $A$1, 1)) + 1)
        / DAY(EOMONTH(DATE(LOHNTABELLE!$G$3, $A$1, 1), 0)) * F61,
        2
    ),
    ""
)</f>
        <v>138.4</v>
      </c>
      <c r="I61" s="19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1616.8</v>
      </c>
      <c r="M61" s="164"/>
      <c r="N61" s="147"/>
    </row>
    <row r="62" spans="1:14" ht="16" customHeight="1">
      <c r="A62" s="131" t="s">
        <v>148</v>
      </c>
      <c r="B62" s="170"/>
      <c r="C62" s="137"/>
      <c r="D62" s="193"/>
      <c r="E62" s="134"/>
      <c r="F62" s="136"/>
      <c r="G62" s="185"/>
      <c r="H62" s="158" t="str">
        <f>IF(AND(ISNUMBER(D62), ISNUMBER(F62)),
    ROUNDDOWN(
        MIN(
            IF(OR(ISBLANK(I62), I62=""),
                EOMONTH(DATE(LOHNTABELLE!$G$3, $A$1, 1), 0), I62)
            - MAX(D62, DATE(LOHNTABELLE!$G$3, $A$1, 1)) + 1)
        / DAY(EOMONTH(DATE(LOHNTABELLE!$G$3, $A$1, 1), 0)) * F62,
        2
    ),
    ""
)</f>
        <v/>
      </c>
      <c r="I62" s="19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193"/>
      <c r="E63" s="134"/>
      <c r="F63" s="136"/>
      <c r="G63" s="185"/>
      <c r="H63" s="158" t="str">
        <f>IF(AND(ISNUMBER(D63), ISNUMBER(F63)),
    ROUNDDOWN(
        MIN(
            IF(OR(ISBLANK(I63), I63=""),
                EOMONTH(DATE(LOHNTABELLE!$G$3, $A$1, 1), 0), I63)
            - MAX(D63, DATE(LOHNTABELLE!$G$3, $A$1, 1)) + 1)
        / DAY(EOMONTH(DATE(LOHNTABELLE!$G$3, $A$1, 1), 0)) * F63,
        2
    ),
    ""
)</f>
        <v/>
      </c>
      <c r="I63" s="19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193"/>
      <c r="E64" s="134"/>
      <c r="F64" s="136"/>
      <c r="G64" s="185"/>
      <c r="H64" s="158" t="str">
        <f>IF(AND(ISNUMBER(D64), ISNUMBER(F64)),
    ROUNDDOWN(
        MIN(
            IF(OR(ISBLANK(I64), I64=""),
                EOMONTH(DATE(LOHNTABELLE!$G$3, $A$1, 1), 0), I64)
            - MAX(D64, DATE(LOHNTABELLE!$G$3, $A$1, 1)) + 1)
        / DAY(EOMONTH(DATE(LOHNTABELLE!$G$3, $A$1, 1), 0)) * F64,
        2
    ),
    ""
)</f>
        <v/>
      </c>
      <c r="I64" s="19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93"/>
      <c r="E65" s="134"/>
      <c r="F65" s="136"/>
      <c r="G65" s="185"/>
      <c r="H65" s="158" t="str">
        <f>IF(AND(ISNUMBER(D65), ISNUMBER(F65)),
    ROUNDDOWN(
        MIN(
            IF(OR(ISBLANK(I65), I65=""),
                EOMONTH(DATE(LOHNTABELLE!$G$3, $A$1, 1), 0), I65)
            - MAX(D65, DATE(LOHNTABELLE!$G$3, $A$1, 1)) + 1)
        / DAY(EOMONTH(DATE(LOHNTABELLE!$G$3, $A$1, 1), 0)) * F65,
        2
    ),
    ""
)</f>
        <v/>
      </c>
      <c r="I65" s="19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93"/>
      <c r="E66" s="134"/>
      <c r="F66" s="136"/>
      <c r="G66" s="185"/>
      <c r="H66" s="158" t="str">
        <f>IF(AND(ISNUMBER(D66), ISNUMBER(F66)),
    ROUNDDOWN(
        MIN(
            IF(OR(ISBLANK(I66), I66=""),
                EOMONTH(DATE(LOHNTABELLE!$G$3, $A$1, 1), 0), I66)
            - MAX(D66, DATE(LOHNTABELLE!$G$3, $A$1, 1)) + 1)
        / DAY(EOMONTH(DATE(LOHNTABELLE!$G$3, $A$1, 1), 0)) * F66,
        2
    ),
    ""
)</f>
        <v/>
      </c>
      <c r="I66" s="19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93"/>
      <c r="E67" s="134"/>
      <c r="F67" s="136"/>
      <c r="G67" s="185"/>
      <c r="H67" s="158" t="str">
        <f>IF(AND(ISNUMBER(D67), ISNUMBER(F67)),
    ROUNDDOWN(
        MIN(
            IF(OR(ISBLANK(I67), I67=""),
                EOMONTH(DATE(LOHNTABELLE!$G$3, $A$1, 1), 0), I67)
            - MAX(D67, DATE(LOHNTABELLE!$G$3, $A$1, 1)) + 1)
        / DAY(EOMONTH(DATE(LOHNTABELLE!$G$3, $A$1, 1), 0)) * F67,
        2
    ),
    ""
)</f>
        <v/>
      </c>
      <c r="I67" s="19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1" t="s">
        <v>154</v>
      </c>
      <c r="B68" s="170"/>
      <c r="C68" s="137"/>
      <c r="D68" s="193"/>
      <c r="E68" s="134"/>
      <c r="F68" s="136"/>
      <c r="G68" s="185"/>
      <c r="H68" s="158" t="str">
        <f>IF(AND(ISNUMBER(D68), ISNUMBER(F68)),
    ROUNDDOWN(
        MIN(
            IF(OR(ISBLANK(I68), I68=""),
                EOMONTH(DATE(LOHNTABELLE!$G$3, $A$1, 1), 0), I68)
            - MAX(D68, DATE(LOHNTABELLE!$G$3, $A$1, 1)) + 1)
        / DAY(EOMONTH(DATE(LOHNTABELLE!$G$3, $A$1, 1), 0)) * F68,
        2
    ),
    ""
)</f>
        <v/>
      </c>
      <c r="I68" s="19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0" t="s">
        <v>155</v>
      </c>
      <c r="B69" s="170"/>
      <c r="C69" s="137"/>
      <c r="D69" s="193"/>
      <c r="E69" s="134"/>
      <c r="F69" s="136"/>
      <c r="G69" s="185"/>
      <c r="H69" s="158" t="str">
        <f>IF(AND(ISNUMBER(D69), ISNUMBER(F69)),
    ROUNDDOWN(
        MIN(
            IF(OR(ISBLANK(I69), I69=""),
                EOMONTH(DATE(LOHNTABELLE!$G$3, $A$1, 1), 0), I69)
            - MAX(D69, DATE(LOHNTABELLE!$G$3, $A$1, 1)) + 1)
        / DAY(EOMONTH(DATE(LOHNTABELLE!$G$3, $A$1, 1), 0)) * F69,
        2
    ),
    ""
)</f>
        <v/>
      </c>
      <c r="I69" s="19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93"/>
      <c r="E70" s="134"/>
      <c r="F70" s="136"/>
      <c r="G70" s="185"/>
      <c r="H70" s="158" t="str">
        <f>IF(AND(ISNUMBER(D70), ISNUMBER(F70)),
    ROUNDDOWN(
        MIN(
            IF(OR(ISBLANK(I70), I70=""),
                EOMONTH(DATE(LOHNTABELLE!$G$3, $A$1, 1), 0), I70)
            - MAX(D70, DATE(LOHNTABELLE!$G$3, $A$1, 1)) + 1)
        / DAY(EOMONTH(DATE(LOHNTABELLE!$G$3, $A$1, 1), 0)) * F70,
        2
    ),
    ""
)</f>
        <v/>
      </c>
      <c r="I70" s="19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1" t="s">
        <v>157</v>
      </c>
      <c r="B71" s="170"/>
      <c r="C71" s="137"/>
      <c r="D71" s="193"/>
      <c r="E71" s="134"/>
      <c r="F71" s="136"/>
      <c r="G71" s="185"/>
      <c r="H71" s="158" t="str">
        <f>IF(AND(ISNUMBER(D71), ISNUMBER(F71)),
    ROUNDDOWN(
        MIN(
            IF(OR(ISBLANK(I71), I71=""),
                EOMONTH(DATE(LOHNTABELLE!$G$3, $A$1, 1), 0), I71)
            - MAX(D71, DATE(LOHNTABELLE!$G$3, $A$1, 1)) + 1)
        / DAY(EOMONTH(DATE(LOHNTABELLE!$G$3, $A$1, 1), 0)) * F71,
        2
    ),
    ""
)</f>
        <v/>
      </c>
      <c r="I71" s="19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93"/>
      <c r="E72" s="134"/>
      <c r="F72" s="136"/>
      <c r="G72" s="185"/>
      <c r="H72" s="158" t="str">
        <f>IF(AND(ISNUMBER(D72), ISNUMBER(F72)),
    ROUNDDOWN(
        MIN(
            IF(OR(ISBLANK(I72), I72=""),
                EOMONTH(DATE(LOHNTABELLE!$G$3, $A$1, 1), 0), I72)
            - MAX(D72, DATE(LOHNTABELLE!$G$3, $A$1, 1)) + 1)
        / DAY(EOMONTH(DATE(LOHNTABELLE!$G$3, $A$1, 1), 0)) * F72,
        2
    ),
    ""
)</f>
        <v/>
      </c>
      <c r="I72" s="19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0" t="s">
        <v>159</v>
      </c>
      <c r="B73" s="170"/>
      <c r="C73" s="137"/>
      <c r="D73" s="193"/>
      <c r="E73" s="134"/>
      <c r="F73" s="136"/>
      <c r="G73" s="185"/>
      <c r="H73" s="158" t="str">
        <f>IF(AND(ISNUMBER(D73), ISNUMBER(F73)),
    ROUNDDOWN(
        MIN(
            IF(OR(ISBLANK(I73), I73=""),
                EOMONTH(DATE(LOHNTABELLE!$G$3, $A$1, 1), 0), I73)
            - MAX(D73, DATE(LOHNTABELLE!$G$3, $A$1, 1)) + 1)
        / DAY(EOMONTH(DATE(LOHNTABELLE!$G$3, $A$1, 1), 0)) * F73,
        2
    ),
    ""
)</f>
        <v/>
      </c>
      <c r="I73" s="19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1" t="s">
        <v>160</v>
      </c>
      <c r="B74" s="170"/>
      <c r="C74" s="137"/>
      <c r="D74" s="193"/>
      <c r="E74" s="134"/>
      <c r="F74" s="136"/>
      <c r="G74" s="185"/>
      <c r="H74" s="158" t="str">
        <f>IF(AND(ISNUMBER(D74), ISNUMBER(F74)),
    ROUNDDOWN(
        MIN(
            IF(OR(ISBLANK(I74), I74=""),
                EOMONTH(DATE(LOHNTABELLE!$G$3, $A$1, 1), 0), I74)
            - MAX(D74, DATE(LOHNTABELLE!$G$3, $A$1, 1)) + 1)
        / DAY(EOMONTH(DATE(LOHNTABELLE!$G$3, $A$1, 1), 0)) * F74,
        2
    ),
    ""
)</f>
        <v/>
      </c>
      <c r="I74" s="19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93"/>
      <c r="E75" s="134"/>
      <c r="F75" s="136"/>
      <c r="G75" s="185"/>
      <c r="H75" s="158" t="str">
        <f>IF(AND(ISNUMBER(D75), ISNUMBER(F75)),
    ROUNDDOWN(
        MIN(
            IF(OR(ISBLANK(I75), I75=""),
                EOMONTH(DATE(LOHNTABELLE!$G$3, $A$1, 1), 0), I75)
            - MAX(D75, DATE(LOHNTABELLE!$G$3, $A$1, 1)) + 1)
        / DAY(EOMONTH(DATE(LOHNTABELLE!$G$3, $A$1, 1), 0)) * F75,
        2
    ),
    ""
)</f>
        <v/>
      </c>
      <c r="I75" s="19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93"/>
      <c r="E76" s="134"/>
      <c r="F76" s="136"/>
      <c r="G76" s="185"/>
      <c r="H76" s="158" t="str">
        <f>IF(AND(ISNUMBER(D76), ISNUMBER(F76)),
    ROUNDDOWN(
        MIN(
            IF(OR(ISBLANK(I76), I76=""),
                EOMONTH(DATE(LOHNTABELLE!$G$3, $A$1, 1), 0), I76)
            - MAX(D76, DATE(LOHNTABELLE!$G$3, $A$1, 1)) + 1)
        / DAY(EOMONTH(DATE(LOHNTABELLE!$G$3, $A$1, 1), 0)) * F76,
        2
    ),
    ""
)</f>
        <v/>
      </c>
      <c r="I76" s="19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93"/>
      <c r="E77" s="134"/>
      <c r="F77" s="136"/>
      <c r="G77" s="185"/>
      <c r="H77" s="158" t="str">
        <f>IF(AND(ISNUMBER(D77), ISNUMBER(F77)),
    ROUNDDOWN(
        MIN(
            IF(OR(ISBLANK(I77), I77=""),
                EOMONTH(DATE(LOHNTABELLE!$G$3, $A$1, 1), 0), I77)
            - MAX(D77, DATE(LOHNTABELLE!$G$3, $A$1, 1)) + 1)
        / DAY(EOMONTH(DATE(LOHNTABELLE!$G$3, $A$1, 1), 0)) * F77,
        2
    ),
    ""
)</f>
        <v/>
      </c>
      <c r="I77" s="19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93"/>
      <c r="E78" s="134"/>
      <c r="F78" s="136"/>
      <c r="G78" s="185"/>
      <c r="H78" s="158" t="str">
        <f>IF(AND(ISNUMBER(D78), ISNUMBER(F78)),
    ROUNDDOWN(
        MIN(
            IF(OR(ISBLANK(I78), I78=""),
                EOMONTH(DATE(LOHNTABELLE!$G$3, $A$1, 1), 0), I78)
            - MAX(D78, DATE(LOHNTABELLE!$G$3, $A$1, 1)) + 1)
        / DAY(EOMONTH(DATE(LOHNTABELLE!$G$3, $A$1, 1), 0)) * F78,
        2
    ),
    ""
)</f>
        <v/>
      </c>
      <c r="I78" s="19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93"/>
      <c r="E79" s="134"/>
      <c r="F79" s="136"/>
      <c r="G79" s="185"/>
      <c r="H79" s="158" t="str">
        <f>IF(AND(ISNUMBER(D79), ISNUMBER(F79)),
    ROUNDDOWN(
        MIN(
            IF(OR(ISBLANK(I79), I79=""),
                EOMONTH(DATE(LOHNTABELLE!$G$3, $A$1, 1), 0), I79)
            - MAX(D79, DATE(LOHNTABELLE!$G$3, $A$1, 1)) + 1)
        / DAY(EOMONTH(DATE(LOHNTABELLE!$G$3, $A$1, 1), 0)) * F79,
        2
    ),
    ""
)</f>
        <v/>
      </c>
      <c r="I79" s="19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1" t="s">
        <v>166</v>
      </c>
      <c r="B80" s="170"/>
      <c r="C80" s="137"/>
      <c r="D80" s="193"/>
      <c r="E80" s="134"/>
      <c r="F80" s="136"/>
      <c r="G80" s="185"/>
      <c r="H80" s="158" t="str">
        <f>IF(AND(ISNUMBER(D80), ISNUMBER(F80)),
    ROUNDDOWN(
        MIN(
            IF(OR(ISBLANK(I80), I80=""),
                EOMONTH(DATE(LOHNTABELLE!$G$3, $A$1, 1), 0), I80)
            - MAX(D80, DATE(LOHNTABELLE!$G$3, $A$1, 1)) + 1)
        / DAY(EOMONTH(DATE(LOHNTABELLE!$G$3, $A$1, 1), 0)) * F80,
        2
    ),
    ""
)</f>
        <v/>
      </c>
      <c r="I80" s="19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0" t="s">
        <v>167</v>
      </c>
      <c r="B81" s="170"/>
      <c r="C81" s="137"/>
      <c r="D81" s="193"/>
      <c r="E81" s="134"/>
      <c r="F81" s="136"/>
      <c r="G81" s="185"/>
      <c r="H81" s="158" t="str">
        <f>IF(AND(ISNUMBER(D81), ISNUMBER(F81)),
    ROUNDDOWN(
        MIN(
            IF(OR(ISBLANK(I81), I81=""),
                EOMONTH(DATE(LOHNTABELLE!$G$3, $A$1, 1), 0), I81)
            - MAX(D81, DATE(LOHNTABELLE!$G$3, $A$1, 1)) + 1)
        / DAY(EOMONTH(DATE(LOHNTABELLE!$G$3, $A$1, 1), 0)) * F81,
        2
    ),
    ""
)</f>
        <v/>
      </c>
      <c r="I81" s="19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94"/>
      <c r="E82" s="150"/>
      <c r="F82" s="151"/>
      <c r="G82" s="186"/>
      <c r="H82" s="159" t="str">
        <f>IF(AND(ISNUMBER(D82), ISNUMBER(F82)),
    ROUNDDOWN(
        MIN(
            IF(OR(ISBLANK(I82), I82=""),
                EOMONTH(DATE(LOHNTABELLE!$G$3, $A$1, 1), 0), I82)
            - MAX(D82, DATE(LOHNTABELLE!$G$3, $A$1, 1)) + 1)
        / DAY(EOMONTH(DATE(LOHNTABELLE!$G$3, $A$1, 1), 0)) * F82,
        2
    ),
    ""
)</f>
        <v/>
      </c>
      <c r="I82" s="19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uOPf/2joHWORFG7yzXt9c+cg4iGhvbT3TTDfJJlJUDHGYG3KcIYpydsJJ8pFaGIByfL3WBqXCJZWXXGGUsqvng==" saltValue="3J7uMnBLINKVulhd+NMXtg==" spinCount="100000" sheet="1" objects="1" scenarios="1" sort="0" autoFilter="0"/>
  <sortState xmlns:xlrd2="http://schemas.microsoft.com/office/spreadsheetml/2017/richdata2" ref="B3:N82">
    <sortCondition ref="B3:B82"/>
    <sortCondition ref="C3:C82"/>
  </sortState>
  <mergeCells count="96">
    <mergeCell ref="B1:B2"/>
    <mergeCell ref="N1:N2"/>
    <mergeCell ref="Q9:R9"/>
    <mergeCell ref="O10:P10"/>
    <mergeCell ref="Q10:R10"/>
    <mergeCell ref="H1:H2"/>
    <mergeCell ref="C1:C2"/>
    <mergeCell ref="D1:D2"/>
    <mergeCell ref="E1:E2"/>
    <mergeCell ref="F1:F2"/>
    <mergeCell ref="G1:G2"/>
    <mergeCell ref="Q3:Q4"/>
    <mergeCell ref="R3:R4"/>
    <mergeCell ref="O6:R6"/>
    <mergeCell ref="O8:P8"/>
    <mergeCell ref="Q8:R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0:R20"/>
    <mergeCell ref="O21:P21"/>
    <mergeCell ref="Q21:R21"/>
    <mergeCell ref="O11:P11"/>
    <mergeCell ref="Q11:R11"/>
    <mergeCell ref="O12:P12"/>
    <mergeCell ref="Q12:R12"/>
    <mergeCell ref="O13:P13"/>
    <mergeCell ref="Q13:R13"/>
    <mergeCell ref="O14:P14"/>
    <mergeCell ref="Q14:R14"/>
    <mergeCell ref="O15:R15"/>
    <mergeCell ref="O17:P17"/>
    <mergeCell ref="Q17:R17"/>
    <mergeCell ref="O18:P18"/>
    <mergeCell ref="Q18:R18"/>
    <mergeCell ref="Q19:R19"/>
    <mergeCell ref="O31:P31"/>
    <mergeCell ref="Q31:R31"/>
    <mergeCell ref="O33:P34"/>
    <mergeCell ref="Q33:R34"/>
    <mergeCell ref="O22:P22"/>
    <mergeCell ref="Q22:R22"/>
    <mergeCell ref="O23:P23"/>
    <mergeCell ref="Q23:R23"/>
    <mergeCell ref="O24:P24"/>
    <mergeCell ref="Q24:R24"/>
    <mergeCell ref="O25:P25"/>
    <mergeCell ref="Q25:R25"/>
    <mergeCell ref="O26:P26"/>
    <mergeCell ref="Q26:R26"/>
    <mergeCell ref="Q27:R27"/>
    <mergeCell ref="Q28:R28"/>
    <mergeCell ref="O29:P29"/>
    <mergeCell ref="Q29:R29"/>
    <mergeCell ref="O38:P38"/>
    <mergeCell ref="Q38:R38"/>
    <mergeCell ref="S38:T38"/>
    <mergeCell ref="U38:V38"/>
    <mergeCell ref="S39:T39"/>
    <mergeCell ref="U39:V39"/>
    <mergeCell ref="Q39:R39"/>
    <mergeCell ref="S27:V27"/>
    <mergeCell ref="O37:P37"/>
    <mergeCell ref="Q37:R37"/>
    <mergeCell ref="S37:T37"/>
    <mergeCell ref="U37:V37"/>
    <mergeCell ref="S33:T34"/>
    <mergeCell ref="U33:V34"/>
    <mergeCell ref="O35:P35"/>
    <mergeCell ref="Q35:R35"/>
    <mergeCell ref="S35:T35"/>
    <mergeCell ref="U35:V35"/>
    <mergeCell ref="O36:P36"/>
    <mergeCell ref="Q36:R36"/>
    <mergeCell ref="S36:T36"/>
    <mergeCell ref="U36:V36"/>
    <mergeCell ref="O27:P27"/>
    <mergeCell ref="S40:T40"/>
    <mergeCell ref="U40:V40"/>
    <mergeCell ref="S41:T41"/>
    <mergeCell ref="U41:V41"/>
    <mergeCell ref="Q42:V42"/>
    <mergeCell ref="Q40:R40"/>
    <mergeCell ref="Q41:R41"/>
  </mergeCells>
  <phoneticPr fontId="15" type="noConversion"/>
  <dataValidations count="61">
    <dataValidation type="date" showInputMessage="1" showErrorMessage="1" sqref="I3:I82" xr:uid="{01FE0504-52D0-4955-BE77-27D206B498F9}">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65426E3A-F9CB-174E-8DD2-CC083D4DC48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B3A02B94-EE9A-6742-9D87-8A3EBE1A3DC4}">
      <formula1>KV_DD_NOVEMBER_3</formula1>
    </dataValidation>
    <dataValidation type="list" allowBlank="1" showInputMessage="1" showErrorMessage="1" sqref="F4" xr:uid="{2FEB1498-3E82-B64C-9D30-70FB09829FC3}">
      <formula1>KV_DD_NOVEMBER_4</formula1>
    </dataValidation>
    <dataValidation type="list" allowBlank="1" showInputMessage="1" showErrorMessage="1" sqref="F5" xr:uid="{F29AB36E-FA0A-F74D-B999-601390773C4F}">
      <formula1>KV_DD_NOVEMBER_5</formula1>
    </dataValidation>
    <dataValidation type="list" allowBlank="1" showInputMessage="1" showErrorMessage="1" sqref="F6" xr:uid="{13DD75BE-9527-E546-8D5E-351FADD5EA11}">
      <formula1>KV_DD_NOVEMBER_6</formula1>
    </dataValidation>
    <dataValidation type="list" allowBlank="1" showInputMessage="1" showErrorMessage="1" sqref="F7" xr:uid="{ED5B24D2-7206-B448-B6D6-0F8D1BD4D324}">
      <formula1>KV_DD_NOVEMBER_7</formula1>
    </dataValidation>
    <dataValidation type="list" allowBlank="1" showInputMessage="1" showErrorMessage="1" sqref="F8" xr:uid="{29AB8A87-78A0-6F47-AFEE-8C45A7341927}">
      <formula1>KV_DD_NOVEMBER_8</formula1>
    </dataValidation>
    <dataValidation type="list" allowBlank="1" showInputMessage="1" showErrorMessage="1" sqref="F9" xr:uid="{3442F817-D228-EB4C-9BC2-237CDE525CEB}">
      <formula1>KV_DD_NOVEMBER_9</formula1>
    </dataValidation>
    <dataValidation type="list" allowBlank="1" showInputMessage="1" showErrorMessage="1" sqref="F10" xr:uid="{BC047287-B73E-AC43-9D87-E5E3DEBCBD04}">
      <formula1>KV_DD_NOVEMBER_10</formula1>
    </dataValidation>
    <dataValidation type="list" allowBlank="1" showInputMessage="1" showErrorMessage="1" sqref="F11" xr:uid="{47DDF252-ABD0-6348-8F31-101BCFDA62F8}">
      <formula1>KV_DD_NOVEMBER_11</formula1>
    </dataValidation>
    <dataValidation type="list" allowBlank="1" showInputMessage="1" showErrorMessage="1" sqref="F12" xr:uid="{B7ECB9B0-5F75-6444-817F-A16BFB21C7A3}">
      <formula1>KV_DD_NOVEMBER_12</formula1>
    </dataValidation>
    <dataValidation type="list" allowBlank="1" showInputMessage="1" showErrorMessage="1" sqref="F13" xr:uid="{9A72B588-ABA1-1742-A60F-2F673F8CA11A}">
      <formula1>KV_DD_NOVEMBER_13</formula1>
    </dataValidation>
    <dataValidation type="list" allowBlank="1" showInputMessage="1" showErrorMessage="1" sqref="F14" xr:uid="{F4D615F2-04E1-CB43-A113-ACD00A6B5021}">
      <formula1>KV_DD_NOVEMBER_14</formula1>
    </dataValidation>
    <dataValidation type="list" allowBlank="1" showInputMessage="1" showErrorMessage="1" sqref="F15" xr:uid="{26D198E8-A2E8-594B-863A-9FD929C60642}">
      <formula1>KV_DD_NOVEMBER_15</formula1>
    </dataValidation>
    <dataValidation type="list" allowBlank="1" showInputMessage="1" showErrorMessage="1" sqref="F16" xr:uid="{7E849F29-C283-0C46-9600-2F214BA6BAB0}">
      <formula1>KV_DD_NOVEMBER_16</formula1>
    </dataValidation>
    <dataValidation type="list" allowBlank="1" showInputMessage="1" showErrorMessage="1" sqref="F17" xr:uid="{D6BABCDE-6F63-B34B-A004-506CBF81B6BC}">
      <formula1>KV_DD_NOVEMBER_17</formula1>
    </dataValidation>
    <dataValidation type="list" allowBlank="1" showInputMessage="1" showErrorMessage="1" sqref="F18" xr:uid="{1FF197A2-08A7-B249-B384-BB69A544D8F2}">
      <formula1>KV_DD_NOVEMBER_18</formula1>
    </dataValidation>
    <dataValidation type="list" allowBlank="1" showInputMessage="1" showErrorMessage="1" sqref="F19" xr:uid="{AA538059-E8AC-4149-9D80-330E54A0FF15}">
      <formula1>KV_DD_NOVEMBER_19</formula1>
    </dataValidation>
    <dataValidation type="list" allowBlank="1" showInputMessage="1" showErrorMessage="1" sqref="F20" xr:uid="{3FB03FAD-A9AF-9044-BE65-A37862D9E741}">
      <formula1>KV_DD_NOVEMBER_20</formula1>
    </dataValidation>
    <dataValidation type="list" allowBlank="1" showInputMessage="1" showErrorMessage="1" sqref="F21" xr:uid="{E7F3F99B-EAF4-194A-AD89-29D5DCB1F561}">
      <formula1>KV_DD_NOVEMBER_21</formula1>
    </dataValidation>
    <dataValidation type="list" allowBlank="1" showInputMessage="1" showErrorMessage="1" sqref="F22" xr:uid="{925CBE9F-297F-F546-B4CB-FA2286B70ADE}">
      <formula1>KV_DD_NOVEMBER_22</formula1>
    </dataValidation>
    <dataValidation type="list" allowBlank="1" showInputMessage="1" showErrorMessage="1" sqref="F23" xr:uid="{AC4D6154-44FD-F44E-87BC-C2333244B0AD}">
      <formula1>KV_DD_NOVEMBER_23</formula1>
    </dataValidation>
    <dataValidation type="list" allowBlank="1" showInputMessage="1" showErrorMessage="1" sqref="F24" xr:uid="{9EB981F0-ECE0-2F49-9193-18C75F354023}">
      <formula1>KV_DD_NOVEMBER_24</formula1>
    </dataValidation>
    <dataValidation type="list" allowBlank="1" showInputMessage="1" showErrorMessage="1" sqref="F25" xr:uid="{771CEC7E-1FB5-A848-BC80-E3EF37DAC205}">
      <formula1>KV_DD_NOVEMBER_25</formula1>
    </dataValidation>
    <dataValidation type="list" allowBlank="1" showInputMessage="1" showErrorMessage="1" sqref="F26" xr:uid="{2AC437B2-B840-D947-B16A-E3FB2FF24BFB}">
      <formula1>KV_DD_NOVEMBER_26</formula1>
    </dataValidation>
    <dataValidation type="list" allowBlank="1" showInputMessage="1" showErrorMessage="1" sqref="F27" xr:uid="{B8EA2835-4F3D-A44A-BDCB-209695F148E8}">
      <formula1>KV_DD_NOVEMBER_27</formula1>
    </dataValidation>
    <dataValidation type="list" allowBlank="1" showInputMessage="1" showErrorMessage="1" sqref="F28" xr:uid="{2C389FC1-D9F1-8646-B487-57D70780C09E}">
      <formula1>KV_DD_NOVEMBER_28</formula1>
    </dataValidation>
    <dataValidation type="list" allowBlank="1" showInputMessage="1" showErrorMessage="1" sqref="F29" xr:uid="{57143E34-690F-D043-A364-10211F1BA6CC}">
      <formula1>KV_DD_NOVEMBER_29</formula1>
    </dataValidation>
    <dataValidation type="list" allowBlank="1" showInputMessage="1" showErrorMessage="1" sqref="F30" xr:uid="{96872F06-E893-D44D-966E-5203A89C5D43}">
      <formula1>KV_DD_NOVEMBER_30</formula1>
    </dataValidation>
    <dataValidation type="list" allowBlank="1" showInputMessage="1" showErrorMessage="1" sqref="F31" xr:uid="{1D4192E4-7107-AA4E-BEFB-10A2481AF2A3}">
      <formula1>KV_DD_NOVEMBER_31</formula1>
    </dataValidation>
    <dataValidation type="list" allowBlank="1" showInputMessage="1" showErrorMessage="1" sqref="F32" xr:uid="{C24FCEA0-555A-3842-9F5A-CC103C1B3B2C}">
      <formula1>KV_DD_NOVEMBER_32</formula1>
    </dataValidation>
    <dataValidation type="list" allowBlank="1" showInputMessage="1" showErrorMessage="1" sqref="F33" xr:uid="{63BC9A68-F3BF-1D4C-9430-D62071665EB2}">
      <formula1>KV_DD_NOVEMBER_33</formula1>
    </dataValidation>
    <dataValidation type="list" allowBlank="1" showInputMessage="1" showErrorMessage="1" sqref="F34" xr:uid="{C37CBB4E-8CC4-724B-820E-25AFA321DDE2}">
      <formula1>KV_DD_NOVEMBER_34</formula1>
    </dataValidation>
    <dataValidation type="list" allowBlank="1" showInputMessage="1" showErrorMessage="1" sqref="F35" xr:uid="{AB61F392-B025-E94B-81EE-328D88F51187}">
      <formula1>KV_DD_NOVEMBER_35</formula1>
    </dataValidation>
    <dataValidation type="list" allowBlank="1" showInputMessage="1" showErrorMessage="1" sqref="F36" xr:uid="{EAA02EC8-67E6-9548-9DBD-D4EBD9ED8318}">
      <formula1>KV_DD_NOVEMBER_36</formula1>
    </dataValidation>
    <dataValidation type="list" allowBlank="1" showInputMessage="1" showErrorMessage="1" sqref="F37" xr:uid="{88DF80D9-6A56-D14D-A3EE-8F2759194160}">
      <formula1>KV_DD_NOVEMBER_37</formula1>
    </dataValidation>
    <dataValidation type="list" allowBlank="1" showInputMessage="1" showErrorMessage="1" sqref="F38" xr:uid="{50A98756-AB55-4A41-BDA0-EB9BFA4FC648}">
      <formula1>KV_DD_NOVEMBER_38</formula1>
    </dataValidation>
    <dataValidation type="list" allowBlank="1" showInputMessage="1" showErrorMessage="1" sqref="F39" xr:uid="{9814E891-C32E-6445-AE08-0A1332EB9060}">
      <formula1>KV_DD_NOVEMBER_39</formula1>
    </dataValidation>
    <dataValidation type="list" allowBlank="1" showInputMessage="1" showErrorMessage="1" sqref="F40" xr:uid="{70116209-4FDB-F442-A3D8-F03967F5C52F}">
      <formula1>KV_DD_NOVEMBER_40</formula1>
    </dataValidation>
    <dataValidation type="list" allowBlank="1" showInputMessage="1" showErrorMessage="1" sqref="F41" xr:uid="{A61BAA6A-D379-B34A-A93E-066B544E9A4B}">
      <formula1>KV_DD_NOVEMBER_41</formula1>
    </dataValidation>
    <dataValidation type="list" allowBlank="1" showInputMessage="1" showErrorMessage="1" sqref="F42" xr:uid="{1AB04BD8-1850-D64C-9263-3E1ED7F00D82}">
      <formula1>KV_DD_NOVEMBER_42</formula1>
    </dataValidation>
    <dataValidation type="list" allowBlank="1" showInputMessage="1" showErrorMessage="1" sqref="F43" xr:uid="{605BA28E-F6DA-074A-B96D-BC0EAA8E5E35}">
      <formula1>KV_DD_NOVEMBER_43</formula1>
    </dataValidation>
    <dataValidation type="list" allowBlank="1" showInputMessage="1" showErrorMessage="1" sqref="F44" xr:uid="{1D246E68-9E9E-5E44-A997-0C519EA4DA74}">
      <formula1>KV_DD_NOVEMBER_44</formula1>
    </dataValidation>
    <dataValidation type="list" allowBlank="1" showInputMessage="1" showErrorMessage="1" sqref="F45" xr:uid="{7BE771D7-4337-7F46-A153-7B4918E1976E}">
      <formula1>KV_DD_NOVEMBER_45</formula1>
    </dataValidation>
    <dataValidation type="list" allowBlank="1" showInputMessage="1" showErrorMessage="1" sqref="F46" xr:uid="{ADA2A4AC-3205-BC46-85D0-523E5620D826}">
      <formula1>KV_DD_NOVEMBER_46</formula1>
    </dataValidation>
    <dataValidation type="list" allowBlank="1" showInputMessage="1" showErrorMessage="1" sqref="F47" xr:uid="{CADA0ED0-95C6-BD4E-866E-899DEEA8D7E5}">
      <formula1>KV_DD_NOVEMBER_47</formula1>
    </dataValidation>
    <dataValidation type="list" allowBlank="1" showInputMessage="1" showErrorMessage="1" sqref="F48" xr:uid="{66B3E468-379D-5C4A-9F6D-72190AE9A5FE}">
      <formula1>KV_DD_NOVEMBER_48</formula1>
    </dataValidation>
    <dataValidation type="list" allowBlank="1" showInputMessage="1" showErrorMessage="1" sqref="F49" xr:uid="{EA6E1F2F-A410-134C-83B2-5393E8B12F7C}">
      <formula1>KV_DD_NOVEMBER_49</formula1>
    </dataValidation>
    <dataValidation type="list" allowBlank="1" showInputMessage="1" showErrorMessage="1" sqref="F50" xr:uid="{B1D5DF7E-AF15-564A-A9EE-06506C69B0BC}">
      <formula1>KV_DD_NOVEMBER_50</formula1>
    </dataValidation>
    <dataValidation type="list" allowBlank="1" showInputMessage="1" showErrorMessage="1" sqref="F51" xr:uid="{458F0B94-A61F-0D41-8F5C-DDE1EDDB4897}">
      <formula1>KV_DD_NOVEMBER_51</formula1>
    </dataValidation>
    <dataValidation type="list" allowBlank="1" showInputMessage="1" showErrorMessage="1" sqref="F52" xr:uid="{0DDB1E56-DE0D-D943-97C7-4959675E19B6}">
      <formula1>KV_DD_NOVEMBER_52</formula1>
    </dataValidation>
    <dataValidation type="list" allowBlank="1" showInputMessage="1" showErrorMessage="1" sqref="F53" xr:uid="{434A996C-AA1F-524A-8EE1-8BB940888077}">
      <formula1>KV_DD_NOVEMBER_53</formula1>
    </dataValidation>
    <dataValidation type="list" allowBlank="1" showInputMessage="1" showErrorMessage="1" sqref="F54" xr:uid="{91522F2C-5459-40DE-A369-A54C90755CD2}">
      <formula1>KV_DD_NOVEMBER_54</formula1>
    </dataValidation>
    <dataValidation type="list" allowBlank="1" showInputMessage="1" showErrorMessage="1" sqref="F55" xr:uid="{2486B895-583C-46CB-8753-6CA3813BB56D}">
      <formula1>KV_DD_NOVEMBER_55</formula1>
    </dataValidation>
    <dataValidation type="list" allowBlank="1" showInputMessage="1" showErrorMessage="1" sqref="F56" xr:uid="{C50F7C78-7DB9-4C74-8504-B27CD05B1415}">
      <formula1>KV_DD_NOVEMBER_56</formula1>
    </dataValidation>
    <dataValidation type="list" allowBlank="1" showInputMessage="1" showErrorMessage="1" sqref="F57" xr:uid="{3C8F1E7F-E406-0A4F-9B22-95EFD2B23E2E}">
      <formula1>KV_DD_NOVEMBER_57</formula1>
    </dataValidation>
    <dataValidation type="list" allowBlank="1" showInputMessage="1" showErrorMessage="1" sqref="F58" xr:uid="{DF8F7E15-A07C-CE4A-B074-11B6BC2D00E2}">
      <formula1>KV_DD_NOVEMBER_58</formula1>
    </dataValidation>
    <dataValidation type="list" allowBlank="1" showInputMessage="1" showErrorMessage="1" sqref="F59" xr:uid="{ED1AD6B8-8951-7B45-AE85-8FF3674FBCE8}">
      <formula1>KV_DD_NOVEMBER_59</formula1>
    </dataValidation>
    <dataValidation type="list" allowBlank="1" showInputMessage="1" showErrorMessage="1" sqref="F60" xr:uid="{47952892-4AFA-0B47-9D42-CC8EE620E929}">
      <formula1>KV_DD_NOVEMBER_60</formula1>
    </dataValidation>
    <dataValidation type="list" allowBlank="1" showInputMessage="1" showErrorMessage="1" sqref="F61" xr:uid="{2C730243-BD43-944D-91D2-B1EB14E24247}">
      <formula1>KV_DD_NOVEMBER_61</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utton 2">
              <controlPr defaultSize="0" print="0" autoFill="0" autoPict="0" macro="[0]!CopyData">
                <anchor moveWithCells="1" sizeWithCells="1">
                  <from>
                    <xdr:col>14</xdr:col>
                    <xdr:colOff>38100</xdr:colOff>
                    <xdr:row>0</xdr:row>
                    <xdr:rowOff>38100</xdr:rowOff>
                  </from>
                  <to>
                    <xdr:col>18</xdr:col>
                    <xdr:colOff>609600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59AE278-6AAE-4EA3-8BA1-1B3FF1E5D66C}">
          <x14:formula1>
            <xm:f>LOHNTABELLE!$Q$4:$Q$17</xm:f>
          </x14:formula1>
          <xm:sqref>E3:E82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E8AFE-F9CB-4D9D-AB8D-0FFBFF132FB3}">
  <sheetPr codeName="Tabelle14"/>
  <dimension ref="A1:AC83"/>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12</v>
      </c>
      <c r="B1" s="302" t="s">
        <v>205</v>
      </c>
      <c r="C1" s="310" t="s">
        <v>52</v>
      </c>
      <c r="D1" s="308" t="s">
        <v>206</v>
      </c>
      <c r="E1" s="308" t="s">
        <v>0</v>
      </c>
      <c r="F1" s="308" t="s">
        <v>53</v>
      </c>
      <c r="G1" s="312" t="s">
        <v>54</v>
      </c>
      <c r="H1" s="314" t="s">
        <v>55</v>
      </c>
      <c r="I1" s="316" t="s">
        <v>207</v>
      </c>
      <c r="J1" s="318" t="s">
        <v>56</v>
      </c>
      <c r="K1" s="320" t="s">
        <v>57</v>
      </c>
      <c r="L1" s="322" t="s">
        <v>58</v>
      </c>
      <c r="M1" s="306" t="s">
        <v>59</v>
      </c>
      <c r="N1" s="303" t="s">
        <v>208</v>
      </c>
      <c r="AB1" s="41">
        <f>DATE(LOHNTABELLE!$G$3, $A$1, 1)</f>
        <v>46357</v>
      </c>
    </row>
    <row r="2" spans="1:28" ht="16" customHeight="1" thickBot="1">
      <c r="A2" s="129"/>
      <c r="B2" s="302"/>
      <c r="C2" s="311"/>
      <c r="D2" s="309"/>
      <c r="E2" s="309"/>
      <c r="F2" s="309"/>
      <c r="G2" s="313"/>
      <c r="H2" s="315"/>
      <c r="I2" s="317"/>
      <c r="J2" s="319"/>
      <c r="K2" s="321"/>
      <c r="L2" s="323"/>
      <c r="M2" s="307"/>
      <c r="N2" s="303"/>
      <c r="AB2" s="41">
        <f>EOMONTH(DATE(LOHNTABELLE!$G$3, $A$1, 1), 0)</f>
        <v>46387</v>
      </c>
    </row>
    <row r="3" spans="1:28" ht="16" customHeight="1">
      <c r="A3" s="130" t="s">
        <v>60</v>
      </c>
      <c r="B3" s="169">
        <v>55</v>
      </c>
      <c r="C3" s="166" t="s">
        <v>367</v>
      </c>
      <c r="D3" s="192">
        <v>46054</v>
      </c>
      <c r="E3" s="142" t="s">
        <v>4</v>
      </c>
      <c r="F3" s="167">
        <v>173</v>
      </c>
      <c r="G3" s="184">
        <v>3500</v>
      </c>
      <c r="H3" s="157">
        <f>IF(AND(ISNUMBER(D3), ISNUMBER(F3)),
    ROUNDDOWN(
        MIN(
            IF(OR(ISBLANK(I3), I3=""),
                EOMONTH(DATE(LOHNTABELLE!$G$3, $A$1, 1), 0), I3)
            - MAX(D3, DATE(LOHNTABELLE!$G$3, $A$1, 1)) + 1)
        / DAY(EOMONTH(DATE(LOHNTABELLE!$G$3, $A$1, 1), 0)) * F3,
        2
    ),
    ""
)</f>
        <v>173</v>
      </c>
      <c r="I3" s="19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42" t="s">
        <v>61</v>
      </c>
      <c r="P3" s="242" t="s">
        <v>62</v>
      </c>
      <c r="Q3" s="240" t="s">
        <v>63</v>
      </c>
      <c r="R3" s="280" t="s">
        <v>64</v>
      </c>
      <c r="AB3" s="43"/>
    </row>
    <row r="4" spans="1:28" ht="16" customHeight="1">
      <c r="A4" s="130" t="s">
        <v>65</v>
      </c>
      <c r="B4" s="170">
        <v>401006</v>
      </c>
      <c r="C4" s="137" t="s">
        <v>262</v>
      </c>
      <c r="D4" s="193">
        <v>38188</v>
      </c>
      <c r="E4" s="134" t="s">
        <v>24</v>
      </c>
      <c r="F4" s="136">
        <v>173</v>
      </c>
      <c r="G4" s="185">
        <v>2328</v>
      </c>
      <c r="H4" s="158">
        <f>IF(AND(ISNUMBER(D4), ISNUMBER(F4)),
    ROUNDDOWN(
        MIN(
            IF(OR(ISBLANK(I4), I4=""),
                EOMONTH(DATE(LOHNTABELLE!$G$3, $A$1, 1), 0), I4)
            - MAX(D4, DATE(LOHNTABELLE!$G$3, $A$1, 1)) + 1)
        / DAY(EOMONTH(DATE(LOHNTABELLE!$G$3, $A$1, 1), 0)) * F4,
        2
    ),
    ""
)</f>
        <v>173</v>
      </c>
      <c r="I4" s="19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43"/>
      <c r="P4" s="243"/>
      <c r="Q4" s="241"/>
      <c r="R4" s="281"/>
    </row>
    <row r="5" spans="1:28" ht="16" customHeight="1">
      <c r="A5" s="131" t="s">
        <v>66</v>
      </c>
      <c r="B5" s="170">
        <v>401010</v>
      </c>
      <c r="C5" s="137" t="s">
        <v>263</v>
      </c>
      <c r="D5" s="193">
        <v>39388</v>
      </c>
      <c r="E5" s="134" t="s">
        <v>12</v>
      </c>
      <c r="F5" s="136">
        <v>173</v>
      </c>
      <c r="G5" s="185">
        <v>2183</v>
      </c>
      <c r="H5" s="158">
        <f>IF(AND(ISNUMBER(D5), ISNUMBER(F5)),
    ROUNDDOWN(
        MIN(
            IF(OR(ISBLANK(I5), I5=""),
                EOMONTH(DATE(LOHNTABELLE!$G$3, $A$1, 1), 0), I5)
            - MAX(D5, DATE(LOHNTABELLE!$G$3, $A$1, 1)) + 1)
        / DAY(EOMONTH(DATE(LOHNTABELLE!$G$3, $A$1, 1), 0)) * F5,
        2
    ),
    ""
)</f>
        <v>173</v>
      </c>
      <c r="I5" s="19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859.3643883002909</v>
      </c>
      <c r="P5" s="49">
        <f>EINSTELLUNG!I17</f>
        <v>12</v>
      </c>
      <c r="Q5" s="48">
        <f>P5-O5</f>
        <v>-847.3643883002909</v>
      </c>
      <c r="R5" s="52">
        <f>IFERROR(Q5*Q42, 0)</f>
        <v>-13967.137477066746</v>
      </c>
    </row>
    <row r="6" spans="1:28" ht="16" customHeight="1">
      <c r="A6" s="130" t="s">
        <v>67</v>
      </c>
      <c r="B6" s="170">
        <v>401047</v>
      </c>
      <c r="C6" s="137" t="s">
        <v>265</v>
      </c>
      <c r="D6" s="193">
        <v>41154</v>
      </c>
      <c r="E6" s="134" t="s">
        <v>10</v>
      </c>
      <c r="F6" s="136">
        <v>173</v>
      </c>
      <c r="G6" s="185">
        <v>2123</v>
      </c>
      <c r="H6" s="158">
        <f>IF(AND(ISNUMBER(D6), ISNUMBER(F6)),
    ROUNDDOWN(
        MIN(
            IF(OR(ISBLANK(I6), I6=""),
                EOMONTH(DATE(LOHNTABELLE!$G$3, $A$1, 1), 0), I6)
            - MAX(D6, DATE(LOHNTABELLE!$G$3, $A$1, 1)) + 1)
        / DAY(EOMONTH(DATE(LOHNTABELLE!$G$3, $A$1, 1), 0)) * F6,
        2
    ),
    ""
)</f>
        <v>173</v>
      </c>
      <c r="I6" s="19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37" t="str">
        <f>IF(Q5&lt;0, "Schlecht! Zu wenig Urlaub abgebaut.", IF(Q5&gt;0, "Gut! Mehr Urlaub abgebaut als aufgebaut.", ""))</f>
        <v>Schlecht! Zu wenig Urlaub abgebaut.</v>
      </c>
      <c r="P6" s="238"/>
      <c r="Q6" s="238"/>
      <c r="R6" s="239"/>
    </row>
    <row r="7" spans="1:28" ht="16" customHeight="1">
      <c r="A7" s="130" t="s">
        <v>68</v>
      </c>
      <c r="B7" s="170">
        <v>401049</v>
      </c>
      <c r="C7" s="137" t="s">
        <v>264</v>
      </c>
      <c r="D7" s="193">
        <v>41130</v>
      </c>
      <c r="E7" s="134" t="s">
        <v>10</v>
      </c>
      <c r="F7" s="136">
        <v>173</v>
      </c>
      <c r="G7" s="185">
        <v>2123</v>
      </c>
      <c r="H7" s="158">
        <f>IF(AND(ISNUMBER(D7), ISNUMBER(F7)),
    ROUNDDOWN(
        MIN(
            IF(OR(ISBLANK(I7), I7=""),
                EOMONTH(DATE(LOHNTABELLE!$G$3, $A$1, 1), 0), I7)
            - MAX(D7, DATE(LOHNTABELLE!$G$3, $A$1, 1)) + 1)
        / DAY(EOMONTH(DATE(LOHNTABELLE!$G$3, $A$1, 1), 0)) * F7,
        2
    ),
    ""
)</f>
        <v>173</v>
      </c>
      <c r="I7" s="19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193">
        <v>41176</v>
      </c>
      <c r="E8" s="134" t="s">
        <v>10</v>
      </c>
      <c r="F8" s="136">
        <v>173</v>
      </c>
      <c r="G8" s="185">
        <v>2123</v>
      </c>
      <c r="H8" s="158">
        <f>IF(AND(ISNUMBER(D8), ISNUMBER(F8)),
    ROUNDDOWN(
        MIN(
            IF(OR(ISBLANK(I8), I8=""),
                EOMONTH(DATE(LOHNTABELLE!$G$3, $A$1, 1), 0), I8)
            - MAX(D8, DATE(LOHNTABELLE!$G$3, $A$1, 1)) + 1)
        / DAY(EOMONTH(DATE(LOHNTABELLE!$G$3, $A$1, 1), 0)) * F8,
        2
    ),
    ""
)</f>
        <v>173</v>
      </c>
      <c r="I8" s="19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45" t="s">
        <v>70</v>
      </c>
      <c r="P8" s="246"/>
      <c r="Q8" s="247">
        <f>SUM(H3:H82)</f>
        <v>8905.1799999999985</v>
      </c>
      <c r="R8" s="247"/>
    </row>
    <row r="9" spans="1:28" ht="16" customHeight="1">
      <c r="A9" s="131" t="s">
        <v>71</v>
      </c>
      <c r="B9" s="170">
        <v>401089</v>
      </c>
      <c r="C9" s="137" t="s">
        <v>280</v>
      </c>
      <c r="D9" s="193">
        <v>44868</v>
      </c>
      <c r="E9" s="134" t="s">
        <v>8</v>
      </c>
      <c r="F9" s="136">
        <v>173</v>
      </c>
      <c r="G9" s="185">
        <v>2082</v>
      </c>
      <c r="H9" s="158">
        <f>IF(AND(ISNUMBER(D9), ISNUMBER(F9)),
    ROUNDDOWN(
        MIN(
            IF(OR(ISBLANK(I9), I9=""),
                EOMONTH(DATE(LOHNTABELLE!$G$3, $A$1, 1), 0), I9)
            - MAX(D9, DATE(LOHNTABELLE!$G$3, $A$1, 1)) + 1)
        / DAY(EOMONTH(DATE(LOHNTABELLE!$G$3, $A$1, 1), 0)) * F9,
        2
    ),
    ""
)</f>
        <v>173</v>
      </c>
      <c r="I9" s="19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45" t="s">
        <v>72</v>
      </c>
      <c r="P9" s="246"/>
      <c r="Q9" s="247">
        <f>EINSTELLUNG!L33</f>
        <v>12</v>
      </c>
      <c r="R9" s="247"/>
      <c r="S9" s="53">
        <f>IFERROR(Q9/Q8, 0)</f>
        <v>1.3475303138173514E-3</v>
      </c>
    </row>
    <row r="10" spans="1:28" ht="16" customHeight="1">
      <c r="A10" s="130" t="s">
        <v>73</v>
      </c>
      <c r="B10" s="170">
        <v>401138</v>
      </c>
      <c r="C10" s="137" t="s">
        <v>267</v>
      </c>
      <c r="D10" s="193">
        <v>42006</v>
      </c>
      <c r="E10" s="134" t="s">
        <v>10</v>
      </c>
      <c r="F10" s="136">
        <v>173</v>
      </c>
      <c r="G10" s="185">
        <v>2123</v>
      </c>
      <c r="H10" s="158">
        <f>IF(AND(ISNUMBER(D10), ISNUMBER(F10)),
    ROUNDDOWN(
        MIN(
            IF(OR(ISBLANK(I10), I10=""),
                EOMONTH(DATE(LOHNTABELLE!$G$3, $A$1, 1), 0), I10)
            - MAX(D10, DATE(LOHNTABELLE!$G$3, $A$1, 1)) + 1)
        / DAY(EOMONTH(DATE(LOHNTABELLE!$G$3, $A$1, 1), 0)) * F10,
        2
    ),
    ""
)</f>
        <v>173</v>
      </c>
      <c r="I10" s="19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45" t="s">
        <v>74</v>
      </c>
      <c r="P10" s="246"/>
      <c r="Q10" s="247">
        <f>EINSTELLUNG!I33</f>
        <v>12</v>
      </c>
      <c r="R10" s="247"/>
    </row>
    <row r="11" spans="1:28" ht="16" customHeight="1">
      <c r="A11" s="130" t="s">
        <v>75</v>
      </c>
      <c r="B11" s="170">
        <v>401197</v>
      </c>
      <c r="C11" s="137" t="s">
        <v>268</v>
      </c>
      <c r="D11" s="193">
        <v>42644</v>
      </c>
      <c r="E11" s="134" t="s">
        <v>8</v>
      </c>
      <c r="F11" s="136">
        <v>173</v>
      </c>
      <c r="G11" s="185">
        <v>2082</v>
      </c>
      <c r="H11" s="158">
        <f>IF(AND(ISNUMBER(D11), ISNUMBER(F11)),
    ROUNDDOWN(
        MIN(
            IF(OR(ISBLANK(I11), I11=""),
                EOMONTH(DATE(LOHNTABELLE!$G$3, $A$1, 1), 0), I11)
            - MAX(D11, DATE(LOHNTABELLE!$G$3, $A$1, 1)) + 1)
        / DAY(EOMONTH(DATE(LOHNTABELLE!$G$3, $A$1, 1), 0)) * F11,
        2
    ),
    ""
)</f>
        <v>173</v>
      </c>
      <c r="I11" s="19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45" t="s">
        <v>76</v>
      </c>
      <c r="P11" s="246"/>
      <c r="Q11" s="247">
        <f>P5</f>
        <v>12</v>
      </c>
      <c r="R11" s="247"/>
    </row>
    <row r="12" spans="1:28" ht="16" customHeight="1">
      <c r="A12" s="130" t="s">
        <v>77</v>
      </c>
      <c r="B12" s="170">
        <v>401214</v>
      </c>
      <c r="C12" s="137" t="s">
        <v>294</v>
      </c>
      <c r="D12" s="193">
        <v>45636</v>
      </c>
      <c r="E12" s="134" t="s">
        <v>8</v>
      </c>
      <c r="F12" s="136">
        <v>173</v>
      </c>
      <c r="G12" s="185">
        <v>2082</v>
      </c>
      <c r="H12" s="158">
        <f>IF(AND(ISNUMBER(D12), ISNUMBER(F12)),
    ROUNDDOWN(
        MIN(
            IF(OR(ISBLANK(I12), I12=""),
                EOMONTH(DATE(LOHNTABELLE!$G$3, $A$1, 1), 0), I12)
            - MAX(D12, DATE(LOHNTABELLE!$G$3, $A$1, 1)) + 1)
        / DAY(EOMONTH(DATE(LOHNTABELLE!$G$3, $A$1, 1), 0)) * F12,
        2
    ),
    ""
)</f>
        <v>173</v>
      </c>
      <c r="I12" s="19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45" t="s">
        <v>78</v>
      </c>
      <c r="P12" s="246"/>
      <c r="Q12" s="276">
        <v>-303</v>
      </c>
      <c r="R12" s="276"/>
    </row>
    <row r="13" spans="1:28" ht="16" customHeight="1">
      <c r="A13" s="131" t="s">
        <v>79</v>
      </c>
      <c r="B13" s="170">
        <v>401276</v>
      </c>
      <c r="C13" s="137" t="s">
        <v>269</v>
      </c>
      <c r="D13" s="193">
        <v>43252</v>
      </c>
      <c r="E13" s="134" t="s">
        <v>8</v>
      </c>
      <c r="F13" s="136">
        <v>173</v>
      </c>
      <c r="G13" s="185">
        <v>2082</v>
      </c>
      <c r="H13" s="158">
        <f>IF(AND(ISNUMBER(D13), ISNUMBER(F13)),
    ROUNDDOWN(
        MIN(
            IF(OR(ISBLANK(I13), I13=""),
                EOMONTH(DATE(LOHNTABELLE!$G$3, $A$1, 1), 0), I13)
            - MAX(D13, DATE(LOHNTABELLE!$G$3, $A$1, 1)) + 1)
        / DAY(EOMONTH(DATE(LOHNTABELLE!$G$3, $A$1, 1), 0)) * F13,
        2
    ),
    ""
)</f>
        <v>173</v>
      </c>
      <c r="I13" s="19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45" t="s">
        <v>80</v>
      </c>
      <c r="P13" s="246"/>
      <c r="Q13" s="247">
        <f>Q8-Q9-Q10-Q11-Q12</f>
        <v>9172.1799999999985</v>
      </c>
      <c r="R13" s="247"/>
    </row>
    <row r="14" spans="1:28" ht="16" customHeight="1">
      <c r="A14" s="130" t="s">
        <v>81</v>
      </c>
      <c r="B14" s="170">
        <v>401307</v>
      </c>
      <c r="C14" s="137" t="s">
        <v>270</v>
      </c>
      <c r="D14" s="193">
        <v>43571</v>
      </c>
      <c r="E14" s="134" t="s">
        <v>8</v>
      </c>
      <c r="F14" s="136">
        <v>173</v>
      </c>
      <c r="G14" s="185">
        <v>2082</v>
      </c>
      <c r="H14" s="158">
        <f>IF(AND(ISNUMBER(D14), ISNUMBER(F14)),
    ROUNDDOWN(
        MIN(
            IF(OR(ISBLANK(I14), I14=""),
                EOMONTH(DATE(LOHNTABELLE!$G$3, $A$1, 1), 0), I14)
            - MAX(D14, DATE(LOHNTABELLE!$G$3, $A$1, 1)) + 1)
        / DAY(EOMONTH(DATE(LOHNTABELLE!$G$3, $A$1, 1), 0)) * F14,
        2
    ),
    ""
)</f>
        <v>173</v>
      </c>
      <c r="I14" s="19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45" t="s">
        <v>82</v>
      </c>
      <c r="P14" s="246"/>
      <c r="Q14" s="247">
        <f>EINSTELLUNG!L17</f>
        <v>12</v>
      </c>
      <c r="R14" s="247"/>
    </row>
    <row r="15" spans="1:28" ht="16" customHeight="1">
      <c r="A15" s="130" t="s">
        <v>83</v>
      </c>
      <c r="B15" s="170">
        <v>401308</v>
      </c>
      <c r="C15" s="139" t="s">
        <v>271</v>
      </c>
      <c r="D15" s="193">
        <v>43579</v>
      </c>
      <c r="E15" s="134" t="s">
        <v>8</v>
      </c>
      <c r="F15" s="136">
        <v>173</v>
      </c>
      <c r="G15" s="185">
        <v>2082</v>
      </c>
      <c r="H15" s="158">
        <f>IF(AND(ISNUMBER(D15), ISNUMBER(F15)),
    ROUNDDOWN(
        MIN(
            IF(OR(ISBLANK(I15), I15=""),
                EOMONTH(DATE(LOHNTABELLE!$G$3, $A$1, 1), 0), I15)
            - MAX(D15, DATE(LOHNTABELLE!$G$3, $A$1, 1)) + 1)
        / DAY(EOMONTH(DATE(LOHNTABELLE!$G$3, $A$1, 1), 0)) * F15,
        2
    ),
    ""
)</f>
        <v>173</v>
      </c>
      <c r="I15" s="19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45" t="s">
        <v>84</v>
      </c>
      <c r="P15" s="246"/>
      <c r="Q15" s="247">
        <f>Q13-Q14</f>
        <v>9160.1799999999985</v>
      </c>
      <c r="R15" s="247"/>
      <c r="S15" s="100"/>
      <c r="T15" s="100"/>
      <c r="U15" s="100"/>
    </row>
    <row r="16" spans="1:28" ht="16" customHeight="1">
      <c r="A16" s="130" t="s">
        <v>85</v>
      </c>
      <c r="B16" s="170">
        <v>401389</v>
      </c>
      <c r="C16" s="137" t="s">
        <v>273</v>
      </c>
      <c r="D16" s="193">
        <v>44384</v>
      </c>
      <c r="E16" s="134" t="s">
        <v>22</v>
      </c>
      <c r="F16" s="136">
        <v>173</v>
      </c>
      <c r="G16" s="185">
        <v>2300</v>
      </c>
      <c r="H16" s="158">
        <f>IF(AND(ISNUMBER(D16), ISNUMBER(F16)),
    ROUNDDOWN(
        MIN(
            IF(OR(ISBLANK(I16), I16=""),
                EOMONTH(DATE(LOHNTABELLE!$G$3, $A$1, 1), 0), I16)
            - MAX(D16, DATE(LOHNTABELLE!$G$3, $A$1, 1)) + 1)
        / DAY(EOMONTH(DATE(LOHNTABELLE!$G$3, $A$1, 1), 0)) * F16,
        2
    ),
    ""
)</f>
        <v>173</v>
      </c>
      <c r="I16" s="19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248" t="str">
        <f>IF(Q15&lt;0, "Schlecht! Zu wenig Stunden für Dienstplan.", IF(Q15&gt;0, "Du hast mehr als genug Stunden für Dienstplan.", ""))</f>
        <v>Du hast mehr als genug Stunden für Dienstplan.</v>
      </c>
      <c r="P16" s="248"/>
      <c r="Q16" s="248"/>
      <c r="R16" s="248"/>
      <c r="W16" s="45"/>
    </row>
    <row r="17" spans="1:29" ht="16" customHeight="1">
      <c r="A17" s="131" t="s">
        <v>86</v>
      </c>
      <c r="B17" s="170">
        <v>401394</v>
      </c>
      <c r="C17" s="137" t="s">
        <v>272</v>
      </c>
      <c r="D17" s="193">
        <v>44379</v>
      </c>
      <c r="E17" s="134" t="s">
        <v>4</v>
      </c>
      <c r="F17" s="136">
        <v>173</v>
      </c>
      <c r="G17" s="185">
        <v>3500</v>
      </c>
      <c r="H17" s="158">
        <f>IF(AND(ISNUMBER(D17), ISNUMBER(F17)),
    ROUNDDOWN(
        MIN(
            IF(OR(ISBLANK(I17), I17=""),
                EOMONTH(DATE(LOHNTABELLE!$G$3, $A$1, 1), 0), I17)
            - MAX(D17, DATE(LOHNTABELLE!$G$3, $A$1, 1)) + 1)
        / DAY(EOMONTH(DATE(LOHNTABELLE!$G$3, $A$1, 1), 0)) * F17,
        2
    ),
    ""
)</f>
        <v>173</v>
      </c>
      <c r="I17" s="19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53" t="s">
        <v>87</v>
      </c>
      <c r="P17" s="254"/>
      <c r="Q17" s="277">
        <f>SUM(L3:L82)</f>
        <v>146784.4</v>
      </c>
      <c r="R17" s="277"/>
      <c r="W17" s="45"/>
    </row>
    <row r="18" spans="1:29" ht="16" customHeight="1">
      <c r="A18" s="130" t="s">
        <v>88</v>
      </c>
      <c r="B18" s="170">
        <v>401432</v>
      </c>
      <c r="C18" s="137" t="s">
        <v>274</v>
      </c>
      <c r="D18" s="193">
        <v>44441</v>
      </c>
      <c r="E18" s="134" t="s">
        <v>4</v>
      </c>
      <c r="F18" s="136">
        <v>173</v>
      </c>
      <c r="G18" s="185">
        <v>3500</v>
      </c>
      <c r="H18" s="158">
        <f>IF(AND(ISNUMBER(D18), ISNUMBER(F18)),
    ROUNDDOWN(
        MIN(
            IF(OR(ISBLANK(I18), I18=""),
                EOMONTH(DATE(LOHNTABELLE!$G$3, $A$1, 1), 0), I18)
            - MAX(D18, DATE(LOHNTABELLE!$G$3, $A$1, 1)) + 1)
        / DAY(EOMONTH(DATE(LOHNTABELLE!$G$3, $A$1, 1), 0)) * F18,
        2
    ),
    ""
)</f>
        <v>173</v>
      </c>
      <c r="I18" s="19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335"/>
      <c r="P18" s="366"/>
      <c r="Q18" s="367"/>
      <c r="R18" s="244"/>
    </row>
    <row r="19" spans="1:29" ht="16" customHeight="1">
      <c r="A19" s="130" t="s">
        <v>89</v>
      </c>
      <c r="B19" s="170">
        <v>401476</v>
      </c>
      <c r="C19" s="137" t="s">
        <v>276</v>
      </c>
      <c r="D19" s="193">
        <v>44504</v>
      </c>
      <c r="E19" s="134" t="s">
        <v>4</v>
      </c>
      <c r="F19" s="136">
        <v>173</v>
      </c>
      <c r="G19" s="185">
        <v>3500</v>
      </c>
      <c r="H19" s="158">
        <f>IF(AND(ISNUMBER(D19), ISNUMBER(F19)),
    ROUNDDOWN(
        MIN(
            IF(OR(ISBLANK(I19), I19=""),
                EOMONTH(DATE(LOHNTABELLE!$G$3, $A$1, 1), 0), I19)
            - MAX(D19, DATE(LOHNTABELLE!$G$3, $A$1, 1)) + 1)
        / DAY(EOMONTH(DATE(LOHNTABELLE!$G$3, $A$1, 1), 0)) * F19,
        2
    ),
    ""
)</f>
        <v>173</v>
      </c>
      <c r="I19" s="19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335"/>
      <c r="P19" s="366"/>
      <c r="Q19" s="367"/>
      <c r="R19" s="244"/>
    </row>
    <row r="20" spans="1:29" ht="16" customHeight="1">
      <c r="A20" s="130" t="s">
        <v>90</v>
      </c>
      <c r="B20" s="170">
        <v>401479</v>
      </c>
      <c r="C20" s="137" t="s">
        <v>277</v>
      </c>
      <c r="D20" s="193">
        <v>44511</v>
      </c>
      <c r="E20" s="134" t="s">
        <v>13</v>
      </c>
      <c r="F20" s="136">
        <v>173</v>
      </c>
      <c r="G20" s="185">
        <v>2160</v>
      </c>
      <c r="H20" s="158">
        <f>IF(AND(ISNUMBER(D20), ISNUMBER(F20)),
    ROUNDDOWN(
        MIN(
            IF(OR(ISBLANK(I20), I20=""),
                EOMONTH(DATE(LOHNTABELLE!$G$3, $A$1, 1), 0), I20)
            - MAX(D20, DATE(LOHNTABELLE!$G$3, $A$1, 1)) + 1)
        / DAY(EOMONTH(DATE(LOHNTABELLE!$G$3, $A$1, 1), 0)) * F20,
        2
    ),
    ""
)</f>
        <v>173</v>
      </c>
      <c r="I20" s="19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335"/>
      <c r="P20" s="366"/>
      <c r="Q20" s="367"/>
      <c r="R20" s="244"/>
    </row>
    <row r="21" spans="1:29" ht="16" customHeight="1">
      <c r="A21" s="131" t="s">
        <v>92</v>
      </c>
      <c r="B21" s="170">
        <v>401481</v>
      </c>
      <c r="C21" s="137" t="s">
        <v>278</v>
      </c>
      <c r="D21" s="193">
        <v>44531</v>
      </c>
      <c r="E21" s="134" t="s">
        <v>4</v>
      </c>
      <c r="F21" s="136">
        <v>173</v>
      </c>
      <c r="G21" s="185">
        <v>3500</v>
      </c>
      <c r="H21" s="158">
        <f>IF(AND(ISNUMBER(D21), ISNUMBER(F21)),
    ROUNDDOWN(
        MIN(
            IF(OR(ISBLANK(I21), I21=""),
                EOMONTH(DATE(LOHNTABELLE!$G$3, $A$1, 1), 0), I21)
            - MAX(D21, DATE(LOHNTABELLE!$G$3, $A$1, 1)) + 1)
        / DAY(EOMONTH(DATE(LOHNTABELLE!$G$3, $A$1, 1), 0)) * F21,
        2
    ),
    ""
)</f>
        <v>173</v>
      </c>
      <c r="I21" s="19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335" t="s">
        <v>356</v>
      </c>
      <c r="P21" s="366"/>
      <c r="Q21" s="367">
        <v>5000</v>
      </c>
      <c r="R21" s="244"/>
    </row>
    <row r="22" spans="1:29" ht="16" customHeight="1">
      <c r="A22" s="130" t="s">
        <v>93</v>
      </c>
      <c r="B22" s="170">
        <v>401558</v>
      </c>
      <c r="C22" s="137" t="s">
        <v>275</v>
      </c>
      <c r="D22" s="193">
        <v>44460</v>
      </c>
      <c r="E22" s="134" t="s">
        <v>4</v>
      </c>
      <c r="F22" s="136">
        <v>173</v>
      </c>
      <c r="G22" s="185">
        <v>3500</v>
      </c>
      <c r="H22" s="158">
        <f>IF(AND(ISNUMBER(D22), ISNUMBER(F22)),
    ROUNDDOWN(
        MIN(
            IF(OR(ISBLANK(I22), I22=""),
                EOMONTH(DATE(LOHNTABELLE!$G$3, $A$1, 1), 0), I22)
            - MAX(D22, DATE(LOHNTABELLE!$G$3, $A$1, 1)) + 1)
        / DAY(EOMONTH(DATE(LOHNTABELLE!$G$3, $A$1, 1), 0)) * F22,
        2
    ),
    ""
)</f>
        <v>173</v>
      </c>
      <c r="I22" s="19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335"/>
      <c r="P22" s="366"/>
      <c r="Q22" s="367"/>
      <c r="R22" s="244"/>
    </row>
    <row r="23" spans="1:29" ht="16" customHeight="1">
      <c r="A23" s="130" t="s">
        <v>94</v>
      </c>
      <c r="B23" s="170">
        <v>401564</v>
      </c>
      <c r="C23" s="137" t="s">
        <v>279</v>
      </c>
      <c r="D23" s="193">
        <v>44824</v>
      </c>
      <c r="E23" s="134" t="s">
        <v>4</v>
      </c>
      <c r="F23" s="136">
        <v>173</v>
      </c>
      <c r="G23" s="185">
        <v>3500</v>
      </c>
      <c r="H23" s="158">
        <f>IF(AND(ISNUMBER(D23), ISNUMBER(F23)),
    ROUNDDOWN(
        MIN(
            IF(OR(ISBLANK(I23), I23=""),
                EOMONTH(DATE(LOHNTABELLE!$G$3, $A$1, 1), 0), I23)
            - MAX(D23, DATE(LOHNTABELLE!$G$3, $A$1, 1)) + 1)
        / DAY(EOMONTH(DATE(LOHNTABELLE!$G$3, $A$1, 1), 0)) * F23,
        2
    ),
    ""
)</f>
        <v>173</v>
      </c>
      <c r="I23" s="19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335"/>
      <c r="P23" s="366"/>
      <c r="Q23" s="367"/>
      <c r="R23" s="244"/>
      <c r="W23" s="45"/>
    </row>
    <row r="24" spans="1:29" ht="16" customHeight="1">
      <c r="A24" s="130" t="s">
        <v>95</v>
      </c>
      <c r="B24" s="170">
        <v>401583</v>
      </c>
      <c r="C24" s="137" t="s">
        <v>281</v>
      </c>
      <c r="D24" s="193">
        <v>44900</v>
      </c>
      <c r="E24" s="134" t="s">
        <v>21</v>
      </c>
      <c r="F24" s="136">
        <v>173</v>
      </c>
      <c r="G24" s="185">
        <v>2300</v>
      </c>
      <c r="H24" s="158">
        <f>IF(AND(ISNUMBER(D24), ISNUMBER(F24)),
    ROUNDDOWN(
        MIN(
            IF(OR(ISBLANK(I24), I24=""),
                EOMONTH(DATE(LOHNTABELLE!$G$3, $A$1, 1), 0), I24)
            - MAX(D24, DATE(LOHNTABELLE!$G$3, $A$1, 1)) + 1)
        / DAY(EOMONTH(DATE(LOHNTABELLE!$G$3, $A$1, 1), 0)) * F24,
        2
    ),
    ""
)</f>
        <v>173</v>
      </c>
      <c r="I24" s="19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35"/>
      <c r="P24" s="366"/>
      <c r="Q24" s="367"/>
      <c r="R24" s="244"/>
      <c r="W24" s="45"/>
    </row>
    <row r="25" spans="1:29" ht="16" customHeight="1" thickBot="1">
      <c r="A25" s="131" t="s">
        <v>96</v>
      </c>
      <c r="B25" s="170">
        <v>401589</v>
      </c>
      <c r="C25" s="137" t="s">
        <v>282</v>
      </c>
      <c r="D25" s="193">
        <v>44926</v>
      </c>
      <c r="E25" s="134" t="s">
        <v>21</v>
      </c>
      <c r="F25" s="136">
        <v>173</v>
      </c>
      <c r="G25" s="185">
        <v>2300</v>
      </c>
      <c r="H25" s="158">
        <f>IF(AND(ISNUMBER(D25), ISNUMBER(F25)),
    ROUNDDOWN(
        MIN(
            IF(OR(ISBLANK(I25), I25=""),
                EOMONTH(DATE(LOHNTABELLE!$G$3, $A$1, 1), 0), I25)
            - MAX(D25, DATE(LOHNTABELLE!$G$3, $A$1, 1)) + 1)
        / DAY(EOMONTH(DATE(LOHNTABELLE!$G$3, $A$1, 1), 0)) * F25,
        2
    ),
    ""
)</f>
        <v>173</v>
      </c>
      <c r="I25" s="19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350"/>
      <c r="P25" s="368"/>
      <c r="Q25" s="369"/>
      <c r="R25" s="286"/>
    </row>
    <row r="26" spans="1:29" ht="16" customHeight="1">
      <c r="A26" s="130" t="s">
        <v>97</v>
      </c>
      <c r="B26" s="170">
        <v>401602</v>
      </c>
      <c r="C26" s="139" t="s">
        <v>283</v>
      </c>
      <c r="D26" s="193">
        <v>45975</v>
      </c>
      <c r="E26" s="134" t="s">
        <v>4</v>
      </c>
      <c r="F26" s="136">
        <v>173</v>
      </c>
      <c r="G26" s="185">
        <v>3500</v>
      </c>
      <c r="H26" s="158">
        <f>IF(AND(ISNUMBER(D26), ISNUMBER(F26)),
    ROUNDDOWN(
        MIN(
            IF(OR(ISBLANK(I26), I26=""),
                EOMONTH(DATE(LOHNTABELLE!$G$3, $A$1, 1), 0), I26)
            - MAX(D26, DATE(LOHNTABELLE!$G$3, $A$1, 1)) + 1)
        / DAY(EOMONTH(DATE(LOHNTABELLE!$G$3, $A$1, 1), 0)) * F26,
        2
    ),
    ""
)</f>
        <v>173</v>
      </c>
      <c r="I26" s="19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96"/>
      <c r="P26" s="297"/>
      <c r="Q26" s="287"/>
      <c r="R26" s="288"/>
    </row>
    <row r="27" spans="1:29" ht="16" customHeight="1">
      <c r="A27" s="130" t="s">
        <v>98</v>
      </c>
      <c r="B27" s="170">
        <v>401605</v>
      </c>
      <c r="C27" s="137" t="s">
        <v>284</v>
      </c>
      <c r="D27" s="193">
        <v>44986</v>
      </c>
      <c r="E27" s="134" t="s">
        <v>4</v>
      </c>
      <c r="F27" s="136">
        <v>173</v>
      </c>
      <c r="G27" s="185">
        <v>3500</v>
      </c>
      <c r="H27" s="158">
        <f>IF(AND(ISNUMBER(D27), ISNUMBER(F27)),
    ROUNDDOWN(
        MIN(
            IF(OR(ISBLANK(I27), I27=""),
                EOMONTH(DATE(LOHNTABELLE!$G$3, $A$1, 1), 0), I27)
            - MAX(D27, DATE(LOHNTABELLE!$G$3, $A$1, 1)) + 1)
        / DAY(EOMONTH(DATE(LOHNTABELLE!$G$3, $A$1, 1), 0)) * F27,
        2
    ),
    ""
)</f>
        <v>173</v>
      </c>
      <c r="I27" s="19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51"/>
      <c r="P27" s="252"/>
      <c r="Q27" s="244"/>
      <c r="R27" s="289"/>
    </row>
    <row r="28" spans="1:29" ht="16" customHeight="1">
      <c r="A28" s="130" t="s">
        <v>100</v>
      </c>
      <c r="B28" s="170">
        <v>401626</v>
      </c>
      <c r="C28" s="137" t="s">
        <v>285</v>
      </c>
      <c r="D28" s="193">
        <v>45063</v>
      </c>
      <c r="E28" s="134" t="s">
        <v>4</v>
      </c>
      <c r="F28" s="136">
        <v>173</v>
      </c>
      <c r="G28" s="185">
        <v>3500</v>
      </c>
      <c r="H28" s="158">
        <f>IF(AND(ISNUMBER(D28), ISNUMBER(F28)),
    ROUNDDOWN(
        MIN(
            IF(OR(ISBLANK(I28), I28=""),
                EOMONTH(DATE(LOHNTABELLE!$G$3, $A$1, 1), 0), I28)
            - MAX(D28, DATE(LOHNTABELLE!$G$3, $A$1, 1)) + 1)
        / DAY(EOMONTH(DATE(LOHNTABELLE!$G$3, $A$1, 1), 0)) * F28,
        2
    ),
    ""
)</f>
        <v>173</v>
      </c>
      <c r="I28" s="19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51"/>
      <c r="P28" s="252"/>
      <c r="Q28" s="244"/>
      <c r="R28" s="289"/>
    </row>
    <row r="29" spans="1:29" ht="16" customHeight="1" thickBot="1">
      <c r="A29" s="131" t="s">
        <v>101</v>
      </c>
      <c r="B29" s="170">
        <v>401633</v>
      </c>
      <c r="C29" s="137" t="s">
        <v>286</v>
      </c>
      <c r="D29" s="193">
        <v>45089</v>
      </c>
      <c r="E29" s="134" t="s">
        <v>21</v>
      </c>
      <c r="F29" s="136">
        <v>173</v>
      </c>
      <c r="G29" s="185">
        <v>2300</v>
      </c>
      <c r="H29" s="158">
        <f>IF(AND(ISNUMBER(D29), ISNUMBER(F29)),
    ROUNDDOWN(
        MIN(
            IF(OR(ISBLANK(I29), I29=""),
                EOMONTH(DATE(LOHNTABELLE!$G$3, $A$1, 1), 0), I29)
            - MAX(D29, DATE(LOHNTABELLE!$G$3, $A$1, 1)) + 1)
        / DAY(EOMONTH(DATE(LOHNTABELLE!$G$3, $A$1, 1), 0)) * F29,
        2
    ),
    ""
)</f>
        <v>173</v>
      </c>
      <c r="I29" s="19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371" t="s">
        <v>102</v>
      </c>
      <c r="P29" s="372"/>
      <c r="Q29" s="373">
        <f>EINSTELLUNG!O17</f>
        <v>12</v>
      </c>
      <c r="R29" s="374"/>
    </row>
    <row r="30" spans="1:29" ht="16" customHeight="1">
      <c r="A30" s="130" t="s">
        <v>103</v>
      </c>
      <c r="B30" s="170">
        <v>401647</v>
      </c>
      <c r="C30" s="137" t="s">
        <v>287</v>
      </c>
      <c r="D30" s="193">
        <v>45182</v>
      </c>
      <c r="E30" s="134" t="s">
        <v>4</v>
      </c>
      <c r="F30" s="136">
        <v>173</v>
      </c>
      <c r="G30" s="185">
        <v>3500</v>
      </c>
      <c r="H30" s="158">
        <f>IF(AND(ISNUMBER(D30), ISNUMBER(F30)),
    ROUNDDOWN(
        MIN(
            IF(OR(ISBLANK(I30), I30=""),
                EOMONTH(DATE(LOHNTABELLE!$G$3, $A$1, 1), 0), I30)
            - MAX(D30, DATE(LOHNTABELLE!$G$3, $A$1, 1)) + 1)
        / DAY(EOMONTH(DATE(LOHNTABELLE!$G$3, $A$1, 1), 0)) * F30,
        2
    ),
    ""
)</f>
        <v>173</v>
      </c>
      <c r="I30" s="19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193">
        <v>45261</v>
      </c>
      <c r="E31" s="134" t="s">
        <v>4</v>
      </c>
      <c r="F31" s="136">
        <v>173</v>
      </c>
      <c r="G31" s="185">
        <v>3500</v>
      </c>
      <c r="H31" s="158">
        <f>IF(AND(ISNUMBER(D31), ISNUMBER(F31)),
    ROUNDDOWN(
        MIN(
            IF(OR(ISBLANK(I31), I31=""),
                EOMONTH(DATE(LOHNTABELLE!$G$3, $A$1, 1), 0), I31)
            - MAX(D31, DATE(LOHNTABELLE!$G$3, $A$1, 1)) + 1)
        / DAY(EOMONTH(DATE(LOHNTABELLE!$G$3, $A$1, 1), 0)) * F31,
        2
    ),
    ""
)</f>
        <v>173</v>
      </c>
      <c r="I31" s="19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98">
        <v>0</v>
      </c>
      <c r="P31" s="299"/>
      <c r="Q31" s="300">
        <v>0</v>
      </c>
      <c r="R31" s="301"/>
    </row>
    <row r="32" spans="1:29" ht="16" customHeight="1">
      <c r="A32" s="130" t="s">
        <v>106</v>
      </c>
      <c r="B32" s="170">
        <v>401670</v>
      </c>
      <c r="C32" s="137" t="s">
        <v>289</v>
      </c>
      <c r="D32" s="193">
        <v>45358</v>
      </c>
      <c r="E32" s="134" t="s">
        <v>4</v>
      </c>
      <c r="F32" s="136">
        <v>173</v>
      </c>
      <c r="G32" s="185">
        <v>3500</v>
      </c>
      <c r="H32" s="158">
        <f>IF(AND(ISNUMBER(D32), ISNUMBER(F32)),
    ROUNDDOWN(
        MIN(
            IF(OR(ISBLANK(I32), I32=""),
                EOMONTH(DATE(LOHNTABELLE!$G$3, $A$1, 1), 0), I32)
            - MAX(D32, DATE(LOHNTABELLE!$G$3, $A$1, 1)) + 1)
        / DAY(EOMONTH(DATE(LOHNTABELLE!$G$3, $A$1, 1), 0)) * F32,
        2
    ),
    ""
)</f>
        <v>173</v>
      </c>
      <c r="I32" s="19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401678</v>
      </c>
      <c r="C33" s="137" t="s">
        <v>290</v>
      </c>
      <c r="D33" s="193">
        <v>45414</v>
      </c>
      <c r="E33" s="134" t="s">
        <v>4</v>
      </c>
      <c r="F33" s="136">
        <v>173</v>
      </c>
      <c r="G33" s="185">
        <v>3500</v>
      </c>
      <c r="H33" s="158">
        <f>IF(AND(ISNUMBER(D33), ISNUMBER(F33)),
    ROUNDDOWN(
        MIN(
            IF(OR(ISBLANK(I33), I33=""),
                EOMONTH(DATE(LOHNTABELLE!$G$3, $A$1, 1), 0), I33)
            - MAX(D33, DATE(LOHNTABELLE!$G$3, $A$1, 1)) + 1)
        / DAY(EOMONTH(DATE(LOHNTABELLE!$G$3, $A$1, 1), 0)) * F33,
        2
    ),
    ""
)</f>
        <v>173</v>
      </c>
      <c r="I33" s="19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66"/>
      <c r="P33" s="267"/>
      <c r="Q33" s="364" t="str">
        <f>EINSTELLUNG!B3</f>
        <v>Budget Zahlen</v>
      </c>
      <c r="R33" s="364"/>
      <c r="S33" s="365" t="str">
        <f>EINSTELLUNG!B19</f>
        <v>Projection/Aktuell Zahlen</v>
      </c>
      <c r="T33" s="365"/>
      <c r="U33" s="365" t="s">
        <v>110</v>
      </c>
      <c r="V33" s="365"/>
    </row>
    <row r="34" spans="1:24" ht="16" customHeight="1">
      <c r="A34" s="130" t="s">
        <v>111</v>
      </c>
      <c r="B34" s="170">
        <v>401690</v>
      </c>
      <c r="C34" s="137" t="s">
        <v>292</v>
      </c>
      <c r="D34" s="193">
        <v>45536</v>
      </c>
      <c r="E34" s="134" t="s">
        <v>4</v>
      </c>
      <c r="F34" s="136">
        <v>173</v>
      </c>
      <c r="G34" s="185">
        <v>3500</v>
      </c>
      <c r="H34" s="158">
        <f>IF(AND(ISNUMBER(D34), ISNUMBER(F34)),
    ROUNDDOWN(
        MIN(
            IF(OR(ISBLANK(I34), I34=""),
                EOMONTH(DATE(LOHNTABELLE!$G$3, $A$1, 1), 0), I34)
            - MAX(D34, DATE(LOHNTABELLE!$G$3, $A$1, 1)) + 1)
        / DAY(EOMONTH(DATE(LOHNTABELLE!$G$3, $A$1, 1), 0)) * F34,
        2
    ),
    ""
)</f>
        <v>173</v>
      </c>
      <c r="I34" s="19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66"/>
      <c r="P34" s="267"/>
      <c r="Q34" s="364"/>
      <c r="R34" s="364"/>
      <c r="S34" s="365"/>
      <c r="T34" s="365"/>
      <c r="U34" s="365"/>
      <c r="V34" s="365"/>
    </row>
    <row r="35" spans="1:24" ht="16" customHeight="1">
      <c r="A35" s="130" t="s">
        <v>112</v>
      </c>
      <c r="B35" s="170">
        <v>401703</v>
      </c>
      <c r="C35" s="137" t="s">
        <v>293</v>
      </c>
      <c r="D35" s="193">
        <v>45616</v>
      </c>
      <c r="E35" s="134" t="s">
        <v>4</v>
      </c>
      <c r="F35" s="136">
        <v>173</v>
      </c>
      <c r="G35" s="185">
        <v>3500</v>
      </c>
      <c r="H35" s="158">
        <f>IF(AND(ISNUMBER(D35), ISNUMBER(F35)),
    ROUNDDOWN(
        MIN(
            IF(OR(ISBLANK(I35), I35=""),
                EOMONTH(DATE(LOHNTABELLE!$G$3, $A$1, 1), 0), I35)
            - MAX(D35, DATE(LOHNTABELLE!$G$3, $A$1, 1)) + 1)
        / DAY(EOMONTH(DATE(LOHNTABELLE!$G$3, $A$1, 1), 0)) * F35,
        2
    ),
    ""
)</f>
        <v>173</v>
      </c>
      <c r="I35" s="19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55" t="s">
        <v>113</v>
      </c>
      <c r="P35" s="256"/>
      <c r="Q35" s="257">
        <f>EINSTELLUNG!C17</f>
        <v>12</v>
      </c>
      <c r="R35" s="257"/>
      <c r="S35" s="257">
        <f>EINSTELLUNG!C33</f>
        <v>12</v>
      </c>
      <c r="T35" s="257"/>
      <c r="U35" s="258">
        <f>S35-Q35</f>
        <v>0</v>
      </c>
      <c r="V35" s="258"/>
    </row>
    <row r="36" spans="1:24" ht="16" customHeight="1">
      <c r="A36" s="130" t="s">
        <v>114</v>
      </c>
      <c r="B36" s="170">
        <v>401715</v>
      </c>
      <c r="C36" s="137" t="s">
        <v>295</v>
      </c>
      <c r="D36" s="193">
        <v>45755</v>
      </c>
      <c r="E36" s="134" t="s">
        <v>4</v>
      </c>
      <c r="F36" s="136">
        <v>173</v>
      </c>
      <c r="G36" s="185">
        <v>3500</v>
      </c>
      <c r="H36" s="158">
        <f>IF(AND(ISNUMBER(D36), ISNUMBER(F36)),
    ROUNDDOWN(
        MIN(
            IF(OR(ISBLANK(I36), I36=""),
                EOMONTH(DATE(LOHNTABELLE!$G$3, $A$1, 1), 0), I36)
            - MAX(D36, DATE(LOHNTABELLE!$G$3, $A$1, 1)) + 1)
        / DAY(EOMONTH(DATE(LOHNTABELLE!$G$3, $A$1, 1), 0)) * F36,
        2
    ),
    ""
)</f>
        <v>173</v>
      </c>
      <c r="I36" s="19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55" t="s">
        <v>115</v>
      </c>
      <c r="P36" s="256"/>
      <c r="Q36" s="257">
        <f>EINSTELLUNG!D17</f>
        <v>12</v>
      </c>
      <c r="R36" s="257"/>
      <c r="S36" s="261" cm="1">
        <f t="array" ref="S36">SumMergedCells(Q17:R29)</f>
        <v>151796.4</v>
      </c>
      <c r="T36" s="263"/>
      <c r="U36" s="258">
        <f t="shared" ref="U36:U41" si="2">S36-Q36</f>
        <v>151784.4</v>
      </c>
      <c r="V36" s="258"/>
    </row>
    <row r="37" spans="1:24" ht="16" customHeight="1">
      <c r="A37" s="131" t="s">
        <v>116</v>
      </c>
      <c r="B37" s="170">
        <v>401716</v>
      </c>
      <c r="C37" s="137" t="s">
        <v>296</v>
      </c>
      <c r="D37" s="193">
        <v>45800</v>
      </c>
      <c r="E37" s="134" t="s">
        <v>4</v>
      </c>
      <c r="F37" s="136">
        <v>173</v>
      </c>
      <c r="G37" s="185">
        <v>3500</v>
      </c>
      <c r="H37" s="158">
        <f>IF(AND(ISNUMBER(D37), ISNUMBER(F37)),
    ROUNDDOWN(
        MIN(
            IF(OR(ISBLANK(I37), I37=""),
                EOMONTH(DATE(LOHNTABELLE!$G$3, $A$1, 1), 0), I37)
            - MAX(D37, DATE(LOHNTABELLE!$G$3, $A$1, 1)) + 1)
        / DAY(EOMONTH(DATE(LOHNTABELLE!$G$3, $A$1, 1), 0)) * F37,
        2
    ),
    ""
)</f>
        <v>173</v>
      </c>
      <c r="I37" s="19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55" t="s">
        <v>117</v>
      </c>
      <c r="P37" s="256"/>
      <c r="Q37" s="264">
        <f>IF(ISERROR(Q36/Q35), 0, Q36/Q35)</f>
        <v>1</v>
      </c>
      <c r="R37" s="264"/>
      <c r="S37" s="264">
        <f>IF(ISERROR(S36/S35), 0, S36/S35)</f>
        <v>12649.699999999999</v>
      </c>
      <c r="T37" s="264"/>
      <c r="U37" s="265">
        <f t="shared" si="2"/>
        <v>12648.699999999999</v>
      </c>
      <c r="V37" s="265"/>
    </row>
    <row r="38" spans="1:24" ht="16" customHeight="1">
      <c r="A38" s="130" t="s">
        <v>118</v>
      </c>
      <c r="B38" s="170">
        <v>401717</v>
      </c>
      <c r="C38" s="137" t="s">
        <v>297</v>
      </c>
      <c r="D38" s="193">
        <v>45814</v>
      </c>
      <c r="E38" s="134" t="s">
        <v>4</v>
      </c>
      <c r="F38" s="136">
        <v>173</v>
      </c>
      <c r="G38" s="185">
        <v>3500</v>
      </c>
      <c r="H38" s="158">
        <f>IF(AND(ISNUMBER(D38), ISNUMBER(F38)),
    ROUNDDOWN(
        MIN(
            IF(OR(ISBLANK(I39), I39=""),
                EOMONTH(DATE(LOHNTABELLE!$G$3, $A$1, 1), 0), I39)
            - MAX(D38, DATE(LOHNTABELLE!$G$3, $A$1, 1)) + 1)
        / DAY(EOMONTH(DATE(LOHNTABELLE!$G$3, $A$1, 1), 0)) * F38,
        2
    ),
    ""
)</f>
        <v>173</v>
      </c>
      <c r="I38" s="19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55" t="s">
        <v>119</v>
      </c>
      <c r="P38" s="256"/>
      <c r="Q38" s="259">
        <f>EINSTELLUNG!F17</f>
        <v>12</v>
      </c>
      <c r="R38" s="259"/>
      <c r="S38" s="259">
        <f>EINSTELLUNG!F33</f>
        <v>12</v>
      </c>
      <c r="T38" s="259"/>
      <c r="U38" s="260">
        <f t="shared" si="2"/>
        <v>0</v>
      </c>
      <c r="V38" s="260"/>
    </row>
    <row r="39" spans="1:24" ht="16" customHeight="1">
      <c r="A39" s="130" t="s">
        <v>120</v>
      </c>
      <c r="B39" s="170">
        <v>401722</v>
      </c>
      <c r="C39" s="137" t="s">
        <v>298</v>
      </c>
      <c r="D39" s="193">
        <v>45848</v>
      </c>
      <c r="E39" s="134" t="s">
        <v>4</v>
      </c>
      <c r="F39" s="136">
        <v>86.5</v>
      </c>
      <c r="G39" s="185">
        <v>1010.5</v>
      </c>
      <c r="H39" s="158">
        <f>IF(AND(ISNUMBER(D39), ISNUMBER(F39)),
    ROUNDDOWN(
        MIN(
            IF(OR(ISBLANK(I40), I40=""),
                EOMONTH(DATE(LOHNTABELLE!$G$3, $A$1, 1), 0), I40)
            - MAX(D39, DATE(LOHNTABELLE!$G$3, $A$1, 1)) + 1)
        / DAY(EOMONTH(DATE(LOHNTABELLE!$G$3, $A$1, 1), 0)) * F39,
        2
    ),
    ""
)</f>
        <v>86.5</v>
      </c>
      <c r="I39" s="19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55" t="s">
        <v>121</v>
      </c>
      <c r="P39" s="256"/>
      <c r="Q39" s="257">
        <f>IF(Q38=0, 0, Q35/Q38)</f>
        <v>1</v>
      </c>
      <c r="R39" s="257"/>
      <c r="S39" s="257">
        <f>IF(S38=0, 0, S35/S38)</f>
        <v>1</v>
      </c>
      <c r="T39" s="257"/>
      <c r="U39" s="258">
        <f t="shared" si="2"/>
        <v>0</v>
      </c>
      <c r="V39" s="258"/>
    </row>
    <row r="40" spans="1:24" ht="16" customHeight="1">
      <c r="A40" s="130" t="s">
        <v>122</v>
      </c>
      <c r="B40" s="170">
        <v>401723</v>
      </c>
      <c r="C40" s="137" t="s">
        <v>299</v>
      </c>
      <c r="D40" s="193">
        <v>45852</v>
      </c>
      <c r="E40" s="134" t="s">
        <v>4</v>
      </c>
      <c r="F40" s="136">
        <v>86.5</v>
      </c>
      <c r="G40" s="185">
        <v>1010.5</v>
      </c>
      <c r="H40" s="158">
        <f>IF(AND(ISNUMBER(D40), ISNUMBER(F40)),
    ROUNDDOWN(
        MIN(
            IF(OR(ISBLANK(I40), I40=""),
                EOMONTH(DATE(LOHNTABELLE!$G$3, $A$1, 1), 0), I40)
            - MAX(D40, DATE(LOHNTABELLE!$G$3, $A$1, 1)) + 1)
        / DAY(EOMONTH(DATE(LOHNTABELLE!$G$3, $A$1, 1), 0)) * F40,
        2
    ),
    ""
)</f>
        <v>86.5</v>
      </c>
      <c r="I40" s="19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55" t="s">
        <v>123</v>
      </c>
      <c r="P40" s="256"/>
      <c r="Q40" s="257">
        <f>IF(Q13=0, 0, Q35/Q13)</f>
        <v>1.3083040236890251E-3</v>
      </c>
      <c r="R40" s="257"/>
      <c r="S40" s="257">
        <f>IF(Q13=0, 0, S35/Q13)</f>
        <v>1.3083040236890251E-3</v>
      </c>
      <c r="T40" s="257"/>
      <c r="U40" s="258">
        <f t="shared" si="2"/>
        <v>0</v>
      </c>
      <c r="V40" s="258"/>
    </row>
    <row r="41" spans="1:24" ht="16" customHeight="1">
      <c r="A41" s="131" t="s">
        <v>124</v>
      </c>
      <c r="B41" s="170">
        <v>401726</v>
      </c>
      <c r="C41" s="137" t="s">
        <v>300</v>
      </c>
      <c r="D41" s="193">
        <v>45870</v>
      </c>
      <c r="E41" s="134" t="s">
        <v>4</v>
      </c>
      <c r="F41" s="136">
        <v>86.5</v>
      </c>
      <c r="G41" s="185">
        <v>1010.5</v>
      </c>
      <c r="H41" s="158">
        <f>IF(AND(ISNUMBER(D41), ISNUMBER(F41)),
    ROUNDDOWN(
        MIN(
            IF(OR(ISBLANK(I41), I41=""),
                EOMONTH(DATE(LOHNTABELLE!$G$3, $A$1, 1), 0), I41)
            - MAX(D41, DATE(LOHNTABELLE!$G$3, $A$1, 1)) + 1)
        / DAY(EOMONTH(DATE(LOHNTABELLE!$G$3, $A$1, 1), 0)) * F41,
        2
    ),
    ""
)</f>
        <v>86.5</v>
      </c>
      <c r="I41" s="19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55" t="s">
        <v>125</v>
      </c>
      <c r="P41" s="256"/>
      <c r="Q41" s="259">
        <f>IF(Q13=0, 0, Q38/Q13)</f>
        <v>1.3083040236890251E-3</v>
      </c>
      <c r="R41" s="259"/>
      <c r="S41" s="259">
        <f>IF(Q13=0, 0, S38/Q13)</f>
        <v>1.3083040236890251E-3</v>
      </c>
      <c r="T41" s="259"/>
      <c r="U41" s="260">
        <f t="shared" si="2"/>
        <v>0</v>
      </c>
      <c r="V41" s="260"/>
    </row>
    <row r="42" spans="1:24" ht="16" customHeight="1">
      <c r="A42" s="130" t="s">
        <v>126</v>
      </c>
      <c r="B42" s="170">
        <v>401730</v>
      </c>
      <c r="C42" s="137" t="s">
        <v>302</v>
      </c>
      <c r="D42" s="193">
        <v>45895</v>
      </c>
      <c r="E42" s="134" t="s">
        <v>4</v>
      </c>
      <c r="F42" s="136">
        <v>86.5</v>
      </c>
      <c r="G42" s="185">
        <v>1010.5</v>
      </c>
      <c r="H42" s="158">
        <f>IF(AND(ISNUMBER(D42), ISNUMBER(F42)),
    ROUNDDOWN(
        MIN(
            IF(OR(ISBLANK(I42), I42=""),
                EOMONTH(DATE(LOHNTABELLE!$G$3, $A$1, 1), 0), I42)
            - MAX(D42, DATE(LOHNTABELLE!$G$3, $A$1, 1)) + 1)
        / DAY(EOMONTH(DATE(LOHNTABELLE!$G$3, $A$1, 1), 0)) * F42,
        2
    ),
    ""
)</f>
        <v>86.5</v>
      </c>
      <c r="I42" s="19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55" t="s">
        <v>127</v>
      </c>
      <c r="P42" s="256"/>
      <c r="Q42" s="261">
        <f>IFERROR(Q17/Q8, 0)</f>
        <v>16.483035716290971</v>
      </c>
      <c r="R42" s="262"/>
      <c r="S42" s="262"/>
      <c r="T42" s="262"/>
      <c r="U42" s="262"/>
      <c r="V42" s="263"/>
    </row>
    <row r="43" spans="1:24" ht="16" customHeight="1">
      <c r="A43" s="130" t="s">
        <v>128</v>
      </c>
      <c r="B43" s="170">
        <v>401731</v>
      </c>
      <c r="C43" s="137" t="s">
        <v>301</v>
      </c>
      <c r="D43" s="193">
        <v>45899</v>
      </c>
      <c r="E43" s="134" t="s">
        <v>4</v>
      </c>
      <c r="F43" s="136">
        <v>86.5</v>
      </c>
      <c r="G43" s="185">
        <v>1010.5</v>
      </c>
      <c r="H43" s="158">
        <f>IF(AND(ISNUMBER(D43), ISNUMBER(F43)),
    ROUNDDOWN(
        MIN(
            IF(OR(ISBLANK(I43), I43=""),
                EOMONTH(DATE(LOHNTABELLE!$G$3, $A$1, 1), 0), I43)
            - MAX(D43, DATE(LOHNTABELLE!$G$3, $A$1, 1)) + 1)
        / DAY(EOMONTH(DATE(LOHNTABELLE!$G$3, $A$1, 1), 0)) * F43,
        2
    ),
    ""
)</f>
        <v>86.5</v>
      </c>
      <c r="I43" s="19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193">
        <v>45904</v>
      </c>
      <c r="E44" s="134" t="s">
        <v>4</v>
      </c>
      <c r="F44" s="136">
        <v>86.5</v>
      </c>
      <c r="G44" s="185">
        <v>1010.5</v>
      </c>
      <c r="H44" s="158">
        <f>IF(AND(ISNUMBER(D44), ISNUMBER(F44)),
    ROUNDDOWN(
        MIN(
            IF(OR(ISBLANK(I44), I44=""),
                EOMONTH(DATE(LOHNTABELLE!$G$3, $A$1, 1), 0), I44)
            - MAX(D44, DATE(LOHNTABELLE!$G$3, $A$1, 1)) + 1)
        / DAY(EOMONTH(DATE(LOHNTABELLE!$G$3, $A$1, 1), 0)) * F44,
        2
    ),
    ""
)</f>
        <v>86.5</v>
      </c>
      <c r="I44" s="19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19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9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193">
        <v>45906</v>
      </c>
      <c r="E46" s="134" t="s">
        <v>4</v>
      </c>
      <c r="F46" s="136">
        <v>86.5</v>
      </c>
      <c r="G46" s="185">
        <v>1010.5</v>
      </c>
      <c r="H46" s="158">
        <f>IF(AND(ISNUMBER(D46), ISNUMBER(F46)),
    ROUNDDOWN(
        MIN(
            IF(OR(ISBLANK(I46), I46=""),
                EOMONTH(DATE(LOHNTABELLE!$G$3, $A$1, 1), 0), I46)
            - MAX(D46, DATE(LOHNTABELLE!$G$3, $A$1, 1)) + 1)
        / DAY(EOMONTH(DATE(LOHNTABELLE!$G$3, $A$1, 1), 0)) * F46,
        2
    ),
    ""
)</f>
        <v>86.5</v>
      </c>
      <c r="I46" s="19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193">
        <v>45909</v>
      </c>
      <c r="E47" s="134" t="s">
        <v>4</v>
      </c>
      <c r="F47" s="136">
        <v>86.5</v>
      </c>
      <c r="G47" s="185">
        <v>1010.5</v>
      </c>
      <c r="H47" s="158">
        <f>IF(AND(ISNUMBER(D47), ISNUMBER(F47)),
    ROUNDDOWN(
        MIN(
            IF(OR(ISBLANK(I47), I47=""),
                EOMONTH(DATE(LOHNTABELLE!$G$3, $A$1, 1), 0), I47)
            - MAX(D47, DATE(LOHNTABELLE!$G$3, $A$1, 1)) + 1)
        / DAY(EOMONTH(DATE(LOHNTABELLE!$G$3, $A$1, 1), 0)) * F47,
        2
    ),
    ""
)</f>
        <v>86.5</v>
      </c>
      <c r="I47" s="19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193">
        <v>45934</v>
      </c>
      <c r="E48" s="134" t="s">
        <v>4</v>
      </c>
      <c r="F48" s="136">
        <v>86.5</v>
      </c>
      <c r="G48" s="185">
        <v>1010.5</v>
      </c>
      <c r="H48" s="158">
        <f>IF(AND(ISNUMBER(D48), ISNUMBER(F48)),
    ROUNDDOWN(
        MIN(
            IF(OR(ISBLANK(I48), I48=""),
                EOMONTH(DATE(LOHNTABELLE!$G$3, $A$1, 1), 0), I48)
            - MAX(D48, DATE(LOHNTABELLE!$G$3, $A$1, 1)) + 1)
        / DAY(EOMONTH(DATE(LOHNTABELLE!$G$3, $A$1, 1), 0)) * F48,
        2
    ),
    ""
)</f>
        <v>86.5</v>
      </c>
      <c r="I48" s="19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7" t="s">
        <v>307</v>
      </c>
      <c r="D49" s="193">
        <v>45941</v>
      </c>
      <c r="E49" s="134" t="s">
        <v>4</v>
      </c>
      <c r="F49" s="136">
        <v>86.5</v>
      </c>
      <c r="G49" s="185">
        <v>1010.5</v>
      </c>
      <c r="H49" s="158">
        <f>IF(AND(ISNUMBER(D49), ISNUMBER(F49)),
    ROUNDDOWN(
        MIN(
            IF(OR(ISBLANK(I49), I49=""),
                EOMONTH(DATE(LOHNTABELLE!$G$3, $A$1, 1), 0), I49)
            - MAX(D49, DATE(LOHNTABELLE!$G$3, $A$1, 1)) + 1)
        / DAY(EOMONTH(DATE(LOHNTABELLE!$G$3, $A$1, 1), 0)) * F49,
        2
    ),
    ""
)</f>
        <v>86.5</v>
      </c>
      <c r="I49" s="19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193">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9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193">
        <v>45961</v>
      </c>
      <c r="E51" s="134" t="s">
        <v>4</v>
      </c>
      <c r="F51" s="136">
        <v>86.5</v>
      </c>
      <c r="G51" s="185">
        <v>1010.5</v>
      </c>
      <c r="H51" s="158">
        <f>IF(AND(ISNUMBER(D51), ISNUMBER(F51)),
    ROUNDDOWN(
        MIN(
            IF(OR(ISBLANK(I51), I51=""),
                EOMONTH(DATE(LOHNTABELLE!$G$3, $A$1, 1), 0), I51)
            - MAX(D51, DATE(LOHNTABELLE!$G$3, $A$1, 1)) + 1)
        / DAY(EOMONTH(DATE(LOHNTABELLE!$G$3, $A$1, 1), 0)) * F51,
        2
    ),
    ""
)</f>
        <v>86.5</v>
      </c>
      <c r="I51" s="19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193">
        <v>45986</v>
      </c>
      <c r="E52" s="134" t="s">
        <v>4</v>
      </c>
      <c r="F52" s="136">
        <v>86.5</v>
      </c>
      <c r="G52" s="185">
        <v>1010.5</v>
      </c>
      <c r="H52" s="158">
        <f>IF(AND(ISNUMBER(D52), ISNUMBER(F52)),
    ROUNDDOWN(
        MIN(
            IF(OR(ISBLANK(I52), I52=""),
                EOMONTH(DATE(LOHNTABELLE!$G$3, $A$1, 1), 0), I52)
            - MAX(D52, DATE(LOHNTABELLE!$G$3, $A$1, 1)) + 1)
        / DAY(EOMONTH(DATE(LOHNTABELLE!$G$3, $A$1, 1), 0)) * F52,
        2
    ),
    ""
)</f>
        <v>86.5</v>
      </c>
      <c r="I52" s="19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355</v>
      </c>
      <c r="D53" s="193">
        <v>46082</v>
      </c>
      <c r="E53" s="134" t="s">
        <v>4</v>
      </c>
      <c r="F53" s="136">
        <v>173</v>
      </c>
      <c r="G53" s="185">
        <v>3500</v>
      </c>
      <c r="H53" s="158">
        <f>IF(AND(ISNUMBER(D53), ISNUMBER(F53)),
    ROUNDDOWN(
        MIN(
            IF(OR(ISBLANK(I53), I53=""),
                EOMONTH(DATE(LOHNTABELLE!$G$3, $A$1, 1), 0), I53)
            - MAX(D53, DATE(LOHNTABELLE!$G$3, $A$1, 1)) + 1)
        / DAY(EOMONTH(DATE(LOHNTABELLE!$G$3, $A$1, 1), 0)) * F53,
        2
    ),
    ""
)</f>
        <v>173</v>
      </c>
      <c r="I53" s="19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3500</v>
      </c>
      <c r="M53" s="164"/>
      <c r="N53" s="147"/>
    </row>
    <row r="54" spans="1:14" ht="16" customHeight="1">
      <c r="A54" s="130" t="s">
        <v>140</v>
      </c>
      <c r="B54" s="170">
        <v>402000</v>
      </c>
      <c r="C54" s="137" t="s">
        <v>362</v>
      </c>
      <c r="D54" s="193">
        <v>46143</v>
      </c>
      <c r="E54" s="134" t="s">
        <v>4</v>
      </c>
      <c r="F54" s="136">
        <v>173</v>
      </c>
      <c r="G54" s="185">
        <v>3500</v>
      </c>
      <c r="H54" s="158">
        <f>IF(AND(ISNUMBER(D54), ISNUMBER(F54)),
    ROUNDDOWN(
        MIN(
            IF(OR(ISBLANK(I54), I54=""),
                EOMONTH(DATE(LOHNTABELLE!$G$3, $A$1, 1), 0), I54)
            - MAX(D54, DATE(LOHNTABELLE!$G$3, $A$1, 1)) + 1)
        / DAY(EOMONTH(DATE(LOHNTABELLE!$G$3, $A$1, 1), 0)) * F54,
        2
    ),
    ""
)</f>
        <v>173</v>
      </c>
      <c r="I54" s="19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402004</v>
      </c>
      <c r="C55" s="137" t="s">
        <v>364</v>
      </c>
      <c r="D55" s="193">
        <v>46122</v>
      </c>
      <c r="E55" s="134" t="s">
        <v>4</v>
      </c>
      <c r="F55" s="136">
        <v>173</v>
      </c>
      <c r="G55" s="185">
        <v>3500</v>
      </c>
      <c r="H55" s="158">
        <f>IF(AND(ISNUMBER(D55), ISNUMBER(F55)),
    ROUNDDOWN(
        MIN(
            IF(OR(ISBLANK(I55), I55=""),
                EOMONTH(DATE(LOHNTABELLE!$G$3, $A$1, 1), 0), I55)
            - MAX(D55, DATE(LOHNTABELLE!$G$3, $A$1, 1)) + 1)
        / DAY(EOMONTH(DATE(LOHNTABELLE!$G$3, $A$1, 1), 0)) * F55,
        2
    ),
    ""
)</f>
        <v>173</v>
      </c>
      <c r="I55" s="19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v>402405</v>
      </c>
      <c r="C56" s="137" t="s">
        <v>366</v>
      </c>
      <c r="D56" s="193">
        <v>46054</v>
      </c>
      <c r="E56" s="134" t="s">
        <v>4</v>
      </c>
      <c r="F56" s="136">
        <v>173</v>
      </c>
      <c r="G56" s="185">
        <v>3500</v>
      </c>
      <c r="H56" s="158">
        <f>IF(AND(ISNUMBER(D56), ISNUMBER(F56)),
    ROUNDDOWN(
        MIN(
            IF(OR(ISBLANK(I56), I56=""),
                EOMONTH(DATE(LOHNTABELLE!$G$3, $A$1, 1), 0), I56)
            - MAX(D56, DATE(LOHNTABELLE!$G$3, $A$1, 1)) + 1)
        / DAY(EOMONTH(DATE(LOHNTABELLE!$G$3, $A$1, 1), 0)) * F56,
        2
    ),
    ""
)</f>
        <v>173</v>
      </c>
      <c r="I56" s="19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1" t="s">
        <v>143</v>
      </c>
      <c r="B57" s="170">
        <v>500600</v>
      </c>
      <c r="C57" s="137" t="s">
        <v>371</v>
      </c>
      <c r="D57" s="193">
        <v>46054</v>
      </c>
      <c r="E57" s="134" t="s">
        <v>4</v>
      </c>
      <c r="F57" s="136">
        <v>151.38</v>
      </c>
      <c r="G57" s="185">
        <v>5000</v>
      </c>
      <c r="H57" s="158">
        <f>IF(AND(ISNUMBER(D57), ISNUMBER(F57)),
    ROUNDDOWN(
        MIN(
            IF(OR(ISBLANK(I57), I57=""),
                EOMONTH(DATE(LOHNTABELLE!$G$3, $A$1, 1), 0), I57)
            - MAX(D57, DATE(LOHNTABELLE!$G$3, $A$1, 1)) + 1)
        / DAY(EOMONTH(DATE(LOHNTABELLE!$G$3, $A$1, 1), 0)) * F57,
        2
    ),
    ""
)</f>
        <v>151.38</v>
      </c>
      <c r="I57" s="19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5000</v>
      </c>
      <c r="M57" s="164"/>
      <c r="N57" s="147"/>
    </row>
    <row r="58" spans="1:14" ht="16" customHeight="1">
      <c r="A58" s="130" t="s">
        <v>144</v>
      </c>
      <c r="B58" s="170">
        <v>502000</v>
      </c>
      <c r="C58" s="137" t="s">
        <v>365</v>
      </c>
      <c r="D58" s="193">
        <v>46147</v>
      </c>
      <c r="E58" s="134" t="s">
        <v>4</v>
      </c>
      <c r="F58" s="136">
        <v>173</v>
      </c>
      <c r="G58" s="185">
        <v>3500</v>
      </c>
      <c r="H58" s="158">
        <f>IF(AND(ISNUMBER(D58), ISNUMBER(F58)),
    ROUNDDOWN(
        MIN(
            IF(OR(ISBLANK(I58), I58=""),
                EOMONTH(DATE(LOHNTABELLE!$G$3, $A$1, 1), 0), I58)
            - MAX(D58, DATE(LOHNTABELLE!$G$3, $A$1, 1)) + 1)
        / DAY(EOMONTH(DATE(LOHNTABELLE!$G$3, $A$1, 1), 0)) * F58,
        2
    ),
    ""
)</f>
        <v>173</v>
      </c>
      <c r="I58" s="19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3500</v>
      </c>
      <c r="M58" s="164"/>
      <c r="N58" s="147"/>
    </row>
    <row r="59" spans="1:14" ht="16" customHeight="1">
      <c r="A59" s="130" t="s">
        <v>145</v>
      </c>
      <c r="B59" s="170">
        <v>503000</v>
      </c>
      <c r="C59" s="137" t="s">
        <v>368</v>
      </c>
      <c r="D59" s="193">
        <v>42401</v>
      </c>
      <c r="E59" s="134" t="s">
        <v>4</v>
      </c>
      <c r="F59" s="136">
        <v>173</v>
      </c>
      <c r="G59" s="185">
        <v>3500</v>
      </c>
      <c r="H59" s="158">
        <f>IF(AND(ISNUMBER(D59), ISNUMBER(F59)),
    ROUNDDOWN(
        MIN(
            IF(OR(ISBLANK(I59), I59=""),
                EOMONTH(DATE(LOHNTABELLE!$G$3, $A$1, 1), 0), I59)
            - MAX(D59, DATE(LOHNTABELLE!$G$3, $A$1, 1)) + 1)
        / DAY(EOMONTH(DATE(LOHNTABELLE!$G$3, $A$1, 1), 0)) * F59,
        2
    ),
    ""
)</f>
        <v>173</v>
      </c>
      <c r="I59" s="19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504000</v>
      </c>
      <c r="C60" s="137" t="s">
        <v>369</v>
      </c>
      <c r="D60" s="193">
        <v>46054</v>
      </c>
      <c r="E60" s="134" t="s">
        <v>8</v>
      </c>
      <c r="F60" s="136">
        <v>138.4</v>
      </c>
      <c r="G60" s="185">
        <v>1665.6</v>
      </c>
      <c r="H60" s="158">
        <f>IF(AND(ISNUMBER(D60), ISNUMBER(F60)),
    ROUNDDOWN(
        MIN(
            IF(OR(ISBLANK(I60), I60=""),
                EOMONTH(DATE(LOHNTABELLE!$G$3, $A$1, 1), 0), I60)
            - MAX(D60, DATE(LOHNTABELLE!$G$3, $A$1, 1)) + 1)
        / DAY(EOMONTH(DATE(LOHNTABELLE!$G$3, $A$1, 1), 0)) * F60,
        2
    ),
    ""
)</f>
        <v>138.4</v>
      </c>
      <c r="I60" s="19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1665.6</v>
      </c>
      <c r="M60" s="164"/>
      <c r="N60" s="147"/>
    </row>
    <row r="61" spans="1:14" ht="16" customHeight="1">
      <c r="A61" s="131" t="s">
        <v>147</v>
      </c>
      <c r="B61" s="170">
        <v>505000</v>
      </c>
      <c r="C61" s="137" t="s">
        <v>370</v>
      </c>
      <c r="D61" s="193">
        <v>46054</v>
      </c>
      <c r="E61" s="134" t="s">
        <v>4</v>
      </c>
      <c r="F61" s="136">
        <v>138.4</v>
      </c>
      <c r="G61" s="185">
        <v>1616.8</v>
      </c>
      <c r="H61" s="158">
        <f>IF(AND(ISNUMBER(D61), ISNUMBER(F61)),
    ROUNDDOWN(
        MIN(
            IF(OR(ISBLANK(I61), I61=""),
                EOMONTH(DATE(LOHNTABELLE!$G$3, $A$1, 1), 0), I61)
            - MAX(D61, DATE(LOHNTABELLE!$G$3, $A$1, 1)) + 1)
        / DAY(EOMONTH(DATE(LOHNTABELLE!$G$3, $A$1, 1), 0)) * F61,
        2
    ),
    ""
)</f>
        <v>138.4</v>
      </c>
      <c r="I61" s="19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1616.8</v>
      </c>
      <c r="M61" s="164"/>
      <c r="N61" s="147"/>
    </row>
    <row r="62" spans="1:14" ht="16" customHeight="1">
      <c r="A62" s="130" t="s">
        <v>148</v>
      </c>
      <c r="B62" s="170"/>
      <c r="C62" s="137"/>
      <c r="D62" s="193"/>
      <c r="E62" s="134"/>
      <c r="F62" s="136"/>
      <c r="G62" s="185"/>
      <c r="H62" s="158" t="str">
        <f>IF(AND(ISNUMBER(D62), ISNUMBER(F62)),
    ROUNDDOWN(
        MIN(
            IF(OR(ISBLANK(I62), I62=""),
                EOMONTH(DATE(LOHNTABELLE!$G$3, $A$1, 1), 0), I62)
            - MAX(D62, DATE(LOHNTABELLE!$G$3, $A$1, 1)) + 1)
        / DAY(EOMONTH(DATE(LOHNTABELLE!$G$3, $A$1, 1), 0)) * F62,
        2
    ),
    ""
)</f>
        <v/>
      </c>
      <c r="I62" s="19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193"/>
      <c r="E63" s="134"/>
      <c r="F63" s="136"/>
      <c r="G63" s="185"/>
      <c r="H63" s="158" t="str">
        <f>IF(AND(ISNUMBER(D63), ISNUMBER(F63)),
    ROUNDDOWN(
        MIN(
            IF(OR(ISBLANK(I63), I63=""),
                EOMONTH(DATE(LOHNTABELLE!$G$3, $A$1, 1), 0), I63)
            - MAX(D63, DATE(LOHNTABELLE!$G$3, $A$1, 1)) + 1)
        / DAY(EOMONTH(DATE(LOHNTABELLE!$G$3, $A$1, 1), 0)) * F63,
        2
    ),
    ""
)</f>
        <v/>
      </c>
      <c r="I63" s="19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193"/>
      <c r="E64" s="134"/>
      <c r="F64" s="136"/>
      <c r="G64" s="185"/>
      <c r="H64" s="158" t="str">
        <f>IF(AND(ISNUMBER(D64), ISNUMBER(F64)),
    ROUNDDOWN(
        MIN(
            IF(OR(ISBLANK(I64), I64=""),
                EOMONTH(DATE(LOHNTABELLE!$G$3, $A$1, 1), 0), I64)
            - MAX(D64, DATE(LOHNTABELLE!$G$3, $A$1, 1)) + 1)
        / DAY(EOMONTH(DATE(LOHNTABELLE!$G$3, $A$1, 1), 0)) * F64,
        2
    ),
    ""
)</f>
        <v/>
      </c>
      <c r="I64" s="19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93"/>
      <c r="E65" s="134"/>
      <c r="F65" s="136"/>
      <c r="G65" s="185"/>
      <c r="H65" s="158" t="str">
        <f>IF(AND(ISNUMBER(D65), ISNUMBER(F65)),
    ROUNDDOWN(
        MIN(
            IF(OR(ISBLANK(I65), I65=""),
                EOMONTH(DATE(LOHNTABELLE!$G$3, $A$1, 1), 0), I65)
            - MAX(D65, DATE(LOHNTABELLE!$G$3, $A$1, 1)) + 1)
        / DAY(EOMONTH(DATE(LOHNTABELLE!$G$3, $A$1, 1), 0)) * F65,
        2
    ),
    ""
)</f>
        <v/>
      </c>
      <c r="I65" s="19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93"/>
      <c r="E66" s="134"/>
      <c r="F66" s="136"/>
      <c r="G66" s="185"/>
      <c r="H66" s="158" t="str">
        <f>IF(AND(ISNUMBER(D66), ISNUMBER(F66)),
    ROUNDDOWN(
        MIN(
            IF(OR(ISBLANK(I66), I66=""),
                EOMONTH(DATE(LOHNTABELLE!$G$3, $A$1, 1), 0), I66)
            - MAX(D66, DATE(LOHNTABELLE!$G$3, $A$1, 1)) + 1)
        / DAY(EOMONTH(DATE(LOHNTABELLE!$G$3, $A$1, 1), 0)) * F66,
        2
    ),
    ""
)</f>
        <v/>
      </c>
      <c r="I66" s="19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93"/>
      <c r="E67" s="134"/>
      <c r="F67" s="136"/>
      <c r="G67" s="185"/>
      <c r="H67" s="158" t="str">
        <f>IF(AND(ISNUMBER(D67), ISNUMBER(F67)),
    ROUNDDOWN(
        MIN(
            IF(OR(ISBLANK(I67), I67=""),
                EOMONTH(DATE(LOHNTABELLE!$G$3, $A$1, 1), 0), I67)
            - MAX(D67, DATE(LOHNTABELLE!$G$3, $A$1, 1)) + 1)
        / DAY(EOMONTH(DATE(LOHNTABELLE!$G$3, $A$1, 1), 0)) * F67,
        2
    ),
    ""
)</f>
        <v/>
      </c>
      <c r="I67" s="19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93"/>
      <c r="E68" s="134"/>
      <c r="F68" s="136"/>
      <c r="G68" s="185"/>
      <c r="H68" s="158" t="str">
        <f>IF(AND(ISNUMBER(D68), ISNUMBER(F68)),
    ROUNDDOWN(
        MIN(
            IF(OR(ISBLANK(I68), I68=""),
                EOMONTH(DATE(LOHNTABELLE!$G$3, $A$1, 1), 0), I68)
            - MAX(D68, DATE(LOHNTABELLE!$G$3, $A$1, 1)) + 1)
        / DAY(EOMONTH(DATE(LOHNTABELLE!$G$3, $A$1, 1), 0)) * F68,
        2
    ),
    ""
)</f>
        <v/>
      </c>
      <c r="I68" s="19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93"/>
      <c r="E69" s="134"/>
      <c r="F69" s="136"/>
      <c r="G69" s="185"/>
      <c r="H69" s="158" t="str">
        <f>IF(AND(ISNUMBER(D69), ISNUMBER(F69)),
    ROUNDDOWN(
        MIN(
            IF(OR(ISBLANK(I69), I69=""),
                EOMONTH(DATE(LOHNTABELLE!$G$3, $A$1, 1), 0), I69)
            - MAX(D69, DATE(LOHNTABELLE!$G$3, $A$1, 1)) + 1)
        / DAY(EOMONTH(DATE(LOHNTABELLE!$G$3, $A$1, 1), 0)) * F69,
        2
    ),
    ""
)</f>
        <v/>
      </c>
      <c r="I69" s="19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93"/>
      <c r="E70" s="134"/>
      <c r="F70" s="136"/>
      <c r="G70" s="185"/>
      <c r="H70" s="158" t="str">
        <f>IF(AND(ISNUMBER(D70), ISNUMBER(F70)),
    ROUNDDOWN(
        MIN(
            IF(OR(ISBLANK(I70), I70=""),
                EOMONTH(DATE(LOHNTABELLE!$G$3, $A$1, 1), 0), I70)
            - MAX(D70, DATE(LOHNTABELLE!$G$3, $A$1, 1)) + 1)
        / DAY(EOMONTH(DATE(LOHNTABELLE!$G$3, $A$1, 1), 0)) * F70,
        2
    ),
    ""
)</f>
        <v/>
      </c>
      <c r="I70" s="19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93"/>
      <c r="E71" s="134"/>
      <c r="F71" s="136"/>
      <c r="G71" s="185"/>
      <c r="H71" s="158" t="str">
        <f>IF(AND(ISNUMBER(D71), ISNUMBER(F71)),
    ROUNDDOWN(
        MIN(
            IF(OR(ISBLANK(I71), I71=""),
                EOMONTH(DATE(LOHNTABELLE!$G$3, $A$1, 1), 0), I71)
            - MAX(D71, DATE(LOHNTABELLE!$G$3, $A$1, 1)) + 1)
        / DAY(EOMONTH(DATE(LOHNTABELLE!$G$3, $A$1, 1), 0)) * F71,
        2
    ),
    ""
)</f>
        <v/>
      </c>
      <c r="I71" s="19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93"/>
      <c r="E72" s="134"/>
      <c r="F72" s="136"/>
      <c r="G72" s="185"/>
      <c r="H72" s="158" t="str">
        <f>IF(AND(ISNUMBER(D72), ISNUMBER(F72)),
    ROUNDDOWN(
        MIN(
            IF(OR(ISBLANK(I72), I72=""),
                EOMONTH(DATE(LOHNTABELLE!$G$3, $A$1, 1), 0), I72)
            - MAX(D72, DATE(LOHNTABELLE!$G$3, $A$1, 1)) + 1)
        / DAY(EOMONTH(DATE(LOHNTABELLE!$G$3, $A$1, 1), 0)) * F72,
        2
    ),
    ""
)</f>
        <v/>
      </c>
      <c r="I72" s="19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93"/>
      <c r="E73" s="134"/>
      <c r="F73" s="136"/>
      <c r="G73" s="185"/>
      <c r="H73" s="158" t="str">
        <f>IF(AND(ISNUMBER(D73), ISNUMBER(F73)),
    ROUNDDOWN(
        MIN(
            IF(OR(ISBLANK(I73), I73=""),
                EOMONTH(DATE(LOHNTABELLE!$G$3, $A$1, 1), 0), I73)
            - MAX(D73, DATE(LOHNTABELLE!$G$3, $A$1, 1)) + 1)
        / DAY(EOMONTH(DATE(LOHNTABELLE!$G$3, $A$1, 1), 0)) * F73,
        2
    ),
    ""
)</f>
        <v/>
      </c>
      <c r="I73" s="19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93"/>
      <c r="E74" s="134"/>
      <c r="F74" s="136"/>
      <c r="G74" s="185"/>
      <c r="H74" s="158" t="str">
        <f>IF(AND(ISNUMBER(D74), ISNUMBER(F74)),
    ROUNDDOWN(
        MIN(
            IF(OR(ISBLANK(I74), I74=""),
                EOMONTH(DATE(LOHNTABELLE!$G$3, $A$1, 1), 0), I74)
            - MAX(D74, DATE(LOHNTABELLE!$G$3, $A$1, 1)) + 1)
        / DAY(EOMONTH(DATE(LOHNTABELLE!$G$3, $A$1, 1), 0)) * F74,
        2
    ),
    ""
)</f>
        <v/>
      </c>
      <c r="I74" s="19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93"/>
      <c r="E75" s="134"/>
      <c r="F75" s="136"/>
      <c r="G75" s="185"/>
      <c r="H75" s="158" t="str">
        <f>IF(AND(ISNUMBER(D75), ISNUMBER(F75)),
    ROUNDDOWN(
        MIN(
            IF(OR(ISBLANK(I75), I75=""),
                EOMONTH(DATE(LOHNTABELLE!$G$3, $A$1, 1), 0), I75)
            - MAX(D75, DATE(LOHNTABELLE!$G$3, $A$1, 1)) + 1)
        / DAY(EOMONTH(DATE(LOHNTABELLE!$G$3, $A$1, 1), 0)) * F75,
        2
    ),
    ""
)</f>
        <v/>
      </c>
      <c r="I75" s="19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93"/>
      <c r="E76" s="134"/>
      <c r="F76" s="136"/>
      <c r="G76" s="185"/>
      <c r="H76" s="158" t="str">
        <f>IF(AND(ISNUMBER(D76), ISNUMBER(F76)),
    ROUNDDOWN(
        MIN(
            IF(OR(ISBLANK(I76), I76=""),
                EOMONTH(DATE(LOHNTABELLE!$G$3, $A$1, 1), 0), I76)
            - MAX(D76, DATE(LOHNTABELLE!$G$3, $A$1, 1)) + 1)
        / DAY(EOMONTH(DATE(LOHNTABELLE!$G$3, $A$1, 1), 0)) * F76,
        2
    ),
    ""
)</f>
        <v/>
      </c>
      <c r="I76" s="19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93"/>
      <c r="E77" s="134"/>
      <c r="F77" s="136"/>
      <c r="G77" s="185"/>
      <c r="H77" s="158" t="str">
        <f>IF(AND(ISNUMBER(D77), ISNUMBER(F77)),
    ROUNDDOWN(
        MIN(
            IF(OR(ISBLANK(I77), I77=""),
                EOMONTH(DATE(LOHNTABELLE!$G$3, $A$1, 1), 0), I77)
            - MAX(D77, DATE(LOHNTABELLE!$G$3, $A$1, 1)) + 1)
        / DAY(EOMONTH(DATE(LOHNTABELLE!$G$3, $A$1, 1), 0)) * F77,
        2
    ),
    ""
)</f>
        <v/>
      </c>
      <c r="I77" s="19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93"/>
      <c r="E78" s="134"/>
      <c r="F78" s="136"/>
      <c r="G78" s="185"/>
      <c r="H78" s="158" t="str">
        <f>IF(AND(ISNUMBER(D78), ISNUMBER(F78)),
    ROUNDDOWN(
        MIN(
            IF(OR(ISBLANK(I78), I78=""),
                EOMONTH(DATE(LOHNTABELLE!$G$3, $A$1, 1), 0), I78)
            - MAX(D78, DATE(LOHNTABELLE!$G$3, $A$1, 1)) + 1)
        / DAY(EOMONTH(DATE(LOHNTABELLE!$G$3, $A$1, 1), 0)) * F78,
        2
    ),
    ""
)</f>
        <v/>
      </c>
      <c r="I78" s="19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93"/>
      <c r="E79" s="134"/>
      <c r="F79" s="136"/>
      <c r="G79" s="185"/>
      <c r="H79" s="158" t="str">
        <f>IF(AND(ISNUMBER(D79), ISNUMBER(F79)),
    ROUNDDOWN(
        MIN(
            IF(OR(ISBLANK(I79), I79=""),
                EOMONTH(DATE(LOHNTABELLE!$G$3, $A$1, 1), 0), I79)
            - MAX(D79, DATE(LOHNTABELLE!$G$3, $A$1, 1)) + 1)
        / DAY(EOMONTH(DATE(LOHNTABELLE!$G$3, $A$1, 1), 0)) * F79,
        2
    ),
    ""
)</f>
        <v/>
      </c>
      <c r="I79" s="19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93"/>
      <c r="E80" s="134"/>
      <c r="F80" s="136"/>
      <c r="G80" s="185"/>
      <c r="H80" s="158" t="str">
        <f>IF(AND(ISNUMBER(D80), ISNUMBER(F80)),
    ROUNDDOWN(
        MIN(
            IF(OR(ISBLANK(I80), I80=""),
                EOMONTH(DATE(LOHNTABELLE!$G$3, $A$1, 1), 0), I80)
            - MAX(D80, DATE(LOHNTABELLE!$G$3, $A$1, 1)) + 1)
        / DAY(EOMONTH(DATE(LOHNTABELLE!$G$3, $A$1, 1), 0)) * F80,
        2
    ),
    ""
)</f>
        <v/>
      </c>
      <c r="I80" s="19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93"/>
      <c r="E81" s="134"/>
      <c r="F81" s="136"/>
      <c r="G81" s="185"/>
      <c r="H81" s="158" t="str">
        <f>IF(AND(ISNUMBER(D81), ISNUMBER(F81)),
    ROUNDDOWN(
        MIN(
            IF(OR(ISBLANK(I81), I81=""),
                EOMONTH(DATE(LOHNTABELLE!$G$3, $A$1, 1), 0), I81)
            - MAX(D81, DATE(LOHNTABELLE!$G$3, $A$1, 1)) + 1)
        / DAY(EOMONTH(DATE(LOHNTABELLE!$G$3, $A$1, 1), 0)) * F81,
        2
    ),
    ""
)</f>
        <v/>
      </c>
      <c r="I81" s="19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94"/>
      <c r="E82" s="150"/>
      <c r="F82" s="151"/>
      <c r="G82" s="186"/>
      <c r="H82" s="159" t="str">
        <f>IF(AND(ISNUMBER(D82), ISNUMBER(F82)),
    ROUNDDOWN(
        MIN(
            IF(OR(ISBLANK(I82), I82=""),
                EOMONTH(DATE(LOHNTABELLE!$G$3, $A$1, 1), 0), I82)
            - MAX(D82, DATE(LOHNTABELLE!$G$3, $A$1, 1)) + 1)
        / DAY(EOMONTH(DATE(LOHNTABELLE!$G$3, $A$1, 1), 0)) * F82,
        2
    ),
    ""
)</f>
        <v/>
      </c>
      <c r="I82" s="19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A5b580FmMfQYSwyvVUq8+0p4PVovbqO2SoULpjtIhXAZwC68qXnoa7H/beYCC1BpKR5TUib1plDQOZv7fQal0A==" saltValue="RcL2tk2bYbAsgfcRJhm0sQ==" spinCount="100000" sheet="1" objects="1" scenarios="1" sort="0" autoFilter="0"/>
  <sortState xmlns:xlrd2="http://schemas.microsoft.com/office/spreadsheetml/2017/richdata2" ref="B3:N82">
    <sortCondition ref="B3:B82"/>
    <sortCondition ref="C3:C82"/>
  </sortState>
  <mergeCells count="97">
    <mergeCell ref="B1:B2"/>
    <mergeCell ref="N1:N2"/>
    <mergeCell ref="Q15:R15"/>
    <mergeCell ref="O16:R16"/>
    <mergeCell ref="Q9:R9"/>
    <mergeCell ref="O10:P10"/>
    <mergeCell ref="Q10:R10"/>
    <mergeCell ref="H1:H2"/>
    <mergeCell ref="C1:C2"/>
    <mergeCell ref="D1:D2"/>
    <mergeCell ref="E1:E2"/>
    <mergeCell ref="F1:F2"/>
    <mergeCell ref="G1:G2"/>
    <mergeCell ref="Q3:Q4"/>
    <mergeCell ref="R3:R4"/>
    <mergeCell ref="O6:R6"/>
    <mergeCell ref="O8:P8"/>
    <mergeCell ref="Q8:R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31:P31"/>
    <mergeCell ref="Q20:R20"/>
    <mergeCell ref="O21:P21"/>
    <mergeCell ref="Q21:R21"/>
    <mergeCell ref="Q19:R19"/>
    <mergeCell ref="Q31:R31"/>
    <mergeCell ref="O29:P29"/>
    <mergeCell ref="Q29:R29"/>
    <mergeCell ref="O11:P11"/>
    <mergeCell ref="Q11:R11"/>
    <mergeCell ref="O12:P12"/>
    <mergeCell ref="Q12:R12"/>
    <mergeCell ref="O13:P13"/>
    <mergeCell ref="Q13:R13"/>
    <mergeCell ref="O14:P14"/>
    <mergeCell ref="Q14:R14"/>
    <mergeCell ref="O17:P17"/>
    <mergeCell ref="Q17:R17"/>
    <mergeCell ref="O18:P18"/>
    <mergeCell ref="Q18:R18"/>
    <mergeCell ref="O15:P15"/>
    <mergeCell ref="O33:P34"/>
    <mergeCell ref="Q33:R34"/>
    <mergeCell ref="O22:P22"/>
    <mergeCell ref="Q22:R22"/>
    <mergeCell ref="O23:P23"/>
    <mergeCell ref="Q23:R23"/>
    <mergeCell ref="O24:P24"/>
    <mergeCell ref="Q24:R24"/>
    <mergeCell ref="O25:P25"/>
    <mergeCell ref="Q25:R25"/>
    <mergeCell ref="O26:P26"/>
    <mergeCell ref="Q26:R26"/>
    <mergeCell ref="O27:P27"/>
    <mergeCell ref="Q27:R27"/>
    <mergeCell ref="O28:P28"/>
    <mergeCell ref="Q28:R28"/>
    <mergeCell ref="S39:T39"/>
    <mergeCell ref="U39:V39"/>
    <mergeCell ref="S33:T34"/>
    <mergeCell ref="U33:V34"/>
    <mergeCell ref="O35:P35"/>
    <mergeCell ref="Q35:R35"/>
    <mergeCell ref="S35:T35"/>
    <mergeCell ref="U35:V35"/>
    <mergeCell ref="O36:P36"/>
    <mergeCell ref="Q36:R36"/>
    <mergeCell ref="S36:T36"/>
    <mergeCell ref="U36:V36"/>
    <mergeCell ref="Q39:R39"/>
    <mergeCell ref="O37:P37"/>
    <mergeCell ref="Q37:R37"/>
    <mergeCell ref="S37:T37"/>
    <mergeCell ref="U37:V37"/>
    <mergeCell ref="O38:P38"/>
    <mergeCell ref="Q38:R38"/>
    <mergeCell ref="S38:T38"/>
    <mergeCell ref="U38:V38"/>
    <mergeCell ref="S40:T40"/>
    <mergeCell ref="U40:V40"/>
    <mergeCell ref="S41:T41"/>
    <mergeCell ref="U41:V41"/>
    <mergeCell ref="Q42:V42"/>
    <mergeCell ref="Q40:R40"/>
    <mergeCell ref="Q41:R41"/>
  </mergeCells>
  <phoneticPr fontId="15" type="noConversion"/>
  <dataValidations count="61">
    <dataValidation type="date" showInputMessage="1" showErrorMessage="1" sqref="I3:I82" xr:uid="{453AAB07-0E48-40CF-BAF2-EDA1A4DF83FC}">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6CA749D9-9402-8F4B-AF74-8C77A277245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FAF38C14-C38A-7B4F-AAFB-34E21B9A0F6A}">
      <formula1>KV_DD_DEZEMBER_3</formula1>
    </dataValidation>
    <dataValidation type="list" allowBlank="1" showInputMessage="1" showErrorMessage="1" sqref="F4" xr:uid="{09BF868D-1063-C743-920F-0008F680CA22}">
      <formula1>KV_DD_DEZEMBER_4</formula1>
    </dataValidation>
    <dataValidation type="list" allowBlank="1" showInputMessage="1" showErrorMessage="1" sqref="F5" xr:uid="{B1757DC0-68BE-864F-925F-24A2B775D00D}">
      <formula1>KV_DD_DEZEMBER_5</formula1>
    </dataValidation>
    <dataValidation type="list" allowBlank="1" showInputMessage="1" showErrorMessage="1" sqref="F6" xr:uid="{5EAB226F-B404-A645-8C83-77446A606ED4}">
      <formula1>KV_DD_DEZEMBER_6</formula1>
    </dataValidation>
    <dataValidation type="list" allowBlank="1" showInputMessage="1" showErrorMessage="1" sqref="F7" xr:uid="{B6A30681-E83D-B142-B1F5-5FB2E45A222B}">
      <formula1>KV_DD_DEZEMBER_7</formula1>
    </dataValidation>
    <dataValidation type="list" allowBlank="1" showInputMessage="1" showErrorMessage="1" sqref="F8" xr:uid="{C4978E09-5800-F144-B238-9F2066FC7873}">
      <formula1>KV_DD_DEZEMBER_8</formula1>
    </dataValidation>
    <dataValidation type="list" allowBlank="1" showInputMessage="1" showErrorMessage="1" sqref="F9" xr:uid="{80A8404C-E631-C740-95B1-ABB7BEA7E017}">
      <formula1>KV_DD_DEZEMBER_9</formula1>
    </dataValidation>
    <dataValidation type="list" allowBlank="1" showInputMessage="1" showErrorMessage="1" sqref="F10" xr:uid="{B5C7A2F9-9AC4-5D44-8BBC-44DC48019A81}">
      <formula1>KV_DD_DEZEMBER_10</formula1>
    </dataValidation>
    <dataValidation type="list" allowBlank="1" showInputMessage="1" showErrorMessage="1" sqref="F11" xr:uid="{9676E55B-F27C-D94E-9648-58E6AD8C0879}">
      <formula1>KV_DD_DEZEMBER_11</formula1>
    </dataValidation>
    <dataValidation type="list" allowBlank="1" showInputMessage="1" showErrorMessage="1" sqref="F12" xr:uid="{238DB0DE-507A-904C-9D37-67D319F21F09}">
      <formula1>KV_DD_DEZEMBER_12</formula1>
    </dataValidation>
    <dataValidation type="list" allowBlank="1" showInputMessage="1" showErrorMessage="1" sqref="F13" xr:uid="{6D8EFA1E-55D8-7D4C-9D62-9AAB0A1098B2}">
      <formula1>KV_DD_DEZEMBER_13</formula1>
    </dataValidation>
    <dataValidation type="list" allowBlank="1" showInputMessage="1" showErrorMessage="1" sqref="F14" xr:uid="{BE166265-5FF3-FA4D-8D8A-0089DA141F93}">
      <formula1>KV_DD_DEZEMBER_14</formula1>
    </dataValidation>
    <dataValidation type="list" allowBlank="1" showInputMessage="1" showErrorMessage="1" sqref="F15" xr:uid="{E87687DF-5232-BE46-BA80-2FA6E4B48039}">
      <formula1>KV_DD_DEZEMBER_15</formula1>
    </dataValidation>
    <dataValidation type="list" allowBlank="1" showInputMessage="1" showErrorMessage="1" sqref="F16" xr:uid="{3DC2EB98-BF64-9F4D-B579-41CCB12CE3AC}">
      <formula1>KV_DD_DEZEMBER_16</formula1>
    </dataValidation>
    <dataValidation type="list" allowBlank="1" showInputMessage="1" showErrorMessage="1" sqref="F17" xr:uid="{2426EEAA-E09A-1042-865A-5D0B7FEA19ED}">
      <formula1>KV_DD_DEZEMBER_17</formula1>
    </dataValidation>
    <dataValidation type="list" allowBlank="1" showInputMessage="1" showErrorMessage="1" sqref="F18" xr:uid="{716C93A7-25F5-6E4B-BADC-F260841E26A4}">
      <formula1>KV_DD_DEZEMBER_18</formula1>
    </dataValidation>
    <dataValidation type="list" allowBlank="1" showInputMessage="1" showErrorMessage="1" sqref="F19" xr:uid="{7B178FBE-A229-A147-8CBC-A3C41374669E}">
      <formula1>KV_DD_DEZEMBER_19</formula1>
    </dataValidation>
    <dataValidation type="list" allowBlank="1" showInputMessage="1" showErrorMessage="1" sqref="F20" xr:uid="{0E9B2F9A-0905-0847-9604-4D2BE4EB0627}">
      <formula1>KV_DD_DEZEMBER_20</formula1>
    </dataValidation>
    <dataValidation type="list" allowBlank="1" showInputMessage="1" showErrorMessage="1" sqref="F21" xr:uid="{8F55CDA5-DDC4-7041-B5DB-037E8410066A}">
      <formula1>KV_DD_DEZEMBER_21</formula1>
    </dataValidation>
    <dataValidation type="list" allowBlank="1" showInputMessage="1" showErrorMessage="1" sqref="F22" xr:uid="{B0E67645-17A8-EE44-B809-9FA67D505ECA}">
      <formula1>KV_DD_DEZEMBER_22</formula1>
    </dataValidation>
    <dataValidation type="list" allowBlank="1" showInputMessage="1" showErrorMessage="1" sqref="F23" xr:uid="{7F6CE4C3-297E-9744-BA4E-DB91B750018C}">
      <formula1>KV_DD_DEZEMBER_23</formula1>
    </dataValidation>
    <dataValidation type="list" allowBlank="1" showInputMessage="1" showErrorMessage="1" sqref="F24" xr:uid="{B3A237B1-6690-5D4A-9107-0545BED17D8D}">
      <formula1>KV_DD_DEZEMBER_24</formula1>
    </dataValidation>
    <dataValidation type="list" allowBlank="1" showInputMessage="1" showErrorMessage="1" sqref="F25" xr:uid="{D988B218-D672-B047-9192-9AA48EF334E9}">
      <formula1>KV_DD_DEZEMBER_25</formula1>
    </dataValidation>
    <dataValidation type="list" allowBlank="1" showInputMessage="1" showErrorMessage="1" sqref="F26" xr:uid="{19D4186F-6032-EA45-8C8F-24E44043FEE3}">
      <formula1>KV_DD_DEZEMBER_26</formula1>
    </dataValidation>
    <dataValidation type="list" allowBlank="1" showInputMessage="1" showErrorMessage="1" sqref="F27" xr:uid="{94B48BE4-7119-9648-B655-2FFF1278DC58}">
      <formula1>KV_DD_DEZEMBER_27</formula1>
    </dataValidation>
    <dataValidation type="list" allowBlank="1" showInputMessage="1" showErrorMessage="1" sqref="F28" xr:uid="{C530C9B5-FA49-7B49-A4CA-F2E6F4D2DAC3}">
      <formula1>KV_DD_DEZEMBER_28</formula1>
    </dataValidation>
    <dataValidation type="list" allowBlank="1" showInputMessage="1" showErrorMessage="1" sqref="F29" xr:uid="{03B36827-436A-EC49-A608-D7B2C561DDD2}">
      <formula1>KV_DD_DEZEMBER_29</formula1>
    </dataValidation>
    <dataValidation type="list" allowBlank="1" showInputMessage="1" showErrorMessage="1" sqref="F30" xr:uid="{6ABD148D-6FAE-B046-A088-024182E8B64C}">
      <formula1>KV_DD_DEZEMBER_30</formula1>
    </dataValidation>
    <dataValidation type="list" allowBlank="1" showInputMessage="1" showErrorMessage="1" sqref="F31" xr:uid="{6CFB4ADE-A3C2-F840-9184-843BC62484C5}">
      <formula1>KV_DD_DEZEMBER_31</formula1>
    </dataValidation>
    <dataValidation type="list" allowBlank="1" showInputMessage="1" showErrorMessage="1" sqref="F32" xr:uid="{E0B28CE8-2395-E942-AF4A-879BFBDB035D}">
      <formula1>KV_DD_DEZEMBER_32</formula1>
    </dataValidation>
    <dataValidation type="list" allowBlank="1" showInputMessage="1" showErrorMessage="1" sqref="F33" xr:uid="{D18C99CF-50DB-2447-B26C-2B45851BA210}">
      <formula1>KV_DD_DEZEMBER_33</formula1>
    </dataValidation>
    <dataValidation type="list" allowBlank="1" showInputMessage="1" showErrorMessage="1" sqref="F34" xr:uid="{CBBE2B75-1A11-A448-9F00-28ABEF0E0B3C}">
      <formula1>KV_DD_DEZEMBER_34</formula1>
    </dataValidation>
    <dataValidation type="list" allowBlank="1" showInputMessage="1" showErrorMessage="1" sqref="F35" xr:uid="{4B046A88-E30A-7A42-A838-6236C3332132}">
      <formula1>KV_DD_DEZEMBER_35</formula1>
    </dataValidation>
    <dataValidation type="list" allowBlank="1" showInputMessage="1" showErrorMessage="1" sqref="F36" xr:uid="{F39037EC-84C9-D141-AD72-C151AC680D31}">
      <formula1>KV_DD_DEZEMBER_36</formula1>
    </dataValidation>
    <dataValidation type="list" allowBlank="1" showInputMessage="1" showErrorMessage="1" sqref="F37" xr:uid="{5602446F-48CE-664B-A979-994905E7ADAE}">
      <formula1>KV_DD_DEZEMBER_37</formula1>
    </dataValidation>
    <dataValidation type="list" allowBlank="1" showInputMessage="1" showErrorMessage="1" sqref="F38" xr:uid="{8EAD77E9-A2AC-C34A-90FB-969CB63E7B06}">
      <formula1>KV_DD_DEZEMBER_38</formula1>
    </dataValidation>
    <dataValidation type="list" allowBlank="1" showInputMessage="1" showErrorMessage="1" sqref="F39" xr:uid="{A3F1CBD5-1D65-1F41-B3CC-BC37CF6C2AE1}">
      <formula1>KV_DD_DEZEMBER_39</formula1>
    </dataValidation>
    <dataValidation type="list" allowBlank="1" showInputMessage="1" showErrorMessage="1" sqref="F40" xr:uid="{DBA3B543-4C69-0C42-BEF7-4A35B0638559}">
      <formula1>KV_DD_DEZEMBER_40</formula1>
    </dataValidation>
    <dataValidation type="list" allowBlank="1" showInputMessage="1" showErrorMessage="1" sqref="F41" xr:uid="{DBC7730F-6F3A-AD45-86E0-59C593ADF502}">
      <formula1>KV_DD_DEZEMBER_41</formula1>
    </dataValidation>
    <dataValidation type="list" allowBlank="1" showInputMessage="1" showErrorMessage="1" sqref="F42" xr:uid="{2D3CE5FC-8477-0F46-BD4E-A3B0E5D5408C}">
      <formula1>KV_DD_DEZEMBER_42</formula1>
    </dataValidation>
    <dataValidation type="list" allowBlank="1" showInputMessage="1" showErrorMessage="1" sqref="F43" xr:uid="{A60B964E-5A92-7047-8139-BF6060CCF51C}">
      <formula1>KV_DD_DEZEMBER_43</formula1>
    </dataValidation>
    <dataValidation type="list" allowBlank="1" showInputMessage="1" showErrorMessage="1" sqref="F44" xr:uid="{D93F3DCB-6DCF-F943-B331-0B699D2E8318}">
      <formula1>KV_DD_DEZEMBER_44</formula1>
    </dataValidation>
    <dataValidation type="list" allowBlank="1" showInputMessage="1" showErrorMessage="1" sqref="F45" xr:uid="{ECAFA660-B1E4-C243-8B1C-08D8F540153F}">
      <formula1>KV_DD_DEZEMBER_45</formula1>
    </dataValidation>
    <dataValidation type="list" allowBlank="1" showInputMessage="1" showErrorMessage="1" sqref="F46" xr:uid="{C9FE47A7-1CFF-A44B-9D19-C384B1680E57}">
      <formula1>KV_DD_DEZEMBER_46</formula1>
    </dataValidation>
    <dataValidation type="list" allowBlank="1" showInputMessage="1" showErrorMessage="1" sqref="F47" xr:uid="{0878ED17-086A-1E4E-8DAD-C6C7D033CEA7}">
      <formula1>KV_DD_DEZEMBER_47</formula1>
    </dataValidation>
    <dataValidation type="list" allowBlank="1" showInputMessage="1" showErrorMessage="1" sqref="F48" xr:uid="{97129DD8-86E1-224F-9AAA-51C8E6774046}">
      <formula1>KV_DD_DEZEMBER_48</formula1>
    </dataValidation>
    <dataValidation type="list" allowBlank="1" showInputMessage="1" showErrorMessage="1" sqref="F49" xr:uid="{12E823D9-1578-EE4D-B390-955EBC22B90B}">
      <formula1>KV_DD_DEZEMBER_49</formula1>
    </dataValidation>
    <dataValidation type="list" allowBlank="1" showInputMessage="1" showErrorMessage="1" sqref="F50" xr:uid="{9F8C882C-1EC3-6E4A-82D1-AE38143E64CC}">
      <formula1>KV_DD_DEZEMBER_50</formula1>
    </dataValidation>
    <dataValidation type="list" allowBlank="1" showInputMessage="1" showErrorMessage="1" sqref="F51" xr:uid="{BD9FBE9B-6137-F949-8108-64FBD4B1A3D8}">
      <formula1>KV_DD_DEZEMBER_51</formula1>
    </dataValidation>
    <dataValidation type="list" allowBlank="1" showInputMessage="1" showErrorMessage="1" sqref="F52" xr:uid="{C9507B71-DA7F-C44B-B5D1-8C76869718F2}">
      <formula1>KV_DD_DEZEMBER_52</formula1>
    </dataValidation>
    <dataValidation type="list" allowBlank="1" showInputMessage="1" showErrorMessage="1" sqref="F53" xr:uid="{580A58AA-055C-474E-8706-C94D163F0818}">
      <formula1>KV_DD_DEZEMBER_53</formula1>
    </dataValidation>
    <dataValidation type="list" allowBlank="1" showInputMessage="1" showErrorMessage="1" sqref="F54" xr:uid="{849B2C25-BCD2-4AD9-828A-8605FCB5038C}">
      <formula1>KV_DD_DEZEMBER_54</formula1>
    </dataValidation>
    <dataValidation type="list" allowBlank="1" showInputMessage="1" showErrorMessage="1" sqref="F55" xr:uid="{AF986518-4AA2-48D3-A760-149278467F69}">
      <formula1>KV_DD_DEZEMBER_55</formula1>
    </dataValidation>
    <dataValidation type="list" allowBlank="1" showInputMessage="1" showErrorMessage="1" sqref="F56" xr:uid="{D6FED0E4-62BF-4DBE-905A-C090DA85EA92}">
      <formula1>KV_DD_DEZEMBER_56</formula1>
    </dataValidation>
    <dataValidation type="list" allowBlank="1" showInputMessage="1" showErrorMessage="1" sqref="F57" xr:uid="{91A571EA-0DBA-734C-B250-90B132AE5034}">
      <formula1>KV_DD_DEZEMBER_57</formula1>
    </dataValidation>
    <dataValidation type="list" allowBlank="1" showInputMessage="1" showErrorMessage="1" sqref="F58" xr:uid="{9F6BA826-DFD0-E64E-975C-6EAEA002C8CA}">
      <formula1>KV_DD_DEZEMBER_58</formula1>
    </dataValidation>
    <dataValidation type="list" allowBlank="1" showInputMessage="1" showErrorMessage="1" sqref="F59" xr:uid="{DA26B125-7EC3-4A46-BB4A-2238DB541D19}">
      <formula1>KV_DD_DEZEMBER_59</formula1>
    </dataValidation>
    <dataValidation type="list" allowBlank="1" showInputMessage="1" showErrorMessage="1" sqref="F60" xr:uid="{AB7185DF-96B1-4042-8DBF-5B0DD9EF5BD8}">
      <formula1>KV_DD_DEZEMBER_60</formula1>
    </dataValidation>
    <dataValidation type="list" allowBlank="1" showInputMessage="1" showErrorMessage="1" sqref="F61" xr:uid="{A790421C-31CC-D040-8784-0C758D428DE2}">
      <formula1>KV_DD_DEZEMBER_61</formula1>
    </dataValidation>
  </dataValidations>
  <pageMargins left="0.75" right="0.75" top="1" bottom="1" header="0.5" footer="0.5"/>
  <pageSetup paperSize="9" orientation="portrait" verticalDpi="597" r:id="rId1"/>
  <extLst>
    <ext xmlns:x14="http://schemas.microsoft.com/office/spreadsheetml/2009/9/main" uri="{CCE6A557-97BC-4b89-ADB6-D9C93CAAB3DF}">
      <x14:dataValidations xmlns:xm="http://schemas.microsoft.com/office/excel/2006/main" count="1">
        <x14:dataValidation type="list" allowBlank="1" showInputMessage="1" showErrorMessage="1" xr:uid="{DB4B2416-4CB4-4A27-9B67-6CAD9EE63F3B}">
          <x14:formula1>
            <xm:f>LOHNTABELLE!$Q$4:$Q$17</xm:f>
          </x14:formula1>
          <xm:sqref>E3:E82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54BC8-3E0C-4914-97A7-FEEB4759108E}">
  <sheetPr codeName="Tabelle2"/>
  <dimension ref="B2:R27"/>
  <sheetViews>
    <sheetView showGridLines="0" zoomScaleNormal="100" workbookViewId="0">
      <selection activeCell="L7" sqref="L7"/>
    </sheetView>
  </sheetViews>
  <sheetFormatPr baseColWidth="10" defaultColWidth="11.5" defaultRowHeight="14"/>
  <cols>
    <col min="1" max="1" width="4.5" style="1" customWidth="1"/>
    <col min="2" max="2" width="11.5" style="1"/>
    <col min="3" max="3" width="17.6640625" style="1" customWidth="1"/>
    <col min="4" max="4" width="17.33203125" style="1" customWidth="1"/>
    <col min="5" max="5" width="14.83203125" style="1" customWidth="1"/>
    <col min="6" max="6" width="17.83203125" style="1" customWidth="1"/>
    <col min="7" max="7" width="19.33203125" style="1" customWidth="1"/>
    <col min="8" max="8" width="15.33203125" style="1" customWidth="1"/>
    <col min="9" max="10" width="15.6640625" style="1" customWidth="1"/>
    <col min="11" max="11" width="14" style="1" customWidth="1"/>
    <col min="12" max="13" width="20.6640625" style="1" customWidth="1"/>
    <col min="14" max="15" width="15.6640625" style="1" customWidth="1"/>
    <col min="16" max="16" width="11.6640625" style="1" customWidth="1"/>
    <col min="17" max="17" width="20.6640625" style="1" customWidth="1"/>
    <col min="18" max="16384" width="11.5" style="1"/>
  </cols>
  <sheetData>
    <row r="2" spans="2:18" ht="15.75" customHeight="1">
      <c r="B2" s="376" t="str">
        <f>"FINANZIELL ÜBERSICHT "&amp;LOHNTABELLE!G3</f>
        <v>FINANZIELL ÜBERSICHT 2026</v>
      </c>
      <c r="C2" s="376"/>
      <c r="D2" s="376"/>
      <c r="E2" s="376"/>
      <c r="F2" s="376"/>
      <c r="G2" s="376"/>
      <c r="H2" s="376"/>
      <c r="I2" s="376"/>
      <c r="J2" s="376"/>
      <c r="K2" s="376"/>
      <c r="L2" s="376"/>
      <c r="M2" s="376"/>
      <c r="N2" s="376"/>
      <c r="O2" s="376"/>
      <c r="P2" s="376"/>
      <c r="Q2" s="376"/>
      <c r="R2" s="2"/>
    </row>
    <row r="3" spans="2:18" ht="15.75" customHeight="1">
      <c r="B3" s="376"/>
      <c r="C3" s="376"/>
      <c r="D3" s="376"/>
      <c r="E3" s="376"/>
      <c r="F3" s="376"/>
      <c r="G3" s="376"/>
      <c r="H3" s="376"/>
      <c r="I3" s="376"/>
      <c r="J3" s="376"/>
      <c r="K3" s="376"/>
      <c r="L3" s="376"/>
      <c r="M3" s="376"/>
      <c r="N3" s="376"/>
      <c r="O3" s="376"/>
      <c r="P3" s="376"/>
      <c r="Q3" s="376"/>
      <c r="R3" s="2"/>
    </row>
    <row r="4" spans="2:18" ht="30" customHeight="1">
      <c r="B4" s="378"/>
      <c r="C4" s="377" t="s">
        <v>30</v>
      </c>
      <c r="D4" s="377"/>
      <c r="E4" s="377"/>
      <c r="F4" s="377" t="s">
        <v>176</v>
      </c>
      <c r="G4" s="377"/>
      <c r="H4" s="377"/>
      <c r="I4" s="377" t="s">
        <v>177</v>
      </c>
      <c r="J4" s="377"/>
      <c r="K4" s="377"/>
      <c r="L4" s="377" t="s">
        <v>178</v>
      </c>
      <c r="M4" s="377" t="s">
        <v>179</v>
      </c>
      <c r="N4" s="379" t="s">
        <v>180</v>
      </c>
      <c r="O4" s="379"/>
      <c r="P4" s="379"/>
      <c r="Q4" s="379" t="s">
        <v>105</v>
      </c>
    </row>
    <row r="5" spans="2:18" ht="30" customHeight="1">
      <c r="B5" s="378"/>
      <c r="C5" s="377"/>
      <c r="D5" s="377"/>
      <c r="E5" s="377"/>
      <c r="F5" s="377"/>
      <c r="G5" s="377"/>
      <c r="H5" s="377"/>
      <c r="I5" s="377"/>
      <c r="J5" s="377"/>
      <c r="K5" s="377"/>
      <c r="L5" s="377"/>
      <c r="M5" s="377"/>
      <c r="N5" s="379"/>
      <c r="O5" s="379"/>
      <c r="P5" s="379"/>
      <c r="Q5" s="379"/>
    </row>
    <row r="6" spans="2:18" ht="30" customHeight="1">
      <c r="B6" s="378"/>
      <c r="C6" s="60" t="s">
        <v>181</v>
      </c>
      <c r="D6" s="60" t="s">
        <v>182</v>
      </c>
      <c r="E6" s="61" t="s">
        <v>183</v>
      </c>
      <c r="F6" s="60" t="s">
        <v>181</v>
      </c>
      <c r="G6" s="60" t="s">
        <v>182</v>
      </c>
      <c r="H6" s="61" t="s">
        <v>183</v>
      </c>
      <c r="I6" s="60" t="s">
        <v>181</v>
      </c>
      <c r="J6" s="60" t="s">
        <v>182</v>
      </c>
      <c r="K6" s="61" t="s">
        <v>183</v>
      </c>
      <c r="L6" s="377"/>
      <c r="M6" s="377"/>
      <c r="N6" s="60" t="s">
        <v>184</v>
      </c>
      <c r="O6" s="60" t="s">
        <v>185</v>
      </c>
      <c r="P6" s="61" t="s">
        <v>183</v>
      </c>
      <c r="Q6" s="379"/>
    </row>
    <row r="7" spans="2:18" ht="30" customHeight="1">
      <c r="B7" s="63" t="s">
        <v>186</v>
      </c>
      <c r="C7" s="65">
        <f>EINSTELLUNG!C6</f>
        <v>1</v>
      </c>
      <c r="D7" s="65">
        <f>EINSTELLUNG!C22</f>
        <v>1</v>
      </c>
      <c r="E7" s="83">
        <f>D7-C7</f>
        <v>0</v>
      </c>
      <c r="F7" s="65">
        <f>EINSTELLUNG!D6</f>
        <v>1</v>
      </c>
      <c r="G7" s="65">
        <f>Januar!S36</f>
        <v>95107.828800000003</v>
      </c>
      <c r="H7" s="83">
        <f>G7-F7</f>
        <v>95106.828800000003</v>
      </c>
      <c r="I7" s="66">
        <f>EINSTELLUNG!E6</f>
        <v>1</v>
      </c>
      <c r="J7" s="66">
        <f>EINSTELLUNG!E22</f>
        <v>95107.828800000003</v>
      </c>
      <c r="K7" s="67">
        <f>J7-I7</f>
        <v>95106.828800000003</v>
      </c>
      <c r="L7" s="65">
        <f>Januar!S40</f>
        <v>1.3347927066926506E-4</v>
      </c>
      <c r="M7" s="62">
        <f>Januar!S41</f>
        <v>1.3347927066926506E-4</v>
      </c>
      <c r="N7" s="62">
        <f>Januar!O5</f>
        <v>724.55354077472225</v>
      </c>
      <c r="O7" s="62">
        <f>Januar!P5</f>
        <v>1</v>
      </c>
      <c r="P7" s="85">
        <f>O7-N7</f>
        <v>-723.55354077472225</v>
      </c>
      <c r="Q7" s="66">
        <f>Januar!Q31</f>
        <v>1.9607843137254902E-2</v>
      </c>
    </row>
    <row r="8" spans="2:18" ht="30" customHeight="1">
      <c r="B8" s="63" t="s">
        <v>187</v>
      </c>
      <c r="C8" s="65">
        <f>EINSTELLUNG!C7</f>
        <v>2</v>
      </c>
      <c r="D8" s="65">
        <f>EINSTELLUNG!C23</f>
        <v>2</v>
      </c>
      <c r="E8" s="83">
        <f>D8-C8</f>
        <v>0</v>
      </c>
      <c r="F8" s="65">
        <f>EINSTELLUNG!D7</f>
        <v>2</v>
      </c>
      <c r="G8" s="65">
        <f>Februar!$S$36</f>
        <v>108550</v>
      </c>
      <c r="H8" s="83">
        <f>G8-F8</f>
        <v>108548</v>
      </c>
      <c r="I8" s="66">
        <f>EINSTELLUNG!E7</f>
        <v>1</v>
      </c>
      <c r="J8" s="66">
        <f>EINSTELLUNG!E23</f>
        <v>54275</v>
      </c>
      <c r="K8" s="67">
        <f t="shared" ref="K8:K22" si="0">J8-I8</f>
        <v>54274</v>
      </c>
      <c r="L8" s="65">
        <f>Februar!S40</f>
        <v>2.3383115987270236E-4</v>
      </c>
      <c r="M8" s="62">
        <f>Februar!S41</f>
        <v>2.3383115987270236E-4</v>
      </c>
      <c r="N8" s="62">
        <f>Februar!O5</f>
        <v>825.97482420928964</v>
      </c>
      <c r="O8" s="62">
        <f>Februar!P5</f>
        <v>2</v>
      </c>
      <c r="P8" s="85">
        <f t="shared" ref="P8:P23" si="1">O8-N8</f>
        <v>-823.97482420928964</v>
      </c>
      <c r="Q8" s="66">
        <f>Februar!Q31</f>
        <v>0</v>
      </c>
    </row>
    <row r="9" spans="2:18" ht="30" customHeight="1">
      <c r="B9" s="63" t="s">
        <v>188</v>
      </c>
      <c r="C9" s="65">
        <f>EINSTELLUNG!C8</f>
        <v>3</v>
      </c>
      <c r="D9" s="65">
        <f>EINSTELLUNG!C24</f>
        <v>3</v>
      </c>
      <c r="E9" s="83">
        <f>D9-C9</f>
        <v>0</v>
      </c>
      <c r="F9" s="65">
        <f>EINSTELLUNG!D8</f>
        <v>3</v>
      </c>
      <c r="G9" s="65">
        <f>Marz!$S$36</f>
        <v>109299.0058</v>
      </c>
      <c r="H9" s="83">
        <f>G9-F9</f>
        <v>109296.0058</v>
      </c>
      <c r="I9" s="66">
        <f>EINSTELLUNG!E8</f>
        <v>1</v>
      </c>
      <c r="J9" s="66">
        <f>EINSTELLUNG!E24</f>
        <v>36433.001933333333</v>
      </c>
      <c r="K9" s="67">
        <f>J9-I9</f>
        <v>36432.001933333333</v>
      </c>
      <c r="L9" s="65">
        <f>Marz!S40</f>
        <v>3.2882009485363673E-4</v>
      </c>
      <c r="M9" s="62">
        <f>Marz!S41</f>
        <v>3.2882009485363673E-4</v>
      </c>
      <c r="N9" s="62">
        <f>Marz!O5</f>
        <v>842.66960625479021</v>
      </c>
      <c r="O9" s="62">
        <f>Marz!P5</f>
        <v>3</v>
      </c>
      <c r="P9" s="85">
        <f t="shared" si="1"/>
        <v>-839.66960625479021</v>
      </c>
      <c r="Q9" s="66">
        <f>Marz!Q31</f>
        <v>1.9230769230769232E-2</v>
      </c>
    </row>
    <row r="10" spans="2:18" ht="30" customHeight="1">
      <c r="B10" s="68" t="s">
        <v>189</v>
      </c>
      <c r="C10" s="69">
        <f>SUM(C7:C9)</f>
        <v>6</v>
      </c>
      <c r="D10" s="69">
        <f>SUM(D7:D9)</f>
        <v>6</v>
      </c>
      <c r="E10" s="84">
        <f>D10-C10</f>
        <v>0</v>
      </c>
      <c r="F10" s="69">
        <f>SUM(F7:F9)</f>
        <v>6</v>
      </c>
      <c r="G10" s="69">
        <f>SUM(G7:G9)</f>
        <v>312956.8346</v>
      </c>
      <c r="H10" s="84">
        <f>G10-F10</f>
        <v>312950.8346</v>
      </c>
      <c r="I10" s="70">
        <f>AVERAGE(I7:I9)</f>
        <v>1</v>
      </c>
      <c r="J10" s="70">
        <f>AVERAGE(J7:J9)</f>
        <v>61938.610244444455</v>
      </c>
      <c r="K10" s="71">
        <f>J10-I10</f>
        <v>61937.610244444455</v>
      </c>
      <c r="L10" s="69">
        <f>AVERAGE(L7:L9)</f>
        <v>2.3204350846520139E-4</v>
      </c>
      <c r="M10" s="64">
        <f>AVERAGE(M7:M9)</f>
        <v>2.3204350846520139E-4</v>
      </c>
      <c r="N10" s="64">
        <f>SUM(N7:N9)</f>
        <v>2393.197971238802</v>
      </c>
      <c r="O10" s="64">
        <f>SUM(O7:O9)</f>
        <v>6</v>
      </c>
      <c r="P10" s="86">
        <f t="shared" si="1"/>
        <v>-2387.197971238802</v>
      </c>
      <c r="Q10" s="70">
        <f>AVERAGE(Q7:Q9)</f>
        <v>1.2946204122674712E-2</v>
      </c>
    </row>
    <row r="11" spans="2:18" ht="30" customHeight="1">
      <c r="B11" s="63" t="s">
        <v>190</v>
      </c>
      <c r="C11" s="65">
        <f>EINSTELLUNG!C9</f>
        <v>4</v>
      </c>
      <c r="D11" s="65">
        <f>EINSTELLUNG!C25</f>
        <v>4</v>
      </c>
      <c r="E11" s="83">
        <f t="shared" ref="E11:E21" si="2">D11-C11</f>
        <v>0</v>
      </c>
      <c r="F11" s="65">
        <f>EINSTELLUNG!D9</f>
        <v>4</v>
      </c>
      <c r="G11" s="65">
        <f>April!$S$36</f>
        <v>109964.98</v>
      </c>
      <c r="H11" s="83">
        <f>G11-F11</f>
        <v>109960.98</v>
      </c>
      <c r="I11" s="66">
        <f>EINSTELLUNG!E9</f>
        <v>1</v>
      </c>
      <c r="J11" s="66">
        <f>EINSTELLUNG!E25</f>
        <v>27491.244999999999</v>
      </c>
      <c r="K11" s="67">
        <f t="shared" si="0"/>
        <v>27490.244999999999</v>
      </c>
      <c r="L11" s="65">
        <f>April!S40</f>
        <v>4.4396200573154957E-4</v>
      </c>
      <c r="M11" s="62">
        <f>April!S41</f>
        <v>4.4396200573154957E-4</v>
      </c>
      <c r="N11" s="62">
        <f>April!O5</f>
        <v>851.01699727754055</v>
      </c>
      <c r="O11" s="62">
        <f>April!P5</f>
        <v>4</v>
      </c>
      <c r="P11" s="85">
        <f t="shared" si="1"/>
        <v>-847.01699727754055</v>
      </c>
      <c r="Q11" s="66">
        <f>April!Q31</f>
        <v>0</v>
      </c>
    </row>
    <row r="12" spans="2:18" ht="30" customHeight="1">
      <c r="B12" s="63" t="s">
        <v>191</v>
      </c>
      <c r="C12" s="65">
        <f>EINSTELLUNG!C10</f>
        <v>5</v>
      </c>
      <c r="D12" s="65">
        <f>EINSTELLUNG!C26</f>
        <v>5</v>
      </c>
      <c r="E12" s="83">
        <f t="shared" si="2"/>
        <v>0</v>
      </c>
      <c r="F12" s="65">
        <f>EINSTELLUNG!D10</f>
        <v>5</v>
      </c>
      <c r="G12" s="65">
        <f>Mai!$S$36</f>
        <v>152364.03709999999</v>
      </c>
      <c r="H12" s="83">
        <f t="shared" ref="H12:H23" si="3">G12-F12</f>
        <v>152359.03709999999</v>
      </c>
      <c r="I12" s="66">
        <f>EINSTELLUNG!E10</f>
        <v>1</v>
      </c>
      <c r="J12" s="66">
        <f>EINSTELLUNG!E26</f>
        <v>30472.807419999997</v>
      </c>
      <c r="K12" s="67">
        <f t="shared" si="0"/>
        <v>30471.807419999997</v>
      </c>
      <c r="L12" s="65">
        <f>Mai!S40</f>
        <v>5.4910539748641513E-4</v>
      </c>
      <c r="M12" s="62">
        <f>Mai!S41</f>
        <v>5.4910539748641513E-4</v>
      </c>
      <c r="N12" s="62">
        <f>Mai!O5</f>
        <v>882.31923110470257</v>
      </c>
      <c r="O12" s="62">
        <f>Mai!P5</f>
        <v>5</v>
      </c>
      <c r="P12" s="85">
        <f t="shared" si="1"/>
        <v>-877.31923110470257</v>
      </c>
      <c r="Q12" s="66">
        <f>Mai!Q31</f>
        <v>0</v>
      </c>
    </row>
    <row r="13" spans="2:18" ht="30" customHeight="1">
      <c r="B13" s="63" t="s">
        <v>192</v>
      </c>
      <c r="C13" s="65">
        <f>EINSTELLUNG!C11</f>
        <v>6</v>
      </c>
      <c r="D13" s="65">
        <f>EINSTELLUNG!C27</f>
        <v>6</v>
      </c>
      <c r="E13" s="83">
        <f t="shared" si="2"/>
        <v>0</v>
      </c>
      <c r="F13" s="65">
        <f>EINSTELLUNG!D11</f>
        <v>6</v>
      </c>
      <c r="G13" s="65">
        <f>Juni!$S$36</f>
        <v>150391.65</v>
      </c>
      <c r="H13" s="83">
        <f t="shared" si="3"/>
        <v>150385.65</v>
      </c>
      <c r="I13" s="66">
        <f>EINSTELLUNG!E11</f>
        <v>1</v>
      </c>
      <c r="J13" s="66">
        <f>EINSTELLUNG!E27</f>
        <v>25065.274999999998</v>
      </c>
      <c r="K13" s="67">
        <f t="shared" si="0"/>
        <v>25064.274999999998</v>
      </c>
      <c r="L13" s="65">
        <f>Juni!S40</f>
        <v>1.3574660633484163E-2</v>
      </c>
      <c r="M13" s="62">
        <f>Juni!S41</f>
        <v>1.3574660633484163E-2</v>
      </c>
      <c r="N13" s="62">
        <f>Juni!O5</f>
        <v>882.31923110470257</v>
      </c>
      <c r="O13" s="62">
        <f>Juni!P5</f>
        <v>6</v>
      </c>
      <c r="P13" s="85">
        <f t="shared" si="1"/>
        <v>-876.31923110470257</v>
      </c>
      <c r="Q13" s="66">
        <f>Juni!Q31</f>
        <v>1.6666666666666666E-2</v>
      </c>
    </row>
    <row r="14" spans="2:18" ht="30" customHeight="1">
      <c r="B14" s="68" t="s">
        <v>193</v>
      </c>
      <c r="C14" s="69">
        <f>SUM(C11:C13)</f>
        <v>15</v>
      </c>
      <c r="D14" s="69">
        <f>SUM(D11:D13)</f>
        <v>15</v>
      </c>
      <c r="E14" s="84">
        <f t="shared" si="2"/>
        <v>0</v>
      </c>
      <c r="F14" s="69">
        <f>SUM(F11:F13)</f>
        <v>15</v>
      </c>
      <c r="G14" s="69">
        <f>SUM(G11:G13)</f>
        <v>412720.66709999996</v>
      </c>
      <c r="H14" s="84">
        <f t="shared" si="3"/>
        <v>412705.66709999996</v>
      </c>
      <c r="I14" s="70">
        <f>AVERAGE(I11:I13)</f>
        <v>1</v>
      </c>
      <c r="J14" s="70">
        <f>AVERAGE(J11:J13)</f>
        <v>27676.442473333329</v>
      </c>
      <c r="K14" s="71">
        <f t="shared" si="0"/>
        <v>27675.442473333329</v>
      </c>
      <c r="L14" s="69">
        <f>AVERAGE(L11:L13)</f>
        <v>4.8559093455673762E-3</v>
      </c>
      <c r="M14" s="64">
        <f>AVERAGE(M11:M13)</f>
        <v>4.8559093455673762E-3</v>
      </c>
      <c r="N14" s="64">
        <f>SUM(N11:N13)</f>
        <v>2615.6554594869458</v>
      </c>
      <c r="O14" s="64">
        <f>SUM(O11:O13)</f>
        <v>15</v>
      </c>
      <c r="P14" s="86">
        <f t="shared" si="1"/>
        <v>-2600.6554594869458</v>
      </c>
      <c r="Q14" s="70">
        <f>AVERAGE(Q11:Q13)</f>
        <v>5.5555555555555558E-3</v>
      </c>
    </row>
    <row r="15" spans="2:18" ht="30" customHeight="1">
      <c r="B15" s="63" t="s">
        <v>194</v>
      </c>
      <c r="C15" s="65">
        <f>EINSTELLUNG!C12</f>
        <v>7</v>
      </c>
      <c r="D15" s="65">
        <f>EINSTELLUNG!C28</f>
        <v>7</v>
      </c>
      <c r="E15" s="83">
        <f t="shared" si="2"/>
        <v>0</v>
      </c>
      <c r="F15" s="65">
        <f>EINSTELLUNG!D12</f>
        <v>7</v>
      </c>
      <c r="G15" s="65">
        <f>Juli!$S$36</f>
        <v>149317.65</v>
      </c>
      <c r="H15" s="83">
        <f t="shared" si="3"/>
        <v>149310.65</v>
      </c>
      <c r="I15" s="66">
        <f>EINSTELLUNG!E12</f>
        <v>1</v>
      </c>
      <c r="J15" s="66">
        <f>EINSTELLUNG!E28</f>
        <v>21331.092857142856</v>
      </c>
      <c r="K15" s="67">
        <f t="shared" si="0"/>
        <v>21330.092857142856</v>
      </c>
      <c r="L15" s="65">
        <f>Juli!S40</f>
        <v>7.8562971027098616E-4</v>
      </c>
      <c r="M15" s="62">
        <f>Juli!S41</f>
        <v>7.8562971027098616E-4</v>
      </c>
      <c r="N15" s="62">
        <f>Juli!O5</f>
        <v>865.62444905920199</v>
      </c>
      <c r="O15" s="62">
        <f>Juli!P5</f>
        <v>7</v>
      </c>
      <c r="P15" s="85">
        <f t="shared" si="1"/>
        <v>-858.62444905920199</v>
      </c>
      <c r="Q15" s="66">
        <f>Juli!Q31</f>
        <v>0</v>
      </c>
    </row>
    <row r="16" spans="2:18" ht="30" customHeight="1">
      <c r="B16" s="63" t="s">
        <v>195</v>
      </c>
      <c r="C16" s="65">
        <f>EINSTELLUNG!C13</f>
        <v>8</v>
      </c>
      <c r="D16" s="65">
        <f>EINSTELLUNG!C29</f>
        <v>8</v>
      </c>
      <c r="E16" s="83">
        <f t="shared" si="2"/>
        <v>0</v>
      </c>
      <c r="F16" s="65">
        <f>EINSTELLUNG!D13</f>
        <v>8</v>
      </c>
      <c r="G16" s="65">
        <f>August!$S$36</f>
        <v>148797.10159999999</v>
      </c>
      <c r="H16" s="83">
        <f t="shared" si="3"/>
        <v>148789.10159999999</v>
      </c>
      <c r="I16" s="66">
        <f>EINSTELLUNG!E13</f>
        <v>1</v>
      </c>
      <c r="J16" s="66">
        <f>EINSTELLUNG!E29</f>
        <v>18599.637699999999</v>
      </c>
      <c r="K16" s="67">
        <f t="shared" si="0"/>
        <v>18598.637699999999</v>
      </c>
      <c r="L16" s="65">
        <f>August!S40</f>
        <v>8.987350304446492E-4</v>
      </c>
      <c r="M16" s="62">
        <f>August!S41</f>
        <v>8.987350304446492E-4</v>
      </c>
      <c r="N16" s="62">
        <f>August!O5</f>
        <v>865.62444905920199</v>
      </c>
      <c r="O16" s="62">
        <f>August!P5</f>
        <v>8</v>
      </c>
      <c r="P16" s="85">
        <f t="shared" si="1"/>
        <v>-857.62444905920199</v>
      </c>
      <c r="Q16" s="66">
        <f>August!Q31</f>
        <v>1.8518518518518517E-2</v>
      </c>
    </row>
    <row r="17" spans="2:17" ht="30" customHeight="1">
      <c r="B17" s="63" t="s">
        <v>196</v>
      </c>
      <c r="C17" s="65">
        <f>EINSTELLUNG!C14</f>
        <v>9</v>
      </c>
      <c r="D17" s="65">
        <f>EINSTELLUNG!C30</f>
        <v>9</v>
      </c>
      <c r="E17" s="83">
        <f t="shared" si="2"/>
        <v>0</v>
      </c>
      <c r="F17" s="65">
        <f>EINSTELLUNG!D14</f>
        <v>9</v>
      </c>
      <c r="G17" s="65">
        <f>September!$S$36</f>
        <v>151793.4</v>
      </c>
      <c r="H17" s="83">
        <f t="shared" si="3"/>
        <v>151784.4</v>
      </c>
      <c r="I17" s="66">
        <f>EINSTELLUNG!E14</f>
        <v>1</v>
      </c>
      <c r="J17" s="66">
        <f>EINSTELLUNG!E30</f>
        <v>16865.933333333334</v>
      </c>
      <c r="K17" s="67">
        <f t="shared" si="0"/>
        <v>16864.933333333334</v>
      </c>
      <c r="L17" s="65">
        <f>September!S40</f>
        <v>1.0331550949469533E-3</v>
      </c>
      <c r="M17" s="62">
        <f>September!S41</f>
        <v>1.0331550949469533E-3</v>
      </c>
      <c r="N17" s="62">
        <f>September!O5</f>
        <v>859.3643883002909</v>
      </c>
      <c r="O17" s="62">
        <f>September!P5</f>
        <v>9</v>
      </c>
      <c r="P17" s="85">
        <f t="shared" si="1"/>
        <v>-850.3643883002909</v>
      </c>
      <c r="Q17" s="66">
        <f>September!Q31</f>
        <v>0</v>
      </c>
    </row>
    <row r="18" spans="2:17" ht="30" customHeight="1">
      <c r="B18" s="68" t="s">
        <v>197</v>
      </c>
      <c r="C18" s="69">
        <f>SUM(C15:C17)</f>
        <v>24</v>
      </c>
      <c r="D18" s="69">
        <f>SUM(D15:D17)</f>
        <v>24</v>
      </c>
      <c r="E18" s="84">
        <f>D18-C18</f>
        <v>0</v>
      </c>
      <c r="F18" s="69">
        <f>SUM(F15:F17)</f>
        <v>24</v>
      </c>
      <c r="G18" s="69">
        <f>SUM(G15:G17)</f>
        <v>449908.15159999998</v>
      </c>
      <c r="H18" s="84">
        <f t="shared" si="3"/>
        <v>449884.15159999998</v>
      </c>
      <c r="I18" s="70">
        <f>AVERAGE(I15:I17)</f>
        <v>1</v>
      </c>
      <c r="J18" s="70">
        <f>AVERAGE(J15:J17)</f>
        <v>18932.221296825399</v>
      </c>
      <c r="K18" s="71">
        <f t="shared" si="0"/>
        <v>18931.221296825399</v>
      </c>
      <c r="L18" s="69">
        <f>AVERAGE(L15:L17)</f>
        <v>9.0583994522086281E-4</v>
      </c>
      <c r="M18" s="64">
        <f>AVERAGE(M15:M17)</f>
        <v>9.0583994522086281E-4</v>
      </c>
      <c r="N18" s="64">
        <f>SUM(N15:N17)</f>
        <v>2590.6132864186948</v>
      </c>
      <c r="O18" s="64">
        <f>SUM(O15:O17)</f>
        <v>24</v>
      </c>
      <c r="P18" s="86">
        <f t="shared" si="1"/>
        <v>-2566.6132864186948</v>
      </c>
      <c r="Q18" s="70">
        <f>AVERAGE(Q15:Q17)</f>
        <v>6.1728395061728392E-3</v>
      </c>
    </row>
    <row r="19" spans="2:17" ht="30" customHeight="1">
      <c r="B19" s="63" t="s">
        <v>198</v>
      </c>
      <c r="C19" s="65">
        <f>EINSTELLUNG!C15</f>
        <v>10</v>
      </c>
      <c r="D19" s="65">
        <f>EINSTELLUNG!C31</f>
        <v>10</v>
      </c>
      <c r="E19" s="83">
        <f>D19-C19</f>
        <v>0</v>
      </c>
      <c r="F19" s="65">
        <f>EINSTELLUNG!D15</f>
        <v>10</v>
      </c>
      <c r="G19" s="65">
        <f>Oktober!$S$36</f>
        <v>151794.4</v>
      </c>
      <c r="H19" s="83">
        <f t="shared" si="3"/>
        <v>151784.4</v>
      </c>
      <c r="I19" s="66">
        <f>EINSTELLUNG!E15</f>
        <v>1</v>
      </c>
      <c r="J19" s="66">
        <f>EINSTELLUNG!E31</f>
        <v>15179.439999999999</v>
      </c>
      <c r="K19" s="67">
        <f t="shared" si="0"/>
        <v>15178.439999999999</v>
      </c>
      <c r="L19" s="65">
        <f>Oktober!S40</f>
        <v>1.1115829163044762E-3</v>
      </c>
      <c r="M19" s="62">
        <f>Oktober!S41</f>
        <v>1.1115829163044762E-3</v>
      </c>
      <c r="N19" s="62">
        <f>Oktober!O5</f>
        <v>859.3643883002909</v>
      </c>
      <c r="O19" s="62">
        <f>Oktober!P5</f>
        <v>10</v>
      </c>
      <c r="P19" s="85">
        <f t="shared" si="1"/>
        <v>-849.3643883002909</v>
      </c>
      <c r="Q19" s="66">
        <f>Oktober!Q31</f>
        <v>0</v>
      </c>
    </row>
    <row r="20" spans="2:17" ht="30" customHeight="1">
      <c r="B20" s="63" t="s">
        <v>199</v>
      </c>
      <c r="C20" s="65">
        <f>EINSTELLUNG!C16</f>
        <v>11</v>
      </c>
      <c r="D20" s="65">
        <f>EINSTELLUNG!C32</f>
        <v>11</v>
      </c>
      <c r="E20" s="83">
        <f>D20-C20</f>
        <v>0</v>
      </c>
      <c r="F20" s="65">
        <f>EINSTELLUNG!D16</f>
        <v>11</v>
      </c>
      <c r="G20" s="65">
        <f>November!$S$36</f>
        <v>151795.4</v>
      </c>
      <c r="H20" s="83">
        <f t="shared" si="3"/>
        <v>151784.4</v>
      </c>
      <c r="I20" s="66">
        <f>EINSTELLUNG!E16</f>
        <v>1</v>
      </c>
      <c r="J20" s="66">
        <f>EINSTELLUNG!E32</f>
        <v>13799.581818181818</v>
      </c>
      <c r="K20" s="67">
        <f t="shared" si="0"/>
        <v>13798.581818181818</v>
      </c>
      <c r="L20" s="65">
        <f>November!S40</f>
        <v>1.2398305715168088E-3</v>
      </c>
      <c r="M20" s="62">
        <f>November!S41</f>
        <v>1.2398305715168088E-3</v>
      </c>
      <c r="N20" s="62">
        <f>November!O5</f>
        <v>859.3643883002909</v>
      </c>
      <c r="O20" s="62">
        <f>November!P5</f>
        <v>11</v>
      </c>
      <c r="P20" s="85">
        <f t="shared" si="1"/>
        <v>-848.3643883002909</v>
      </c>
      <c r="Q20" s="66">
        <f>November!Q31</f>
        <v>0</v>
      </c>
    </row>
    <row r="21" spans="2:17" ht="30" customHeight="1">
      <c r="B21" s="63" t="s">
        <v>200</v>
      </c>
      <c r="C21" s="65">
        <f>EINSTELLUNG!C17</f>
        <v>12</v>
      </c>
      <c r="D21" s="65">
        <f>EINSTELLUNG!C33</f>
        <v>12</v>
      </c>
      <c r="E21" s="83">
        <f t="shared" si="2"/>
        <v>0</v>
      </c>
      <c r="F21" s="65">
        <f>EINSTELLUNG!D17</f>
        <v>12</v>
      </c>
      <c r="G21" s="65">
        <f>Dezember!$S$36</f>
        <v>151796.4</v>
      </c>
      <c r="H21" s="83">
        <f t="shared" si="3"/>
        <v>151784.4</v>
      </c>
      <c r="I21" s="66">
        <f>EINSTELLUNG!E17</f>
        <v>1</v>
      </c>
      <c r="J21" s="66">
        <f>EINSTELLUNG!E33</f>
        <v>12649.699999999999</v>
      </c>
      <c r="K21" s="67">
        <f t="shared" si="0"/>
        <v>12648.699999999999</v>
      </c>
      <c r="L21" s="65">
        <f>Dezember!S40</f>
        <v>1.3083040236890251E-3</v>
      </c>
      <c r="M21" s="62">
        <f>Dezember!S41</f>
        <v>1.3083040236890251E-3</v>
      </c>
      <c r="N21" s="62">
        <f>Dezember!O5</f>
        <v>859.3643883002909</v>
      </c>
      <c r="O21" s="72">
        <f>Dezember!P5</f>
        <v>12</v>
      </c>
      <c r="P21" s="85">
        <f t="shared" si="1"/>
        <v>-847.3643883002909</v>
      </c>
      <c r="Q21" s="66">
        <f>Dezember!Q31</f>
        <v>0</v>
      </c>
    </row>
    <row r="22" spans="2:17" ht="30" customHeight="1">
      <c r="B22" s="68" t="s">
        <v>201</v>
      </c>
      <c r="C22" s="69">
        <f>SUM(C19:C21)</f>
        <v>33</v>
      </c>
      <c r="D22" s="69">
        <f>SUM(D19:D21)</f>
        <v>33</v>
      </c>
      <c r="E22" s="84">
        <f>D22-C22</f>
        <v>0</v>
      </c>
      <c r="F22" s="69">
        <f>SUM(F19:F21)</f>
        <v>33</v>
      </c>
      <c r="G22" s="69">
        <f>SUM(G19:G21)</f>
        <v>455386.19999999995</v>
      </c>
      <c r="H22" s="84">
        <f t="shared" si="3"/>
        <v>455353.19999999995</v>
      </c>
      <c r="I22" s="70">
        <f>AVERAGE(I19:I21)</f>
        <v>1</v>
      </c>
      <c r="J22" s="70">
        <f>AVERAGE(J19:J21)</f>
        <v>13876.240606060606</v>
      </c>
      <c r="K22" s="71">
        <f t="shared" si="0"/>
        <v>13875.240606060606</v>
      </c>
      <c r="L22" s="69">
        <f>AVERAGE(L19:L21)</f>
        <v>1.2199058371701035E-3</v>
      </c>
      <c r="M22" s="64">
        <f>AVERAGE(M19:M21)</f>
        <v>1.2199058371701035E-3</v>
      </c>
      <c r="N22" s="64">
        <f>SUM(N19:N21)</f>
        <v>2578.0931649008726</v>
      </c>
      <c r="O22" s="64">
        <f>SUM(O19:O21)</f>
        <v>33</v>
      </c>
      <c r="P22" s="86">
        <f>O22-N22</f>
        <v>-2545.0931649008726</v>
      </c>
      <c r="Q22" s="70">
        <f>AVERAGE(Q19:Q21)</f>
        <v>0</v>
      </c>
    </row>
    <row r="23" spans="2:17" ht="30" customHeight="1">
      <c r="B23" s="73">
        <f>LOHNTABELLE!G3</f>
        <v>2026</v>
      </c>
      <c r="C23" s="74">
        <f>SUM(C10,C14,C18,C22)</f>
        <v>78</v>
      </c>
      <c r="D23" s="74">
        <f>SUM(D10,D14,D18,D22)</f>
        <v>78</v>
      </c>
      <c r="E23" s="84">
        <f>D23-C23</f>
        <v>0</v>
      </c>
      <c r="F23" s="74">
        <f>SUM(F10,F14,F18,F22)</f>
        <v>78</v>
      </c>
      <c r="G23" s="74">
        <f>SUM(G10,G14,G18,G22)</f>
        <v>1630971.8532999998</v>
      </c>
      <c r="H23" s="84">
        <f t="shared" si="3"/>
        <v>1630893.8532999998</v>
      </c>
      <c r="I23" s="75">
        <f>AVERAGE(I10,I14,I18,I22)</f>
        <v>1</v>
      </c>
      <c r="J23" s="75">
        <f>AVERAGE(J10,J14,J18,J22)</f>
        <v>30605.878655165947</v>
      </c>
      <c r="K23" s="71">
        <f>J23-I23</f>
        <v>30604.878655165947</v>
      </c>
      <c r="L23" s="74">
        <f>AVERAGE(L22,L18,L14,L10)</f>
        <v>1.8034246591058861E-3</v>
      </c>
      <c r="M23" s="76">
        <f>AVERAGE(M10,M14,M18,M22)</f>
        <v>1.8034246591058861E-3</v>
      </c>
      <c r="N23" s="76">
        <f>SUM(N10,N14,N18,N22)</f>
        <v>10177.559882045316</v>
      </c>
      <c r="O23" s="76">
        <f>SUM(O10,O14,O18,O22)</f>
        <v>78</v>
      </c>
      <c r="P23" s="86">
        <f t="shared" si="1"/>
        <v>-10099.559882045316</v>
      </c>
      <c r="Q23" s="75">
        <f>AVERAGE(Q22,Q18,Q14,Q10)</f>
        <v>6.1686497961007773E-3</v>
      </c>
    </row>
    <row r="24" spans="2:17" ht="15">
      <c r="O24" s="4"/>
    </row>
    <row r="25" spans="2:17">
      <c r="B25" s="375" t="s">
        <v>204</v>
      </c>
      <c r="C25" s="375"/>
      <c r="D25" s="375"/>
      <c r="E25" s="375"/>
    </row>
    <row r="26" spans="2:17">
      <c r="B26" s="375"/>
      <c r="C26" s="375"/>
      <c r="D26" s="375"/>
      <c r="E26" s="375"/>
    </row>
    <row r="27" spans="2:17">
      <c r="B27" s="375"/>
      <c r="C27" s="375"/>
      <c r="D27" s="375"/>
      <c r="E27" s="375"/>
    </row>
  </sheetData>
  <sheetProtection algorithmName="SHA-512" hashValue="TpRzz9VoTxzAZ0I8WSW73Sm9UlF/IzWx8vgQ9y86v3/z/oUtSoW2KxoqCSaScWTXvi4PmaVptGiibmE6cG/FnA==" saltValue="87pi9e5CfKEbWRJ+vR3f8w==" spinCount="100000" sheet="1" objects="1" scenarios="1" selectLockedCells="1" sort="0" autoFilter="0"/>
  <mergeCells count="10">
    <mergeCell ref="B25:E27"/>
    <mergeCell ref="B2:Q3"/>
    <mergeCell ref="L4:L6"/>
    <mergeCell ref="M4:M6"/>
    <mergeCell ref="B4:B6"/>
    <mergeCell ref="Q4:Q6"/>
    <mergeCell ref="C4:E5"/>
    <mergeCell ref="N4:P5"/>
    <mergeCell ref="F4:H5"/>
    <mergeCell ref="I4:K5"/>
  </mergeCells>
  <pageMargins left="0.7" right="0.7" top="0.78740157499999996" bottom="0.78740157499999996"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12D849-D845-564E-BDB5-7C32DCEB5328}">
  <sheetPr codeName="Tabelle13"/>
  <dimension ref="A1:K5"/>
  <sheetViews>
    <sheetView workbookViewId="0">
      <selection activeCell="F18" sqref="F18"/>
    </sheetView>
  </sheetViews>
  <sheetFormatPr baseColWidth="10" defaultRowHeight="15"/>
  <cols>
    <col min="1" max="1" width="6.33203125" bestFit="1" customWidth="1"/>
    <col min="2" max="2" width="9.83203125" bestFit="1" customWidth="1"/>
    <col min="3" max="3" width="20.6640625" bestFit="1" customWidth="1"/>
    <col min="4" max="4" width="12.33203125" style="180" bestFit="1" customWidth="1"/>
    <col min="5" max="5" width="12.83203125" style="180" bestFit="1" customWidth="1"/>
    <col min="6" max="6" width="21.5" bestFit="1" customWidth="1"/>
    <col min="7" max="7" width="18.5" bestFit="1" customWidth="1"/>
    <col min="8" max="8" width="13" style="182" bestFit="1" customWidth="1"/>
    <col min="9" max="9" width="9.5" style="182" bestFit="1" customWidth="1"/>
    <col min="10" max="10" width="11.6640625" style="182" bestFit="1" customWidth="1"/>
    <col min="11" max="11" width="24.33203125" bestFit="1" customWidth="1"/>
  </cols>
  <sheetData>
    <row r="1" spans="1:11">
      <c r="A1" s="178" t="s">
        <v>231</v>
      </c>
      <c r="B1" s="178" t="s">
        <v>205</v>
      </c>
      <c r="C1" s="178" t="s">
        <v>52</v>
      </c>
      <c r="D1" s="179" t="s">
        <v>232</v>
      </c>
      <c r="E1" s="179" t="s">
        <v>233</v>
      </c>
      <c r="F1" s="178" t="s">
        <v>208</v>
      </c>
      <c r="G1" s="178" t="s">
        <v>243</v>
      </c>
      <c r="H1" s="181" t="s">
        <v>234</v>
      </c>
      <c r="I1" s="181" t="s">
        <v>235</v>
      </c>
      <c r="J1" s="181" t="s">
        <v>244</v>
      </c>
      <c r="K1" s="178" t="s">
        <v>236</v>
      </c>
    </row>
    <row r="2" spans="1:11">
      <c r="A2" t="s">
        <v>317</v>
      </c>
      <c r="B2">
        <v>401691</v>
      </c>
      <c r="C2" t="s">
        <v>291</v>
      </c>
      <c r="D2" s="180">
        <v>45539</v>
      </c>
      <c r="E2" s="180">
        <v>46047</v>
      </c>
      <c r="F2" t="s">
        <v>335</v>
      </c>
      <c r="G2">
        <v>509</v>
      </c>
      <c r="H2" s="182">
        <v>0.5</v>
      </c>
      <c r="I2" s="182">
        <v>1.25</v>
      </c>
      <c r="J2" s="182">
        <v>0.625</v>
      </c>
      <c r="K2" t="s">
        <v>318</v>
      </c>
    </row>
    <row r="3" spans="1:11">
      <c r="A3" t="s">
        <v>357</v>
      </c>
      <c r="B3">
        <v>401754</v>
      </c>
      <c r="C3" t="s">
        <v>313</v>
      </c>
      <c r="D3" s="180">
        <v>46014</v>
      </c>
      <c r="E3" s="180">
        <v>46096</v>
      </c>
      <c r="F3" t="s">
        <v>358</v>
      </c>
      <c r="G3">
        <v>83</v>
      </c>
      <c r="H3" s="182">
        <v>1</v>
      </c>
      <c r="I3" s="182">
        <v>0.5</v>
      </c>
      <c r="J3" s="182">
        <v>0.5</v>
      </c>
      <c r="K3" t="s">
        <v>256</v>
      </c>
    </row>
    <row r="4" spans="1:11">
      <c r="A4" t="s">
        <v>192</v>
      </c>
      <c r="B4">
        <v>600000</v>
      </c>
      <c r="C4" t="s">
        <v>372</v>
      </c>
      <c r="D4" s="180">
        <v>46054</v>
      </c>
      <c r="E4" s="180">
        <v>46179</v>
      </c>
      <c r="G4">
        <v>126</v>
      </c>
      <c r="H4" s="182">
        <v>0</v>
      </c>
      <c r="I4" s="182">
        <v>0.75</v>
      </c>
      <c r="J4" s="182">
        <v>0</v>
      </c>
      <c r="K4" t="s">
        <v>407</v>
      </c>
    </row>
    <row r="5" spans="1:11">
      <c r="A5" t="s">
        <v>195</v>
      </c>
      <c r="B5">
        <v>401746</v>
      </c>
      <c r="C5" t="s">
        <v>309</v>
      </c>
      <c r="D5" s="180">
        <v>45941</v>
      </c>
      <c r="E5" s="180">
        <v>46249</v>
      </c>
      <c r="F5" t="s">
        <v>358</v>
      </c>
      <c r="G5">
        <v>309</v>
      </c>
      <c r="H5" s="182">
        <v>1</v>
      </c>
      <c r="I5" s="182">
        <v>1</v>
      </c>
      <c r="J5" s="182">
        <v>1</v>
      </c>
      <c r="K5" t="s">
        <v>257</v>
      </c>
    </row>
  </sheetData>
  <sheetProtection algorithmName="SHA-512" hashValue="cXYU7jRMTmSWzNljynbQF+ObAhU0K0zpt/b4KUkBxY0RdkzpnRJbIjlEoXn8wpco9+Tr+Kqg7I+FLZ44p2Srrw==" saltValue="QSovZdcDt7G6j9k6NgVeiw==" spinCount="100000" sheet="1" objects="1" scenarios="1"/>
  <pageMargins left="0.7" right="0.7" top="0.78740157499999996" bottom="0.78740157499999996"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D933E-DBC5-5D44-B5DD-FA9F59ABAFA7}">
  <sheetPr codeName="Tabelle15"/>
  <dimension ref="A1:L43"/>
  <sheetViews>
    <sheetView showGridLines="0" topLeftCell="A3" zoomScale="120" zoomScaleNormal="120" workbookViewId="0">
      <selection activeCell="C24" sqref="C24"/>
    </sheetView>
  </sheetViews>
  <sheetFormatPr baseColWidth="10" defaultColWidth="10.83203125" defaultRowHeight="15" customHeight="1"/>
  <cols>
    <col min="1" max="1" width="32.83203125" style="204" customWidth="1"/>
    <col min="2" max="5" width="16.83203125" style="204" customWidth="1"/>
    <col min="6" max="7" width="18.83203125" style="204" customWidth="1"/>
    <col min="8" max="8" width="22.83203125" style="204" customWidth="1"/>
    <col min="9" max="12" width="36.83203125" style="204" customWidth="1"/>
    <col min="13" max="16384" width="10.83203125" style="204"/>
  </cols>
  <sheetData>
    <row r="1" spans="1:12" ht="15" customHeight="1">
      <c r="A1" s="387" t="s">
        <v>237</v>
      </c>
      <c r="B1" s="383"/>
      <c r="C1" s="383"/>
      <c r="D1" s="383"/>
      <c r="E1" s="383"/>
      <c r="F1" s="215"/>
      <c r="G1" s="215"/>
      <c r="H1" s="215"/>
      <c r="I1" s="215"/>
      <c r="J1" s="215"/>
      <c r="K1" s="215"/>
      <c r="L1" s="215"/>
    </row>
    <row r="2" spans="1:12" ht="15" customHeight="1">
      <c r="A2" s="216" t="s">
        <v>238</v>
      </c>
      <c r="B2" s="216">
        <v>2026</v>
      </c>
      <c r="C2" s="215"/>
      <c r="D2" s="215"/>
      <c r="E2" s="215"/>
      <c r="F2" s="215"/>
      <c r="G2" s="215"/>
      <c r="H2" s="215"/>
      <c r="I2" s="215"/>
      <c r="J2" s="215"/>
      <c r="K2" s="215"/>
      <c r="L2" s="215"/>
    </row>
    <row r="3" spans="1:12" ht="15" customHeight="1">
      <c r="A3" s="215"/>
      <c r="B3" s="215"/>
      <c r="C3" s="215"/>
      <c r="D3" s="215"/>
      <c r="E3" s="215"/>
      <c r="F3" s="215"/>
      <c r="G3" s="215"/>
      <c r="H3" s="215"/>
      <c r="I3" s="215"/>
      <c r="J3" s="215"/>
      <c r="K3" s="215"/>
      <c r="L3" s="215"/>
    </row>
    <row r="4" spans="1:12" ht="15" customHeight="1">
      <c r="A4" s="388" t="s">
        <v>246</v>
      </c>
      <c r="B4" s="389"/>
      <c r="C4" s="389"/>
      <c r="D4" s="389"/>
      <c r="E4" s="389"/>
      <c r="F4" s="215"/>
      <c r="G4" s="215"/>
      <c r="H4" s="215"/>
      <c r="I4" s="215"/>
      <c r="J4" s="215"/>
      <c r="K4" s="215"/>
      <c r="L4" s="215"/>
    </row>
    <row r="5" spans="1:12" ht="42" customHeight="1">
      <c r="A5" s="390" t="s">
        <v>336</v>
      </c>
      <c r="B5" s="390"/>
      <c r="C5" s="390"/>
      <c r="D5" s="390"/>
      <c r="E5" s="390"/>
      <c r="F5" s="215"/>
      <c r="G5" s="215"/>
      <c r="H5" s="215"/>
      <c r="I5" s="215"/>
      <c r="J5" s="215"/>
      <c r="K5" s="215"/>
      <c r="L5" s="215"/>
    </row>
    <row r="6" spans="1:12" ht="42" customHeight="1">
      <c r="A6" s="390"/>
      <c r="B6" s="390"/>
      <c r="C6" s="390"/>
      <c r="D6" s="390"/>
      <c r="E6" s="390"/>
      <c r="F6" s="215"/>
      <c r="G6" s="215"/>
      <c r="H6" s="215"/>
      <c r="I6" s="215"/>
      <c r="J6" s="215"/>
      <c r="K6" s="215"/>
      <c r="L6" s="215"/>
    </row>
    <row r="7" spans="1:12" ht="15" customHeight="1">
      <c r="A7" s="215"/>
      <c r="B7" s="215"/>
      <c r="C7" s="215"/>
      <c r="D7" s="215"/>
      <c r="E7" s="215"/>
      <c r="F7" s="215"/>
      <c r="G7" s="215"/>
      <c r="H7" s="215"/>
      <c r="I7" s="215"/>
      <c r="J7" s="215"/>
      <c r="K7" s="215"/>
      <c r="L7" s="215"/>
    </row>
    <row r="8" spans="1:12" ht="15" customHeight="1">
      <c r="A8" s="217" t="s">
        <v>239</v>
      </c>
      <c r="B8" s="217" t="s">
        <v>240</v>
      </c>
      <c r="C8" s="217" t="s">
        <v>337</v>
      </c>
      <c r="D8" s="217"/>
      <c r="E8" s="217"/>
      <c r="F8" s="215"/>
      <c r="G8" s="215"/>
      <c r="H8" s="215"/>
      <c r="I8" s="215"/>
      <c r="J8" s="215"/>
      <c r="K8" s="215"/>
      <c r="L8" s="215"/>
    </row>
    <row r="9" spans="1:12" ht="15" customHeight="1">
      <c r="A9" s="218" t="s">
        <v>241</v>
      </c>
      <c r="B9" s="205">
        <v>4</v>
      </c>
      <c r="C9" s="380" t="s">
        <v>247</v>
      </c>
      <c r="D9" s="380"/>
      <c r="E9" s="380"/>
      <c r="F9" s="215"/>
      <c r="G9" s="215"/>
      <c r="H9" s="215"/>
      <c r="I9" s="215"/>
      <c r="J9" s="215"/>
      <c r="K9" s="215"/>
      <c r="L9" s="215"/>
    </row>
    <row r="10" spans="1:12" ht="15" customHeight="1">
      <c r="A10" s="218" t="s">
        <v>258</v>
      </c>
      <c r="B10" s="213">
        <v>3.484320557491289E-2</v>
      </c>
      <c r="C10" s="380" t="s">
        <v>259</v>
      </c>
      <c r="D10" s="380"/>
      <c r="E10" s="380"/>
      <c r="F10" s="215"/>
      <c r="G10" s="215"/>
      <c r="H10" s="215"/>
      <c r="I10" s="215"/>
      <c r="J10" s="215"/>
      <c r="K10" s="215"/>
      <c r="L10" s="215"/>
    </row>
    <row r="11" spans="1:12" ht="15" customHeight="1">
      <c r="A11" s="218" t="s">
        <v>244</v>
      </c>
      <c r="B11" s="214">
        <v>2.125</v>
      </c>
      <c r="C11" s="380" t="s">
        <v>338</v>
      </c>
      <c r="D11" s="380"/>
      <c r="E11" s="380"/>
      <c r="F11" s="215"/>
      <c r="G11" s="215"/>
      <c r="H11" s="215"/>
      <c r="I11" s="215"/>
      <c r="J11" s="215"/>
      <c r="K11" s="215"/>
      <c r="L11" s="215"/>
    </row>
    <row r="12" spans="1:12" ht="15" customHeight="1">
      <c r="A12" s="218" t="s">
        <v>314</v>
      </c>
      <c r="B12" s="214">
        <v>0.53125</v>
      </c>
      <c r="C12" s="380" t="s">
        <v>248</v>
      </c>
      <c r="D12" s="380"/>
      <c r="E12" s="380"/>
      <c r="F12" s="215"/>
      <c r="G12" s="215"/>
      <c r="H12" s="215"/>
      <c r="I12" s="215"/>
      <c r="J12" s="215"/>
      <c r="K12" s="215"/>
      <c r="L12" s="215"/>
    </row>
    <row r="13" spans="1:12" ht="15" customHeight="1">
      <c r="A13" s="218" t="s">
        <v>249</v>
      </c>
      <c r="B13" s="205">
        <v>1</v>
      </c>
      <c r="C13" s="380" t="s">
        <v>250</v>
      </c>
      <c r="D13" s="380"/>
      <c r="E13" s="380"/>
      <c r="F13" s="215"/>
      <c r="G13" s="215"/>
      <c r="H13" s="215"/>
      <c r="I13" s="215"/>
      <c r="J13" s="215"/>
      <c r="K13" s="215"/>
      <c r="L13" s="215"/>
    </row>
    <row r="14" spans="1:12" ht="15" customHeight="1">
      <c r="A14" s="218" t="s">
        <v>245</v>
      </c>
      <c r="B14" s="205">
        <v>0</v>
      </c>
      <c r="C14" s="380" t="s">
        <v>251</v>
      </c>
      <c r="D14" s="380"/>
      <c r="E14" s="380"/>
      <c r="F14" s="215"/>
      <c r="G14" s="215"/>
      <c r="H14" s="215"/>
      <c r="I14" s="215"/>
      <c r="J14" s="215"/>
      <c r="K14" s="215"/>
      <c r="L14" s="215"/>
    </row>
    <row r="15" spans="1:12" ht="15" customHeight="1">
      <c r="A15" s="218" t="s">
        <v>252</v>
      </c>
      <c r="B15" s="205">
        <v>1</v>
      </c>
      <c r="C15" s="380" t="s">
        <v>339</v>
      </c>
      <c r="D15" s="380"/>
      <c r="E15" s="380"/>
      <c r="F15" s="215"/>
      <c r="G15" s="215"/>
      <c r="H15" s="215"/>
      <c r="I15" s="215"/>
      <c r="J15" s="215"/>
      <c r="K15" s="215"/>
      <c r="L15" s="215"/>
    </row>
    <row r="16" spans="1:12" ht="15" customHeight="1">
      <c r="A16" s="218" t="s">
        <v>242</v>
      </c>
      <c r="B16" s="205">
        <v>0</v>
      </c>
      <c r="C16" s="380" t="s">
        <v>340</v>
      </c>
      <c r="D16" s="380"/>
      <c r="E16" s="380"/>
      <c r="F16" s="215"/>
      <c r="G16" s="215"/>
      <c r="H16" s="215"/>
      <c r="I16" s="215"/>
      <c r="J16" s="215"/>
      <c r="K16" s="215"/>
      <c r="L16" s="215"/>
    </row>
    <row r="17" spans="1:12" ht="15" customHeight="1">
      <c r="A17" s="218" t="s">
        <v>341</v>
      </c>
      <c r="B17" s="205">
        <v>1</v>
      </c>
      <c r="C17" s="380" t="s">
        <v>315</v>
      </c>
      <c r="D17" s="380"/>
      <c r="E17" s="380"/>
      <c r="F17" s="215"/>
      <c r="G17" s="215"/>
      <c r="H17" s="215"/>
      <c r="I17" s="215"/>
      <c r="J17" s="215"/>
      <c r="K17" s="215"/>
      <c r="L17" s="215"/>
    </row>
    <row r="18" spans="1:12" ht="15" customHeight="1" thickBot="1">
      <c r="A18" s="215"/>
      <c r="B18" s="215"/>
      <c r="C18" s="215"/>
      <c r="D18" s="215"/>
      <c r="E18" s="215"/>
      <c r="F18" s="215"/>
      <c r="G18" s="215"/>
      <c r="H18" s="215"/>
      <c r="I18" s="215"/>
      <c r="J18" s="215"/>
      <c r="K18" s="215"/>
      <c r="L18" s="215"/>
    </row>
    <row r="19" spans="1:12" ht="24" customHeight="1" thickBot="1">
      <c r="A19" s="207" t="s">
        <v>342</v>
      </c>
      <c r="B19" s="208" t="s">
        <v>408</v>
      </c>
      <c r="C19" s="215"/>
      <c r="D19" s="215"/>
      <c r="E19" s="215"/>
      <c r="F19" s="215"/>
      <c r="G19" s="215"/>
      <c r="H19" s="215"/>
      <c r="I19" s="215"/>
      <c r="J19" s="215"/>
      <c r="K19" s="215"/>
      <c r="L19" s="215"/>
    </row>
    <row r="20" spans="1:12" ht="15" customHeight="1">
      <c r="A20" s="215"/>
      <c r="B20" s="215"/>
      <c r="C20" s="215"/>
      <c r="D20" s="215"/>
      <c r="E20" s="215"/>
      <c r="F20" s="215"/>
      <c r="G20" s="215"/>
      <c r="H20" s="215"/>
      <c r="I20" s="215"/>
      <c r="J20" s="215"/>
      <c r="K20" s="215"/>
      <c r="L20" s="215"/>
    </row>
    <row r="21" spans="1:12" ht="48" customHeight="1">
      <c r="A21" s="386" t="s">
        <v>253</v>
      </c>
      <c r="B21" s="381" t="s">
        <v>409</v>
      </c>
      <c r="C21" s="381"/>
      <c r="D21" s="381"/>
      <c r="E21" s="381"/>
      <c r="F21" s="215"/>
      <c r="G21" s="215"/>
      <c r="H21" s="215"/>
      <c r="I21" s="215"/>
      <c r="J21" s="215"/>
      <c r="K21" s="215"/>
      <c r="L21" s="215"/>
    </row>
    <row r="22" spans="1:12" ht="48" customHeight="1">
      <c r="A22" s="385"/>
      <c r="B22" s="381"/>
      <c r="C22" s="381"/>
      <c r="D22" s="381"/>
      <c r="E22" s="381"/>
      <c r="F22" s="215"/>
      <c r="G22" s="215"/>
      <c r="H22" s="215"/>
      <c r="I22" s="215"/>
      <c r="J22" s="215"/>
      <c r="K22" s="215"/>
      <c r="L22" s="215"/>
    </row>
    <row r="23" spans="1:12" ht="15" customHeight="1">
      <c r="A23" s="215"/>
      <c r="B23" s="215"/>
      <c r="C23" s="215"/>
      <c r="D23" s="215"/>
      <c r="E23" s="215"/>
      <c r="F23" s="215"/>
      <c r="G23" s="215"/>
      <c r="H23" s="215"/>
      <c r="I23" s="215"/>
      <c r="J23" s="215"/>
      <c r="K23" s="215"/>
      <c r="L23" s="215"/>
    </row>
    <row r="24" spans="1:12" ht="15" customHeight="1">
      <c r="A24" s="215"/>
      <c r="B24" s="215"/>
      <c r="C24" s="215"/>
      <c r="D24" s="215"/>
      <c r="E24" s="215"/>
      <c r="F24" s="215"/>
      <c r="G24" s="215"/>
      <c r="H24" s="215"/>
      <c r="I24" s="215"/>
      <c r="J24" s="215"/>
      <c r="K24" s="215"/>
      <c r="L24" s="215"/>
    </row>
    <row r="25" spans="1:12" ht="15" customHeight="1">
      <c r="A25" s="382" t="s">
        <v>343</v>
      </c>
      <c r="B25" s="383"/>
      <c r="C25" s="383"/>
      <c r="D25" s="383"/>
      <c r="E25" s="383"/>
      <c r="F25" s="383"/>
      <c r="G25" s="383"/>
      <c r="H25" s="383"/>
      <c r="I25" s="383"/>
      <c r="J25" s="383"/>
      <c r="K25" s="383"/>
      <c r="L25" s="383"/>
    </row>
    <row r="26" spans="1:12" ht="15" customHeight="1">
      <c r="A26" s="215"/>
      <c r="B26" s="215"/>
      <c r="C26" s="215"/>
      <c r="D26" s="215"/>
      <c r="E26" s="215"/>
      <c r="F26" s="215"/>
      <c r="G26" s="215"/>
      <c r="H26" s="215"/>
      <c r="I26" s="215"/>
      <c r="J26" s="215"/>
      <c r="K26" s="215"/>
      <c r="L26" s="215"/>
    </row>
    <row r="27" spans="1:12" ht="15" customHeight="1">
      <c r="A27" s="209" t="s">
        <v>231</v>
      </c>
      <c r="B27" s="209" t="s">
        <v>255</v>
      </c>
      <c r="C27" s="209" t="s">
        <v>260</v>
      </c>
      <c r="D27" s="209" t="s">
        <v>244</v>
      </c>
      <c r="E27" s="209" t="s">
        <v>316</v>
      </c>
      <c r="F27" s="209" t="s">
        <v>359</v>
      </c>
      <c r="G27" s="209" t="s">
        <v>252</v>
      </c>
      <c r="H27" s="209" t="s">
        <v>410</v>
      </c>
      <c r="I27" s="209" t="s">
        <v>344</v>
      </c>
      <c r="J27" s="209" t="s">
        <v>334</v>
      </c>
      <c r="K27" s="209"/>
      <c r="L27" s="209"/>
    </row>
    <row r="28" spans="1:12" ht="42" customHeight="1">
      <c r="A28" s="210" t="s">
        <v>317</v>
      </c>
      <c r="B28" s="210">
        <v>1</v>
      </c>
      <c r="C28" s="211">
        <v>1.9607843137254902E-2</v>
      </c>
      <c r="D28" s="212">
        <v>0.625</v>
      </c>
      <c r="E28" s="212">
        <v>0.625</v>
      </c>
      <c r="F28" s="210">
        <v>0</v>
      </c>
      <c r="G28" s="210">
        <v>0</v>
      </c>
      <c r="H28" s="210">
        <v>0</v>
      </c>
      <c r="I28" s="206" t="s">
        <v>345</v>
      </c>
      <c r="J28" s="380" t="s">
        <v>319</v>
      </c>
      <c r="K28" s="380"/>
      <c r="L28" s="380"/>
    </row>
    <row r="29" spans="1:12" ht="42" customHeight="1">
      <c r="A29" s="210" t="s">
        <v>357</v>
      </c>
      <c r="B29" s="210">
        <v>1</v>
      </c>
      <c r="C29" s="211">
        <v>1.7241379310344827E-2</v>
      </c>
      <c r="D29" s="212">
        <v>0.5</v>
      </c>
      <c r="E29" s="212">
        <v>0.5</v>
      </c>
      <c r="F29" s="210">
        <v>1</v>
      </c>
      <c r="G29" s="210">
        <v>0</v>
      </c>
      <c r="H29" s="210">
        <v>0</v>
      </c>
      <c r="I29" s="206" t="s">
        <v>360</v>
      </c>
      <c r="J29" s="380" t="s">
        <v>361</v>
      </c>
      <c r="K29" s="380"/>
      <c r="L29" s="380"/>
    </row>
    <row r="30" spans="1:12" ht="42" customHeight="1">
      <c r="A30" s="210" t="s">
        <v>192</v>
      </c>
      <c r="B30" s="210">
        <v>1</v>
      </c>
      <c r="C30" s="211">
        <v>1.6666666666666666E-2</v>
      </c>
      <c r="D30" s="212">
        <v>0</v>
      </c>
      <c r="E30" s="212">
        <v>0</v>
      </c>
      <c r="F30" s="210">
        <v>0</v>
      </c>
      <c r="G30" s="210">
        <v>0</v>
      </c>
      <c r="H30" s="210">
        <v>1</v>
      </c>
      <c r="I30" s="206" t="s">
        <v>411</v>
      </c>
      <c r="J30" s="380" t="s">
        <v>412</v>
      </c>
      <c r="K30" s="380"/>
      <c r="L30" s="380"/>
    </row>
    <row r="31" spans="1:12" ht="42" customHeight="1">
      <c r="A31" s="210" t="s">
        <v>195</v>
      </c>
      <c r="B31" s="210">
        <v>1</v>
      </c>
      <c r="C31" s="211">
        <v>1.6949152542372881E-2</v>
      </c>
      <c r="D31" s="212">
        <v>1</v>
      </c>
      <c r="E31" s="212">
        <v>1</v>
      </c>
      <c r="F31" s="210">
        <v>0</v>
      </c>
      <c r="G31" s="210">
        <v>1</v>
      </c>
      <c r="H31" s="210">
        <v>0</v>
      </c>
      <c r="I31" s="206" t="s">
        <v>360</v>
      </c>
      <c r="J31" s="380" t="s">
        <v>363</v>
      </c>
      <c r="K31" s="380"/>
      <c r="L31" s="380"/>
    </row>
    <row r="32" spans="1:12" ht="15" customHeight="1">
      <c r="A32" s="215"/>
      <c r="B32" s="215"/>
      <c r="C32" s="215"/>
      <c r="D32" s="215"/>
      <c r="E32" s="215"/>
      <c r="F32" s="215"/>
      <c r="G32" s="215"/>
      <c r="H32" s="215"/>
      <c r="I32" s="215"/>
      <c r="J32" s="215"/>
      <c r="K32" s="215"/>
      <c r="L32" s="215"/>
    </row>
    <row r="33" spans="1:12" ht="15" customHeight="1">
      <c r="A33" s="215"/>
      <c r="B33" s="215"/>
      <c r="C33" s="215"/>
      <c r="D33" s="215"/>
      <c r="E33" s="215"/>
      <c r="F33" s="215"/>
      <c r="G33" s="215"/>
      <c r="H33" s="215"/>
      <c r="I33" s="215"/>
      <c r="J33" s="215"/>
      <c r="K33" s="215"/>
      <c r="L33" s="215"/>
    </row>
    <row r="34" spans="1:12" ht="15" customHeight="1">
      <c r="A34" s="215"/>
      <c r="B34" s="215"/>
      <c r="C34" s="215"/>
      <c r="D34" s="215"/>
      <c r="E34" s="215"/>
      <c r="F34" s="215"/>
      <c r="G34" s="215"/>
      <c r="H34" s="215"/>
      <c r="I34" s="215"/>
      <c r="J34" s="215"/>
      <c r="K34" s="215"/>
      <c r="L34" s="215"/>
    </row>
    <row r="35" spans="1:12" ht="15" customHeight="1">
      <c r="A35" s="384" t="s">
        <v>346</v>
      </c>
      <c r="B35" s="385"/>
      <c r="C35" s="385"/>
      <c r="D35" s="385"/>
      <c r="E35" s="385"/>
      <c r="F35" s="215"/>
      <c r="G35" s="215"/>
      <c r="H35" s="215"/>
      <c r="I35" s="215"/>
      <c r="J35" s="215"/>
      <c r="K35" s="215"/>
      <c r="L35" s="215"/>
    </row>
    <row r="36" spans="1:12" ht="38" customHeight="1">
      <c r="A36" s="217" t="s">
        <v>258</v>
      </c>
      <c r="B36" s="381" t="s">
        <v>261</v>
      </c>
      <c r="C36" s="381"/>
      <c r="D36" s="381"/>
      <c r="E36" s="381"/>
      <c r="F36" s="215"/>
      <c r="G36" s="215"/>
      <c r="H36" s="215"/>
      <c r="I36" s="215"/>
      <c r="J36" s="215"/>
      <c r="K36" s="215"/>
      <c r="L36" s="215"/>
    </row>
    <row r="37" spans="1:12" ht="38" customHeight="1">
      <c r="A37" s="217" t="s">
        <v>244</v>
      </c>
      <c r="B37" s="381" t="s">
        <v>347</v>
      </c>
      <c r="C37" s="381"/>
      <c r="D37" s="381"/>
      <c r="E37" s="381"/>
      <c r="F37" s="215"/>
      <c r="G37" s="215"/>
      <c r="H37" s="215"/>
      <c r="I37" s="215"/>
      <c r="J37" s="215"/>
      <c r="K37" s="215"/>
      <c r="L37" s="215"/>
    </row>
    <row r="38" spans="1:12" ht="38" customHeight="1">
      <c r="A38" s="217" t="s">
        <v>314</v>
      </c>
      <c r="B38" s="381" t="s">
        <v>348</v>
      </c>
      <c r="C38" s="381"/>
      <c r="D38" s="381"/>
      <c r="E38" s="381"/>
      <c r="F38" s="215"/>
      <c r="G38" s="215"/>
      <c r="H38" s="215"/>
      <c r="I38" s="215"/>
      <c r="J38" s="215"/>
      <c r="K38" s="215"/>
      <c r="L38" s="215"/>
    </row>
    <row r="39" spans="1:12" ht="38" customHeight="1">
      <c r="A39" s="217" t="s">
        <v>256</v>
      </c>
      <c r="B39" s="381" t="s">
        <v>349</v>
      </c>
      <c r="C39" s="381"/>
      <c r="D39" s="381"/>
      <c r="E39" s="381"/>
      <c r="F39" s="215"/>
      <c r="G39" s="215"/>
      <c r="H39" s="215"/>
      <c r="I39" s="215"/>
      <c r="J39" s="215"/>
      <c r="K39" s="215"/>
      <c r="L39" s="215"/>
    </row>
    <row r="40" spans="1:12" ht="38" customHeight="1">
      <c r="A40" s="217" t="s">
        <v>245</v>
      </c>
      <c r="B40" s="381" t="s">
        <v>350</v>
      </c>
      <c r="C40" s="381"/>
      <c r="D40" s="381"/>
      <c r="E40" s="381"/>
      <c r="F40" s="215"/>
      <c r="G40" s="215"/>
      <c r="H40" s="215"/>
      <c r="I40" s="215"/>
      <c r="J40" s="215"/>
      <c r="K40" s="215"/>
      <c r="L40" s="215"/>
    </row>
    <row r="41" spans="1:12" ht="38" customHeight="1">
      <c r="A41" s="217" t="s">
        <v>257</v>
      </c>
      <c r="B41" s="381" t="s">
        <v>351</v>
      </c>
      <c r="C41" s="381"/>
      <c r="D41" s="381"/>
      <c r="E41" s="381"/>
      <c r="F41" s="215"/>
      <c r="G41" s="215"/>
      <c r="H41" s="215"/>
      <c r="I41" s="215"/>
      <c r="J41" s="215"/>
      <c r="K41" s="215"/>
      <c r="L41" s="215"/>
    </row>
    <row r="42" spans="1:12" ht="38" customHeight="1">
      <c r="A42" s="217" t="s">
        <v>254</v>
      </c>
      <c r="B42" s="381" t="s">
        <v>352</v>
      </c>
      <c r="C42" s="381"/>
      <c r="D42" s="381"/>
      <c r="E42" s="381"/>
      <c r="F42" s="215"/>
      <c r="G42" s="215"/>
      <c r="H42" s="215"/>
      <c r="I42" s="215"/>
      <c r="J42" s="215"/>
      <c r="K42" s="215"/>
      <c r="L42" s="215"/>
    </row>
    <row r="43" spans="1:12" ht="38" customHeight="1">
      <c r="A43" s="217" t="s">
        <v>353</v>
      </c>
      <c r="B43" s="381" t="s">
        <v>354</v>
      </c>
      <c r="C43" s="381"/>
      <c r="D43" s="381"/>
      <c r="E43" s="381"/>
      <c r="F43" s="215"/>
      <c r="G43" s="215"/>
      <c r="H43" s="215"/>
      <c r="I43" s="215"/>
      <c r="J43" s="215"/>
      <c r="K43" s="215"/>
      <c r="L43" s="215"/>
    </row>
  </sheetData>
  <sheetProtection algorithmName="SHA-512" hashValue="hNRpT4I1Pqhs4kMXm03H5kODO9BmMZXUxd8S4c765N5J6x1pTnw7PAfp1J6/KDoc1VGuJJzIvIDtDwbMUN3MfQ==" saltValue="e/dORgq6AywvnW2576n3Lg==" spinCount="100000" sheet="1" objects="1" scenarios="1" sort="0" autoFilter="0"/>
  <mergeCells count="28">
    <mergeCell ref="C11:E11"/>
    <mergeCell ref="C12:E12"/>
    <mergeCell ref="C13:E13"/>
    <mergeCell ref="C16:E16"/>
    <mergeCell ref="C17:E17"/>
    <mergeCell ref="C14:E14"/>
    <mergeCell ref="C15:E15"/>
    <mergeCell ref="A1:E1"/>
    <mergeCell ref="A4:E4"/>
    <mergeCell ref="A5:E6"/>
    <mergeCell ref="C9:E9"/>
    <mergeCell ref="C10:E10"/>
    <mergeCell ref="J31:L31"/>
    <mergeCell ref="B43:E43"/>
    <mergeCell ref="A25:L25"/>
    <mergeCell ref="A35:E35"/>
    <mergeCell ref="A21:A22"/>
    <mergeCell ref="B21:E22"/>
    <mergeCell ref="B42:E42"/>
    <mergeCell ref="B41:E41"/>
    <mergeCell ref="B39:E39"/>
    <mergeCell ref="B40:E40"/>
    <mergeCell ref="B37:E37"/>
    <mergeCell ref="B38:E38"/>
    <mergeCell ref="B36:E36"/>
    <mergeCell ref="J28:L28"/>
    <mergeCell ref="J29:L29"/>
    <mergeCell ref="J30:L30"/>
  </mergeCells>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AE165-69D4-4EAA-ABDB-6F60416433EE}">
  <sheetPr codeName="Tabelle17"/>
  <dimension ref="A1"/>
  <sheetViews>
    <sheetView zoomScaleNormal="100" workbookViewId="0">
      <selection activeCell="K53" sqref="K53"/>
    </sheetView>
  </sheetViews>
  <sheetFormatPr baseColWidth="10" defaultColWidth="11.5" defaultRowHeight="15"/>
  <sheetData>
    <row r="1" spans="1:1">
      <c r="A1" t="b">
        <v>1</v>
      </c>
    </row>
  </sheetData>
  <sheetProtection algorithmName="SHA-512" hashValue="0FIf9K+yrK6bYunX/I72sYxgojBRPVMP13j52YgbiW1JnLmHn8qWsbNtWFITLX2bOkzmebYMyX+d6xio32KCGw==" saltValue="BdNAFIfykDGx3UknEPfGew==" spinCount="100000" sheet="1" objects="1" scenarios="1" sort="0" autoFilter="0"/>
  <pageMargins left="0.7" right="0.7" top="0.78740157499999996" bottom="0.78740157499999996"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570CF-0E37-164B-AC1A-89F5DBCA3306}">
  <sheetPr codeName="Tabelle21"/>
  <dimension ref="A1:AJC13"/>
  <sheetViews>
    <sheetView workbookViewId="0"/>
  </sheetViews>
  <sheetFormatPr baseColWidth="10" defaultRowHeight="15"/>
  <sheetData>
    <row r="1" spans="1:939">
      <c r="A1" s="182">
        <v>173</v>
      </c>
      <c r="B1" s="182">
        <v>173</v>
      </c>
      <c r="C1" s="182">
        <v>173</v>
      </c>
      <c r="D1" s="182">
        <v>173</v>
      </c>
      <c r="E1" s="182">
        <v>173</v>
      </c>
      <c r="F1" s="182">
        <v>173</v>
      </c>
      <c r="G1" s="182">
        <v>173</v>
      </c>
      <c r="H1" s="182">
        <v>173</v>
      </c>
      <c r="I1" s="182">
        <v>173</v>
      </c>
      <c r="J1" s="182">
        <v>173</v>
      </c>
      <c r="K1" s="182">
        <v>173</v>
      </c>
      <c r="L1" s="182">
        <v>173</v>
      </c>
      <c r="M1" s="182">
        <v>173</v>
      </c>
      <c r="N1" s="182">
        <v>173</v>
      </c>
      <c r="O1" s="182">
        <v>173</v>
      </c>
      <c r="P1" s="182">
        <v>173</v>
      </c>
      <c r="Q1" s="182">
        <v>173</v>
      </c>
      <c r="R1" s="182">
        <v>173</v>
      </c>
      <c r="S1" s="182">
        <v>173</v>
      </c>
      <c r="T1" s="182">
        <v>173</v>
      </c>
      <c r="U1" s="182">
        <v>173</v>
      </c>
      <c r="V1" s="182">
        <v>173</v>
      </c>
      <c r="W1" s="182">
        <v>173</v>
      </c>
      <c r="X1" s="182">
        <v>173</v>
      </c>
      <c r="Y1" s="182">
        <v>173</v>
      </c>
      <c r="Z1" s="182">
        <v>173</v>
      </c>
      <c r="AA1" s="182">
        <v>173</v>
      </c>
      <c r="AB1" s="182">
        <v>173</v>
      </c>
      <c r="AC1" s="182">
        <v>173</v>
      </c>
      <c r="AD1" s="182">
        <v>173</v>
      </c>
      <c r="AE1" s="182">
        <v>173</v>
      </c>
      <c r="AF1" s="182">
        <v>173</v>
      </c>
      <c r="AG1" s="182">
        <v>173</v>
      </c>
      <c r="AH1" s="182">
        <v>173</v>
      </c>
      <c r="AI1" s="182">
        <v>173</v>
      </c>
      <c r="AJ1" s="182">
        <v>173</v>
      </c>
      <c r="AK1" s="182">
        <v>173</v>
      </c>
      <c r="AL1" s="182">
        <v>173</v>
      </c>
      <c r="AM1" s="182">
        <v>173</v>
      </c>
      <c r="AN1" s="182">
        <v>173</v>
      </c>
      <c r="AO1" s="182">
        <v>173</v>
      </c>
      <c r="AP1" s="182">
        <v>173</v>
      </c>
      <c r="AQ1" s="182">
        <v>173</v>
      </c>
      <c r="AR1" s="182">
        <v>173</v>
      </c>
      <c r="AS1" s="182">
        <v>173</v>
      </c>
      <c r="AT1" s="182">
        <v>173</v>
      </c>
      <c r="AU1" s="182">
        <v>173</v>
      </c>
      <c r="AV1" s="182">
        <v>173</v>
      </c>
      <c r="AW1" s="182">
        <v>173</v>
      </c>
      <c r="AX1" s="182">
        <v>173</v>
      </c>
      <c r="AY1" s="182">
        <v>173</v>
      </c>
      <c r="AZ1" s="182">
        <v>173</v>
      </c>
      <c r="CC1" s="182">
        <v>173</v>
      </c>
      <c r="CD1" s="182">
        <v>173</v>
      </c>
      <c r="CE1" s="182">
        <v>173</v>
      </c>
      <c r="CF1" s="182">
        <v>173</v>
      </c>
      <c r="CG1" s="182">
        <v>173</v>
      </c>
      <c r="CH1" s="182">
        <v>173</v>
      </c>
      <c r="CI1" s="182">
        <v>173</v>
      </c>
      <c r="CJ1" s="182">
        <v>173</v>
      </c>
      <c r="CK1" s="182">
        <v>173</v>
      </c>
      <c r="CL1" s="182">
        <v>173</v>
      </c>
      <c r="CM1" s="182">
        <v>173</v>
      </c>
      <c r="CN1" s="182">
        <v>173</v>
      </c>
      <c r="CO1" s="182">
        <v>173</v>
      </c>
      <c r="CP1" s="182">
        <v>173</v>
      </c>
      <c r="CQ1" s="182">
        <v>173</v>
      </c>
      <c r="CR1" s="182">
        <v>173</v>
      </c>
      <c r="CS1" s="182">
        <v>173</v>
      </c>
      <c r="CT1" s="182">
        <v>173</v>
      </c>
      <c r="CU1" s="182">
        <v>173</v>
      </c>
      <c r="CV1" s="182">
        <v>173</v>
      </c>
      <c r="CW1" s="182">
        <v>173</v>
      </c>
      <c r="CX1" s="182">
        <v>173</v>
      </c>
      <c r="CY1" s="182">
        <v>173</v>
      </c>
      <c r="CZ1" s="182">
        <v>173</v>
      </c>
      <c r="DA1" s="182">
        <v>173</v>
      </c>
      <c r="DB1" s="182">
        <v>173</v>
      </c>
      <c r="DC1" s="182">
        <v>173</v>
      </c>
      <c r="DD1" s="182">
        <v>173</v>
      </c>
      <c r="DE1" s="182">
        <v>173</v>
      </c>
      <c r="DF1" s="182">
        <v>173</v>
      </c>
      <c r="DG1" s="182">
        <v>173</v>
      </c>
      <c r="DH1" s="182">
        <v>173</v>
      </c>
      <c r="DI1" s="182">
        <v>173</v>
      </c>
      <c r="DJ1" s="182">
        <v>173</v>
      </c>
      <c r="DK1" s="182">
        <v>173</v>
      </c>
      <c r="DL1" s="182">
        <v>173</v>
      </c>
      <c r="DM1" s="182">
        <v>173</v>
      </c>
      <c r="DN1" s="182">
        <v>173</v>
      </c>
      <c r="DO1" s="182">
        <v>173</v>
      </c>
      <c r="DP1" s="182">
        <v>173</v>
      </c>
      <c r="DQ1" s="182">
        <v>173</v>
      </c>
      <c r="DR1" s="182">
        <v>173</v>
      </c>
      <c r="DS1" s="182">
        <v>173</v>
      </c>
      <c r="DT1" s="182">
        <v>173</v>
      </c>
      <c r="DU1" s="182">
        <v>173</v>
      </c>
      <c r="DV1" s="182">
        <v>173</v>
      </c>
      <c r="DW1" s="182">
        <v>173</v>
      </c>
      <c r="DX1" s="182">
        <v>173</v>
      </c>
      <c r="DY1" s="182">
        <v>173</v>
      </c>
      <c r="DZ1" s="182">
        <v>173</v>
      </c>
      <c r="EA1" s="182">
        <v>173</v>
      </c>
      <c r="EB1" s="182">
        <v>173</v>
      </c>
      <c r="EC1" s="182">
        <v>173</v>
      </c>
      <c r="ED1" s="182">
        <v>173</v>
      </c>
      <c r="EE1" s="182">
        <v>173</v>
      </c>
      <c r="EF1" s="182">
        <v>173</v>
      </c>
      <c r="EG1" s="182">
        <v>173</v>
      </c>
      <c r="EH1" s="182">
        <v>173</v>
      </c>
      <c r="FE1" s="182">
        <v>173</v>
      </c>
      <c r="FF1" s="182">
        <v>173</v>
      </c>
      <c r="FG1" s="182">
        <v>173</v>
      </c>
      <c r="FH1" s="182">
        <v>173</v>
      </c>
      <c r="FI1" s="182">
        <v>173</v>
      </c>
      <c r="FJ1" s="182">
        <v>173</v>
      </c>
      <c r="FK1" s="182">
        <v>173</v>
      </c>
      <c r="FL1" s="182">
        <v>173</v>
      </c>
      <c r="FM1" s="182">
        <v>173</v>
      </c>
      <c r="FN1" s="182">
        <v>173</v>
      </c>
      <c r="FO1" s="182">
        <v>173</v>
      </c>
      <c r="FP1" s="182">
        <v>173</v>
      </c>
      <c r="FQ1" s="182">
        <v>173</v>
      </c>
      <c r="FR1" s="182">
        <v>173</v>
      </c>
      <c r="FS1" s="182">
        <v>173</v>
      </c>
      <c r="FT1" s="182">
        <v>173</v>
      </c>
      <c r="FU1" s="182">
        <v>173</v>
      </c>
      <c r="FV1" s="182">
        <v>173</v>
      </c>
      <c r="FW1" s="182">
        <v>173</v>
      </c>
      <c r="FX1" s="182">
        <v>173</v>
      </c>
      <c r="FY1" s="182">
        <v>173</v>
      </c>
      <c r="FZ1" s="182">
        <v>173</v>
      </c>
      <c r="GA1" s="182">
        <v>173</v>
      </c>
      <c r="GB1" s="182">
        <v>173</v>
      </c>
      <c r="GC1" s="182">
        <v>173</v>
      </c>
      <c r="GD1" s="182">
        <v>173</v>
      </c>
      <c r="GE1" s="182">
        <v>173</v>
      </c>
      <c r="GF1" s="182">
        <v>173</v>
      </c>
      <c r="GG1" s="182">
        <v>173</v>
      </c>
      <c r="GH1" s="182">
        <v>173</v>
      </c>
      <c r="GI1" s="182">
        <v>173</v>
      </c>
      <c r="GJ1" s="182">
        <v>173</v>
      </c>
      <c r="GK1" s="182">
        <v>173</v>
      </c>
      <c r="GL1" s="182">
        <v>173</v>
      </c>
      <c r="GM1" s="182">
        <v>173</v>
      </c>
      <c r="GN1" s="182">
        <v>173</v>
      </c>
      <c r="GO1" s="182">
        <v>173</v>
      </c>
      <c r="GP1" s="182">
        <v>173</v>
      </c>
      <c r="GQ1" s="182">
        <v>173</v>
      </c>
      <c r="GR1" s="182">
        <v>173</v>
      </c>
      <c r="GS1" s="182">
        <v>173</v>
      </c>
      <c r="GT1" s="182">
        <v>173</v>
      </c>
      <c r="GU1" s="182">
        <v>173</v>
      </c>
      <c r="GV1" s="182">
        <v>173</v>
      </c>
      <c r="GW1" s="182">
        <v>173</v>
      </c>
      <c r="GX1" s="182">
        <v>173</v>
      </c>
      <c r="GY1" s="182">
        <v>173</v>
      </c>
      <c r="GZ1" s="182">
        <v>173</v>
      </c>
      <c r="HA1" s="182">
        <v>173</v>
      </c>
      <c r="HB1" s="182">
        <v>173</v>
      </c>
      <c r="HC1" s="182">
        <v>173</v>
      </c>
      <c r="HD1" s="182">
        <v>173</v>
      </c>
      <c r="HE1" s="182">
        <v>173</v>
      </c>
      <c r="HF1" s="182">
        <v>173</v>
      </c>
      <c r="HG1" s="182">
        <v>173</v>
      </c>
      <c r="HH1" s="182">
        <v>173</v>
      </c>
      <c r="HI1" s="182">
        <v>173</v>
      </c>
      <c r="HJ1" s="182">
        <v>173</v>
      </c>
      <c r="HK1" s="182">
        <v>173</v>
      </c>
      <c r="IG1" s="182">
        <v>173</v>
      </c>
      <c r="IH1" s="182">
        <v>173</v>
      </c>
      <c r="II1" s="182">
        <v>173</v>
      </c>
      <c r="IJ1" s="182">
        <v>173</v>
      </c>
      <c r="IK1" s="182">
        <v>173</v>
      </c>
      <c r="IL1" s="182">
        <v>173</v>
      </c>
      <c r="IM1" s="182">
        <v>173</v>
      </c>
      <c r="IN1" s="182">
        <v>173</v>
      </c>
      <c r="IO1" s="182">
        <v>173</v>
      </c>
      <c r="IP1" s="182">
        <v>173</v>
      </c>
      <c r="IQ1" s="182">
        <v>173</v>
      </c>
      <c r="IR1" s="182">
        <v>173</v>
      </c>
      <c r="IS1" s="182">
        <v>173</v>
      </c>
      <c r="IT1" s="182">
        <v>173</v>
      </c>
      <c r="IU1" s="182">
        <v>173</v>
      </c>
      <c r="IV1" s="182">
        <v>173</v>
      </c>
      <c r="IW1" s="182">
        <v>173</v>
      </c>
      <c r="IX1" s="182">
        <v>173</v>
      </c>
      <c r="IY1" s="182">
        <v>173</v>
      </c>
      <c r="IZ1" s="182">
        <v>173</v>
      </c>
      <c r="JA1" s="182">
        <v>173</v>
      </c>
      <c r="JB1" s="182">
        <v>173</v>
      </c>
      <c r="JC1" s="182">
        <v>173</v>
      </c>
      <c r="JD1" s="182">
        <v>173</v>
      </c>
      <c r="JE1" s="182">
        <v>173</v>
      </c>
      <c r="JF1" s="182">
        <v>173</v>
      </c>
      <c r="JG1" s="182">
        <v>173</v>
      </c>
      <c r="JH1" s="182">
        <v>173</v>
      </c>
      <c r="JI1" s="182">
        <v>173</v>
      </c>
      <c r="JJ1" s="182">
        <v>173</v>
      </c>
      <c r="JK1" s="182">
        <v>173</v>
      </c>
      <c r="JL1" s="182">
        <v>173</v>
      </c>
      <c r="JM1" s="182">
        <v>173</v>
      </c>
      <c r="JN1" s="182">
        <v>173</v>
      </c>
      <c r="JO1" s="182">
        <v>173</v>
      </c>
      <c r="JP1" s="182">
        <v>173</v>
      </c>
      <c r="JQ1" s="182">
        <v>173</v>
      </c>
      <c r="JR1" s="182">
        <v>173</v>
      </c>
      <c r="JS1" s="182">
        <v>173</v>
      </c>
      <c r="JT1" s="182">
        <v>173</v>
      </c>
      <c r="JU1" s="182">
        <v>173</v>
      </c>
      <c r="JV1" s="182">
        <v>173</v>
      </c>
      <c r="JW1" s="182">
        <v>173</v>
      </c>
      <c r="JX1" s="182">
        <v>173</v>
      </c>
      <c r="JY1" s="182">
        <v>173</v>
      </c>
      <c r="JZ1" s="182">
        <v>173</v>
      </c>
      <c r="KA1" s="182">
        <v>173</v>
      </c>
      <c r="KB1" s="182">
        <v>173</v>
      </c>
      <c r="KC1" s="182">
        <v>173</v>
      </c>
      <c r="KD1" s="182">
        <v>173</v>
      </c>
      <c r="KE1" s="182">
        <v>173</v>
      </c>
      <c r="KF1" s="182">
        <v>173</v>
      </c>
      <c r="KG1" s="182">
        <v>173</v>
      </c>
      <c r="KH1" s="182">
        <v>173</v>
      </c>
      <c r="KI1" s="182">
        <v>173</v>
      </c>
      <c r="KJ1" s="182">
        <v>173</v>
      </c>
      <c r="KK1" s="182">
        <v>173</v>
      </c>
      <c r="KL1" s="182">
        <v>173</v>
      </c>
      <c r="LI1" s="182">
        <v>173</v>
      </c>
      <c r="LJ1" s="182">
        <v>173</v>
      </c>
      <c r="LK1" s="182">
        <v>173</v>
      </c>
      <c r="LL1" s="182">
        <v>173</v>
      </c>
      <c r="LM1" s="182">
        <v>173</v>
      </c>
      <c r="LN1" s="182">
        <v>173</v>
      </c>
      <c r="LO1" s="182">
        <v>173</v>
      </c>
      <c r="LP1" s="182">
        <v>173</v>
      </c>
      <c r="LQ1" s="182">
        <v>173</v>
      </c>
      <c r="LR1" s="182">
        <v>173</v>
      </c>
      <c r="LS1" s="182">
        <v>173</v>
      </c>
      <c r="LT1" s="182">
        <v>173</v>
      </c>
      <c r="LU1" s="182">
        <v>173</v>
      </c>
      <c r="LV1" s="182">
        <v>173</v>
      </c>
      <c r="LW1" s="182">
        <v>173</v>
      </c>
      <c r="LX1" s="182">
        <v>173</v>
      </c>
      <c r="LY1" s="182">
        <v>173</v>
      </c>
      <c r="LZ1" s="182">
        <v>173</v>
      </c>
      <c r="MA1" s="182">
        <v>173</v>
      </c>
      <c r="MB1" s="182">
        <v>173</v>
      </c>
      <c r="MC1" s="182">
        <v>173</v>
      </c>
      <c r="MD1" s="182">
        <v>173</v>
      </c>
      <c r="ME1" s="182">
        <v>173</v>
      </c>
      <c r="MF1" s="182">
        <v>173</v>
      </c>
      <c r="MG1" s="182">
        <v>173</v>
      </c>
      <c r="MH1" s="182">
        <v>173</v>
      </c>
      <c r="MI1" s="182">
        <v>173</v>
      </c>
      <c r="MJ1" s="182">
        <v>173</v>
      </c>
      <c r="MK1" s="182">
        <v>173</v>
      </c>
      <c r="ML1" s="182">
        <v>173</v>
      </c>
      <c r="MM1" s="182">
        <v>173</v>
      </c>
      <c r="MN1" s="182">
        <v>173</v>
      </c>
      <c r="MO1" s="182">
        <v>173</v>
      </c>
      <c r="MP1" s="182">
        <v>173</v>
      </c>
      <c r="MQ1" s="182">
        <v>173</v>
      </c>
      <c r="MR1" s="182">
        <v>173</v>
      </c>
      <c r="MS1" s="182">
        <v>173</v>
      </c>
      <c r="MT1" s="182">
        <v>173</v>
      </c>
      <c r="MU1" s="182">
        <v>173</v>
      </c>
      <c r="MV1" s="182">
        <v>173</v>
      </c>
      <c r="MW1" s="182">
        <v>173</v>
      </c>
      <c r="MX1" s="182">
        <v>173</v>
      </c>
      <c r="MY1" s="182">
        <v>173</v>
      </c>
      <c r="MZ1" s="182">
        <v>173</v>
      </c>
      <c r="NA1" s="182">
        <v>173</v>
      </c>
      <c r="NB1" s="182">
        <v>173</v>
      </c>
      <c r="NC1" s="182">
        <v>173</v>
      </c>
      <c r="ND1" s="182">
        <v>173</v>
      </c>
      <c r="NE1" s="182">
        <v>173</v>
      </c>
      <c r="NF1" s="182">
        <v>173</v>
      </c>
      <c r="NG1" s="182">
        <v>173</v>
      </c>
      <c r="NH1" s="182">
        <v>173</v>
      </c>
      <c r="NI1" s="182">
        <v>173</v>
      </c>
      <c r="NJ1" s="182">
        <v>173</v>
      </c>
      <c r="NK1" s="182">
        <v>173</v>
      </c>
      <c r="NL1" s="182">
        <v>173</v>
      </c>
      <c r="NM1" s="182">
        <v>173</v>
      </c>
      <c r="NN1" s="182">
        <v>173</v>
      </c>
      <c r="NO1" s="182">
        <v>173</v>
      </c>
      <c r="NP1" s="182">
        <v>173</v>
      </c>
      <c r="NQ1" s="182">
        <v>173</v>
      </c>
      <c r="OK1" s="182">
        <v>173</v>
      </c>
      <c r="OL1" s="182">
        <v>173</v>
      </c>
      <c r="OM1" s="182">
        <v>173</v>
      </c>
      <c r="ON1" s="182">
        <v>173</v>
      </c>
      <c r="OO1" s="182">
        <v>173</v>
      </c>
      <c r="OP1" s="182">
        <v>173</v>
      </c>
      <c r="OQ1" s="182">
        <v>173</v>
      </c>
      <c r="OR1" s="182">
        <v>173</v>
      </c>
      <c r="OS1" s="182">
        <v>173</v>
      </c>
      <c r="OT1" s="182">
        <v>173</v>
      </c>
      <c r="OU1" s="182">
        <v>173</v>
      </c>
      <c r="OV1" s="182">
        <v>173</v>
      </c>
      <c r="OW1" s="182">
        <v>173</v>
      </c>
      <c r="OX1" s="182">
        <v>173</v>
      </c>
      <c r="OY1" s="182">
        <v>173</v>
      </c>
      <c r="OZ1" s="182">
        <v>173</v>
      </c>
      <c r="PA1" s="182">
        <v>173</v>
      </c>
      <c r="PB1" s="182">
        <v>173</v>
      </c>
      <c r="PC1" s="182">
        <v>173</v>
      </c>
      <c r="PD1" s="182">
        <v>173</v>
      </c>
      <c r="PE1" s="182">
        <v>173</v>
      </c>
      <c r="PF1" s="182">
        <v>173</v>
      </c>
      <c r="PG1" s="182">
        <v>173</v>
      </c>
      <c r="PH1" s="182">
        <v>173</v>
      </c>
      <c r="PI1" s="182">
        <v>173</v>
      </c>
      <c r="PJ1" s="182">
        <v>173</v>
      </c>
      <c r="PK1" s="182">
        <v>173</v>
      </c>
      <c r="PL1" s="182">
        <v>173</v>
      </c>
      <c r="PM1" s="182">
        <v>173</v>
      </c>
      <c r="PN1" s="182">
        <v>173</v>
      </c>
      <c r="PO1" s="182">
        <v>173</v>
      </c>
      <c r="PP1" s="182">
        <v>173</v>
      </c>
      <c r="PQ1" s="182">
        <v>173</v>
      </c>
      <c r="PR1" s="182">
        <v>173</v>
      </c>
      <c r="PS1" s="182">
        <v>173</v>
      </c>
      <c r="PT1" s="182">
        <v>173</v>
      </c>
      <c r="PU1" s="182">
        <v>173</v>
      </c>
      <c r="PV1" s="182">
        <v>173</v>
      </c>
      <c r="PW1" s="182">
        <v>173</v>
      </c>
      <c r="PX1" s="182">
        <v>173</v>
      </c>
      <c r="PY1" s="182">
        <v>173</v>
      </c>
      <c r="PZ1" s="182">
        <v>173</v>
      </c>
      <c r="QA1" s="182">
        <v>173</v>
      </c>
      <c r="QB1" s="182">
        <v>173</v>
      </c>
      <c r="QC1" s="182">
        <v>173</v>
      </c>
      <c r="QD1" s="182">
        <v>173</v>
      </c>
      <c r="QE1" s="182">
        <v>173</v>
      </c>
      <c r="QF1" s="182">
        <v>173</v>
      </c>
      <c r="QG1" s="182">
        <v>173</v>
      </c>
      <c r="QH1" s="182">
        <v>173</v>
      </c>
      <c r="QI1" s="182">
        <v>173</v>
      </c>
      <c r="QJ1" s="182">
        <v>173</v>
      </c>
      <c r="QK1" s="182">
        <v>173</v>
      </c>
      <c r="QL1" s="182">
        <v>173</v>
      </c>
      <c r="QM1" s="182">
        <v>173</v>
      </c>
      <c r="QN1" s="182">
        <v>173</v>
      </c>
      <c r="QO1" s="182">
        <v>173</v>
      </c>
      <c r="QP1" s="182">
        <v>173</v>
      </c>
      <c r="QQ1" s="182">
        <v>173</v>
      </c>
      <c r="QR1" s="182">
        <v>173</v>
      </c>
      <c r="RM1" s="182">
        <v>173</v>
      </c>
      <c r="RN1" s="182">
        <v>173</v>
      </c>
      <c r="RO1" s="182">
        <v>173</v>
      </c>
      <c r="RP1" s="182">
        <v>173</v>
      </c>
      <c r="RQ1" s="182">
        <v>173</v>
      </c>
      <c r="RR1" s="182">
        <v>173</v>
      </c>
      <c r="RS1" s="182">
        <v>173</v>
      </c>
      <c r="RT1" s="182">
        <v>173</v>
      </c>
      <c r="RU1" s="182">
        <v>173</v>
      </c>
      <c r="RV1" s="182">
        <v>173</v>
      </c>
      <c r="RW1" s="182">
        <v>173</v>
      </c>
      <c r="RX1" s="182">
        <v>173</v>
      </c>
      <c r="RY1" s="182">
        <v>173</v>
      </c>
      <c r="RZ1" s="182">
        <v>173</v>
      </c>
      <c r="SA1" s="182">
        <v>173</v>
      </c>
      <c r="SB1" s="182">
        <v>173</v>
      </c>
      <c r="SC1" s="182">
        <v>173</v>
      </c>
      <c r="SD1" s="182">
        <v>173</v>
      </c>
      <c r="SE1" s="182">
        <v>173</v>
      </c>
      <c r="SF1" s="182">
        <v>173</v>
      </c>
      <c r="SG1" s="182">
        <v>173</v>
      </c>
      <c r="SH1" s="182">
        <v>173</v>
      </c>
      <c r="SI1" s="182">
        <v>173</v>
      </c>
      <c r="SJ1" s="182">
        <v>173</v>
      </c>
      <c r="SK1" s="182">
        <v>173</v>
      </c>
      <c r="SL1" s="182">
        <v>173</v>
      </c>
      <c r="SM1" s="182">
        <v>173</v>
      </c>
      <c r="SN1" s="182">
        <v>173</v>
      </c>
      <c r="SO1" s="182">
        <v>173</v>
      </c>
      <c r="SP1" s="182">
        <v>173</v>
      </c>
      <c r="SQ1" s="182">
        <v>173</v>
      </c>
      <c r="SR1" s="182">
        <v>173</v>
      </c>
      <c r="SS1" s="182">
        <v>173</v>
      </c>
      <c r="ST1" s="182">
        <v>173</v>
      </c>
      <c r="SU1" s="182">
        <v>173</v>
      </c>
      <c r="SV1" s="182">
        <v>173</v>
      </c>
      <c r="SW1" s="182">
        <v>173</v>
      </c>
      <c r="SX1" s="182">
        <v>173</v>
      </c>
      <c r="SY1" s="182">
        <v>173</v>
      </c>
      <c r="SZ1" s="182">
        <v>173</v>
      </c>
      <c r="TA1" s="182">
        <v>173</v>
      </c>
      <c r="TB1" s="182">
        <v>173</v>
      </c>
      <c r="TC1" s="182">
        <v>173</v>
      </c>
      <c r="TD1" s="182">
        <v>173</v>
      </c>
      <c r="TE1" s="182">
        <v>173</v>
      </c>
      <c r="TF1" s="182">
        <v>173</v>
      </c>
      <c r="TG1" s="182">
        <v>173</v>
      </c>
      <c r="TH1" s="182">
        <v>173</v>
      </c>
      <c r="TI1" s="182">
        <v>173</v>
      </c>
      <c r="TJ1" s="182">
        <v>173</v>
      </c>
      <c r="TK1" s="182">
        <v>173</v>
      </c>
      <c r="TL1" s="182">
        <v>173</v>
      </c>
      <c r="TM1" s="182">
        <v>173</v>
      </c>
      <c r="TN1" s="182">
        <v>173</v>
      </c>
      <c r="TO1" s="182">
        <v>173</v>
      </c>
      <c r="TP1" s="182">
        <v>173</v>
      </c>
      <c r="TQ1" s="182">
        <v>173</v>
      </c>
      <c r="TR1" s="182">
        <v>173</v>
      </c>
      <c r="TS1" s="182">
        <v>173</v>
      </c>
      <c r="TT1" s="182">
        <v>173</v>
      </c>
      <c r="UO1" s="182">
        <v>173</v>
      </c>
      <c r="UP1" s="182">
        <v>173</v>
      </c>
      <c r="UQ1" s="182">
        <v>173</v>
      </c>
      <c r="UR1" s="182">
        <v>173</v>
      </c>
      <c r="US1" s="182">
        <v>173</v>
      </c>
      <c r="UT1" s="182">
        <v>173</v>
      </c>
      <c r="UU1" s="182">
        <v>173</v>
      </c>
      <c r="UV1" s="182">
        <v>173</v>
      </c>
      <c r="UW1" s="182">
        <v>173</v>
      </c>
      <c r="UX1" s="182">
        <v>173</v>
      </c>
      <c r="UY1" s="182">
        <v>173</v>
      </c>
      <c r="UZ1" s="182">
        <v>173</v>
      </c>
      <c r="VA1" s="182">
        <v>173</v>
      </c>
      <c r="VB1" s="182">
        <v>173</v>
      </c>
      <c r="VC1" s="182">
        <v>173</v>
      </c>
      <c r="VD1" s="182">
        <v>173</v>
      </c>
      <c r="VE1" s="182">
        <v>173</v>
      </c>
      <c r="VF1" s="182">
        <v>173</v>
      </c>
      <c r="VG1" s="182">
        <v>173</v>
      </c>
      <c r="VH1" s="182">
        <v>173</v>
      </c>
      <c r="VI1" s="182">
        <v>173</v>
      </c>
      <c r="VJ1" s="182">
        <v>173</v>
      </c>
      <c r="VK1" s="182">
        <v>173</v>
      </c>
      <c r="VL1" s="182">
        <v>173</v>
      </c>
      <c r="VM1" s="182">
        <v>173</v>
      </c>
      <c r="VN1" s="182">
        <v>173</v>
      </c>
      <c r="VO1" s="182">
        <v>173</v>
      </c>
      <c r="VP1" s="182">
        <v>173</v>
      </c>
      <c r="VQ1" s="182">
        <v>173</v>
      </c>
      <c r="VR1" s="182">
        <v>173</v>
      </c>
      <c r="VS1" s="182">
        <v>173</v>
      </c>
      <c r="VT1" s="182">
        <v>173</v>
      </c>
      <c r="VU1" s="182">
        <v>173</v>
      </c>
      <c r="VV1" s="182">
        <v>173</v>
      </c>
      <c r="VW1" s="182">
        <v>173</v>
      </c>
      <c r="VX1" s="182">
        <v>173</v>
      </c>
      <c r="VY1" s="182">
        <v>173</v>
      </c>
      <c r="VZ1" s="182">
        <v>173</v>
      </c>
      <c r="WA1" s="182">
        <v>173</v>
      </c>
      <c r="WB1" s="182">
        <v>173</v>
      </c>
      <c r="WC1" s="182">
        <v>173</v>
      </c>
      <c r="WD1" s="182">
        <v>173</v>
      </c>
      <c r="WE1" s="182">
        <v>173</v>
      </c>
      <c r="WF1" s="182">
        <v>173</v>
      </c>
      <c r="WG1" s="182">
        <v>173</v>
      </c>
      <c r="WH1" s="182">
        <v>173</v>
      </c>
      <c r="WI1" s="182">
        <v>173</v>
      </c>
      <c r="WJ1" s="182">
        <v>173</v>
      </c>
      <c r="WK1" s="182">
        <v>173</v>
      </c>
      <c r="WL1" s="182">
        <v>173</v>
      </c>
      <c r="WM1" s="182">
        <v>173</v>
      </c>
      <c r="WN1" s="182">
        <v>173</v>
      </c>
      <c r="WO1" s="182">
        <v>173</v>
      </c>
      <c r="WP1" s="182">
        <v>173</v>
      </c>
      <c r="WQ1" s="182">
        <v>173</v>
      </c>
      <c r="WR1" s="182">
        <v>173</v>
      </c>
      <c r="WS1" s="182">
        <v>173</v>
      </c>
      <c r="WT1" s="182">
        <v>173</v>
      </c>
      <c r="WU1" s="182">
        <v>173</v>
      </c>
      <c r="WV1" s="182">
        <v>173</v>
      </c>
      <c r="XQ1" s="182">
        <v>173</v>
      </c>
      <c r="XR1" s="182">
        <v>173</v>
      </c>
      <c r="XS1" s="182">
        <v>173</v>
      </c>
      <c r="XT1" s="182">
        <v>173</v>
      </c>
      <c r="XU1" s="182">
        <v>173</v>
      </c>
      <c r="XV1" s="182">
        <v>173</v>
      </c>
      <c r="XW1" s="182">
        <v>173</v>
      </c>
      <c r="XX1" s="182">
        <v>173</v>
      </c>
      <c r="XY1" s="182">
        <v>173</v>
      </c>
      <c r="XZ1" s="182">
        <v>173</v>
      </c>
      <c r="YA1" s="182">
        <v>173</v>
      </c>
      <c r="YB1" s="182">
        <v>173</v>
      </c>
      <c r="YC1" s="182">
        <v>173</v>
      </c>
      <c r="YD1" s="182">
        <v>173</v>
      </c>
      <c r="YE1" s="182">
        <v>173</v>
      </c>
      <c r="YF1" s="182">
        <v>173</v>
      </c>
      <c r="YG1" s="182">
        <v>173</v>
      </c>
      <c r="YH1" s="182">
        <v>173</v>
      </c>
      <c r="YI1" s="182">
        <v>173</v>
      </c>
      <c r="YJ1" s="182">
        <v>173</v>
      </c>
      <c r="YK1" s="182">
        <v>173</v>
      </c>
      <c r="YL1" s="182">
        <v>173</v>
      </c>
      <c r="YM1" s="182">
        <v>173</v>
      </c>
      <c r="YN1" s="182">
        <v>173</v>
      </c>
      <c r="YO1" s="182">
        <v>173</v>
      </c>
      <c r="YP1" s="182">
        <v>173</v>
      </c>
      <c r="YQ1" s="182">
        <v>173</v>
      </c>
      <c r="YR1" s="182">
        <v>173</v>
      </c>
      <c r="YS1" s="182">
        <v>173</v>
      </c>
      <c r="YT1" s="182">
        <v>173</v>
      </c>
      <c r="YU1" s="182">
        <v>173</v>
      </c>
      <c r="YV1" s="182">
        <v>173</v>
      </c>
      <c r="YW1" s="182">
        <v>173</v>
      </c>
      <c r="YX1" s="182">
        <v>173</v>
      </c>
      <c r="YY1" s="182">
        <v>173</v>
      </c>
      <c r="YZ1" s="182">
        <v>173</v>
      </c>
      <c r="ZA1" s="182">
        <v>173</v>
      </c>
      <c r="ZB1" s="182">
        <v>173</v>
      </c>
      <c r="ZC1" s="182">
        <v>173</v>
      </c>
      <c r="ZD1" s="182">
        <v>173</v>
      </c>
      <c r="ZE1" s="182">
        <v>173</v>
      </c>
      <c r="ZF1" s="182">
        <v>173</v>
      </c>
      <c r="ZG1" s="182">
        <v>173</v>
      </c>
      <c r="ZH1" s="182">
        <v>173</v>
      </c>
      <c r="ZI1" s="182">
        <v>173</v>
      </c>
      <c r="ZJ1" s="182">
        <v>173</v>
      </c>
      <c r="ZK1" s="182">
        <v>173</v>
      </c>
      <c r="ZL1" s="182">
        <v>173</v>
      </c>
      <c r="ZM1" s="182">
        <v>173</v>
      </c>
      <c r="ZN1" s="182">
        <v>173</v>
      </c>
      <c r="ZO1" s="182">
        <v>173</v>
      </c>
      <c r="ZP1" s="182">
        <v>173</v>
      </c>
      <c r="ZQ1" s="182">
        <v>173</v>
      </c>
      <c r="ZR1" s="182">
        <v>173</v>
      </c>
      <c r="ZS1" s="182">
        <v>173</v>
      </c>
      <c r="ZT1" s="182">
        <v>173</v>
      </c>
      <c r="ZU1" s="182">
        <v>173</v>
      </c>
      <c r="ZV1" s="182">
        <v>173</v>
      </c>
      <c r="ZW1" s="182">
        <v>173</v>
      </c>
      <c r="ZX1" s="182">
        <v>173</v>
      </c>
      <c r="AAS1" s="182">
        <v>173</v>
      </c>
      <c r="AAT1" s="182">
        <v>173</v>
      </c>
      <c r="AAU1" s="182">
        <v>173</v>
      </c>
      <c r="AAV1" s="182">
        <v>173</v>
      </c>
      <c r="AAW1" s="182">
        <v>173</v>
      </c>
      <c r="AAX1" s="182">
        <v>173</v>
      </c>
      <c r="AAY1" s="182">
        <v>173</v>
      </c>
      <c r="AAZ1" s="182">
        <v>173</v>
      </c>
      <c r="ABA1" s="182">
        <v>173</v>
      </c>
      <c r="ABB1" s="182">
        <v>173</v>
      </c>
      <c r="ABC1" s="182">
        <v>173</v>
      </c>
      <c r="ABD1" s="182">
        <v>173</v>
      </c>
      <c r="ABE1" s="182">
        <v>173</v>
      </c>
      <c r="ABF1" s="182">
        <v>173</v>
      </c>
      <c r="ABG1" s="182">
        <v>173</v>
      </c>
      <c r="ABH1" s="182">
        <v>173</v>
      </c>
      <c r="ABI1" s="182">
        <v>173</v>
      </c>
      <c r="ABJ1" s="182">
        <v>173</v>
      </c>
      <c r="ABK1" s="182">
        <v>173</v>
      </c>
      <c r="ABL1" s="182">
        <v>173</v>
      </c>
      <c r="ABM1" s="182">
        <v>173</v>
      </c>
      <c r="ABN1" s="182">
        <v>173</v>
      </c>
      <c r="ABO1" s="182">
        <v>173</v>
      </c>
      <c r="ABP1" s="182">
        <v>173</v>
      </c>
      <c r="ABQ1" s="182">
        <v>173</v>
      </c>
      <c r="ABR1" s="182">
        <v>173</v>
      </c>
      <c r="ABS1" s="182">
        <v>173</v>
      </c>
      <c r="ABT1" s="182">
        <v>173</v>
      </c>
      <c r="ABU1" s="182">
        <v>173</v>
      </c>
      <c r="ABV1" s="182">
        <v>173</v>
      </c>
      <c r="ABW1" s="182">
        <v>173</v>
      </c>
      <c r="ABX1" s="182">
        <v>173</v>
      </c>
      <c r="ABY1" s="182">
        <v>173</v>
      </c>
      <c r="ABZ1" s="182">
        <v>173</v>
      </c>
      <c r="ACA1" s="182">
        <v>173</v>
      </c>
      <c r="ACB1" s="182">
        <v>173</v>
      </c>
      <c r="ACC1" s="182">
        <v>173</v>
      </c>
      <c r="ACD1" s="182">
        <v>173</v>
      </c>
      <c r="ACE1" s="182">
        <v>173</v>
      </c>
      <c r="ACF1" s="182">
        <v>173</v>
      </c>
      <c r="ACG1" s="182">
        <v>173</v>
      </c>
      <c r="ACH1" s="182">
        <v>173</v>
      </c>
      <c r="ACI1" s="182">
        <v>173</v>
      </c>
      <c r="ACJ1" s="182">
        <v>173</v>
      </c>
      <c r="ACK1" s="182">
        <v>173</v>
      </c>
      <c r="ACL1" s="182">
        <v>173</v>
      </c>
      <c r="ACM1" s="182">
        <v>173</v>
      </c>
      <c r="ACN1" s="182">
        <v>173</v>
      </c>
      <c r="ACO1" s="182">
        <v>173</v>
      </c>
      <c r="ACP1" s="182">
        <v>173</v>
      </c>
      <c r="ACQ1" s="182">
        <v>173</v>
      </c>
      <c r="ACR1" s="182">
        <v>173</v>
      </c>
      <c r="ACS1" s="182">
        <v>173</v>
      </c>
      <c r="ACT1" s="182">
        <v>173</v>
      </c>
      <c r="ACU1" s="182">
        <v>173</v>
      </c>
      <c r="ACV1" s="182">
        <v>173</v>
      </c>
      <c r="ACW1" s="182">
        <v>173</v>
      </c>
      <c r="ACX1" s="182">
        <v>173</v>
      </c>
      <c r="ACY1" s="182">
        <v>173</v>
      </c>
      <c r="ADU1" s="182">
        <v>173</v>
      </c>
      <c r="ADV1" s="182">
        <v>173</v>
      </c>
      <c r="ADW1" s="182">
        <v>173</v>
      </c>
      <c r="ADX1" s="182">
        <v>173</v>
      </c>
      <c r="ADY1" s="182">
        <v>173</v>
      </c>
      <c r="ADZ1" s="182">
        <v>173</v>
      </c>
      <c r="AEA1" s="182">
        <v>173</v>
      </c>
      <c r="AEB1" s="182">
        <v>173</v>
      </c>
      <c r="AEC1" s="182">
        <v>173</v>
      </c>
      <c r="AED1" s="182">
        <v>173</v>
      </c>
      <c r="AEE1" s="182">
        <v>173</v>
      </c>
      <c r="AEF1" s="182">
        <v>173</v>
      </c>
      <c r="AEG1" s="182">
        <v>173</v>
      </c>
      <c r="AEH1" s="182">
        <v>173</v>
      </c>
      <c r="AEI1" s="182">
        <v>173</v>
      </c>
      <c r="AEJ1" s="182">
        <v>173</v>
      </c>
      <c r="AEK1" s="182">
        <v>173</v>
      </c>
      <c r="AEL1" s="182">
        <v>173</v>
      </c>
      <c r="AEM1" s="182">
        <v>173</v>
      </c>
      <c r="AEN1" s="182">
        <v>173</v>
      </c>
      <c r="AEO1" s="182">
        <v>173</v>
      </c>
      <c r="AEP1" s="182">
        <v>173</v>
      </c>
      <c r="AEQ1" s="182">
        <v>173</v>
      </c>
      <c r="AER1" s="182">
        <v>173</v>
      </c>
      <c r="AES1" s="182">
        <v>173</v>
      </c>
      <c r="AET1" s="182">
        <v>173</v>
      </c>
      <c r="AEU1" s="182">
        <v>173</v>
      </c>
      <c r="AEV1" s="182">
        <v>173</v>
      </c>
      <c r="AEW1" s="182">
        <v>173</v>
      </c>
      <c r="AEX1" s="182">
        <v>173</v>
      </c>
      <c r="AEY1" s="182">
        <v>173</v>
      </c>
      <c r="AEZ1" s="182">
        <v>173</v>
      </c>
      <c r="AFA1" s="182">
        <v>173</v>
      </c>
      <c r="AFB1" s="182">
        <v>173</v>
      </c>
      <c r="AFC1" s="182">
        <v>173</v>
      </c>
      <c r="AFD1" s="182">
        <v>173</v>
      </c>
      <c r="AFE1" s="182">
        <v>173</v>
      </c>
      <c r="AFF1" s="182">
        <v>173</v>
      </c>
      <c r="AFG1" s="182">
        <v>173</v>
      </c>
      <c r="AFH1" s="182">
        <v>173</v>
      </c>
      <c r="AFI1" s="182">
        <v>173</v>
      </c>
      <c r="AFJ1" s="182">
        <v>173</v>
      </c>
      <c r="AFK1" s="182">
        <v>173</v>
      </c>
      <c r="AFL1" s="182">
        <v>173</v>
      </c>
      <c r="AFM1" s="182">
        <v>173</v>
      </c>
      <c r="AFN1" s="182">
        <v>173</v>
      </c>
      <c r="AFO1" s="182">
        <v>173</v>
      </c>
      <c r="AFP1" s="182">
        <v>173</v>
      </c>
      <c r="AFQ1" s="182">
        <v>173</v>
      </c>
      <c r="AFR1" s="182">
        <v>173</v>
      </c>
      <c r="AFS1" s="182">
        <v>173</v>
      </c>
      <c r="AFT1" s="182">
        <v>173</v>
      </c>
      <c r="AFU1" s="182">
        <v>173</v>
      </c>
      <c r="AFV1" s="182">
        <v>173</v>
      </c>
      <c r="AFW1" s="182">
        <v>173</v>
      </c>
      <c r="AFX1" s="182">
        <v>173</v>
      </c>
      <c r="AFY1" s="182">
        <v>173</v>
      </c>
      <c r="AFZ1" s="182">
        <v>173</v>
      </c>
      <c r="AGA1" s="182">
        <v>173</v>
      </c>
      <c r="AGW1" s="182">
        <v>173</v>
      </c>
      <c r="AGX1" s="182">
        <v>173</v>
      </c>
      <c r="AGY1" s="182">
        <v>173</v>
      </c>
      <c r="AGZ1" s="182">
        <v>173</v>
      </c>
      <c r="AHA1" s="182">
        <v>173</v>
      </c>
      <c r="AHB1" s="182">
        <v>173</v>
      </c>
      <c r="AHC1" s="182">
        <v>173</v>
      </c>
      <c r="AHD1" s="182">
        <v>173</v>
      </c>
      <c r="AHE1" s="182">
        <v>173</v>
      </c>
      <c r="AHF1" s="182">
        <v>173</v>
      </c>
      <c r="AHG1" s="182">
        <v>173</v>
      </c>
      <c r="AHH1" s="182">
        <v>173</v>
      </c>
      <c r="AHI1" s="182">
        <v>173</v>
      </c>
      <c r="AHJ1" s="182">
        <v>173</v>
      </c>
      <c r="AHK1" s="182">
        <v>173</v>
      </c>
      <c r="AHL1" s="182">
        <v>173</v>
      </c>
      <c r="AHM1" s="182">
        <v>173</v>
      </c>
      <c r="AHN1" s="182">
        <v>173</v>
      </c>
      <c r="AHO1" s="182">
        <v>173</v>
      </c>
      <c r="AHP1" s="182">
        <v>173</v>
      </c>
      <c r="AHQ1" s="182">
        <v>173</v>
      </c>
      <c r="AHR1" s="182">
        <v>173</v>
      </c>
      <c r="AHS1" s="182">
        <v>173</v>
      </c>
      <c r="AHT1" s="182">
        <v>173</v>
      </c>
      <c r="AHU1" s="182">
        <v>173</v>
      </c>
      <c r="AHV1" s="182">
        <v>173</v>
      </c>
      <c r="AHW1" s="182">
        <v>173</v>
      </c>
      <c r="AHX1" s="182">
        <v>173</v>
      </c>
      <c r="AHY1" s="182">
        <v>173</v>
      </c>
      <c r="AHZ1" s="182">
        <v>173</v>
      </c>
      <c r="AIA1" s="182">
        <v>173</v>
      </c>
      <c r="AIB1" s="182">
        <v>173</v>
      </c>
      <c r="AIC1" s="182">
        <v>173</v>
      </c>
      <c r="AID1" s="182">
        <v>173</v>
      </c>
      <c r="AIE1" s="182">
        <v>173</v>
      </c>
      <c r="AIF1" s="182">
        <v>173</v>
      </c>
      <c r="AIG1" s="182">
        <v>173</v>
      </c>
      <c r="AIH1" s="182">
        <v>173</v>
      </c>
      <c r="AII1" s="182">
        <v>173</v>
      </c>
      <c r="AIJ1" s="182">
        <v>173</v>
      </c>
      <c r="AIK1" s="182">
        <v>173</v>
      </c>
      <c r="AIL1" s="182">
        <v>173</v>
      </c>
      <c r="AIM1" s="182">
        <v>173</v>
      </c>
      <c r="AIN1" s="182">
        <v>173</v>
      </c>
      <c r="AIO1" s="182">
        <v>173</v>
      </c>
      <c r="AIP1" s="182">
        <v>173</v>
      </c>
      <c r="AIQ1" s="182">
        <v>173</v>
      </c>
      <c r="AIR1" s="182">
        <v>173</v>
      </c>
      <c r="AIS1" s="182">
        <v>173</v>
      </c>
      <c r="AIT1" s="182">
        <v>173</v>
      </c>
      <c r="AIU1" s="182">
        <v>173</v>
      </c>
      <c r="AIV1" s="182">
        <v>173</v>
      </c>
      <c r="AIW1" s="182">
        <v>173</v>
      </c>
      <c r="AIX1" s="182">
        <v>173</v>
      </c>
      <c r="AIY1" s="182">
        <v>173</v>
      </c>
      <c r="AIZ1" s="182">
        <v>173</v>
      </c>
      <c r="AJA1" s="182">
        <v>173</v>
      </c>
      <c r="AJB1" s="182">
        <v>173</v>
      </c>
      <c r="AJC1" s="182">
        <v>173</v>
      </c>
    </row>
    <row r="2" spans="1:939">
      <c r="A2" s="182">
        <v>151.38</v>
      </c>
      <c r="B2" s="182">
        <v>151.38</v>
      </c>
      <c r="C2" s="182">
        <v>151.38</v>
      </c>
      <c r="D2" s="182">
        <v>151.38</v>
      </c>
      <c r="E2" s="182">
        <v>151.38</v>
      </c>
      <c r="F2" s="182">
        <v>151.38</v>
      </c>
      <c r="G2" s="182">
        <v>151.38</v>
      </c>
      <c r="H2" s="182">
        <v>151.38</v>
      </c>
      <c r="I2" s="182">
        <v>151.38</v>
      </c>
      <c r="J2" s="182">
        <v>151.38</v>
      </c>
      <c r="K2" s="182">
        <v>151.38</v>
      </c>
      <c r="L2" s="182">
        <v>151.38</v>
      </c>
      <c r="M2" s="182">
        <v>151.38</v>
      </c>
      <c r="N2" s="182">
        <v>151.38</v>
      </c>
      <c r="O2" s="182">
        <v>151.38</v>
      </c>
      <c r="P2" s="182">
        <v>151.38</v>
      </c>
      <c r="Q2" s="182">
        <v>151.38</v>
      </c>
      <c r="R2" s="182">
        <v>151.38</v>
      </c>
      <c r="S2" s="182">
        <v>151.38</v>
      </c>
      <c r="T2" s="182">
        <v>151.38</v>
      </c>
      <c r="U2" s="182">
        <v>151.38</v>
      </c>
      <c r="V2" s="182">
        <v>151.38</v>
      </c>
      <c r="W2" s="182">
        <v>151.38</v>
      </c>
      <c r="X2" s="182">
        <v>151.38</v>
      </c>
      <c r="Y2" s="182">
        <v>151.38</v>
      </c>
      <c r="Z2" s="182">
        <v>151.38</v>
      </c>
      <c r="AA2" s="182">
        <v>151.38</v>
      </c>
      <c r="AB2" s="182">
        <v>151.38</v>
      </c>
      <c r="AC2" s="182">
        <v>151.38</v>
      </c>
      <c r="AD2" s="182">
        <v>151.38</v>
      </c>
      <c r="AE2" s="182">
        <v>151.38</v>
      </c>
      <c r="AF2" s="182">
        <v>151.38</v>
      </c>
      <c r="AG2" s="182">
        <v>151.38</v>
      </c>
      <c r="AH2" s="182">
        <v>151.38</v>
      </c>
      <c r="AI2" s="182">
        <v>151.38</v>
      </c>
      <c r="AJ2" s="182">
        <v>151.38</v>
      </c>
      <c r="AK2" s="182">
        <v>151.38</v>
      </c>
      <c r="AL2" s="182">
        <v>151.38</v>
      </c>
      <c r="AM2" s="182">
        <v>151.38</v>
      </c>
      <c r="AN2" s="182">
        <v>151.38</v>
      </c>
      <c r="AO2" s="182">
        <v>151.38</v>
      </c>
      <c r="AP2" s="182">
        <v>151.38</v>
      </c>
      <c r="AQ2" s="182">
        <v>151.38</v>
      </c>
      <c r="AR2" s="182">
        <v>151.38</v>
      </c>
      <c r="AS2" s="182">
        <v>151.38</v>
      </c>
      <c r="AT2" s="182">
        <v>151.38</v>
      </c>
      <c r="AU2" s="182">
        <v>151.38</v>
      </c>
      <c r="AV2" s="182">
        <v>151.38</v>
      </c>
      <c r="AW2" s="182">
        <v>151.38</v>
      </c>
      <c r="AX2" s="182">
        <v>151.38</v>
      </c>
      <c r="AY2" s="182">
        <v>151.38</v>
      </c>
      <c r="AZ2" s="182">
        <v>151.38</v>
      </c>
      <c r="CC2" s="182">
        <v>151.38</v>
      </c>
      <c r="CD2" s="182">
        <v>151.38</v>
      </c>
      <c r="CE2" s="182">
        <v>151.38</v>
      </c>
      <c r="CF2" s="182">
        <v>151.38</v>
      </c>
      <c r="CG2" s="182">
        <v>151.38</v>
      </c>
      <c r="CH2" s="182">
        <v>151.38</v>
      </c>
      <c r="CI2" s="182">
        <v>151.38</v>
      </c>
      <c r="CJ2" s="182">
        <v>151.38</v>
      </c>
      <c r="CK2" s="182">
        <v>151.38</v>
      </c>
      <c r="CL2" s="182">
        <v>151.38</v>
      </c>
      <c r="CM2" s="182">
        <v>151.38</v>
      </c>
      <c r="CN2" s="182">
        <v>151.38</v>
      </c>
      <c r="CO2" s="182">
        <v>151.38</v>
      </c>
      <c r="CP2" s="182">
        <v>151.38</v>
      </c>
      <c r="CQ2" s="182">
        <v>151.38</v>
      </c>
      <c r="CR2" s="182">
        <v>151.38</v>
      </c>
      <c r="CS2" s="182">
        <v>151.38</v>
      </c>
      <c r="CT2" s="182">
        <v>151.38</v>
      </c>
      <c r="CU2" s="182">
        <v>151.38</v>
      </c>
      <c r="CV2" s="182">
        <v>151.38</v>
      </c>
      <c r="CW2" s="182">
        <v>151.38</v>
      </c>
      <c r="CX2" s="182">
        <v>151.38</v>
      </c>
      <c r="CY2" s="182">
        <v>151.38</v>
      </c>
      <c r="CZ2" s="182">
        <v>151.38</v>
      </c>
      <c r="DA2" s="182">
        <v>151.38</v>
      </c>
      <c r="DB2" s="182">
        <v>151.38</v>
      </c>
      <c r="DC2" s="182">
        <v>151.38</v>
      </c>
      <c r="DD2" s="182">
        <v>151.38</v>
      </c>
      <c r="DE2" s="182">
        <v>151.38</v>
      </c>
      <c r="DF2" s="182">
        <v>151.38</v>
      </c>
      <c r="DG2" s="182">
        <v>151.38</v>
      </c>
      <c r="DH2" s="182">
        <v>151.38</v>
      </c>
      <c r="DI2" s="182">
        <v>151.38</v>
      </c>
      <c r="DJ2" s="182">
        <v>151.38</v>
      </c>
      <c r="DK2" s="182">
        <v>151.38</v>
      </c>
      <c r="DL2" s="182">
        <v>151.38</v>
      </c>
      <c r="DM2" s="182">
        <v>151.38</v>
      </c>
      <c r="DN2" s="182">
        <v>151.38</v>
      </c>
      <c r="DO2" s="182">
        <v>151.38</v>
      </c>
      <c r="DP2" s="182">
        <v>151.38</v>
      </c>
      <c r="DQ2" s="182">
        <v>151.38</v>
      </c>
      <c r="DR2" s="182">
        <v>151.38</v>
      </c>
      <c r="DS2" s="182">
        <v>151.38</v>
      </c>
      <c r="DT2" s="182">
        <v>151.38</v>
      </c>
      <c r="DU2" s="182">
        <v>151.38</v>
      </c>
      <c r="DV2" s="182">
        <v>151.38</v>
      </c>
      <c r="DW2" s="182">
        <v>151.38</v>
      </c>
      <c r="DX2" s="182">
        <v>151.38</v>
      </c>
      <c r="DY2" s="182">
        <v>151.38</v>
      </c>
      <c r="DZ2" s="182">
        <v>151.38</v>
      </c>
      <c r="EA2" s="182">
        <v>151.38</v>
      </c>
      <c r="EB2" s="182">
        <v>151.38</v>
      </c>
      <c r="EC2" s="182">
        <v>151.38</v>
      </c>
      <c r="ED2" s="182">
        <v>151.38</v>
      </c>
      <c r="EE2" s="182">
        <v>151.38</v>
      </c>
      <c r="EF2" s="182">
        <v>151.38</v>
      </c>
      <c r="EG2" s="182">
        <v>151.38</v>
      </c>
      <c r="EH2" s="182">
        <v>151.38</v>
      </c>
      <c r="FE2" s="182">
        <v>151.38</v>
      </c>
      <c r="FF2" s="182">
        <v>151.38</v>
      </c>
      <c r="FG2" s="182">
        <v>151.38</v>
      </c>
      <c r="FH2" s="182">
        <v>151.38</v>
      </c>
      <c r="FI2" s="182">
        <v>151.38</v>
      </c>
      <c r="FJ2" s="182">
        <v>151.38</v>
      </c>
      <c r="FK2" s="182">
        <v>151.38</v>
      </c>
      <c r="FL2" s="182">
        <v>151.38</v>
      </c>
      <c r="FM2" s="182">
        <v>151.38</v>
      </c>
      <c r="FN2" s="182">
        <v>151.38</v>
      </c>
      <c r="FO2" s="182">
        <v>151.38</v>
      </c>
      <c r="FP2" s="182">
        <v>151.38</v>
      </c>
      <c r="FQ2" s="182">
        <v>151.38</v>
      </c>
      <c r="FR2" s="182">
        <v>151.38</v>
      </c>
      <c r="FS2" s="182">
        <v>151.38</v>
      </c>
      <c r="FT2" s="182">
        <v>151.38</v>
      </c>
      <c r="FU2" s="182">
        <v>151.38</v>
      </c>
      <c r="FV2" s="182">
        <v>151.38</v>
      </c>
      <c r="FW2" s="182">
        <v>151.38</v>
      </c>
      <c r="FX2" s="182">
        <v>151.38</v>
      </c>
      <c r="FY2" s="182">
        <v>151.38</v>
      </c>
      <c r="FZ2" s="182">
        <v>151.38</v>
      </c>
      <c r="GA2" s="182">
        <v>151.38</v>
      </c>
      <c r="GB2" s="182">
        <v>151.38</v>
      </c>
      <c r="GC2" s="182">
        <v>151.38</v>
      </c>
      <c r="GD2" s="182">
        <v>151.38</v>
      </c>
      <c r="GE2" s="182">
        <v>151.38</v>
      </c>
      <c r="GF2" s="182">
        <v>151.38</v>
      </c>
      <c r="GG2" s="182">
        <v>151.38</v>
      </c>
      <c r="GH2" s="182">
        <v>151.38</v>
      </c>
      <c r="GI2" s="182">
        <v>151.38</v>
      </c>
      <c r="GJ2" s="182">
        <v>151.38</v>
      </c>
      <c r="GK2" s="182">
        <v>151.38</v>
      </c>
      <c r="GL2" s="182">
        <v>151.38</v>
      </c>
      <c r="GM2" s="182">
        <v>151.38</v>
      </c>
      <c r="GN2" s="182">
        <v>151.38</v>
      </c>
      <c r="GO2" s="182">
        <v>151.38</v>
      </c>
      <c r="GP2" s="182">
        <v>151.38</v>
      </c>
      <c r="GQ2" s="182">
        <v>151.38</v>
      </c>
      <c r="GR2" s="182">
        <v>151.38</v>
      </c>
      <c r="GS2" s="182">
        <v>151.38</v>
      </c>
      <c r="GT2" s="182">
        <v>151.38</v>
      </c>
      <c r="GU2" s="182">
        <v>151.38</v>
      </c>
      <c r="GV2" s="182">
        <v>151.38</v>
      </c>
      <c r="GW2" s="182">
        <v>151.38</v>
      </c>
      <c r="GX2" s="182">
        <v>151.38</v>
      </c>
      <c r="GY2" s="182">
        <v>151.38</v>
      </c>
      <c r="GZ2" s="182">
        <v>151.38</v>
      </c>
      <c r="HA2" s="182">
        <v>151.38</v>
      </c>
      <c r="HB2" s="182">
        <v>151.38</v>
      </c>
      <c r="HC2" s="182">
        <v>151.38</v>
      </c>
      <c r="HD2" s="182">
        <v>151.38</v>
      </c>
      <c r="HE2" s="182">
        <v>151.38</v>
      </c>
      <c r="HF2" s="182">
        <v>151.38</v>
      </c>
      <c r="HG2" s="182">
        <v>151.38</v>
      </c>
      <c r="HH2" s="182">
        <v>151.38</v>
      </c>
      <c r="HI2" s="182">
        <v>151.38</v>
      </c>
      <c r="HJ2" s="182">
        <v>151.38</v>
      </c>
      <c r="HK2" s="182">
        <v>151.38</v>
      </c>
      <c r="IG2" s="182">
        <v>151.38</v>
      </c>
      <c r="IH2" s="182">
        <v>151.38</v>
      </c>
      <c r="II2" s="182">
        <v>151.38</v>
      </c>
      <c r="IJ2" s="182">
        <v>151.38</v>
      </c>
      <c r="IK2" s="182">
        <v>151.38</v>
      </c>
      <c r="IL2" s="182">
        <v>151.38</v>
      </c>
      <c r="IM2" s="182">
        <v>151.38</v>
      </c>
      <c r="IN2" s="182">
        <v>151.38</v>
      </c>
      <c r="IO2" s="182">
        <v>151.38</v>
      </c>
      <c r="IP2" s="182">
        <v>151.38</v>
      </c>
      <c r="IQ2" s="182">
        <v>151.38</v>
      </c>
      <c r="IR2" s="182">
        <v>151.38</v>
      </c>
      <c r="IS2" s="182">
        <v>151.38</v>
      </c>
      <c r="IT2" s="182">
        <v>151.38</v>
      </c>
      <c r="IU2" s="182">
        <v>151.38</v>
      </c>
      <c r="IV2" s="182">
        <v>151.38</v>
      </c>
      <c r="IW2" s="182">
        <v>151.38</v>
      </c>
      <c r="IX2" s="182">
        <v>151.38</v>
      </c>
      <c r="IY2" s="182">
        <v>151.38</v>
      </c>
      <c r="IZ2" s="182">
        <v>151.38</v>
      </c>
      <c r="JA2" s="182">
        <v>151.38</v>
      </c>
      <c r="JB2" s="182">
        <v>151.38</v>
      </c>
      <c r="JC2" s="182">
        <v>151.38</v>
      </c>
      <c r="JD2" s="182">
        <v>151.38</v>
      </c>
      <c r="JE2" s="182">
        <v>151.38</v>
      </c>
      <c r="JF2" s="182">
        <v>151.38</v>
      </c>
      <c r="JG2" s="182">
        <v>151.38</v>
      </c>
      <c r="JH2" s="182">
        <v>151.38</v>
      </c>
      <c r="JI2" s="182">
        <v>151.38</v>
      </c>
      <c r="JJ2" s="182">
        <v>151.38</v>
      </c>
      <c r="JK2" s="182">
        <v>151.38</v>
      </c>
      <c r="JL2" s="182">
        <v>151.38</v>
      </c>
      <c r="JM2" s="182">
        <v>151.38</v>
      </c>
      <c r="JN2" s="182">
        <v>151.38</v>
      </c>
      <c r="JO2" s="182">
        <v>151.38</v>
      </c>
      <c r="JP2" s="182">
        <v>151.38</v>
      </c>
      <c r="JQ2" s="182">
        <v>151.38</v>
      </c>
      <c r="JR2" s="182">
        <v>151.38</v>
      </c>
      <c r="JS2" s="182">
        <v>151.38</v>
      </c>
      <c r="JT2" s="182">
        <v>151.38</v>
      </c>
      <c r="JU2" s="182">
        <v>151.38</v>
      </c>
      <c r="JV2" s="182">
        <v>151.38</v>
      </c>
      <c r="JW2" s="182">
        <v>151.38</v>
      </c>
      <c r="JX2" s="182">
        <v>151.38</v>
      </c>
      <c r="JY2" s="182">
        <v>151.38</v>
      </c>
      <c r="JZ2" s="182">
        <v>151.38</v>
      </c>
      <c r="KA2" s="182">
        <v>151.38</v>
      </c>
      <c r="KB2" s="182">
        <v>151.38</v>
      </c>
      <c r="KC2" s="182">
        <v>151.38</v>
      </c>
      <c r="KD2" s="182">
        <v>151.38</v>
      </c>
      <c r="KE2" s="182">
        <v>151.38</v>
      </c>
      <c r="KF2" s="182">
        <v>151.38</v>
      </c>
      <c r="KG2" s="182">
        <v>151.38</v>
      </c>
      <c r="KH2" s="182">
        <v>151.38</v>
      </c>
      <c r="KI2" s="182">
        <v>151.38</v>
      </c>
      <c r="KJ2" s="182">
        <v>151.38</v>
      </c>
      <c r="KK2" s="182">
        <v>151.38</v>
      </c>
      <c r="KL2" s="182">
        <v>151.38</v>
      </c>
      <c r="LI2" s="182">
        <v>151.38</v>
      </c>
      <c r="LJ2" s="182">
        <v>151.38</v>
      </c>
      <c r="LK2" s="182">
        <v>151.38</v>
      </c>
      <c r="LL2" s="182">
        <v>151.38</v>
      </c>
      <c r="LM2" s="182">
        <v>151.38</v>
      </c>
      <c r="LN2" s="182">
        <v>151.38</v>
      </c>
      <c r="LO2" s="182">
        <v>151.38</v>
      </c>
      <c r="LP2" s="182">
        <v>151.38</v>
      </c>
      <c r="LQ2" s="182">
        <v>151.38</v>
      </c>
      <c r="LR2" s="182">
        <v>151.38</v>
      </c>
      <c r="LS2" s="182">
        <v>151.38</v>
      </c>
      <c r="LT2" s="182">
        <v>151.38</v>
      </c>
      <c r="LU2" s="182">
        <v>151.38</v>
      </c>
      <c r="LV2" s="182">
        <v>151.38</v>
      </c>
      <c r="LW2" s="182">
        <v>151.38</v>
      </c>
      <c r="LX2" s="182">
        <v>151.38</v>
      </c>
      <c r="LY2" s="182">
        <v>151.38</v>
      </c>
      <c r="LZ2" s="182">
        <v>151.38</v>
      </c>
      <c r="MA2" s="182">
        <v>151.38</v>
      </c>
      <c r="MB2" s="182">
        <v>151.38</v>
      </c>
      <c r="MC2" s="182">
        <v>151.38</v>
      </c>
      <c r="MD2" s="182">
        <v>151.38</v>
      </c>
      <c r="ME2" s="182">
        <v>151.38</v>
      </c>
      <c r="MF2" s="182">
        <v>151.38</v>
      </c>
      <c r="MG2" s="182">
        <v>151.38</v>
      </c>
      <c r="MH2" s="182">
        <v>151.38</v>
      </c>
      <c r="MI2" s="182">
        <v>151.38</v>
      </c>
      <c r="MJ2" s="182">
        <v>151.38</v>
      </c>
      <c r="MK2" s="182">
        <v>151.38</v>
      </c>
      <c r="ML2" s="182">
        <v>151.38</v>
      </c>
      <c r="MM2" s="182">
        <v>151.38</v>
      </c>
      <c r="MN2" s="182">
        <v>151.38</v>
      </c>
      <c r="MO2" s="182">
        <v>151.38</v>
      </c>
      <c r="MP2" s="182">
        <v>151.38</v>
      </c>
      <c r="MQ2" s="182">
        <v>151.38</v>
      </c>
      <c r="MR2" s="182">
        <v>151.38</v>
      </c>
      <c r="MS2" s="182">
        <v>151.38</v>
      </c>
      <c r="MT2" s="182">
        <v>151.38</v>
      </c>
      <c r="MU2" s="182">
        <v>151.38</v>
      </c>
      <c r="MV2" s="182">
        <v>151.38</v>
      </c>
      <c r="MW2" s="182">
        <v>151.38</v>
      </c>
      <c r="MX2" s="182">
        <v>151.38</v>
      </c>
      <c r="MY2" s="182">
        <v>151.38</v>
      </c>
      <c r="MZ2" s="182">
        <v>151.38</v>
      </c>
      <c r="NA2" s="182">
        <v>151.38</v>
      </c>
      <c r="NB2" s="182">
        <v>151.38</v>
      </c>
      <c r="NC2" s="182">
        <v>151.38</v>
      </c>
      <c r="ND2" s="182">
        <v>151.38</v>
      </c>
      <c r="NE2" s="182">
        <v>151.38</v>
      </c>
      <c r="NF2" s="182">
        <v>151.38</v>
      </c>
      <c r="NG2" s="182">
        <v>151.38</v>
      </c>
      <c r="NH2" s="182">
        <v>151.38</v>
      </c>
      <c r="NI2" s="182">
        <v>151.38</v>
      </c>
      <c r="NJ2" s="182">
        <v>151.38</v>
      </c>
      <c r="NK2" s="182">
        <v>151.38</v>
      </c>
      <c r="NL2" s="182">
        <v>151.38</v>
      </c>
      <c r="NM2" s="182">
        <v>151.38</v>
      </c>
      <c r="NN2" s="182">
        <v>151.38</v>
      </c>
      <c r="NO2" s="182">
        <v>151.38</v>
      </c>
      <c r="NP2" s="182">
        <v>151.38</v>
      </c>
      <c r="NQ2" s="182">
        <v>151.38</v>
      </c>
      <c r="OK2" s="182">
        <v>151.38</v>
      </c>
      <c r="OL2" s="182">
        <v>151.38</v>
      </c>
      <c r="OM2" s="182">
        <v>151.38</v>
      </c>
      <c r="ON2" s="182">
        <v>151.38</v>
      </c>
      <c r="OO2" s="182">
        <v>151.38</v>
      </c>
      <c r="OP2" s="182">
        <v>151.38</v>
      </c>
      <c r="OQ2" s="182">
        <v>151.38</v>
      </c>
      <c r="OR2" s="182">
        <v>151.38</v>
      </c>
      <c r="OS2" s="182">
        <v>151.38</v>
      </c>
      <c r="OT2" s="182">
        <v>151.38</v>
      </c>
      <c r="OU2" s="182">
        <v>151.38</v>
      </c>
      <c r="OV2" s="182">
        <v>151.38</v>
      </c>
      <c r="OW2" s="182">
        <v>151.38</v>
      </c>
      <c r="OX2" s="182">
        <v>151.38</v>
      </c>
      <c r="OY2" s="182">
        <v>151.38</v>
      </c>
      <c r="OZ2" s="182">
        <v>151.38</v>
      </c>
      <c r="PA2" s="182">
        <v>151.38</v>
      </c>
      <c r="PB2" s="182">
        <v>151.38</v>
      </c>
      <c r="PC2" s="182">
        <v>151.38</v>
      </c>
      <c r="PD2" s="182">
        <v>151.38</v>
      </c>
      <c r="PE2" s="182">
        <v>151.38</v>
      </c>
      <c r="PF2" s="182">
        <v>151.38</v>
      </c>
      <c r="PG2" s="182">
        <v>151.38</v>
      </c>
      <c r="PH2" s="182">
        <v>151.38</v>
      </c>
      <c r="PI2" s="182">
        <v>151.38</v>
      </c>
      <c r="PJ2" s="182">
        <v>151.38</v>
      </c>
      <c r="PK2" s="182">
        <v>151.38</v>
      </c>
      <c r="PL2" s="182">
        <v>151.38</v>
      </c>
      <c r="PM2" s="182">
        <v>151.38</v>
      </c>
      <c r="PN2" s="182">
        <v>151.38</v>
      </c>
      <c r="PO2" s="182">
        <v>151.38</v>
      </c>
      <c r="PP2" s="182">
        <v>151.38</v>
      </c>
      <c r="PQ2" s="182">
        <v>151.38</v>
      </c>
      <c r="PR2" s="182">
        <v>151.38</v>
      </c>
      <c r="PS2" s="182">
        <v>151.38</v>
      </c>
      <c r="PT2" s="182">
        <v>151.38</v>
      </c>
      <c r="PU2" s="182">
        <v>151.38</v>
      </c>
      <c r="PV2" s="182">
        <v>151.38</v>
      </c>
      <c r="PW2" s="182">
        <v>151.38</v>
      </c>
      <c r="PX2" s="182">
        <v>151.38</v>
      </c>
      <c r="PY2" s="182">
        <v>151.38</v>
      </c>
      <c r="PZ2" s="182">
        <v>151.38</v>
      </c>
      <c r="QA2" s="182">
        <v>151.38</v>
      </c>
      <c r="QB2" s="182">
        <v>151.38</v>
      </c>
      <c r="QC2" s="182">
        <v>151.38</v>
      </c>
      <c r="QD2" s="182">
        <v>151.38</v>
      </c>
      <c r="QE2" s="182">
        <v>151.38</v>
      </c>
      <c r="QF2" s="182">
        <v>151.38</v>
      </c>
      <c r="QG2" s="182">
        <v>151.38</v>
      </c>
      <c r="QH2" s="182">
        <v>151.38</v>
      </c>
      <c r="QI2" s="182">
        <v>151.38</v>
      </c>
      <c r="QJ2" s="182">
        <v>151.38</v>
      </c>
      <c r="QK2" s="182">
        <v>151.38</v>
      </c>
      <c r="QL2" s="182">
        <v>151.38</v>
      </c>
      <c r="QM2" s="182">
        <v>151.38</v>
      </c>
      <c r="QN2" s="182">
        <v>151.38</v>
      </c>
      <c r="QO2" s="182">
        <v>151.38</v>
      </c>
      <c r="QP2" s="182">
        <v>151.38</v>
      </c>
      <c r="QQ2" s="182">
        <v>151.38</v>
      </c>
      <c r="QR2" s="182">
        <v>151.38</v>
      </c>
      <c r="RM2" s="182">
        <v>151.38</v>
      </c>
      <c r="RN2" s="182">
        <v>151.38</v>
      </c>
      <c r="RO2" s="182">
        <v>151.38</v>
      </c>
      <c r="RP2" s="182">
        <v>151.38</v>
      </c>
      <c r="RQ2" s="182">
        <v>151.38</v>
      </c>
      <c r="RR2" s="182">
        <v>151.38</v>
      </c>
      <c r="RS2" s="182">
        <v>151.38</v>
      </c>
      <c r="RT2" s="182">
        <v>151.38</v>
      </c>
      <c r="RU2" s="182">
        <v>151.38</v>
      </c>
      <c r="RV2" s="182">
        <v>151.38</v>
      </c>
      <c r="RW2" s="182">
        <v>151.38</v>
      </c>
      <c r="RX2" s="182">
        <v>151.38</v>
      </c>
      <c r="RY2" s="182">
        <v>151.38</v>
      </c>
      <c r="RZ2" s="182">
        <v>151.38</v>
      </c>
      <c r="SA2" s="182">
        <v>151.38</v>
      </c>
      <c r="SB2" s="182">
        <v>151.38</v>
      </c>
      <c r="SC2" s="182">
        <v>151.38</v>
      </c>
      <c r="SD2" s="182">
        <v>151.38</v>
      </c>
      <c r="SE2" s="182">
        <v>151.38</v>
      </c>
      <c r="SF2" s="182">
        <v>151.38</v>
      </c>
      <c r="SG2" s="182">
        <v>151.38</v>
      </c>
      <c r="SH2" s="182">
        <v>151.38</v>
      </c>
      <c r="SI2" s="182">
        <v>151.38</v>
      </c>
      <c r="SJ2" s="182">
        <v>151.38</v>
      </c>
      <c r="SK2" s="182">
        <v>151.38</v>
      </c>
      <c r="SL2" s="182">
        <v>151.38</v>
      </c>
      <c r="SM2" s="182">
        <v>151.38</v>
      </c>
      <c r="SN2" s="182">
        <v>151.38</v>
      </c>
      <c r="SO2" s="182">
        <v>151.38</v>
      </c>
      <c r="SP2" s="182">
        <v>151.38</v>
      </c>
      <c r="SQ2" s="182">
        <v>151.38</v>
      </c>
      <c r="SR2" s="182">
        <v>151.38</v>
      </c>
      <c r="SS2" s="182">
        <v>151.38</v>
      </c>
      <c r="ST2" s="182">
        <v>151.38</v>
      </c>
      <c r="SU2" s="182">
        <v>151.38</v>
      </c>
      <c r="SV2" s="182">
        <v>151.38</v>
      </c>
      <c r="SW2" s="182">
        <v>151.38</v>
      </c>
      <c r="SX2" s="182">
        <v>151.38</v>
      </c>
      <c r="SY2" s="182">
        <v>151.38</v>
      </c>
      <c r="SZ2" s="182">
        <v>151.38</v>
      </c>
      <c r="TA2" s="182">
        <v>151.38</v>
      </c>
      <c r="TB2" s="182">
        <v>151.38</v>
      </c>
      <c r="TC2" s="182">
        <v>151.38</v>
      </c>
      <c r="TD2" s="182">
        <v>151.38</v>
      </c>
      <c r="TE2" s="182">
        <v>151.38</v>
      </c>
      <c r="TF2" s="182">
        <v>151.38</v>
      </c>
      <c r="TG2" s="182">
        <v>151.38</v>
      </c>
      <c r="TH2" s="182">
        <v>151.38</v>
      </c>
      <c r="TI2" s="182">
        <v>151.38</v>
      </c>
      <c r="TJ2" s="182">
        <v>151.38</v>
      </c>
      <c r="TK2" s="182">
        <v>151.38</v>
      </c>
      <c r="TL2" s="182">
        <v>151.38</v>
      </c>
      <c r="TM2" s="182">
        <v>151.38</v>
      </c>
      <c r="TN2" s="182">
        <v>151.38</v>
      </c>
      <c r="TO2" s="182">
        <v>151.38</v>
      </c>
      <c r="TP2" s="182">
        <v>151.38</v>
      </c>
      <c r="TQ2" s="182">
        <v>151.38</v>
      </c>
      <c r="TR2" s="182">
        <v>151.38</v>
      </c>
      <c r="TS2" s="182">
        <v>151.38</v>
      </c>
      <c r="TT2" s="182">
        <v>151.38</v>
      </c>
      <c r="UO2" s="182">
        <v>151.38</v>
      </c>
      <c r="UP2" s="182">
        <v>151.38</v>
      </c>
      <c r="UQ2" s="182">
        <v>151.38</v>
      </c>
      <c r="UR2" s="182">
        <v>151.38</v>
      </c>
      <c r="US2" s="182">
        <v>151.38</v>
      </c>
      <c r="UT2" s="182">
        <v>151.38</v>
      </c>
      <c r="UU2" s="182">
        <v>151.38</v>
      </c>
      <c r="UV2" s="182">
        <v>151.38</v>
      </c>
      <c r="UW2" s="182">
        <v>151.38</v>
      </c>
      <c r="UX2" s="182">
        <v>151.38</v>
      </c>
      <c r="UY2" s="182">
        <v>151.38</v>
      </c>
      <c r="UZ2" s="182">
        <v>151.38</v>
      </c>
      <c r="VA2" s="182">
        <v>151.38</v>
      </c>
      <c r="VB2" s="182">
        <v>151.38</v>
      </c>
      <c r="VC2" s="182">
        <v>151.38</v>
      </c>
      <c r="VD2" s="182">
        <v>151.38</v>
      </c>
      <c r="VE2" s="182">
        <v>151.38</v>
      </c>
      <c r="VF2" s="182">
        <v>151.38</v>
      </c>
      <c r="VG2" s="182">
        <v>151.38</v>
      </c>
      <c r="VH2" s="182">
        <v>151.38</v>
      </c>
      <c r="VI2" s="182">
        <v>151.38</v>
      </c>
      <c r="VJ2" s="182">
        <v>151.38</v>
      </c>
      <c r="VK2" s="182">
        <v>151.38</v>
      </c>
      <c r="VL2" s="182">
        <v>151.38</v>
      </c>
      <c r="VM2" s="182">
        <v>151.38</v>
      </c>
      <c r="VN2" s="182">
        <v>151.38</v>
      </c>
      <c r="VO2" s="182">
        <v>151.38</v>
      </c>
      <c r="VP2" s="182">
        <v>151.38</v>
      </c>
      <c r="VQ2" s="182">
        <v>151.38</v>
      </c>
      <c r="VR2" s="182">
        <v>151.38</v>
      </c>
      <c r="VS2" s="182">
        <v>151.38</v>
      </c>
      <c r="VT2" s="182">
        <v>151.38</v>
      </c>
      <c r="VU2" s="182">
        <v>151.38</v>
      </c>
      <c r="VV2" s="182">
        <v>151.38</v>
      </c>
      <c r="VW2" s="182">
        <v>151.38</v>
      </c>
      <c r="VX2" s="182">
        <v>151.38</v>
      </c>
      <c r="VY2" s="182">
        <v>151.38</v>
      </c>
      <c r="VZ2" s="182">
        <v>151.38</v>
      </c>
      <c r="WA2" s="182">
        <v>151.38</v>
      </c>
      <c r="WB2" s="182">
        <v>151.38</v>
      </c>
      <c r="WC2" s="182">
        <v>151.38</v>
      </c>
      <c r="WD2" s="182">
        <v>151.38</v>
      </c>
      <c r="WE2" s="182">
        <v>151.38</v>
      </c>
      <c r="WF2" s="182">
        <v>151.38</v>
      </c>
      <c r="WG2" s="182">
        <v>151.38</v>
      </c>
      <c r="WH2" s="182">
        <v>151.38</v>
      </c>
      <c r="WI2" s="182">
        <v>151.38</v>
      </c>
      <c r="WJ2" s="182">
        <v>151.38</v>
      </c>
      <c r="WK2" s="182">
        <v>151.38</v>
      </c>
      <c r="WL2" s="182">
        <v>151.38</v>
      </c>
      <c r="WM2" s="182">
        <v>151.38</v>
      </c>
      <c r="WN2" s="182">
        <v>151.38</v>
      </c>
      <c r="WO2" s="182">
        <v>151.38</v>
      </c>
      <c r="WP2" s="182">
        <v>151.38</v>
      </c>
      <c r="WQ2" s="182">
        <v>151.38</v>
      </c>
      <c r="WR2" s="182">
        <v>151.38</v>
      </c>
      <c r="WS2" s="182">
        <v>151.38</v>
      </c>
      <c r="WT2" s="182">
        <v>151.38</v>
      </c>
      <c r="WU2" s="182">
        <v>151.38</v>
      </c>
      <c r="WV2" s="182">
        <v>151.38</v>
      </c>
      <c r="XQ2" s="182">
        <v>151.38</v>
      </c>
      <c r="XR2" s="182">
        <v>151.38</v>
      </c>
      <c r="XS2" s="182">
        <v>151.38</v>
      </c>
      <c r="XT2" s="182">
        <v>151.38</v>
      </c>
      <c r="XU2" s="182">
        <v>151.38</v>
      </c>
      <c r="XV2" s="182">
        <v>151.38</v>
      </c>
      <c r="XW2" s="182">
        <v>151.38</v>
      </c>
      <c r="XX2" s="182">
        <v>151.38</v>
      </c>
      <c r="XY2" s="182">
        <v>151.38</v>
      </c>
      <c r="XZ2" s="182">
        <v>151.38</v>
      </c>
      <c r="YA2" s="182">
        <v>151.38</v>
      </c>
      <c r="YB2" s="182">
        <v>151.38</v>
      </c>
      <c r="YC2" s="182">
        <v>151.38</v>
      </c>
      <c r="YD2" s="182">
        <v>151.38</v>
      </c>
      <c r="YE2" s="182">
        <v>151.38</v>
      </c>
      <c r="YF2" s="182">
        <v>151.38</v>
      </c>
      <c r="YG2" s="182">
        <v>151.38</v>
      </c>
      <c r="YH2" s="182">
        <v>151.38</v>
      </c>
      <c r="YI2" s="182">
        <v>151.38</v>
      </c>
      <c r="YJ2" s="182">
        <v>151.38</v>
      </c>
      <c r="YK2" s="182">
        <v>151.38</v>
      </c>
      <c r="YL2" s="182">
        <v>151.38</v>
      </c>
      <c r="YM2" s="182">
        <v>151.38</v>
      </c>
      <c r="YN2" s="182">
        <v>151.38</v>
      </c>
      <c r="YO2" s="182">
        <v>151.38</v>
      </c>
      <c r="YP2" s="182">
        <v>151.38</v>
      </c>
      <c r="YQ2" s="182">
        <v>151.38</v>
      </c>
      <c r="YR2" s="182">
        <v>151.38</v>
      </c>
      <c r="YS2" s="182">
        <v>151.38</v>
      </c>
      <c r="YT2" s="182">
        <v>151.38</v>
      </c>
      <c r="YU2" s="182">
        <v>151.38</v>
      </c>
      <c r="YV2" s="182">
        <v>151.38</v>
      </c>
      <c r="YW2" s="182">
        <v>151.38</v>
      </c>
      <c r="YX2" s="182">
        <v>151.38</v>
      </c>
      <c r="YY2" s="182">
        <v>151.38</v>
      </c>
      <c r="YZ2" s="182">
        <v>151.38</v>
      </c>
      <c r="ZA2" s="182">
        <v>151.38</v>
      </c>
      <c r="ZB2" s="182">
        <v>151.38</v>
      </c>
      <c r="ZC2" s="182">
        <v>151.38</v>
      </c>
      <c r="ZD2" s="182">
        <v>151.38</v>
      </c>
      <c r="ZE2" s="182">
        <v>151.38</v>
      </c>
      <c r="ZF2" s="182">
        <v>151.38</v>
      </c>
      <c r="ZG2" s="182">
        <v>151.38</v>
      </c>
      <c r="ZH2" s="182">
        <v>151.38</v>
      </c>
      <c r="ZI2" s="182">
        <v>151.38</v>
      </c>
      <c r="ZJ2" s="182">
        <v>151.38</v>
      </c>
      <c r="ZK2" s="182">
        <v>151.38</v>
      </c>
      <c r="ZL2" s="182">
        <v>151.38</v>
      </c>
      <c r="ZM2" s="182">
        <v>151.38</v>
      </c>
      <c r="ZN2" s="182">
        <v>151.38</v>
      </c>
      <c r="ZO2" s="182">
        <v>151.38</v>
      </c>
      <c r="ZP2" s="182">
        <v>151.38</v>
      </c>
      <c r="ZQ2" s="182">
        <v>151.38</v>
      </c>
      <c r="ZR2" s="182">
        <v>151.38</v>
      </c>
      <c r="ZS2" s="182">
        <v>151.38</v>
      </c>
      <c r="ZT2" s="182">
        <v>151.38</v>
      </c>
      <c r="ZU2" s="182">
        <v>151.38</v>
      </c>
      <c r="ZV2" s="182">
        <v>151.38</v>
      </c>
      <c r="ZW2" s="182">
        <v>151.38</v>
      </c>
      <c r="ZX2" s="182">
        <v>151.38</v>
      </c>
      <c r="AAS2" s="182">
        <v>151.38</v>
      </c>
      <c r="AAT2" s="182">
        <v>151.38</v>
      </c>
      <c r="AAU2" s="182">
        <v>151.38</v>
      </c>
      <c r="AAV2" s="182">
        <v>151.38</v>
      </c>
      <c r="AAW2" s="182">
        <v>151.38</v>
      </c>
      <c r="AAX2" s="182">
        <v>151.38</v>
      </c>
      <c r="AAY2" s="182">
        <v>151.38</v>
      </c>
      <c r="AAZ2" s="182">
        <v>151.38</v>
      </c>
      <c r="ABA2" s="182">
        <v>151.38</v>
      </c>
      <c r="ABB2" s="182">
        <v>151.38</v>
      </c>
      <c r="ABC2" s="182">
        <v>151.38</v>
      </c>
      <c r="ABD2" s="182">
        <v>151.38</v>
      </c>
      <c r="ABE2" s="182">
        <v>151.38</v>
      </c>
      <c r="ABF2" s="182">
        <v>151.38</v>
      </c>
      <c r="ABG2" s="182">
        <v>151.38</v>
      </c>
      <c r="ABH2" s="182">
        <v>151.38</v>
      </c>
      <c r="ABI2" s="182">
        <v>151.38</v>
      </c>
      <c r="ABJ2" s="182">
        <v>151.38</v>
      </c>
      <c r="ABK2" s="182">
        <v>151.38</v>
      </c>
      <c r="ABL2" s="182">
        <v>151.38</v>
      </c>
      <c r="ABM2" s="182">
        <v>151.38</v>
      </c>
      <c r="ABN2" s="182">
        <v>151.38</v>
      </c>
      <c r="ABO2" s="182">
        <v>151.38</v>
      </c>
      <c r="ABP2" s="182">
        <v>151.38</v>
      </c>
      <c r="ABQ2" s="182">
        <v>151.38</v>
      </c>
      <c r="ABR2" s="182">
        <v>151.38</v>
      </c>
      <c r="ABS2" s="182">
        <v>151.38</v>
      </c>
      <c r="ABT2" s="182">
        <v>151.38</v>
      </c>
      <c r="ABU2" s="182">
        <v>151.38</v>
      </c>
      <c r="ABV2" s="182">
        <v>151.38</v>
      </c>
      <c r="ABW2" s="182">
        <v>151.38</v>
      </c>
      <c r="ABX2" s="182">
        <v>151.38</v>
      </c>
      <c r="ABY2" s="182">
        <v>151.38</v>
      </c>
      <c r="ABZ2" s="182">
        <v>151.38</v>
      </c>
      <c r="ACA2" s="182">
        <v>151.38</v>
      </c>
      <c r="ACB2" s="182">
        <v>151.38</v>
      </c>
      <c r="ACC2" s="182">
        <v>151.38</v>
      </c>
      <c r="ACD2" s="182">
        <v>151.38</v>
      </c>
      <c r="ACE2" s="182">
        <v>151.38</v>
      </c>
      <c r="ACF2" s="182">
        <v>151.38</v>
      </c>
      <c r="ACG2" s="182">
        <v>151.38</v>
      </c>
      <c r="ACH2" s="182">
        <v>151.38</v>
      </c>
      <c r="ACI2" s="182">
        <v>151.38</v>
      </c>
      <c r="ACJ2" s="182">
        <v>151.38</v>
      </c>
      <c r="ACK2" s="182">
        <v>151.38</v>
      </c>
      <c r="ACL2" s="182">
        <v>151.38</v>
      </c>
      <c r="ACM2" s="182">
        <v>151.38</v>
      </c>
      <c r="ACN2" s="182">
        <v>151.38</v>
      </c>
      <c r="ACO2" s="182">
        <v>151.38</v>
      </c>
      <c r="ACP2" s="182">
        <v>151.38</v>
      </c>
      <c r="ACQ2" s="182">
        <v>151.38</v>
      </c>
      <c r="ACR2" s="182">
        <v>151.38</v>
      </c>
      <c r="ACS2" s="182">
        <v>151.38</v>
      </c>
      <c r="ACT2" s="182">
        <v>151.38</v>
      </c>
      <c r="ACU2" s="182">
        <v>151.38</v>
      </c>
      <c r="ACV2" s="182">
        <v>151.38</v>
      </c>
      <c r="ACW2" s="182">
        <v>151.38</v>
      </c>
      <c r="ACX2" s="182">
        <v>151.38</v>
      </c>
      <c r="ACY2" s="182">
        <v>151.38</v>
      </c>
      <c r="ADU2" s="182">
        <v>151.38</v>
      </c>
      <c r="ADV2" s="182">
        <v>151.38</v>
      </c>
      <c r="ADW2" s="182">
        <v>151.38</v>
      </c>
      <c r="ADX2" s="182">
        <v>151.38</v>
      </c>
      <c r="ADY2" s="182">
        <v>151.38</v>
      </c>
      <c r="ADZ2" s="182">
        <v>151.38</v>
      </c>
      <c r="AEA2" s="182">
        <v>151.38</v>
      </c>
      <c r="AEB2" s="182">
        <v>151.38</v>
      </c>
      <c r="AEC2" s="182">
        <v>151.38</v>
      </c>
      <c r="AED2" s="182">
        <v>151.38</v>
      </c>
      <c r="AEE2" s="182">
        <v>151.38</v>
      </c>
      <c r="AEF2" s="182">
        <v>151.38</v>
      </c>
      <c r="AEG2" s="182">
        <v>151.38</v>
      </c>
      <c r="AEH2" s="182">
        <v>151.38</v>
      </c>
      <c r="AEI2" s="182">
        <v>151.38</v>
      </c>
      <c r="AEJ2" s="182">
        <v>151.38</v>
      </c>
      <c r="AEK2" s="182">
        <v>151.38</v>
      </c>
      <c r="AEL2" s="182">
        <v>151.38</v>
      </c>
      <c r="AEM2" s="182">
        <v>151.38</v>
      </c>
      <c r="AEN2" s="182">
        <v>151.38</v>
      </c>
      <c r="AEO2" s="182">
        <v>151.38</v>
      </c>
      <c r="AEP2" s="182">
        <v>151.38</v>
      </c>
      <c r="AEQ2" s="182">
        <v>151.38</v>
      </c>
      <c r="AER2" s="182">
        <v>151.38</v>
      </c>
      <c r="AES2" s="182">
        <v>151.38</v>
      </c>
      <c r="AET2" s="182">
        <v>151.38</v>
      </c>
      <c r="AEU2" s="182">
        <v>151.38</v>
      </c>
      <c r="AEV2" s="182">
        <v>151.38</v>
      </c>
      <c r="AEW2" s="182">
        <v>151.38</v>
      </c>
      <c r="AEX2" s="182">
        <v>151.38</v>
      </c>
      <c r="AEY2" s="182">
        <v>151.38</v>
      </c>
      <c r="AEZ2" s="182">
        <v>151.38</v>
      </c>
      <c r="AFA2" s="182">
        <v>151.38</v>
      </c>
      <c r="AFB2" s="182">
        <v>151.38</v>
      </c>
      <c r="AFC2" s="182">
        <v>151.38</v>
      </c>
      <c r="AFD2" s="182">
        <v>151.38</v>
      </c>
      <c r="AFE2" s="182">
        <v>151.38</v>
      </c>
      <c r="AFF2" s="182">
        <v>151.38</v>
      </c>
      <c r="AFG2" s="182">
        <v>151.38</v>
      </c>
      <c r="AFH2" s="182">
        <v>151.38</v>
      </c>
      <c r="AFI2" s="182">
        <v>151.38</v>
      </c>
      <c r="AFJ2" s="182">
        <v>151.38</v>
      </c>
      <c r="AFK2" s="182">
        <v>151.38</v>
      </c>
      <c r="AFL2" s="182">
        <v>151.38</v>
      </c>
      <c r="AFM2" s="182">
        <v>151.38</v>
      </c>
      <c r="AFN2" s="182">
        <v>151.38</v>
      </c>
      <c r="AFO2" s="182">
        <v>151.38</v>
      </c>
      <c r="AFP2" s="182">
        <v>151.38</v>
      </c>
      <c r="AFQ2" s="182">
        <v>151.38</v>
      </c>
      <c r="AFR2" s="182">
        <v>151.38</v>
      </c>
      <c r="AFS2" s="182">
        <v>151.38</v>
      </c>
      <c r="AFT2" s="182">
        <v>151.38</v>
      </c>
      <c r="AFU2" s="182">
        <v>151.38</v>
      </c>
      <c r="AFV2" s="182">
        <v>151.38</v>
      </c>
      <c r="AFW2" s="182">
        <v>151.38</v>
      </c>
      <c r="AFX2" s="182">
        <v>151.38</v>
      </c>
      <c r="AFY2" s="182">
        <v>151.38</v>
      </c>
      <c r="AFZ2" s="182">
        <v>151.38</v>
      </c>
      <c r="AGA2" s="182">
        <v>151.38</v>
      </c>
      <c r="AGW2" s="182">
        <v>151.38</v>
      </c>
      <c r="AGX2" s="182">
        <v>151.38</v>
      </c>
      <c r="AGY2" s="182">
        <v>151.38</v>
      </c>
      <c r="AGZ2" s="182">
        <v>151.38</v>
      </c>
      <c r="AHA2" s="182">
        <v>151.38</v>
      </c>
      <c r="AHB2" s="182">
        <v>151.38</v>
      </c>
      <c r="AHC2" s="182">
        <v>151.38</v>
      </c>
      <c r="AHD2" s="182">
        <v>151.38</v>
      </c>
      <c r="AHE2" s="182">
        <v>151.38</v>
      </c>
      <c r="AHF2" s="182">
        <v>151.38</v>
      </c>
      <c r="AHG2" s="182">
        <v>151.38</v>
      </c>
      <c r="AHH2" s="182">
        <v>151.38</v>
      </c>
      <c r="AHI2" s="182">
        <v>151.38</v>
      </c>
      <c r="AHJ2" s="182">
        <v>151.38</v>
      </c>
      <c r="AHK2" s="182">
        <v>151.38</v>
      </c>
      <c r="AHL2" s="182">
        <v>151.38</v>
      </c>
      <c r="AHM2" s="182">
        <v>151.38</v>
      </c>
      <c r="AHN2" s="182">
        <v>151.38</v>
      </c>
      <c r="AHO2" s="182">
        <v>151.38</v>
      </c>
      <c r="AHP2" s="182">
        <v>151.38</v>
      </c>
      <c r="AHQ2" s="182">
        <v>151.38</v>
      </c>
      <c r="AHR2" s="182">
        <v>151.38</v>
      </c>
      <c r="AHS2" s="182">
        <v>151.38</v>
      </c>
      <c r="AHT2" s="182">
        <v>151.38</v>
      </c>
      <c r="AHU2" s="182">
        <v>151.38</v>
      </c>
      <c r="AHV2" s="182">
        <v>151.38</v>
      </c>
      <c r="AHW2" s="182">
        <v>151.38</v>
      </c>
      <c r="AHX2" s="182">
        <v>151.38</v>
      </c>
      <c r="AHY2" s="182">
        <v>151.38</v>
      </c>
      <c r="AHZ2" s="182">
        <v>151.38</v>
      </c>
      <c r="AIA2" s="182">
        <v>151.38</v>
      </c>
      <c r="AIB2" s="182">
        <v>151.38</v>
      </c>
      <c r="AIC2" s="182">
        <v>151.38</v>
      </c>
      <c r="AID2" s="182">
        <v>151.38</v>
      </c>
      <c r="AIE2" s="182">
        <v>151.38</v>
      </c>
      <c r="AIF2" s="182">
        <v>151.38</v>
      </c>
      <c r="AIG2" s="182">
        <v>151.38</v>
      </c>
      <c r="AIH2" s="182">
        <v>151.38</v>
      </c>
      <c r="AII2" s="182">
        <v>151.38</v>
      </c>
      <c r="AIJ2" s="182">
        <v>151.38</v>
      </c>
      <c r="AIK2" s="182">
        <v>151.38</v>
      </c>
      <c r="AIL2" s="182">
        <v>151.38</v>
      </c>
      <c r="AIM2" s="182">
        <v>151.38</v>
      </c>
      <c r="AIN2" s="182">
        <v>151.38</v>
      </c>
      <c r="AIO2" s="182">
        <v>151.38</v>
      </c>
      <c r="AIP2" s="182">
        <v>151.38</v>
      </c>
      <c r="AIQ2" s="182">
        <v>151.38</v>
      </c>
      <c r="AIR2" s="182">
        <v>151.38</v>
      </c>
      <c r="AIS2" s="182">
        <v>151.38</v>
      </c>
      <c r="AIT2" s="182">
        <v>151.38</v>
      </c>
      <c r="AIU2" s="182">
        <v>151.38</v>
      </c>
      <c r="AIV2" s="182">
        <v>151.38</v>
      </c>
      <c r="AIW2" s="182">
        <v>151.38</v>
      </c>
      <c r="AIX2" s="182">
        <v>151.38</v>
      </c>
      <c r="AIY2" s="182">
        <v>151.38</v>
      </c>
      <c r="AIZ2" s="182">
        <v>151.38</v>
      </c>
      <c r="AJA2" s="182">
        <v>151.38</v>
      </c>
      <c r="AJB2" s="182">
        <v>151.38</v>
      </c>
      <c r="AJC2" s="182">
        <v>151.38</v>
      </c>
    </row>
    <row r="3" spans="1:939">
      <c r="A3" s="182">
        <v>138.4</v>
      </c>
      <c r="B3" s="182">
        <v>138.4</v>
      </c>
      <c r="C3" s="182">
        <v>138.4</v>
      </c>
      <c r="D3" s="182">
        <v>138.4</v>
      </c>
      <c r="E3" s="182">
        <v>138.4</v>
      </c>
      <c r="F3" s="182">
        <v>138.4</v>
      </c>
      <c r="G3" s="182">
        <v>138.4</v>
      </c>
      <c r="H3" s="182">
        <v>138.4</v>
      </c>
      <c r="I3" s="182">
        <v>138.4</v>
      </c>
      <c r="J3" s="182">
        <v>138.4</v>
      </c>
      <c r="K3" s="182">
        <v>138.4</v>
      </c>
      <c r="L3" s="182">
        <v>138.4</v>
      </c>
      <c r="M3" s="182">
        <v>138.4</v>
      </c>
      <c r="N3" s="182">
        <v>138.4</v>
      </c>
      <c r="O3" s="182">
        <v>138.4</v>
      </c>
      <c r="P3" s="182">
        <v>138.4</v>
      </c>
      <c r="Q3" s="182">
        <v>138.4</v>
      </c>
      <c r="R3" s="182">
        <v>138.4</v>
      </c>
      <c r="S3" s="182">
        <v>138.4</v>
      </c>
      <c r="T3" s="182">
        <v>138.4</v>
      </c>
      <c r="U3" s="182">
        <v>138.4</v>
      </c>
      <c r="V3" s="182">
        <v>138.4</v>
      </c>
      <c r="W3" s="182">
        <v>138.4</v>
      </c>
      <c r="X3" s="182">
        <v>138.4</v>
      </c>
      <c r="Y3" s="182">
        <v>138.4</v>
      </c>
      <c r="Z3" s="182">
        <v>138.4</v>
      </c>
      <c r="AA3" s="182">
        <v>138.4</v>
      </c>
      <c r="AB3" s="182">
        <v>138.4</v>
      </c>
      <c r="AC3" s="182">
        <v>138.4</v>
      </c>
      <c r="AD3" s="182">
        <v>138.4</v>
      </c>
      <c r="AE3" s="182">
        <v>138.4</v>
      </c>
      <c r="AF3" s="182">
        <v>138.4</v>
      </c>
      <c r="AG3" s="182">
        <v>138.4</v>
      </c>
      <c r="AH3" s="182">
        <v>138.4</v>
      </c>
      <c r="AI3" s="182">
        <v>138.4</v>
      </c>
      <c r="AJ3" s="182">
        <v>138.4</v>
      </c>
      <c r="AK3" s="182">
        <v>138.4</v>
      </c>
      <c r="AL3" s="182">
        <v>138.4</v>
      </c>
      <c r="AM3" s="182">
        <v>138.4</v>
      </c>
      <c r="AN3" s="182">
        <v>138.4</v>
      </c>
      <c r="AO3" s="182">
        <v>138.4</v>
      </c>
      <c r="AP3" s="182">
        <v>138.4</v>
      </c>
      <c r="AQ3" s="182">
        <v>138.4</v>
      </c>
      <c r="AR3" s="182">
        <v>138.4</v>
      </c>
      <c r="AS3" s="182">
        <v>138.4</v>
      </c>
      <c r="AT3" s="182">
        <v>138.4</v>
      </c>
      <c r="AU3" s="182">
        <v>138.4</v>
      </c>
      <c r="AV3" s="182">
        <v>138.4</v>
      </c>
      <c r="AW3" s="182">
        <v>138.4</v>
      </c>
      <c r="AX3" s="182">
        <v>138.4</v>
      </c>
      <c r="AY3" s="182">
        <v>138.4</v>
      </c>
      <c r="AZ3" s="182">
        <v>138.4</v>
      </c>
      <c r="CC3" s="182">
        <v>138.4</v>
      </c>
      <c r="CD3" s="182">
        <v>138.4</v>
      </c>
      <c r="CE3" s="182">
        <v>138.4</v>
      </c>
      <c r="CF3" s="182">
        <v>138.4</v>
      </c>
      <c r="CG3" s="182">
        <v>138.4</v>
      </c>
      <c r="CH3" s="182">
        <v>138.4</v>
      </c>
      <c r="CI3" s="182">
        <v>138.4</v>
      </c>
      <c r="CJ3" s="182">
        <v>138.4</v>
      </c>
      <c r="CK3" s="182">
        <v>138.4</v>
      </c>
      <c r="CL3" s="182">
        <v>138.4</v>
      </c>
      <c r="CM3" s="182">
        <v>138.4</v>
      </c>
      <c r="CN3" s="182">
        <v>138.4</v>
      </c>
      <c r="CO3" s="182">
        <v>138.4</v>
      </c>
      <c r="CP3" s="182">
        <v>138.4</v>
      </c>
      <c r="CQ3" s="182">
        <v>138.4</v>
      </c>
      <c r="CR3" s="182">
        <v>138.4</v>
      </c>
      <c r="CS3" s="182">
        <v>138.4</v>
      </c>
      <c r="CT3" s="182">
        <v>138.4</v>
      </c>
      <c r="CU3" s="182">
        <v>138.4</v>
      </c>
      <c r="CV3" s="182">
        <v>138.4</v>
      </c>
      <c r="CW3" s="182">
        <v>138.4</v>
      </c>
      <c r="CX3" s="182">
        <v>138.4</v>
      </c>
      <c r="CY3" s="182">
        <v>138.4</v>
      </c>
      <c r="CZ3" s="182">
        <v>138.4</v>
      </c>
      <c r="DA3" s="182">
        <v>138.4</v>
      </c>
      <c r="DB3" s="182">
        <v>138.4</v>
      </c>
      <c r="DC3" s="182">
        <v>138.4</v>
      </c>
      <c r="DD3" s="182">
        <v>138.4</v>
      </c>
      <c r="DE3" s="182">
        <v>138.4</v>
      </c>
      <c r="DF3" s="182">
        <v>138.4</v>
      </c>
      <c r="DG3" s="182">
        <v>138.4</v>
      </c>
      <c r="DH3" s="182">
        <v>138.4</v>
      </c>
      <c r="DI3" s="182">
        <v>138.4</v>
      </c>
      <c r="DJ3" s="182">
        <v>138.4</v>
      </c>
      <c r="DK3" s="182">
        <v>138.4</v>
      </c>
      <c r="DL3" s="182">
        <v>138.4</v>
      </c>
      <c r="DM3" s="182">
        <v>138.4</v>
      </c>
      <c r="DN3" s="182">
        <v>138.4</v>
      </c>
      <c r="DO3" s="182">
        <v>138.4</v>
      </c>
      <c r="DP3" s="182">
        <v>138.4</v>
      </c>
      <c r="DQ3" s="182">
        <v>138.4</v>
      </c>
      <c r="DR3" s="182">
        <v>138.4</v>
      </c>
      <c r="DS3" s="182">
        <v>138.4</v>
      </c>
      <c r="DT3" s="182">
        <v>138.4</v>
      </c>
      <c r="DU3" s="182">
        <v>138.4</v>
      </c>
      <c r="DV3" s="182">
        <v>138.4</v>
      </c>
      <c r="DW3" s="182">
        <v>138.4</v>
      </c>
      <c r="DX3" s="182">
        <v>138.4</v>
      </c>
      <c r="DY3" s="182">
        <v>138.4</v>
      </c>
      <c r="DZ3" s="182">
        <v>138.4</v>
      </c>
      <c r="EA3" s="182">
        <v>138.4</v>
      </c>
      <c r="EB3" s="182">
        <v>138.4</v>
      </c>
      <c r="EC3" s="182">
        <v>138.4</v>
      </c>
      <c r="ED3" s="182">
        <v>138.4</v>
      </c>
      <c r="EE3" s="182">
        <v>138.4</v>
      </c>
      <c r="EF3" s="182">
        <v>138.4</v>
      </c>
      <c r="EG3" s="182">
        <v>138.4</v>
      </c>
      <c r="EH3" s="182">
        <v>138.4</v>
      </c>
      <c r="FE3" s="182">
        <v>138.4</v>
      </c>
      <c r="FF3" s="182">
        <v>138.4</v>
      </c>
      <c r="FG3" s="182">
        <v>138.4</v>
      </c>
      <c r="FH3" s="182">
        <v>138.4</v>
      </c>
      <c r="FI3" s="182">
        <v>138.4</v>
      </c>
      <c r="FJ3" s="182">
        <v>138.4</v>
      </c>
      <c r="FK3" s="182">
        <v>138.4</v>
      </c>
      <c r="FL3" s="182">
        <v>138.4</v>
      </c>
      <c r="FM3" s="182">
        <v>138.4</v>
      </c>
      <c r="FN3" s="182">
        <v>138.4</v>
      </c>
      <c r="FO3" s="182">
        <v>138.4</v>
      </c>
      <c r="FP3" s="182">
        <v>138.4</v>
      </c>
      <c r="FQ3" s="182">
        <v>138.4</v>
      </c>
      <c r="FR3" s="182">
        <v>138.4</v>
      </c>
      <c r="FS3" s="182">
        <v>138.4</v>
      </c>
      <c r="FT3" s="182">
        <v>138.4</v>
      </c>
      <c r="FU3" s="182">
        <v>138.4</v>
      </c>
      <c r="FV3" s="182">
        <v>138.4</v>
      </c>
      <c r="FW3" s="182">
        <v>138.4</v>
      </c>
      <c r="FX3" s="182">
        <v>138.4</v>
      </c>
      <c r="FY3" s="182">
        <v>138.4</v>
      </c>
      <c r="FZ3" s="182">
        <v>138.4</v>
      </c>
      <c r="GA3" s="182">
        <v>138.4</v>
      </c>
      <c r="GB3" s="182">
        <v>138.4</v>
      </c>
      <c r="GC3" s="182">
        <v>138.4</v>
      </c>
      <c r="GD3" s="182">
        <v>138.4</v>
      </c>
      <c r="GE3" s="182">
        <v>138.4</v>
      </c>
      <c r="GF3" s="182">
        <v>138.4</v>
      </c>
      <c r="GG3" s="182">
        <v>138.4</v>
      </c>
      <c r="GH3" s="182">
        <v>138.4</v>
      </c>
      <c r="GI3" s="182">
        <v>138.4</v>
      </c>
      <c r="GJ3" s="182">
        <v>138.4</v>
      </c>
      <c r="GK3" s="182">
        <v>138.4</v>
      </c>
      <c r="GL3" s="182">
        <v>138.4</v>
      </c>
      <c r="GM3" s="182">
        <v>138.4</v>
      </c>
      <c r="GN3" s="182">
        <v>138.4</v>
      </c>
      <c r="GO3" s="182">
        <v>138.4</v>
      </c>
      <c r="GP3" s="182">
        <v>138.4</v>
      </c>
      <c r="GQ3" s="182">
        <v>138.4</v>
      </c>
      <c r="GR3" s="182">
        <v>138.4</v>
      </c>
      <c r="GS3" s="182">
        <v>138.4</v>
      </c>
      <c r="GT3" s="182">
        <v>138.4</v>
      </c>
      <c r="GU3" s="182">
        <v>138.4</v>
      </c>
      <c r="GV3" s="182">
        <v>138.4</v>
      </c>
      <c r="GW3" s="182">
        <v>138.4</v>
      </c>
      <c r="GX3" s="182">
        <v>138.4</v>
      </c>
      <c r="GY3" s="182">
        <v>138.4</v>
      </c>
      <c r="GZ3" s="182">
        <v>138.4</v>
      </c>
      <c r="HA3" s="182">
        <v>138.4</v>
      </c>
      <c r="HB3" s="182">
        <v>138.4</v>
      </c>
      <c r="HC3" s="182">
        <v>138.4</v>
      </c>
      <c r="HD3" s="182">
        <v>138.4</v>
      </c>
      <c r="HE3" s="182">
        <v>138.4</v>
      </c>
      <c r="HF3" s="182">
        <v>138.4</v>
      </c>
      <c r="HG3" s="182">
        <v>138.4</v>
      </c>
      <c r="HH3" s="182">
        <v>138.4</v>
      </c>
      <c r="HI3" s="182">
        <v>138.4</v>
      </c>
      <c r="HJ3" s="182">
        <v>138.4</v>
      </c>
      <c r="HK3" s="182">
        <v>138.4</v>
      </c>
      <c r="IG3" s="182">
        <v>138.4</v>
      </c>
      <c r="IH3" s="182">
        <v>138.4</v>
      </c>
      <c r="II3" s="182">
        <v>138.4</v>
      </c>
      <c r="IJ3" s="182">
        <v>138.4</v>
      </c>
      <c r="IK3" s="182">
        <v>138.4</v>
      </c>
      <c r="IL3" s="182">
        <v>138.4</v>
      </c>
      <c r="IM3" s="182">
        <v>138.4</v>
      </c>
      <c r="IN3" s="182">
        <v>138.4</v>
      </c>
      <c r="IO3" s="182">
        <v>138.4</v>
      </c>
      <c r="IP3" s="182">
        <v>138.4</v>
      </c>
      <c r="IQ3" s="182">
        <v>138.4</v>
      </c>
      <c r="IR3" s="182">
        <v>138.4</v>
      </c>
      <c r="IS3" s="182">
        <v>138.4</v>
      </c>
      <c r="IT3" s="182">
        <v>138.4</v>
      </c>
      <c r="IU3" s="182">
        <v>138.4</v>
      </c>
      <c r="IV3" s="182">
        <v>138.4</v>
      </c>
      <c r="IW3" s="182">
        <v>138.4</v>
      </c>
      <c r="IX3" s="182">
        <v>138.4</v>
      </c>
      <c r="IY3" s="182">
        <v>138.4</v>
      </c>
      <c r="IZ3" s="182">
        <v>138.4</v>
      </c>
      <c r="JA3" s="182">
        <v>138.4</v>
      </c>
      <c r="JB3" s="182">
        <v>138.4</v>
      </c>
      <c r="JC3" s="182">
        <v>138.4</v>
      </c>
      <c r="JD3" s="182">
        <v>138.4</v>
      </c>
      <c r="JE3" s="182">
        <v>138.4</v>
      </c>
      <c r="JF3" s="182">
        <v>138.4</v>
      </c>
      <c r="JG3" s="182">
        <v>138.4</v>
      </c>
      <c r="JH3" s="182">
        <v>138.4</v>
      </c>
      <c r="JI3" s="182">
        <v>138.4</v>
      </c>
      <c r="JJ3" s="182">
        <v>138.4</v>
      </c>
      <c r="JK3" s="182">
        <v>138.4</v>
      </c>
      <c r="JL3" s="182">
        <v>138.4</v>
      </c>
      <c r="JM3" s="182">
        <v>138.4</v>
      </c>
      <c r="JN3" s="182">
        <v>138.4</v>
      </c>
      <c r="JO3" s="182">
        <v>138.4</v>
      </c>
      <c r="JP3" s="182">
        <v>138.4</v>
      </c>
      <c r="JQ3" s="182">
        <v>138.4</v>
      </c>
      <c r="JR3" s="182">
        <v>138.4</v>
      </c>
      <c r="JS3" s="182">
        <v>138.4</v>
      </c>
      <c r="JT3" s="182">
        <v>138.4</v>
      </c>
      <c r="JU3" s="182">
        <v>138.4</v>
      </c>
      <c r="JV3" s="182">
        <v>138.4</v>
      </c>
      <c r="JW3" s="182">
        <v>138.4</v>
      </c>
      <c r="JX3" s="182">
        <v>138.4</v>
      </c>
      <c r="JY3" s="182">
        <v>138.4</v>
      </c>
      <c r="JZ3" s="182">
        <v>138.4</v>
      </c>
      <c r="KA3" s="182">
        <v>138.4</v>
      </c>
      <c r="KB3" s="182">
        <v>138.4</v>
      </c>
      <c r="KC3" s="182">
        <v>138.4</v>
      </c>
      <c r="KD3" s="182">
        <v>138.4</v>
      </c>
      <c r="KE3" s="182">
        <v>138.4</v>
      </c>
      <c r="KF3" s="182">
        <v>138.4</v>
      </c>
      <c r="KG3" s="182">
        <v>138.4</v>
      </c>
      <c r="KH3" s="182">
        <v>138.4</v>
      </c>
      <c r="KI3" s="182">
        <v>138.4</v>
      </c>
      <c r="KJ3" s="182">
        <v>138.4</v>
      </c>
      <c r="KK3" s="182">
        <v>138.4</v>
      </c>
      <c r="KL3" s="182">
        <v>138.4</v>
      </c>
      <c r="LI3" s="182">
        <v>138.4</v>
      </c>
      <c r="LJ3" s="182">
        <v>138.4</v>
      </c>
      <c r="LK3" s="182">
        <v>138.4</v>
      </c>
      <c r="LL3" s="182">
        <v>138.4</v>
      </c>
      <c r="LM3" s="182">
        <v>138.4</v>
      </c>
      <c r="LN3" s="182">
        <v>138.4</v>
      </c>
      <c r="LO3" s="182">
        <v>138.4</v>
      </c>
      <c r="LP3" s="182">
        <v>138.4</v>
      </c>
      <c r="LQ3" s="182">
        <v>138.4</v>
      </c>
      <c r="LR3" s="182">
        <v>138.4</v>
      </c>
      <c r="LS3" s="182">
        <v>138.4</v>
      </c>
      <c r="LT3" s="182">
        <v>138.4</v>
      </c>
      <c r="LU3" s="182">
        <v>138.4</v>
      </c>
      <c r="LV3" s="182">
        <v>138.4</v>
      </c>
      <c r="LW3" s="182">
        <v>138.4</v>
      </c>
      <c r="LX3" s="182">
        <v>138.4</v>
      </c>
      <c r="LY3" s="182">
        <v>138.4</v>
      </c>
      <c r="LZ3" s="182">
        <v>138.4</v>
      </c>
      <c r="MA3" s="182">
        <v>138.4</v>
      </c>
      <c r="MB3" s="182">
        <v>138.4</v>
      </c>
      <c r="MC3" s="182">
        <v>138.4</v>
      </c>
      <c r="MD3" s="182">
        <v>138.4</v>
      </c>
      <c r="ME3" s="182">
        <v>138.4</v>
      </c>
      <c r="MF3" s="182">
        <v>138.4</v>
      </c>
      <c r="MG3" s="182">
        <v>138.4</v>
      </c>
      <c r="MH3" s="182">
        <v>138.4</v>
      </c>
      <c r="MI3" s="182">
        <v>138.4</v>
      </c>
      <c r="MJ3" s="182">
        <v>138.4</v>
      </c>
      <c r="MK3" s="182">
        <v>138.4</v>
      </c>
      <c r="ML3" s="182">
        <v>138.4</v>
      </c>
      <c r="MM3" s="182">
        <v>138.4</v>
      </c>
      <c r="MN3" s="182">
        <v>138.4</v>
      </c>
      <c r="MO3" s="182">
        <v>138.4</v>
      </c>
      <c r="MP3" s="182">
        <v>138.4</v>
      </c>
      <c r="MQ3" s="182">
        <v>138.4</v>
      </c>
      <c r="MR3" s="182">
        <v>138.4</v>
      </c>
      <c r="MS3" s="182">
        <v>138.4</v>
      </c>
      <c r="MT3" s="182">
        <v>138.4</v>
      </c>
      <c r="MU3" s="182">
        <v>138.4</v>
      </c>
      <c r="MV3" s="182">
        <v>138.4</v>
      </c>
      <c r="MW3" s="182">
        <v>138.4</v>
      </c>
      <c r="MX3" s="182">
        <v>138.4</v>
      </c>
      <c r="MY3" s="182">
        <v>138.4</v>
      </c>
      <c r="MZ3" s="182">
        <v>138.4</v>
      </c>
      <c r="NA3" s="182">
        <v>138.4</v>
      </c>
      <c r="NB3" s="182">
        <v>138.4</v>
      </c>
      <c r="NC3" s="182">
        <v>138.4</v>
      </c>
      <c r="ND3" s="182">
        <v>138.4</v>
      </c>
      <c r="NE3" s="182">
        <v>138.4</v>
      </c>
      <c r="NF3" s="182">
        <v>138.4</v>
      </c>
      <c r="NG3" s="182">
        <v>138.4</v>
      </c>
      <c r="NH3" s="182">
        <v>138.4</v>
      </c>
      <c r="NI3" s="182">
        <v>138.4</v>
      </c>
      <c r="NJ3" s="182">
        <v>138.4</v>
      </c>
      <c r="NK3" s="182">
        <v>138.4</v>
      </c>
      <c r="NL3" s="182">
        <v>138.4</v>
      </c>
      <c r="NM3" s="182">
        <v>138.4</v>
      </c>
      <c r="NN3" s="182">
        <v>138.4</v>
      </c>
      <c r="NO3" s="182">
        <v>138.4</v>
      </c>
      <c r="NP3" s="182">
        <v>138.4</v>
      </c>
      <c r="NQ3" s="182">
        <v>138.4</v>
      </c>
      <c r="OK3" s="182">
        <v>138.4</v>
      </c>
      <c r="OL3" s="182">
        <v>138.4</v>
      </c>
      <c r="OM3" s="182">
        <v>138.4</v>
      </c>
      <c r="ON3" s="182">
        <v>138.4</v>
      </c>
      <c r="OO3" s="182">
        <v>138.4</v>
      </c>
      <c r="OP3" s="182">
        <v>138.4</v>
      </c>
      <c r="OQ3" s="182">
        <v>138.4</v>
      </c>
      <c r="OR3" s="182">
        <v>138.4</v>
      </c>
      <c r="OS3" s="182">
        <v>138.4</v>
      </c>
      <c r="OT3" s="182">
        <v>138.4</v>
      </c>
      <c r="OU3" s="182">
        <v>138.4</v>
      </c>
      <c r="OV3" s="182">
        <v>138.4</v>
      </c>
      <c r="OW3" s="182">
        <v>138.4</v>
      </c>
      <c r="OX3" s="182">
        <v>138.4</v>
      </c>
      <c r="OY3" s="182">
        <v>138.4</v>
      </c>
      <c r="OZ3" s="182">
        <v>138.4</v>
      </c>
      <c r="PA3" s="182">
        <v>138.4</v>
      </c>
      <c r="PB3" s="182">
        <v>138.4</v>
      </c>
      <c r="PC3" s="182">
        <v>138.4</v>
      </c>
      <c r="PD3" s="182">
        <v>138.4</v>
      </c>
      <c r="PE3" s="182">
        <v>138.4</v>
      </c>
      <c r="PF3" s="182">
        <v>138.4</v>
      </c>
      <c r="PG3" s="182">
        <v>138.4</v>
      </c>
      <c r="PH3" s="182">
        <v>138.4</v>
      </c>
      <c r="PI3" s="182">
        <v>138.4</v>
      </c>
      <c r="PJ3" s="182">
        <v>138.4</v>
      </c>
      <c r="PK3" s="182">
        <v>138.4</v>
      </c>
      <c r="PL3" s="182">
        <v>138.4</v>
      </c>
      <c r="PM3" s="182">
        <v>138.4</v>
      </c>
      <c r="PN3" s="182">
        <v>138.4</v>
      </c>
      <c r="PO3" s="182">
        <v>138.4</v>
      </c>
      <c r="PP3" s="182">
        <v>138.4</v>
      </c>
      <c r="PQ3" s="182">
        <v>138.4</v>
      </c>
      <c r="PR3" s="182">
        <v>138.4</v>
      </c>
      <c r="PS3" s="182">
        <v>138.4</v>
      </c>
      <c r="PT3" s="182">
        <v>138.4</v>
      </c>
      <c r="PU3" s="182">
        <v>138.4</v>
      </c>
      <c r="PV3" s="182">
        <v>138.4</v>
      </c>
      <c r="PW3" s="182">
        <v>138.4</v>
      </c>
      <c r="PX3" s="182">
        <v>138.4</v>
      </c>
      <c r="PY3" s="182">
        <v>138.4</v>
      </c>
      <c r="PZ3" s="182">
        <v>138.4</v>
      </c>
      <c r="QA3" s="182">
        <v>138.4</v>
      </c>
      <c r="QB3" s="182">
        <v>138.4</v>
      </c>
      <c r="QC3" s="182">
        <v>138.4</v>
      </c>
      <c r="QD3" s="182">
        <v>138.4</v>
      </c>
      <c r="QE3" s="182">
        <v>138.4</v>
      </c>
      <c r="QF3" s="182">
        <v>138.4</v>
      </c>
      <c r="QG3" s="182">
        <v>138.4</v>
      </c>
      <c r="QH3" s="182">
        <v>138.4</v>
      </c>
      <c r="QI3" s="182">
        <v>138.4</v>
      </c>
      <c r="QJ3" s="182">
        <v>138.4</v>
      </c>
      <c r="QK3" s="182">
        <v>138.4</v>
      </c>
      <c r="QL3" s="182">
        <v>138.4</v>
      </c>
      <c r="QM3" s="182">
        <v>138.4</v>
      </c>
      <c r="QN3" s="182">
        <v>138.4</v>
      </c>
      <c r="QO3" s="182">
        <v>138.4</v>
      </c>
      <c r="QP3" s="182">
        <v>138.4</v>
      </c>
      <c r="QQ3" s="182">
        <v>138.4</v>
      </c>
      <c r="QR3" s="182">
        <v>138.4</v>
      </c>
      <c r="RM3" s="182">
        <v>138.4</v>
      </c>
      <c r="RN3" s="182">
        <v>138.4</v>
      </c>
      <c r="RO3" s="182">
        <v>138.4</v>
      </c>
      <c r="RP3" s="182">
        <v>138.4</v>
      </c>
      <c r="RQ3" s="182">
        <v>138.4</v>
      </c>
      <c r="RR3" s="182">
        <v>138.4</v>
      </c>
      <c r="RS3" s="182">
        <v>138.4</v>
      </c>
      <c r="RT3" s="182">
        <v>138.4</v>
      </c>
      <c r="RU3" s="182">
        <v>138.4</v>
      </c>
      <c r="RV3" s="182">
        <v>138.4</v>
      </c>
      <c r="RW3" s="182">
        <v>138.4</v>
      </c>
      <c r="RX3" s="182">
        <v>138.4</v>
      </c>
      <c r="RY3" s="182">
        <v>138.4</v>
      </c>
      <c r="RZ3" s="182">
        <v>138.4</v>
      </c>
      <c r="SA3" s="182">
        <v>138.4</v>
      </c>
      <c r="SB3" s="182">
        <v>138.4</v>
      </c>
      <c r="SC3" s="182">
        <v>138.4</v>
      </c>
      <c r="SD3" s="182">
        <v>138.4</v>
      </c>
      <c r="SE3" s="182">
        <v>138.4</v>
      </c>
      <c r="SF3" s="182">
        <v>138.4</v>
      </c>
      <c r="SG3" s="182">
        <v>138.4</v>
      </c>
      <c r="SH3" s="182">
        <v>138.4</v>
      </c>
      <c r="SI3" s="182">
        <v>138.4</v>
      </c>
      <c r="SJ3" s="182">
        <v>138.4</v>
      </c>
      <c r="SK3" s="182">
        <v>138.4</v>
      </c>
      <c r="SL3" s="182">
        <v>138.4</v>
      </c>
      <c r="SM3" s="182">
        <v>138.4</v>
      </c>
      <c r="SN3" s="182">
        <v>138.4</v>
      </c>
      <c r="SO3" s="182">
        <v>138.4</v>
      </c>
      <c r="SP3" s="182">
        <v>138.4</v>
      </c>
      <c r="SQ3" s="182">
        <v>138.4</v>
      </c>
      <c r="SR3" s="182">
        <v>138.4</v>
      </c>
      <c r="SS3" s="182">
        <v>138.4</v>
      </c>
      <c r="ST3" s="182">
        <v>138.4</v>
      </c>
      <c r="SU3" s="182">
        <v>138.4</v>
      </c>
      <c r="SV3" s="182">
        <v>138.4</v>
      </c>
      <c r="SW3" s="182">
        <v>138.4</v>
      </c>
      <c r="SX3" s="182">
        <v>138.4</v>
      </c>
      <c r="SY3" s="182">
        <v>138.4</v>
      </c>
      <c r="SZ3" s="182">
        <v>138.4</v>
      </c>
      <c r="TA3" s="182">
        <v>138.4</v>
      </c>
      <c r="TB3" s="182">
        <v>138.4</v>
      </c>
      <c r="TC3" s="182">
        <v>138.4</v>
      </c>
      <c r="TD3" s="182">
        <v>138.4</v>
      </c>
      <c r="TE3" s="182">
        <v>138.4</v>
      </c>
      <c r="TF3" s="182">
        <v>138.4</v>
      </c>
      <c r="TG3" s="182">
        <v>138.4</v>
      </c>
      <c r="TH3" s="182">
        <v>138.4</v>
      </c>
      <c r="TI3" s="182">
        <v>138.4</v>
      </c>
      <c r="TJ3" s="182">
        <v>138.4</v>
      </c>
      <c r="TK3" s="182">
        <v>138.4</v>
      </c>
      <c r="TL3" s="182">
        <v>138.4</v>
      </c>
      <c r="TM3" s="182">
        <v>138.4</v>
      </c>
      <c r="TN3" s="182">
        <v>138.4</v>
      </c>
      <c r="TO3" s="182">
        <v>138.4</v>
      </c>
      <c r="TP3" s="182">
        <v>138.4</v>
      </c>
      <c r="TQ3" s="182">
        <v>138.4</v>
      </c>
      <c r="TR3" s="182">
        <v>138.4</v>
      </c>
      <c r="TS3" s="182">
        <v>138.4</v>
      </c>
      <c r="TT3" s="182">
        <v>138.4</v>
      </c>
      <c r="UO3" s="182">
        <v>138.4</v>
      </c>
      <c r="UP3" s="182">
        <v>138.4</v>
      </c>
      <c r="UQ3" s="182">
        <v>138.4</v>
      </c>
      <c r="UR3" s="182">
        <v>138.4</v>
      </c>
      <c r="US3" s="182">
        <v>138.4</v>
      </c>
      <c r="UT3" s="182">
        <v>138.4</v>
      </c>
      <c r="UU3" s="182">
        <v>138.4</v>
      </c>
      <c r="UV3" s="182">
        <v>138.4</v>
      </c>
      <c r="UW3" s="182">
        <v>138.4</v>
      </c>
      <c r="UX3" s="182">
        <v>138.4</v>
      </c>
      <c r="UY3" s="182">
        <v>138.4</v>
      </c>
      <c r="UZ3" s="182">
        <v>138.4</v>
      </c>
      <c r="VA3" s="182">
        <v>138.4</v>
      </c>
      <c r="VB3" s="182">
        <v>138.4</v>
      </c>
      <c r="VC3" s="182">
        <v>138.4</v>
      </c>
      <c r="VD3" s="182">
        <v>138.4</v>
      </c>
      <c r="VE3" s="182">
        <v>138.4</v>
      </c>
      <c r="VF3" s="182">
        <v>138.4</v>
      </c>
      <c r="VG3" s="182">
        <v>138.4</v>
      </c>
      <c r="VH3" s="182">
        <v>138.4</v>
      </c>
      <c r="VI3" s="182">
        <v>138.4</v>
      </c>
      <c r="VJ3" s="182">
        <v>138.4</v>
      </c>
      <c r="VK3" s="182">
        <v>138.4</v>
      </c>
      <c r="VL3" s="182">
        <v>138.4</v>
      </c>
      <c r="VM3" s="182">
        <v>138.4</v>
      </c>
      <c r="VN3" s="182">
        <v>138.4</v>
      </c>
      <c r="VO3" s="182">
        <v>138.4</v>
      </c>
      <c r="VP3" s="182">
        <v>138.4</v>
      </c>
      <c r="VQ3" s="182">
        <v>138.4</v>
      </c>
      <c r="VR3" s="182">
        <v>138.4</v>
      </c>
      <c r="VS3" s="182">
        <v>138.4</v>
      </c>
      <c r="VT3" s="182">
        <v>138.4</v>
      </c>
      <c r="VU3" s="182">
        <v>138.4</v>
      </c>
      <c r="VV3" s="182">
        <v>138.4</v>
      </c>
      <c r="VW3" s="182">
        <v>138.4</v>
      </c>
      <c r="VX3" s="182">
        <v>138.4</v>
      </c>
      <c r="VY3" s="182">
        <v>138.4</v>
      </c>
      <c r="VZ3" s="182">
        <v>138.4</v>
      </c>
      <c r="WA3" s="182">
        <v>138.4</v>
      </c>
      <c r="WB3" s="182">
        <v>138.4</v>
      </c>
      <c r="WC3" s="182">
        <v>138.4</v>
      </c>
      <c r="WD3" s="182">
        <v>138.4</v>
      </c>
      <c r="WE3" s="182">
        <v>138.4</v>
      </c>
      <c r="WF3" s="182">
        <v>138.4</v>
      </c>
      <c r="WG3" s="182">
        <v>138.4</v>
      </c>
      <c r="WH3" s="182">
        <v>138.4</v>
      </c>
      <c r="WI3" s="182">
        <v>138.4</v>
      </c>
      <c r="WJ3" s="182">
        <v>138.4</v>
      </c>
      <c r="WK3" s="182">
        <v>138.4</v>
      </c>
      <c r="WL3" s="182">
        <v>138.4</v>
      </c>
      <c r="WM3" s="182">
        <v>138.4</v>
      </c>
      <c r="WN3" s="182">
        <v>138.4</v>
      </c>
      <c r="WO3" s="182">
        <v>138.4</v>
      </c>
      <c r="WP3" s="182">
        <v>138.4</v>
      </c>
      <c r="WQ3" s="182">
        <v>138.4</v>
      </c>
      <c r="WR3" s="182">
        <v>138.4</v>
      </c>
      <c r="WS3" s="182">
        <v>138.4</v>
      </c>
      <c r="WT3" s="182">
        <v>138.4</v>
      </c>
      <c r="WU3" s="182">
        <v>138.4</v>
      </c>
      <c r="WV3" s="182">
        <v>138.4</v>
      </c>
      <c r="XQ3" s="182">
        <v>138.4</v>
      </c>
      <c r="XR3" s="182">
        <v>138.4</v>
      </c>
      <c r="XS3" s="182">
        <v>138.4</v>
      </c>
      <c r="XT3" s="182">
        <v>138.4</v>
      </c>
      <c r="XU3" s="182">
        <v>138.4</v>
      </c>
      <c r="XV3" s="182">
        <v>138.4</v>
      </c>
      <c r="XW3" s="182">
        <v>138.4</v>
      </c>
      <c r="XX3" s="182">
        <v>138.4</v>
      </c>
      <c r="XY3" s="182">
        <v>138.4</v>
      </c>
      <c r="XZ3" s="182">
        <v>138.4</v>
      </c>
      <c r="YA3" s="182">
        <v>138.4</v>
      </c>
      <c r="YB3" s="182">
        <v>138.4</v>
      </c>
      <c r="YC3" s="182">
        <v>138.4</v>
      </c>
      <c r="YD3" s="182">
        <v>138.4</v>
      </c>
      <c r="YE3" s="182">
        <v>138.4</v>
      </c>
      <c r="YF3" s="182">
        <v>138.4</v>
      </c>
      <c r="YG3" s="182">
        <v>138.4</v>
      </c>
      <c r="YH3" s="182">
        <v>138.4</v>
      </c>
      <c r="YI3" s="182">
        <v>138.4</v>
      </c>
      <c r="YJ3" s="182">
        <v>138.4</v>
      </c>
      <c r="YK3" s="182">
        <v>138.4</v>
      </c>
      <c r="YL3" s="182">
        <v>138.4</v>
      </c>
      <c r="YM3" s="182">
        <v>138.4</v>
      </c>
      <c r="YN3" s="182">
        <v>138.4</v>
      </c>
      <c r="YO3" s="182">
        <v>138.4</v>
      </c>
      <c r="YP3" s="182">
        <v>138.4</v>
      </c>
      <c r="YQ3" s="182">
        <v>138.4</v>
      </c>
      <c r="YR3" s="182">
        <v>138.4</v>
      </c>
      <c r="YS3" s="182">
        <v>138.4</v>
      </c>
      <c r="YT3" s="182">
        <v>138.4</v>
      </c>
      <c r="YU3" s="182">
        <v>138.4</v>
      </c>
      <c r="YV3" s="182">
        <v>138.4</v>
      </c>
      <c r="YW3" s="182">
        <v>138.4</v>
      </c>
      <c r="YX3" s="182">
        <v>138.4</v>
      </c>
      <c r="YY3" s="182">
        <v>138.4</v>
      </c>
      <c r="YZ3" s="182">
        <v>138.4</v>
      </c>
      <c r="ZA3" s="182">
        <v>138.4</v>
      </c>
      <c r="ZB3" s="182">
        <v>138.4</v>
      </c>
      <c r="ZC3" s="182">
        <v>138.4</v>
      </c>
      <c r="ZD3" s="182">
        <v>138.4</v>
      </c>
      <c r="ZE3" s="182">
        <v>138.4</v>
      </c>
      <c r="ZF3" s="182">
        <v>138.4</v>
      </c>
      <c r="ZG3" s="182">
        <v>138.4</v>
      </c>
      <c r="ZH3" s="182">
        <v>138.4</v>
      </c>
      <c r="ZI3" s="182">
        <v>138.4</v>
      </c>
      <c r="ZJ3" s="182">
        <v>138.4</v>
      </c>
      <c r="ZK3" s="182">
        <v>138.4</v>
      </c>
      <c r="ZL3" s="182">
        <v>138.4</v>
      </c>
      <c r="ZM3" s="182">
        <v>138.4</v>
      </c>
      <c r="ZN3" s="182">
        <v>138.4</v>
      </c>
      <c r="ZO3" s="182">
        <v>138.4</v>
      </c>
      <c r="ZP3" s="182">
        <v>138.4</v>
      </c>
      <c r="ZQ3" s="182">
        <v>138.4</v>
      </c>
      <c r="ZR3" s="182">
        <v>138.4</v>
      </c>
      <c r="ZS3" s="182">
        <v>138.4</v>
      </c>
      <c r="ZT3" s="182">
        <v>138.4</v>
      </c>
      <c r="ZU3" s="182">
        <v>138.4</v>
      </c>
      <c r="ZV3" s="182">
        <v>138.4</v>
      </c>
      <c r="ZW3" s="182">
        <v>138.4</v>
      </c>
      <c r="ZX3" s="182">
        <v>138.4</v>
      </c>
      <c r="AAS3" s="182">
        <v>138.4</v>
      </c>
      <c r="AAT3" s="182">
        <v>138.4</v>
      </c>
      <c r="AAU3" s="182">
        <v>138.4</v>
      </c>
      <c r="AAV3" s="182">
        <v>138.4</v>
      </c>
      <c r="AAW3" s="182">
        <v>138.4</v>
      </c>
      <c r="AAX3" s="182">
        <v>138.4</v>
      </c>
      <c r="AAY3" s="182">
        <v>138.4</v>
      </c>
      <c r="AAZ3" s="182">
        <v>138.4</v>
      </c>
      <c r="ABA3" s="182">
        <v>138.4</v>
      </c>
      <c r="ABB3" s="182">
        <v>138.4</v>
      </c>
      <c r="ABC3" s="182">
        <v>138.4</v>
      </c>
      <c r="ABD3" s="182">
        <v>138.4</v>
      </c>
      <c r="ABE3" s="182">
        <v>138.4</v>
      </c>
      <c r="ABF3" s="182">
        <v>138.4</v>
      </c>
      <c r="ABG3" s="182">
        <v>138.4</v>
      </c>
      <c r="ABH3" s="182">
        <v>138.4</v>
      </c>
      <c r="ABI3" s="182">
        <v>138.4</v>
      </c>
      <c r="ABJ3" s="182">
        <v>138.4</v>
      </c>
      <c r="ABK3" s="182">
        <v>138.4</v>
      </c>
      <c r="ABL3" s="182">
        <v>138.4</v>
      </c>
      <c r="ABM3" s="182">
        <v>138.4</v>
      </c>
      <c r="ABN3" s="182">
        <v>138.4</v>
      </c>
      <c r="ABO3" s="182">
        <v>138.4</v>
      </c>
      <c r="ABP3" s="182">
        <v>138.4</v>
      </c>
      <c r="ABQ3" s="182">
        <v>138.4</v>
      </c>
      <c r="ABR3" s="182">
        <v>138.4</v>
      </c>
      <c r="ABS3" s="182">
        <v>138.4</v>
      </c>
      <c r="ABT3" s="182">
        <v>138.4</v>
      </c>
      <c r="ABU3" s="182">
        <v>138.4</v>
      </c>
      <c r="ABV3" s="182">
        <v>138.4</v>
      </c>
      <c r="ABW3" s="182">
        <v>138.4</v>
      </c>
      <c r="ABX3" s="182">
        <v>138.4</v>
      </c>
      <c r="ABY3" s="182">
        <v>138.4</v>
      </c>
      <c r="ABZ3" s="182">
        <v>138.4</v>
      </c>
      <c r="ACA3" s="182">
        <v>138.4</v>
      </c>
      <c r="ACB3" s="182">
        <v>138.4</v>
      </c>
      <c r="ACC3" s="182">
        <v>138.4</v>
      </c>
      <c r="ACD3" s="182">
        <v>138.4</v>
      </c>
      <c r="ACE3" s="182">
        <v>138.4</v>
      </c>
      <c r="ACF3" s="182">
        <v>138.4</v>
      </c>
      <c r="ACG3" s="182">
        <v>138.4</v>
      </c>
      <c r="ACH3" s="182">
        <v>138.4</v>
      </c>
      <c r="ACI3" s="182">
        <v>138.4</v>
      </c>
      <c r="ACJ3" s="182">
        <v>138.4</v>
      </c>
      <c r="ACK3" s="182">
        <v>138.4</v>
      </c>
      <c r="ACL3" s="182">
        <v>138.4</v>
      </c>
      <c r="ACM3" s="182">
        <v>138.4</v>
      </c>
      <c r="ACN3" s="182">
        <v>138.4</v>
      </c>
      <c r="ACO3" s="182">
        <v>138.4</v>
      </c>
      <c r="ACP3" s="182">
        <v>138.4</v>
      </c>
      <c r="ACQ3" s="182">
        <v>138.4</v>
      </c>
      <c r="ACR3" s="182">
        <v>138.4</v>
      </c>
      <c r="ACS3" s="182">
        <v>138.4</v>
      </c>
      <c r="ACT3" s="182">
        <v>138.4</v>
      </c>
      <c r="ACU3" s="182">
        <v>138.4</v>
      </c>
      <c r="ACV3" s="182">
        <v>138.4</v>
      </c>
      <c r="ACW3" s="182">
        <v>138.4</v>
      </c>
      <c r="ACX3" s="182">
        <v>138.4</v>
      </c>
      <c r="ACY3" s="182">
        <v>138.4</v>
      </c>
      <c r="ADU3" s="182">
        <v>138.4</v>
      </c>
      <c r="ADV3" s="182">
        <v>138.4</v>
      </c>
      <c r="ADW3" s="182">
        <v>138.4</v>
      </c>
      <c r="ADX3" s="182">
        <v>138.4</v>
      </c>
      <c r="ADY3" s="182">
        <v>138.4</v>
      </c>
      <c r="ADZ3" s="182">
        <v>138.4</v>
      </c>
      <c r="AEA3" s="182">
        <v>138.4</v>
      </c>
      <c r="AEB3" s="182">
        <v>138.4</v>
      </c>
      <c r="AEC3" s="182">
        <v>138.4</v>
      </c>
      <c r="AED3" s="182">
        <v>138.4</v>
      </c>
      <c r="AEE3" s="182">
        <v>138.4</v>
      </c>
      <c r="AEF3" s="182">
        <v>138.4</v>
      </c>
      <c r="AEG3" s="182">
        <v>138.4</v>
      </c>
      <c r="AEH3" s="182">
        <v>138.4</v>
      </c>
      <c r="AEI3" s="182">
        <v>138.4</v>
      </c>
      <c r="AEJ3" s="182">
        <v>138.4</v>
      </c>
      <c r="AEK3" s="182">
        <v>138.4</v>
      </c>
      <c r="AEL3" s="182">
        <v>138.4</v>
      </c>
      <c r="AEM3" s="182">
        <v>138.4</v>
      </c>
      <c r="AEN3" s="182">
        <v>138.4</v>
      </c>
      <c r="AEO3" s="182">
        <v>138.4</v>
      </c>
      <c r="AEP3" s="182">
        <v>138.4</v>
      </c>
      <c r="AEQ3" s="182">
        <v>138.4</v>
      </c>
      <c r="AER3" s="182">
        <v>138.4</v>
      </c>
      <c r="AES3" s="182">
        <v>138.4</v>
      </c>
      <c r="AET3" s="182">
        <v>138.4</v>
      </c>
      <c r="AEU3" s="182">
        <v>138.4</v>
      </c>
      <c r="AEV3" s="182">
        <v>138.4</v>
      </c>
      <c r="AEW3" s="182">
        <v>138.4</v>
      </c>
      <c r="AEX3" s="182">
        <v>138.4</v>
      </c>
      <c r="AEY3" s="182">
        <v>138.4</v>
      </c>
      <c r="AEZ3" s="182">
        <v>138.4</v>
      </c>
      <c r="AFA3" s="182">
        <v>138.4</v>
      </c>
      <c r="AFB3" s="182">
        <v>138.4</v>
      </c>
      <c r="AFC3" s="182">
        <v>138.4</v>
      </c>
      <c r="AFD3" s="182">
        <v>138.4</v>
      </c>
      <c r="AFE3" s="182">
        <v>138.4</v>
      </c>
      <c r="AFF3" s="182">
        <v>138.4</v>
      </c>
      <c r="AFG3" s="182">
        <v>138.4</v>
      </c>
      <c r="AFH3" s="182">
        <v>138.4</v>
      </c>
      <c r="AFI3" s="182">
        <v>138.4</v>
      </c>
      <c r="AFJ3" s="182">
        <v>138.4</v>
      </c>
      <c r="AFK3" s="182">
        <v>138.4</v>
      </c>
      <c r="AFL3" s="182">
        <v>138.4</v>
      </c>
      <c r="AFM3" s="182">
        <v>138.4</v>
      </c>
      <c r="AFN3" s="182">
        <v>138.4</v>
      </c>
      <c r="AFO3" s="182">
        <v>138.4</v>
      </c>
      <c r="AFP3" s="182">
        <v>138.4</v>
      </c>
      <c r="AFQ3" s="182">
        <v>138.4</v>
      </c>
      <c r="AFR3" s="182">
        <v>138.4</v>
      </c>
      <c r="AFS3" s="182">
        <v>138.4</v>
      </c>
      <c r="AFT3" s="182">
        <v>138.4</v>
      </c>
      <c r="AFU3" s="182">
        <v>138.4</v>
      </c>
      <c r="AFV3" s="182">
        <v>138.4</v>
      </c>
      <c r="AFW3" s="182">
        <v>138.4</v>
      </c>
      <c r="AFX3" s="182">
        <v>138.4</v>
      </c>
      <c r="AFY3" s="182">
        <v>138.4</v>
      </c>
      <c r="AFZ3" s="182">
        <v>138.4</v>
      </c>
      <c r="AGA3" s="182">
        <v>138.4</v>
      </c>
      <c r="AGW3" s="182">
        <v>138.4</v>
      </c>
      <c r="AGX3" s="182">
        <v>138.4</v>
      </c>
      <c r="AGY3" s="182">
        <v>138.4</v>
      </c>
      <c r="AGZ3" s="182">
        <v>138.4</v>
      </c>
      <c r="AHA3" s="182">
        <v>138.4</v>
      </c>
      <c r="AHB3" s="182">
        <v>138.4</v>
      </c>
      <c r="AHC3" s="182">
        <v>138.4</v>
      </c>
      <c r="AHD3" s="182">
        <v>138.4</v>
      </c>
      <c r="AHE3" s="182">
        <v>138.4</v>
      </c>
      <c r="AHF3" s="182">
        <v>138.4</v>
      </c>
      <c r="AHG3" s="182">
        <v>138.4</v>
      </c>
      <c r="AHH3" s="182">
        <v>138.4</v>
      </c>
      <c r="AHI3" s="182">
        <v>138.4</v>
      </c>
      <c r="AHJ3" s="182">
        <v>138.4</v>
      </c>
      <c r="AHK3" s="182">
        <v>138.4</v>
      </c>
      <c r="AHL3" s="182">
        <v>138.4</v>
      </c>
      <c r="AHM3" s="182">
        <v>138.4</v>
      </c>
      <c r="AHN3" s="182">
        <v>138.4</v>
      </c>
      <c r="AHO3" s="182">
        <v>138.4</v>
      </c>
      <c r="AHP3" s="182">
        <v>138.4</v>
      </c>
      <c r="AHQ3" s="182">
        <v>138.4</v>
      </c>
      <c r="AHR3" s="182">
        <v>138.4</v>
      </c>
      <c r="AHS3" s="182">
        <v>138.4</v>
      </c>
      <c r="AHT3" s="182">
        <v>138.4</v>
      </c>
      <c r="AHU3" s="182">
        <v>138.4</v>
      </c>
      <c r="AHV3" s="182">
        <v>138.4</v>
      </c>
      <c r="AHW3" s="182">
        <v>138.4</v>
      </c>
      <c r="AHX3" s="182">
        <v>138.4</v>
      </c>
      <c r="AHY3" s="182">
        <v>138.4</v>
      </c>
      <c r="AHZ3" s="182">
        <v>138.4</v>
      </c>
      <c r="AIA3" s="182">
        <v>138.4</v>
      </c>
      <c r="AIB3" s="182">
        <v>138.4</v>
      </c>
      <c r="AIC3" s="182">
        <v>138.4</v>
      </c>
      <c r="AID3" s="182">
        <v>138.4</v>
      </c>
      <c r="AIE3" s="182">
        <v>138.4</v>
      </c>
      <c r="AIF3" s="182">
        <v>138.4</v>
      </c>
      <c r="AIG3" s="182">
        <v>138.4</v>
      </c>
      <c r="AIH3" s="182">
        <v>138.4</v>
      </c>
      <c r="AII3" s="182">
        <v>138.4</v>
      </c>
      <c r="AIJ3" s="182">
        <v>138.4</v>
      </c>
      <c r="AIK3" s="182">
        <v>138.4</v>
      </c>
      <c r="AIL3" s="182">
        <v>138.4</v>
      </c>
      <c r="AIM3" s="182">
        <v>138.4</v>
      </c>
      <c r="AIN3" s="182">
        <v>138.4</v>
      </c>
      <c r="AIO3" s="182">
        <v>138.4</v>
      </c>
      <c r="AIP3" s="182">
        <v>138.4</v>
      </c>
      <c r="AIQ3" s="182">
        <v>138.4</v>
      </c>
      <c r="AIR3" s="182">
        <v>138.4</v>
      </c>
      <c r="AIS3" s="182">
        <v>138.4</v>
      </c>
      <c r="AIT3" s="182">
        <v>138.4</v>
      </c>
      <c r="AIU3" s="182">
        <v>138.4</v>
      </c>
      <c r="AIV3" s="182">
        <v>138.4</v>
      </c>
      <c r="AIW3" s="182">
        <v>138.4</v>
      </c>
      <c r="AIX3" s="182">
        <v>138.4</v>
      </c>
      <c r="AIY3" s="182">
        <v>138.4</v>
      </c>
      <c r="AIZ3" s="182">
        <v>138.4</v>
      </c>
      <c r="AJA3" s="182">
        <v>138.4</v>
      </c>
      <c r="AJB3" s="182">
        <v>138.4</v>
      </c>
      <c r="AJC3" s="182">
        <v>138.4</v>
      </c>
    </row>
    <row r="4" spans="1:939">
      <c r="A4" s="182">
        <v>129.75</v>
      </c>
      <c r="B4" s="182">
        <v>129.75</v>
      </c>
      <c r="C4" s="182">
        <v>129.75</v>
      </c>
      <c r="D4" s="182">
        <v>129.75</v>
      </c>
      <c r="E4" s="182">
        <v>129.75</v>
      </c>
      <c r="F4" s="182">
        <v>129.75</v>
      </c>
      <c r="G4" s="182">
        <v>129.75</v>
      </c>
      <c r="H4" s="182">
        <v>129.75</v>
      </c>
      <c r="I4" s="182">
        <v>129.75</v>
      </c>
      <c r="J4" s="182">
        <v>129.75</v>
      </c>
      <c r="K4" s="182">
        <v>129.75</v>
      </c>
      <c r="L4" s="182">
        <v>129.75</v>
      </c>
      <c r="M4" s="182">
        <v>129.75</v>
      </c>
      <c r="N4" s="182">
        <v>129.75</v>
      </c>
      <c r="O4" s="182">
        <v>129.75</v>
      </c>
      <c r="P4" s="182">
        <v>129.75</v>
      </c>
      <c r="Q4" s="182">
        <v>129.75</v>
      </c>
      <c r="R4" s="182">
        <v>129.75</v>
      </c>
      <c r="S4" s="182">
        <v>129.75</v>
      </c>
      <c r="T4" s="182">
        <v>129.75</v>
      </c>
      <c r="U4" s="182">
        <v>129.75</v>
      </c>
      <c r="V4" s="182">
        <v>129.75</v>
      </c>
      <c r="W4" s="182">
        <v>129.75</v>
      </c>
      <c r="X4" s="182">
        <v>129.75</v>
      </c>
      <c r="Y4" s="182">
        <v>129.75</v>
      </c>
      <c r="Z4" s="182">
        <v>129.75</v>
      </c>
      <c r="AA4" s="182">
        <v>129.75</v>
      </c>
      <c r="AB4" s="182">
        <v>129.75</v>
      </c>
      <c r="AC4" s="182">
        <v>129.75</v>
      </c>
      <c r="AD4" s="182">
        <v>129.75</v>
      </c>
      <c r="AE4" s="182">
        <v>129.75</v>
      </c>
      <c r="AF4" s="182">
        <v>129.75</v>
      </c>
      <c r="AG4" s="182">
        <v>129.75</v>
      </c>
      <c r="AH4" s="182">
        <v>129.75</v>
      </c>
      <c r="AI4" s="182">
        <v>129.75</v>
      </c>
      <c r="AJ4" s="182">
        <v>129.75</v>
      </c>
      <c r="AK4" s="182">
        <v>129.75</v>
      </c>
      <c r="AL4" s="182">
        <v>129.75</v>
      </c>
      <c r="AM4" s="182">
        <v>129.75</v>
      </c>
      <c r="AN4" s="182">
        <v>129.75</v>
      </c>
      <c r="AO4" s="182">
        <v>129.75</v>
      </c>
      <c r="AP4" s="182">
        <v>129.75</v>
      </c>
      <c r="AQ4" s="182">
        <v>129.75</v>
      </c>
      <c r="AR4" s="182">
        <v>129.75</v>
      </c>
      <c r="AS4" s="182">
        <v>129.75</v>
      </c>
      <c r="AT4" s="182">
        <v>129.75</v>
      </c>
      <c r="AU4" s="182">
        <v>129.75</v>
      </c>
      <c r="AV4" s="182">
        <v>129.75</v>
      </c>
      <c r="AW4" s="182">
        <v>129.75</v>
      </c>
      <c r="AX4" s="182">
        <v>129.75</v>
      </c>
      <c r="AY4" s="182">
        <v>129.75</v>
      </c>
      <c r="AZ4" s="182">
        <v>129.75</v>
      </c>
      <c r="CC4" s="182">
        <v>129.75</v>
      </c>
      <c r="CD4" s="182">
        <v>129.75</v>
      </c>
      <c r="CE4" s="182">
        <v>129.75</v>
      </c>
      <c r="CF4" s="182">
        <v>129.75</v>
      </c>
      <c r="CG4" s="182">
        <v>129.75</v>
      </c>
      <c r="CH4" s="182">
        <v>129.75</v>
      </c>
      <c r="CI4" s="182">
        <v>129.75</v>
      </c>
      <c r="CJ4" s="182">
        <v>129.75</v>
      </c>
      <c r="CK4" s="182">
        <v>129.75</v>
      </c>
      <c r="CL4" s="182">
        <v>129.75</v>
      </c>
      <c r="CM4" s="182">
        <v>129.75</v>
      </c>
      <c r="CN4" s="182">
        <v>129.75</v>
      </c>
      <c r="CO4" s="182">
        <v>129.75</v>
      </c>
      <c r="CP4" s="182">
        <v>129.75</v>
      </c>
      <c r="CQ4" s="182">
        <v>129.75</v>
      </c>
      <c r="CR4" s="182">
        <v>129.75</v>
      </c>
      <c r="CS4" s="182">
        <v>129.75</v>
      </c>
      <c r="CT4" s="182">
        <v>129.75</v>
      </c>
      <c r="CU4" s="182">
        <v>129.75</v>
      </c>
      <c r="CV4" s="182">
        <v>129.75</v>
      </c>
      <c r="CW4" s="182">
        <v>129.75</v>
      </c>
      <c r="CX4" s="182">
        <v>129.75</v>
      </c>
      <c r="CY4" s="182">
        <v>129.75</v>
      </c>
      <c r="CZ4" s="182">
        <v>129.75</v>
      </c>
      <c r="DA4" s="182">
        <v>129.75</v>
      </c>
      <c r="DB4" s="182">
        <v>129.75</v>
      </c>
      <c r="DC4" s="182">
        <v>129.75</v>
      </c>
      <c r="DD4" s="182">
        <v>129.75</v>
      </c>
      <c r="DE4" s="182">
        <v>129.75</v>
      </c>
      <c r="DF4" s="182">
        <v>129.75</v>
      </c>
      <c r="DG4" s="182">
        <v>129.75</v>
      </c>
      <c r="DH4" s="182">
        <v>129.75</v>
      </c>
      <c r="DI4" s="182">
        <v>129.75</v>
      </c>
      <c r="DJ4" s="182">
        <v>129.75</v>
      </c>
      <c r="DK4" s="182">
        <v>129.75</v>
      </c>
      <c r="DL4" s="182">
        <v>129.75</v>
      </c>
      <c r="DM4" s="182">
        <v>129.75</v>
      </c>
      <c r="DN4" s="182">
        <v>129.75</v>
      </c>
      <c r="DO4" s="182">
        <v>129.75</v>
      </c>
      <c r="DP4" s="182">
        <v>129.75</v>
      </c>
      <c r="DQ4" s="182">
        <v>129.75</v>
      </c>
      <c r="DR4" s="182">
        <v>129.75</v>
      </c>
      <c r="DS4" s="182">
        <v>129.75</v>
      </c>
      <c r="DT4" s="182">
        <v>129.75</v>
      </c>
      <c r="DU4" s="182">
        <v>129.75</v>
      </c>
      <c r="DV4" s="182">
        <v>129.75</v>
      </c>
      <c r="DW4" s="182">
        <v>129.75</v>
      </c>
      <c r="DX4" s="182">
        <v>129.75</v>
      </c>
      <c r="DY4" s="182">
        <v>129.75</v>
      </c>
      <c r="DZ4" s="182">
        <v>129.75</v>
      </c>
      <c r="EA4" s="182">
        <v>129.75</v>
      </c>
      <c r="EB4" s="182">
        <v>129.75</v>
      </c>
      <c r="EC4" s="182">
        <v>129.75</v>
      </c>
      <c r="ED4" s="182">
        <v>129.75</v>
      </c>
      <c r="EE4" s="182">
        <v>129.75</v>
      </c>
      <c r="EF4" s="182">
        <v>129.75</v>
      </c>
      <c r="EG4" s="182">
        <v>129.75</v>
      </c>
      <c r="EH4" s="182">
        <v>129.75</v>
      </c>
      <c r="FE4" s="182">
        <v>129.75</v>
      </c>
      <c r="FF4" s="182">
        <v>129.75</v>
      </c>
      <c r="FG4" s="182">
        <v>129.75</v>
      </c>
      <c r="FH4" s="182">
        <v>129.75</v>
      </c>
      <c r="FI4" s="182">
        <v>129.75</v>
      </c>
      <c r="FJ4" s="182">
        <v>129.75</v>
      </c>
      <c r="FK4" s="182">
        <v>129.75</v>
      </c>
      <c r="FL4" s="182">
        <v>129.75</v>
      </c>
      <c r="FM4" s="182">
        <v>129.75</v>
      </c>
      <c r="FN4" s="182">
        <v>129.75</v>
      </c>
      <c r="FO4" s="182">
        <v>129.75</v>
      </c>
      <c r="FP4" s="182">
        <v>129.75</v>
      </c>
      <c r="FQ4" s="182">
        <v>129.75</v>
      </c>
      <c r="FR4" s="182">
        <v>129.75</v>
      </c>
      <c r="FS4" s="182">
        <v>129.75</v>
      </c>
      <c r="FT4" s="182">
        <v>129.75</v>
      </c>
      <c r="FU4" s="182">
        <v>129.75</v>
      </c>
      <c r="FV4" s="182">
        <v>129.75</v>
      </c>
      <c r="FW4" s="182">
        <v>129.75</v>
      </c>
      <c r="FX4" s="182">
        <v>129.75</v>
      </c>
      <c r="FY4" s="182">
        <v>129.75</v>
      </c>
      <c r="FZ4" s="182">
        <v>129.75</v>
      </c>
      <c r="GA4" s="182">
        <v>129.75</v>
      </c>
      <c r="GB4" s="182">
        <v>129.75</v>
      </c>
      <c r="GC4" s="182">
        <v>129.75</v>
      </c>
      <c r="GD4" s="182">
        <v>129.75</v>
      </c>
      <c r="GE4" s="182">
        <v>129.75</v>
      </c>
      <c r="GF4" s="182">
        <v>129.75</v>
      </c>
      <c r="GG4" s="182">
        <v>129.75</v>
      </c>
      <c r="GH4" s="182">
        <v>129.75</v>
      </c>
      <c r="GI4" s="182">
        <v>129.75</v>
      </c>
      <c r="GJ4" s="182">
        <v>129.75</v>
      </c>
      <c r="GK4" s="182">
        <v>129.75</v>
      </c>
      <c r="GL4" s="182">
        <v>129.75</v>
      </c>
      <c r="GM4" s="182">
        <v>129.75</v>
      </c>
      <c r="GN4" s="182">
        <v>129.75</v>
      </c>
      <c r="GO4" s="182">
        <v>129.75</v>
      </c>
      <c r="GP4" s="182">
        <v>129.75</v>
      </c>
      <c r="GQ4" s="182">
        <v>129.75</v>
      </c>
      <c r="GR4" s="182">
        <v>129.75</v>
      </c>
      <c r="GS4" s="182">
        <v>129.75</v>
      </c>
      <c r="GT4" s="182">
        <v>129.75</v>
      </c>
      <c r="GU4" s="182">
        <v>129.75</v>
      </c>
      <c r="GV4" s="182">
        <v>129.75</v>
      </c>
      <c r="GW4" s="182">
        <v>129.75</v>
      </c>
      <c r="GX4" s="182">
        <v>129.75</v>
      </c>
      <c r="GY4" s="182">
        <v>129.75</v>
      </c>
      <c r="GZ4" s="182">
        <v>129.75</v>
      </c>
      <c r="HA4" s="182">
        <v>129.75</v>
      </c>
      <c r="HB4" s="182">
        <v>129.75</v>
      </c>
      <c r="HC4" s="182">
        <v>129.75</v>
      </c>
      <c r="HD4" s="182">
        <v>129.75</v>
      </c>
      <c r="HE4" s="182">
        <v>129.75</v>
      </c>
      <c r="HF4" s="182">
        <v>129.75</v>
      </c>
      <c r="HG4" s="182">
        <v>129.75</v>
      </c>
      <c r="HH4" s="182">
        <v>129.75</v>
      </c>
      <c r="HI4" s="182">
        <v>129.75</v>
      </c>
      <c r="HJ4" s="182">
        <v>129.75</v>
      </c>
      <c r="HK4" s="182">
        <v>129.75</v>
      </c>
      <c r="IG4" s="182">
        <v>129.75</v>
      </c>
      <c r="IH4" s="182">
        <v>129.75</v>
      </c>
      <c r="II4" s="182">
        <v>129.75</v>
      </c>
      <c r="IJ4" s="182">
        <v>129.75</v>
      </c>
      <c r="IK4" s="182">
        <v>129.75</v>
      </c>
      <c r="IL4" s="182">
        <v>129.75</v>
      </c>
      <c r="IM4" s="182">
        <v>129.75</v>
      </c>
      <c r="IN4" s="182">
        <v>129.75</v>
      </c>
      <c r="IO4" s="182">
        <v>129.75</v>
      </c>
      <c r="IP4" s="182">
        <v>129.75</v>
      </c>
      <c r="IQ4" s="182">
        <v>129.75</v>
      </c>
      <c r="IR4" s="182">
        <v>129.75</v>
      </c>
      <c r="IS4" s="182">
        <v>129.75</v>
      </c>
      <c r="IT4" s="182">
        <v>129.75</v>
      </c>
      <c r="IU4" s="182">
        <v>129.75</v>
      </c>
      <c r="IV4" s="182">
        <v>129.75</v>
      </c>
      <c r="IW4" s="182">
        <v>129.75</v>
      </c>
      <c r="IX4" s="182">
        <v>129.75</v>
      </c>
      <c r="IY4" s="182">
        <v>129.75</v>
      </c>
      <c r="IZ4" s="182">
        <v>129.75</v>
      </c>
      <c r="JA4" s="182">
        <v>129.75</v>
      </c>
      <c r="JB4" s="182">
        <v>129.75</v>
      </c>
      <c r="JC4" s="182">
        <v>129.75</v>
      </c>
      <c r="JD4" s="182">
        <v>129.75</v>
      </c>
      <c r="JE4" s="182">
        <v>129.75</v>
      </c>
      <c r="JF4" s="182">
        <v>129.75</v>
      </c>
      <c r="JG4" s="182">
        <v>129.75</v>
      </c>
      <c r="JH4" s="182">
        <v>129.75</v>
      </c>
      <c r="JI4" s="182">
        <v>129.75</v>
      </c>
      <c r="JJ4" s="182">
        <v>129.75</v>
      </c>
      <c r="JK4" s="182">
        <v>129.75</v>
      </c>
      <c r="JL4" s="182">
        <v>129.75</v>
      </c>
      <c r="JM4" s="182">
        <v>129.75</v>
      </c>
      <c r="JN4" s="182">
        <v>129.75</v>
      </c>
      <c r="JO4" s="182">
        <v>129.75</v>
      </c>
      <c r="JP4" s="182">
        <v>129.75</v>
      </c>
      <c r="JQ4" s="182">
        <v>129.75</v>
      </c>
      <c r="JR4" s="182">
        <v>129.75</v>
      </c>
      <c r="JS4" s="182">
        <v>129.75</v>
      </c>
      <c r="JT4" s="182">
        <v>129.75</v>
      </c>
      <c r="JU4" s="182">
        <v>129.75</v>
      </c>
      <c r="JV4" s="182">
        <v>129.75</v>
      </c>
      <c r="JW4" s="182">
        <v>129.75</v>
      </c>
      <c r="JX4" s="182">
        <v>129.75</v>
      </c>
      <c r="JY4" s="182">
        <v>129.75</v>
      </c>
      <c r="JZ4" s="182">
        <v>129.75</v>
      </c>
      <c r="KA4" s="182">
        <v>129.75</v>
      </c>
      <c r="KB4" s="182">
        <v>129.75</v>
      </c>
      <c r="KC4" s="182">
        <v>129.75</v>
      </c>
      <c r="KD4" s="182">
        <v>129.75</v>
      </c>
      <c r="KE4" s="182">
        <v>129.75</v>
      </c>
      <c r="KF4" s="182">
        <v>129.75</v>
      </c>
      <c r="KG4" s="182">
        <v>129.75</v>
      </c>
      <c r="KH4" s="182">
        <v>129.75</v>
      </c>
      <c r="KI4" s="182">
        <v>129.75</v>
      </c>
      <c r="KJ4" s="182">
        <v>129.75</v>
      </c>
      <c r="KK4" s="182">
        <v>129.75</v>
      </c>
      <c r="KL4" s="182">
        <v>129.75</v>
      </c>
      <c r="LI4" s="182">
        <v>129.75</v>
      </c>
      <c r="LJ4" s="182">
        <v>129.75</v>
      </c>
      <c r="LK4" s="182">
        <v>129.75</v>
      </c>
      <c r="LL4" s="182">
        <v>129.75</v>
      </c>
      <c r="LM4" s="182">
        <v>129.75</v>
      </c>
      <c r="LN4" s="182">
        <v>129.75</v>
      </c>
      <c r="LO4" s="182">
        <v>129.75</v>
      </c>
      <c r="LP4" s="182">
        <v>129.75</v>
      </c>
      <c r="LQ4" s="182">
        <v>129.75</v>
      </c>
      <c r="LR4" s="182">
        <v>129.75</v>
      </c>
      <c r="LS4" s="182">
        <v>129.75</v>
      </c>
      <c r="LT4" s="182">
        <v>129.75</v>
      </c>
      <c r="LU4" s="182">
        <v>129.75</v>
      </c>
      <c r="LV4" s="182">
        <v>129.75</v>
      </c>
      <c r="LW4" s="182">
        <v>129.75</v>
      </c>
      <c r="LX4" s="182">
        <v>129.75</v>
      </c>
      <c r="LY4" s="182">
        <v>129.75</v>
      </c>
      <c r="LZ4" s="182">
        <v>129.75</v>
      </c>
      <c r="MA4" s="182">
        <v>129.75</v>
      </c>
      <c r="MB4" s="182">
        <v>129.75</v>
      </c>
      <c r="MC4" s="182">
        <v>129.75</v>
      </c>
      <c r="MD4" s="182">
        <v>129.75</v>
      </c>
      <c r="ME4" s="182">
        <v>129.75</v>
      </c>
      <c r="MF4" s="182">
        <v>129.75</v>
      </c>
      <c r="MG4" s="182">
        <v>129.75</v>
      </c>
      <c r="MH4" s="182">
        <v>129.75</v>
      </c>
      <c r="MI4" s="182">
        <v>129.75</v>
      </c>
      <c r="MJ4" s="182">
        <v>129.75</v>
      </c>
      <c r="MK4" s="182">
        <v>129.75</v>
      </c>
      <c r="ML4" s="182">
        <v>129.75</v>
      </c>
      <c r="MM4" s="182">
        <v>129.75</v>
      </c>
      <c r="MN4" s="182">
        <v>129.75</v>
      </c>
      <c r="MO4" s="182">
        <v>129.75</v>
      </c>
      <c r="MP4" s="182">
        <v>129.75</v>
      </c>
      <c r="MQ4" s="182">
        <v>129.75</v>
      </c>
      <c r="MR4" s="182">
        <v>129.75</v>
      </c>
      <c r="MS4" s="182">
        <v>129.75</v>
      </c>
      <c r="MT4" s="182">
        <v>129.75</v>
      </c>
      <c r="MU4" s="182">
        <v>129.75</v>
      </c>
      <c r="MV4" s="182">
        <v>129.75</v>
      </c>
      <c r="MW4" s="182">
        <v>129.75</v>
      </c>
      <c r="MX4" s="182">
        <v>129.75</v>
      </c>
      <c r="MY4" s="182">
        <v>129.75</v>
      </c>
      <c r="MZ4" s="182">
        <v>129.75</v>
      </c>
      <c r="NA4" s="182">
        <v>129.75</v>
      </c>
      <c r="NB4" s="182">
        <v>129.75</v>
      </c>
      <c r="NC4" s="182">
        <v>129.75</v>
      </c>
      <c r="ND4" s="182">
        <v>129.75</v>
      </c>
      <c r="NE4" s="182">
        <v>129.75</v>
      </c>
      <c r="NF4" s="182">
        <v>129.75</v>
      </c>
      <c r="NG4" s="182">
        <v>129.75</v>
      </c>
      <c r="NH4" s="182">
        <v>129.75</v>
      </c>
      <c r="NI4" s="182">
        <v>129.75</v>
      </c>
      <c r="NJ4" s="182">
        <v>129.75</v>
      </c>
      <c r="NK4" s="182">
        <v>129.75</v>
      </c>
      <c r="NL4" s="182">
        <v>129.75</v>
      </c>
      <c r="NM4" s="182">
        <v>129.75</v>
      </c>
      <c r="NN4" s="182">
        <v>129.75</v>
      </c>
      <c r="NO4" s="182">
        <v>129.75</v>
      </c>
      <c r="NP4" s="182">
        <v>129.75</v>
      </c>
      <c r="NQ4" s="182">
        <v>129.75</v>
      </c>
      <c r="OK4" s="182">
        <v>129.75</v>
      </c>
      <c r="OL4" s="182">
        <v>129.75</v>
      </c>
      <c r="OM4" s="182">
        <v>129.75</v>
      </c>
      <c r="ON4" s="182">
        <v>129.75</v>
      </c>
      <c r="OO4" s="182">
        <v>129.75</v>
      </c>
      <c r="OP4" s="182">
        <v>129.75</v>
      </c>
      <c r="OQ4" s="182">
        <v>129.75</v>
      </c>
      <c r="OR4" s="182">
        <v>129.75</v>
      </c>
      <c r="OS4" s="182">
        <v>129.75</v>
      </c>
      <c r="OT4" s="182">
        <v>129.75</v>
      </c>
      <c r="OU4" s="182">
        <v>129.75</v>
      </c>
      <c r="OV4" s="182">
        <v>129.75</v>
      </c>
      <c r="OW4" s="182">
        <v>129.75</v>
      </c>
      <c r="OX4" s="182">
        <v>129.75</v>
      </c>
      <c r="OY4" s="182">
        <v>129.75</v>
      </c>
      <c r="OZ4" s="182">
        <v>129.75</v>
      </c>
      <c r="PA4" s="182">
        <v>129.75</v>
      </c>
      <c r="PB4" s="182">
        <v>129.75</v>
      </c>
      <c r="PC4" s="182">
        <v>129.75</v>
      </c>
      <c r="PD4" s="182">
        <v>129.75</v>
      </c>
      <c r="PE4" s="182">
        <v>129.75</v>
      </c>
      <c r="PF4" s="182">
        <v>129.75</v>
      </c>
      <c r="PG4" s="182">
        <v>129.75</v>
      </c>
      <c r="PH4" s="182">
        <v>129.75</v>
      </c>
      <c r="PI4" s="182">
        <v>129.75</v>
      </c>
      <c r="PJ4" s="182">
        <v>129.75</v>
      </c>
      <c r="PK4" s="182">
        <v>129.75</v>
      </c>
      <c r="PL4" s="182">
        <v>129.75</v>
      </c>
      <c r="PM4" s="182">
        <v>129.75</v>
      </c>
      <c r="PN4" s="182">
        <v>129.75</v>
      </c>
      <c r="PO4" s="182">
        <v>129.75</v>
      </c>
      <c r="PP4" s="182">
        <v>129.75</v>
      </c>
      <c r="PQ4" s="182">
        <v>129.75</v>
      </c>
      <c r="PR4" s="182">
        <v>129.75</v>
      </c>
      <c r="PS4" s="182">
        <v>129.75</v>
      </c>
      <c r="PT4" s="182">
        <v>129.75</v>
      </c>
      <c r="PU4" s="182">
        <v>129.75</v>
      </c>
      <c r="PV4" s="182">
        <v>129.75</v>
      </c>
      <c r="PW4" s="182">
        <v>129.75</v>
      </c>
      <c r="PX4" s="182">
        <v>129.75</v>
      </c>
      <c r="PY4" s="182">
        <v>129.75</v>
      </c>
      <c r="PZ4" s="182">
        <v>129.75</v>
      </c>
      <c r="QA4" s="182">
        <v>129.75</v>
      </c>
      <c r="QB4" s="182">
        <v>129.75</v>
      </c>
      <c r="QC4" s="182">
        <v>129.75</v>
      </c>
      <c r="QD4" s="182">
        <v>129.75</v>
      </c>
      <c r="QE4" s="182">
        <v>129.75</v>
      </c>
      <c r="QF4" s="182">
        <v>129.75</v>
      </c>
      <c r="QG4" s="182">
        <v>129.75</v>
      </c>
      <c r="QH4" s="182">
        <v>129.75</v>
      </c>
      <c r="QI4" s="182">
        <v>129.75</v>
      </c>
      <c r="QJ4" s="182">
        <v>129.75</v>
      </c>
      <c r="QK4" s="182">
        <v>129.75</v>
      </c>
      <c r="QL4" s="182">
        <v>129.75</v>
      </c>
      <c r="QM4" s="182">
        <v>129.75</v>
      </c>
      <c r="QN4" s="182">
        <v>129.75</v>
      </c>
      <c r="QO4" s="182">
        <v>129.75</v>
      </c>
      <c r="QP4" s="182">
        <v>129.75</v>
      </c>
      <c r="QQ4" s="182">
        <v>129.75</v>
      </c>
      <c r="QR4" s="182">
        <v>129.75</v>
      </c>
      <c r="RM4" s="182">
        <v>129.75</v>
      </c>
      <c r="RN4" s="182">
        <v>129.75</v>
      </c>
      <c r="RO4" s="182">
        <v>129.75</v>
      </c>
      <c r="RP4" s="182">
        <v>129.75</v>
      </c>
      <c r="RQ4" s="182">
        <v>129.75</v>
      </c>
      <c r="RR4" s="182">
        <v>129.75</v>
      </c>
      <c r="RS4" s="182">
        <v>129.75</v>
      </c>
      <c r="RT4" s="182">
        <v>129.75</v>
      </c>
      <c r="RU4" s="182">
        <v>129.75</v>
      </c>
      <c r="RV4" s="182">
        <v>129.75</v>
      </c>
      <c r="RW4" s="182">
        <v>129.75</v>
      </c>
      <c r="RX4" s="182">
        <v>129.75</v>
      </c>
      <c r="RY4" s="182">
        <v>129.75</v>
      </c>
      <c r="RZ4" s="182">
        <v>129.75</v>
      </c>
      <c r="SA4" s="182">
        <v>129.75</v>
      </c>
      <c r="SB4" s="182">
        <v>129.75</v>
      </c>
      <c r="SC4" s="182">
        <v>129.75</v>
      </c>
      <c r="SD4" s="182">
        <v>129.75</v>
      </c>
      <c r="SE4" s="182">
        <v>129.75</v>
      </c>
      <c r="SF4" s="182">
        <v>129.75</v>
      </c>
      <c r="SG4" s="182">
        <v>129.75</v>
      </c>
      <c r="SH4" s="182">
        <v>129.75</v>
      </c>
      <c r="SI4" s="182">
        <v>129.75</v>
      </c>
      <c r="SJ4" s="182">
        <v>129.75</v>
      </c>
      <c r="SK4" s="182">
        <v>129.75</v>
      </c>
      <c r="SL4" s="182">
        <v>129.75</v>
      </c>
      <c r="SM4" s="182">
        <v>129.75</v>
      </c>
      <c r="SN4" s="182">
        <v>129.75</v>
      </c>
      <c r="SO4" s="182">
        <v>129.75</v>
      </c>
      <c r="SP4" s="182">
        <v>129.75</v>
      </c>
      <c r="SQ4" s="182">
        <v>129.75</v>
      </c>
      <c r="SR4" s="182">
        <v>129.75</v>
      </c>
      <c r="SS4" s="182">
        <v>129.75</v>
      </c>
      <c r="ST4" s="182">
        <v>129.75</v>
      </c>
      <c r="SU4" s="182">
        <v>129.75</v>
      </c>
      <c r="SV4" s="182">
        <v>129.75</v>
      </c>
      <c r="SW4" s="182">
        <v>129.75</v>
      </c>
      <c r="SX4" s="182">
        <v>129.75</v>
      </c>
      <c r="SY4" s="182">
        <v>129.75</v>
      </c>
      <c r="SZ4" s="182">
        <v>129.75</v>
      </c>
      <c r="TA4" s="182">
        <v>129.75</v>
      </c>
      <c r="TB4" s="182">
        <v>129.75</v>
      </c>
      <c r="TC4" s="182">
        <v>129.75</v>
      </c>
      <c r="TD4" s="182">
        <v>129.75</v>
      </c>
      <c r="TE4" s="182">
        <v>129.75</v>
      </c>
      <c r="TF4" s="182">
        <v>129.75</v>
      </c>
      <c r="TG4" s="182">
        <v>129.75</v>
      </c>
      <c r="TH4" s="182">
        <v>129.75</v>
      </c>
      <c r="TI4" s="182">
        <v>129.75</v>
      </c>
      <c r="TJ4" s="182">
        <v>129.75</v>
      </c>
      <c r="TK4" s="182">
        <v>129.75</v>
      </c>
      <c r="TL4" s="182">
        <v>129.75</v>
      </c>
      <c r="TM4" s="182">
        <v>129.75</v>
      </c>
      <c r="TN4" s="182">
        <v>129.75</v>
      </c>
      <c r="TO4" s="182">
        <v>129.75</v>
      </c>
      <c r="TP4" s="182">
        <v>129.75</v>
      </c>
      <c r="TQ4" s="182">
        <v>129.75</v>
      </c>
      <c r="TR4" s="182">
        <v>129.75</v>
      </c>
      <c r="TS4" s="182">
        <v>129.75</v>
      </c>
      <c r="TT4" s="182">
        <v>129.75</v>
      </c>
      <c r="UO4" s="182">
        <v>129.75</v>
      </c>
      <c r="UP4" s="182">
        <v>129.75</v>
      </c>
      <c r="UQ4" s="182">
        <v>129.75</v>
      </c>
      <c r="UR4" s="182">
        <v>129.75</v>
      </c>
      <c r="US4" s="182">
        <v>129.75</v>
      </c>
      <c r="UT4" s="182">
        <v>129.75</v>
      </c>
      <c r="UU4" s="182">
        <v>129.75</v>
      </c>
      <c r="UV4" s="182">
        <v>129.75</v>
      </c>
      <c r="UW4" s="182">
        <v>129.75</v>
      </c>
      <c r="UX4" s="182">
        <v>129.75</v>
      </c>
      <c r="UY4" s="182">
        <v>129.75</v>
      </c>
      <c r="UZ4" s="182">
        <v>129.75</v>
      </c>
      <c r="VA4" s="182">
        <v>129.75</v>
      </c>
      <c r="VB4" s="182">
        <v>129.75</v>
      </c>
      <c r="VC4" s="182">
        <v>129.75</v>
      </c>
      <c r="VD4" s="182">
        <v>129.75</v>
      </c>
      <c r="VE4" s="182">
        <v>129.75</v>
      </c>
      <c r="VF4" s="182">
        <v>129.75</v>
      </c>
      <c r="VG4" s="182">
        <v>129.75</v>
      </c>
      <c r="VH4" s="182">
        <v>129.75</v>
      </c>
      <c r="VI4" s="182">
        <v>129.75</v>
      </c>
      <c r="VJ4" s="182">
        <v>129.75</v>
      </c>
      <c r="VK4" s="182">
        <v>129.75</v>
      </c>
      <c r="VL4" s="182">
        <v>129.75</v>
      </c>
      <c r="VM4" s="182">
        <v>129.75</v>
      </c>
      <c r="VN4" s="182">
        <v>129.75</v>
      </c>
      <c r="VO4" s="182">
        <v>129.75</v>
      </c>
      <c r="VP4" s="182">
        <v>129.75</v>
      </c>
      <c r="VQ4" s="182">
        <v>129.75</v>
      </c>
      <c r="VR4" s="182">
        <v>129.75</v>
      </c>
      <c r="VS4" s="182">
        <v>129.75</v>
      </c>
      <c r="VT4" s="182">
        <v>129.75</v>
      </c>
      <c r="VU4" s="182">
        <v>129.75</v>
      </c>
      <c r="VV4" s="182">
        <v>129.75</v>
      </c>
      <c r="VW4" s="182">
        <v>129.75</v>
      </c>
      <c r="VX4" s="182">
        <v>129.75</v>
      </c>
      <c r="VY4" s="182">
        <v>129.75</v>
      </c>
      <c r="VZ4" s="182">
        <v>129.75</v>
      </c>
      <c r="WA4" s="182">
        <v>129.75</v>
      </c>
      <c r="WB4" s="182">
        <v>129.75</v>
      </c>
      <c r="WC4" s="182">
        <v>129.75</v>
      </c>
      <c r="WD4" s="182">
        <v>129.75</v>
      </c>
      <c r="WE4" s="182">
        <v>129.75</v>
      </c>
      <c r="WF4" s="182">
        <v>129.75</v>
      </c>
      <c r="WG4" s="182">
        <v>129.75</v>
      </c>
      <c r="WH4" s="182">
        <v>129.75</v>
      </c>
      <c r="WI4" s="182">
        <v>129.75</v>
      </c>
      <c r="WJ4" s="182">
        <v>129.75</v>
      </c>
      <c r="WK4" s="182">
        <v>129.75</v>
      </c>
      <c r="WL4" s="182">
        <v>129.75</v>
      </c>
      <c r="WM4" s="182">
        <v>129.75</v>
      </c>
      <c r="WN4" s="182">
        <v>129.75</v>
      </c>
      <c r="WO4" s="182">
        <v>129.75</v>
      </c>
      <c r="WP4" s="182">
        <v>129.75</v>
      </c>
      <c r="WQ4" s="182">
        <v>129.75</v>
      </c>
      <c r="WR4" s="182">
        <v>129.75</v>
      </c>
      <c r="WS4" s="182">
        <v>129.75</v>
      </c>
      <c r="WT4" s="182">
        <v>129.75</v>
      </c>
      <c r="WU4" s="182">
        <v>129.75</v>
      </c>
      <c r="WV4" s="182">
        <v>129.75</v>
      </c>
      <c r="XQ4" s="182">
        <v>129.75</v>
      </c>
      <c r="XR4" s="182">
        <v>129.75</v>
      </c>
      <c r="XS4" s="182">
        <v>129.75</v>
      </c>
      <c r="XT4" s="182">
        <v>129.75</v>
      </c>
      <c r="XU4" s="182">
        <v>129.75</v>
      </c>
      <c r="XV4" s="182">
        <v>129.75</v>
      </c>
      <c r="XW4" s="182">
        <v>129.75</v>
      </c>
      <c r="XX4" s="182">
        <v>129.75</v>
      </c>
      <c r="XY4" s="182">
        <v>129.75</v>
      </c>
      <c r="XZ4" s="182">
        <v>129.75</v>
      </c>
      <c r="YA4" s="182">
        <v>129.75</v>
      </c>
      <c r="YB4" s="182">
        <v>129.75</v>
      </c>
      <c r="YC4" s="182">
        <v>129.75</v>
      </c>
      <c r="YD4" s="182">
        <v>129.75</v>
      </c>
      <c r="YE4" s="182">
        <v>129.75</v>
      </c>
      <c r="YF4" s="182">
        <v>129.75</v>
      </c>
      <c r="YG4" s="182">
        <v>129.75</v>
      </c>
      <c r="YH4" s="182">
        <v>129.75</v>
      </c>
      <c r="YI4" s="182">
        <v>129.75</v>
      </c>
      <c r="YJ4" s="182">
        <v>129.75</v>
      </c>
      <c r="YK4" s="182">
        <v>129.75</v>
      </c>
      <c r="YL4" s="182">
        <v>129.75</v>
      </c>
      <c r="YM4" s="182">
        <v>129.75</v>
      </c>
      <c r="YN4" s="182">
        <v>129.75</v>
      </c>
      <c r="YO4" s="182">
        <v>129.75</v>
      </c>
      <c r="YP4" s="182">
        <v>129.75</v>
      </c>
      <c r="YQ4" s="182">
        <v>129.75</v>
      </c>
      <c r="YR4" s="182">
        <v>129.75</v>
      </c>
      <c r="YS4" s="182">
        <v>129.75</v>
      </c>
      <c r="YT4" s="182">
        <v>129.75</v>
      </c>
      <c r="YU4" s="182">
        <v>129.75</v>
      </c>
      <c r="YV4" s="182">
        <v>129.75</v>
      </c>
      <c r="YW4" s="182">
        <v>129.75</v>
      </c>
      <c r="YX4" s="182">
        <v>129.75</v>
      </c>
      <c r="YY4" s="182">
        <v>129.75</v>
      </c>
      <c r="YZ4" s="182">
        <v>129.75</v>
      </c>
      <c r="ZA4" s="182">
        <v>129.75</v>
      </c>
      <c r="ZB4" s="182">
        <v>129.75</v>
      </c>
      <c r="ZC4" s="182">
        <v>129.75</v>
      </c>
      <c r="ZD4" s="182">
        <v>129.75</v>
      </c>
      <c r="ZE4" s="182">
        <v>129.75</v>
      </c>
      <c r="ZF4" s="182">
        <v>129.75</v>
      </c>
      <c r="ZG4" s="182">
        <v>129.75</v>
      </c>
      <c r="ZH4" s="182">
        <v>129.75</v>
      </c>
      <c r="ZI4" s="182">
        <v>129.75</v>
      </c>
      <c r="ZJ4" s="182">
        <v>129.75</v>
      </c>
      <c r="ZK4" s="182">
        <v>129.75</v>
      </c>
      <c r="ZL4" s="182">
        <v>129.75</v>
      </c>
      <c r="ZM4" s="182">
        <v>129.75</v>
      </c>
      <c r="ZN4" s="182">
        <v>129.75</v>
      </c>
      <c r="ZO4" s="182">
        <v>129.75</v>
      </c>
      <c r="ZP4" s="182">
        <v>129.75</v>
      </c>
      <c r="ZQ4" s="182">
        <v>129.75</v>
      </c>
      <c r="ZR4" s="182">
        <v>129.75</v>
      </c>
      <c r="ZS4" s="182">
        <v>129.75</v>
      </c>
      <c r="ZT4" s="182">
        <v>129.75</v>
      </c>
      <c r="ZU4" s="182">
        <v>129.75</v>
      </c>
      <c r="ZV4" s="182">
        <v>129.75</v>
      </c>
      <c r="ZW4" s="182">
        <v>129.75</v>
      </c>
      <c r="ZX4" s="182">
        <v>129.75</v>
      </c>
      <c r="AAS4" s="182">
        <v>129.75</v>
      </c>
      <c r="AAT4" s="182">
        <v>129.75</v>
      </c>
      <c r="AAU4" s="182">
        <v>129.75</v>
      </c>
      <c r="AAV4" s="182">
        <v>129.75</v>
      </c>
      <c r="AAW4" s="182">
        <v>129.75</v>
      </c>
      <c r="AAX4" s="182">
        <v>129.75</v>
      </c>
      <c r="AAY4" s="182">
        <v>129.75</v>
      </c>
      <c r="AAZ4" s="182">
        <v>129.75</v>
      </c>
      <c r="ABA4" s="182">
        <v>129.75</v>
      </c>
      <c r="ABB4" s="182">
        <v>129.75</v>
      </c>
      <c r="ABC4" s="182">
        <v>129.75</v>
      </c>
      <c r="ABD4" s="182">
        <v>129.75</v>
      </c>
      <c r="ABE4" s="182">
        <v>129.75</v>
      </c>
      <c r="ABF4" s="182">
        <v>129.75</v>
      </c>
      <c r="ABG4" s="182">
        <v>129.75</v>
      </c>
      <c r="ABH4" s="182">
        <v>129.75</v>
      </c>
      <c r="ABI4" s="182">
        <v>129.75</v>
      </c>
      <c r="ABJ4" s="182">
        <v>129.75</v>
      </c>
      <c r="ABK4" s="182">
        <v>129.75</v>
      </c>
      <c r="ABL4" s="182">
        <v>129.75</v>
      </c>
      <c r="ABM4" s="182">
        <v>129.75</v>
      </c>
      <c r="ABN4" s="182">
        <v>129.75</v>
      </c>
      <c r="ABO4" s="182">
        <v>129.75</v>
      </c>
      <c r="ABP4" s="182">
        <v>129.75</v>
      </c>
      <c r="ABQ4" s="182">
        <v>129.75</v>
      </c>
      <c r="ABR4" s="182">
        <v>129.75</v>
      </c>
      <c r="ABS4" s="182">
        <v>129.75</v>
      </c>
      <c r="ABT4" s="182">
        <v>129.75</v>
      </c>
      <c r="ABU4" s="182">
        <v>129.75</v>
      </c>
      <c r="ABV4" s="182">
        <v>129.75</v>
      </c>
      <c r="ABW4" s="182">
        <v>129.75</v>
      </c>
      <c r="ABX4" s="182">
        <v>129.75</v>
      </c>
      <c r="ABY4" s="182">
        <v>129.75</v>
      </c>
      <c r="ABZ4" s="182">
        <v>129.75</v>
      </c>
      <c r="ACA4" s="182">
        <v>129.75</v>
      </c>
      <c r="ACB4" s="182">
        <v>129.75</v>
      </c>
      <c r="ACC4" s="182">
        <v>129.75</v>
      </c>
      <c r="ACD4" s="182">
        <v>129.75</v>
      </c>
      <c r="ACE4" s="182">
        <v>129.75</v>
      </c>
      <c r="ACF4" s="182">
        <v>129.75</v>
      </c>
      <c r="ACG4" s="182">
        <v>129.75</v>
      </c>
      <c r="ACH4" s="182">
        <v>129.75</v>
      </c>
      <c r="ACI4" s="182">
        <v>129.75</v>
      </c>
      <c r="ACJ4" s="182">
        <v>129.75</v>
      </c>
      <c r="ACK4" s="182">
        <v>129.75</v>
      </c>
      <c r="ACL4" s="182">
        <v>129.75</v>
      </c>
      <c r="ACM4" s="182">
        <v>129.75</v>
      </c>
      <c r="ACN4" s="182">
        <v>129.75</v>
      </c>
      <c r="ACO4" s="182">
        <v>129.75</v>
      </c>
      <c r="ACP4" s="182">
        <v>129.75</v>
      </c>
      <c r="ACQ4" s="182">
        <v>129.75</v>
      </c>
      <c r="ACR4" s="182">
        <v>129.75</v>
      </c>
      <c r="ACS4" s="182">
        <v>129.75</v>
      </c>
      <c r="ACT4" s="182">
        <v>129.75</v>
      </c>
      <c r="ACU4" s="182">
        <v>129.75</v>
      </c>
      <c r="ACV4" s="182">
        <v>129.75</v>
      </c>
      <c r="ACW4" s="182">
        <v>129.75</v>
      </c>
      <c r="ACX4" s="182">
        <v>129.75</v>
      </c>
      <c r="ACY4" s="182">
        <v>129.75</v>
      </c>
      <c r="ADU4" s="182">
        <v>129.75</v>
      </c>
      <c r="ADV4" s="182">
        <v>129.75</v>
      </c>
      <c r="ADW4" s="182">
        <v>129.75</v>
      </c>
      <c r="ADX4" s="182">
        <v>129.75</v>
      </c>
      <c r="ADY4" s="182">
        <v>129.75</v>
      </c>
      <c r="ADZ4" s="182">
        <v>129.75</v>
      </c>
      <c r="AEA4" s="182">
        <v>129.75</v>
      </c>
      <c r="AEB4" s="182">
        <v>129.75</v>
      </c>
      <c r="AEC4" s="182">
        <v>129.75</v>
      </c>
      <c r="AED4" s="182">
        <v>129.75</v>
      </c>
      <c r="AEE4" s="182">
        <v>129.75</v>
      </c>
      <c r="AEF4" s="182">
        <v>129.75</v>
      </c>
      <c r="AEG4" s="182">
        <v>129.75</v>
      </c>
      <c r="AEH4" s="182">
        <v>129.75</v>
      </c>
      <c r="AEI4" s="182">
        <v>129.75</v>
      </c>
      <c r="AEJ4" s="182">
        <v>129.75</v>
      </c>
      <c r="AEK4" s="182">
        <v>129.75</v>
      </c>
      <c r="AEL4" s="182">
        <v>129.75</v>
      </c>
      <c r="AEM4" s="182">
        <v>129.75</v>
      </c>
      <c r="AEN4" s="182">
        <v>129.75</v>
      </c>
      <c r="AEO4" s="182">
        <v>129.75</v>
      </c>
      <c r="AEP4" s="182">
        <v>129.75</v>
      </c>
      <c r="AEQ4" s="182">
        <v>129.75</v>
      </c>
      <c r="AER4" s="182">
        <v>129.75</v>
      </c>
      <c r="AES4" s="182">
        <v>129.75</v>
      </c>
      <c r="AET4" s="182">
        <v>129.75</v>
      </c>
      <c r="AEU4" s="182">
        <v>129.75</v>
      </c>
      <c r="AEV4" s="182">
        <v>129.75</v>
      </c>
      <c r="AEW4" s="182">
        <v>129.75</v>
      </c>
      <c r="AEX4" s="182">
        <v>129.75</v>
      </c>
      <c r="AEY4" s="182">
        <v>129.75</v>
      </c>
      <c r="AEZ4" s="182">
        <v>129.75</v>
      </c>
      <c r="AFA4" s="182">
        <v>129.75</v>
      </c>
      <c r="AFB4" s="182">
        <v>129.75</v>
      </c>
      <c r="AFC4" s="182">
        <v>129.75</v>
      </c>
      <c r="AFD4" s="182">
        <v>129.75</v>
      </c>
      <c r="AFE4" s="182">
        <v>129.75</v>
      </c>
      <c r="AFF4" s="182">
        <v>129.75</v>
      </c>
      <c r="AFG4" s="182">
        <v>129.75</v>
      </c>
      <c r="AFH4" s="182">
        <v>129.75</v>
      </c>
      <c r="AFI4" s="182">
        <v>129.75</v>
      </c>
      <c r="AFJ4" s="182">
        <v>129.75</v>
      </c>
      <c r="AFK4" s="182">
        <v>129.75</v>
      </c>
      <c r="AFL4" s="182">
        <v>129.75</v>
      </c>
      <c r="AFM4" s="182">
        <v>129.75</v>
      </c>
      <c r="AFN4" s="182">
        <v>129.75</v>
      </c>
      <c r="AFO4" s="182">
        <v>129.75</v>
      </c>
      <c r="AFP4" s="182">
        <v>129.75</v>
      </c>
      <c r="AFQ4" s="182">
        <v>129.75</v>
      </c>
      <c r="AFR4" s="182">
        <v>129.75</v>
      </c>
      <c r="AFS4" s="182">
        <v>129.75</v>
      </c>
      <c r="AFT4" s="182">
        <v>129.75</v>
      </c>
      <c r="AFU4" s="182">
        <v>129.75</v>
      </c>
      <c r="AFV4" s="182">
        <v>129.75</v>
      </c>
      <c r="AFW4" s="182">
        <v>129.75</v>
      </c>
      <c r="AFX4" s="182">
        <v>129.75</v>
      </c>
      <c r="AFY4" s="182">
        <v>129.75</v>
      </c>
      <c r="AFZ4" s="182">
        <v>129.75</v>
      </c>
      <c r="AGA4" s="182">
        <v>129.75</v>
      </c>
      <c r="AGW4" s="182">
        <v>129.75</v>
      </c>
      <c r="AGX4" s="182">
        <v>129.75</v>
      </c>
      <c r="AGY4" s="182">
        <v>129.75</v>
      </c>
      <c r="AGZ4" s="182">
        <v>129.75</v>
      </c>
      <c r="AHA4" s="182">
        <v>129.75</v>
      </c>
      <c r="AHB4" s="182">
        <v>129.75</v>
      </c>
      <c r="AHC4" s="182">
        <v>129.75</v>
      </c>
      <c r="AHD4" s="182">
        <v>129.75</v>
      </c>
      <c r="AHE4" s="182">
        <v>129.75</v>
      </c>
      <c r="AHF4" s="182">
        <v>129.75</v>
      </c>
      <c r="AHG4" s="182">
        <v>129.75</v>
      </c>
      <c r="AHH4" s="182">
        <v>129.75</v>
      </c>
      <c r="AHI4" s="182">
        <v>129.75</v>
      </c>
      <c r="AHJ4" s="182">
        <v>129.75</v>
      </c>
      <c r="AHK4" s="182">
        <v>129.75</v>
      </c>
      <c r="AHL4" s="182">
        <v>129.75</v>
      </c>
      <c r="AHM4" s="182">
        <v>129.75</v>
      </c>
      <c r="AHN4" s="182">
        <v>129.75</v>
      </c>
      <c r="AHO4" s="182">
        <v>129.75</v>
      </c>
      <c r="AHP4" s="182">
        <v>129.75</v>
      </c>
      <c r="AHQ4" s="182">
        <v>129.75</v>
      </c>
      <c r="AHR4" s="182">
        <v>129.75</v>
      </c>
      <c r="AHS4" s="182">
        <v>129.75</v>
      </c>
      <c r="AHT4" s="182">
        <v>129.75</v>
      </c>
      <c r="AHU4" s="182">
        <v>129.75</v>
      </c>
      <c r="AHV4" s="182">
        <v>129.75</v>
      </c>
      <c r="AHW4" s="182">
        <v>129.75</v>
      </c>
      <c r="AHX4" s="182">
        <v>129.75</v>
      </c>
      <c r="AHY4" s="182">
        <v>129.75</v>
      </c>
      <c r="AHZ4" s="182">
        <v>129.75</v>
      </c>
      <c r="AIA4" s="182">
        <v>129.75</v>
      </c>
      <c r="AIB4" s="182">
        <v>129.75</v>
      </c>
      <c r="AIC4" s="182">
        <v>129.75</v>
      </c>
      <c r="AID4" s="182">
        <v>129.75</v>
      </c>
      <c r="AIE4" s="182">
        <v>129.75</v>
      </c>
      <c r="AIF4" s="182">
        <v>129.75</v>
      </c>
      <c r="AIG4" s="182">
        <v>129.75</v>
      </c>
      <c r="AIH4" s="182">
        <v>129.75</v>
      </c>
      <c r="AII4" s="182">
        <v>129.75</v>
      </c>
      <c r="AIJ4" s="182">
        <v>129.75</v>
      </c>
      <c r="AIK4" s="182">
        <v>129.75</v>
      </c>
      <c r="AIL4" s="182">
        <v>129.75</v>
      </c>
      <c r="AIM4" s="182">
        <v>129.75</v>
      </c>
      <c r="AIN4" s="182">
        <v>129.75</v>
      </c>
      <c r="AIO4" s="182">
        <v>129.75</v>
      </c>
      <c r="AIP4" s="182">
        <v>129.75</v>
      </c>
      <c r="AIQ4" s="182">
        <v>129.75</v>
      </c>
      <c r="AIR4" s="182">
        <v>129.75</v>
      </c>
      <c r="AIS4" s="182">
        <v>129.75</v>
      </c>
      <c r="AIT4" s="182">
        <v>129.75</v>
      </c>
      <c r="AIU4" s="182">
        <v>129.75</v>
      </c>
      <c r="AIV4" s="182">
        <v>129.75</v>
      </c>
      <c r="AIW4" s="182">
        <v>129.75</v>
      </c>
      <c r="AIX4" s="182">
        <v>129.75</v>
      </c>
      <c r="AIY4" s="182">
        <v>129.75</v>
      </c>
      <c r="AIZ4" s="182">
        <v>129.75</v>
      </c>
      <c r="AJA4" s="182">
        <v>129.75</v>
      </c>
      <c r="AJB4" s="182">
        <v>129.75</v>
      </c>
      <c r="AJC4" s="182">
        <v>129.75</v>
      </c>
    </row>
    <row r="5" spans="1:939">
      <c r="A5" s="182">
        <v>108.13</v>
      </c>
      <c r="B5" s="182">
        <v>108.13</v>
      </c>
      <c r="C5" s="182">
        <v>108.13</v>
      </c>
      <c r="D5" s="182">
        <v>108.13</v>
      </c>
      <c r="E5" s="182">
        <v>108.13</v>
      </c>
      <c r="F5" s="182">
        <v>108.13</v>
      </c>
      <c r="G5" s="182">
        <v>108.13</v>
      </c>
      <c r="H5" s="182">
        <v>108.13</v>
      </c>
      <c r="I5" s="182">
        <v>108.13</v>
      </c>
      <c r="J5" s="182">
        <v>108.13</v>
      </c>
      <c r="K5" s="182">
        <v>108.13</v>
      </c>
      <c r="L5" s="182">
        <v>108.13</v>
      </c>
      <c r="M5" s="182">
        <v>108.13</v>
      </c>
      <c r="N5" s="182">
        <v>108.13</v>
      </c>
      <c r="O5" s="182">
        <v>108.13</v>
      </c>
      <c r="P5" s="182">
        <v>108.13</v>
      </c>
      <c r="Q5" s="182">
        <v>108.13</v>
      </c>
      <c r="R5" s="182">
        <v>108.13</v>
      </c>
      <c r="S5" s="182">
        <v>108.13</v>
      </c>
      <c r="T5" s="182">
        <v>108.13</v>
      </c>
      <c r="U5" s="182">
        <v>108.13</v>
      </c>
      <c r="V5" s="182">
        <v>108.13</v>
      </c>
      <c r="W5" s="182">
        <v>108.13</v>
      </c>
      <c r="X5" s="182">
        <v>108.13</v>
      </c>
      <c r="Y5" s="182">
        <v>108.13</v>
      </c>
      <c r="Z5" s="182">
        <v>108.13</v>
      </c>
      <c r="AA5" s="182">
        <v>108.13</v>
      </c>
      <c r="AB5" s="182">
        <v>108.13</v>
      </c>
      <c r="AC5" s="182">
        <v>108.13</v>
      </c>
      <c r="AD5" s="182">
        <v>108.13</v>
      </c>
      <c r="AE5" s="182">
        <v>108.13</v>
      </c>
      <c r="AF5" s="182">
        <v>108.13</v>
      </c>
      <c r="AG5" s="182">
        <v>108.13</v>
      </c>
      <c r="AH5" s="182">
        <v>108.13</v>
      </c>
      <c r="AI5" s="182">
        <v>108.13</v>
      </c>
      <c r="AJ5" s="182">
        <v>108.13</v>
      </c>
      <c r="AK5" s="182">
        <v>108.13</v>
      </c>
      <c r="AL5" s="182">
        <v>108.13</v>
      </c>
      <c r="AM5" s="182">
        <v>108.13</v>
      </c>
      <c r="AN5" s="182">
        <v>108.13</v>
      </c>
      <c r="AO5" s="182">
        <v>108.13</v>
      </c>
      <c r="AP5" s="182">
        <v>108.13</v>
      </c>
      <c r="AQ5" s="182">
        <v>108.13</v>
      </c>
      <c r="AR5" s="182">
        <v>108.13</v>
      </c>
      <c r="AS5" s="182">
        <v>108.13</v>
      </c>
      <c r="AT5" s="182">
        <v>108.13</v>
      </c>
      <c r="AU5" s="182">
        <v>108.13</v>
      </c>
      <c r="AV5" s="182">
        <v>108.13</v>
      </c>
      <c r="AW5" s="182">
        <v>108.13</v>
      </c>
      <c r="AX5" s="182">
        <v>108.13</v>
      </c>
      <c r="AY5" s="182">
        <v>108.13</v>
      </c>
      <c r="AZ5" s="182">
        <v>108.13</v>
      </c>
      <c r="CC5" s="182">
        <v>108.13</v>
      </c>
      <c r="CD5" s="182">
        <v>108.13</v>
      </c>
      <c r="CE5" s="182">
        <v>108.13</v>
      </c>
      <c r="CF5" s="182">
        <v>108.13</v>
      </c>
      <c r="CG5" s="182">
        <v>108.13</v>
      </c>
      <c r="CH5" s="182">
        <v>108.13</v>
      </c>
      <c r="CI5" s="182">
        <v>108.13</v>
      </c>
      <c r="CJ5" s="182">
        <v>108.13</v>
      </c>
      <c r="CK5" s="182">
        <v>108.13</v>
      </c>
      <c r="CL5" s="182">
        <v>108.13</v>
      </c>
      <c r="CM5" s="182">
        <v>108.13</v>
      </c>
      <c r="CN5" s="182">
        <v>108.13</v>
      </c>
      <c r="CO5" s="182">
        <v>108.13</v>
      </c>
      <c r="CP5" s="182">
        <v>108.13</v>
      </c>
      <c r="CQ5" s="182">
        <v>108.13</v>
      </c>
      <c r="CR5" s="182">
        <v>108.13</v>
      </c>
      <c r="CS5" s="182">
        <v>108.13</v>
      </c>
      <c r="CT5" s="182">
        <v>108.13</v>
      </c>
      <c r="CU5" s="182">
        <v>108.13</v>
      </c>
      <c r="CV5" s="182">
        <v>108.13</v>
      </c>
      <c r="CW5" s="182">
        <v>108.13</v>
      </c>
      <c r="CX5" s="182">
        <v>108.13</v>
      </c>
      <c r="CY5" s="182">
        <v>108.13</v>
      </c>
      <c r="CZ5" s="182">
        <v>108.13</v>
      </c>
      <c r="DA5" s="182">
        <v>108.13</v>
      </c>
      <c r="DB5" s="182">
        <v>108.13</v>
      </c>
      <c r="DC5" s="182">
        <v>108.13</v>
      </c>
      <c r="DD5" s="182">
        <v>108.13</v>
      </c>
      <c r="DE5" s="182">
        <v>108.13</v>
      </c>
      <c r="DF5" s="182">
        <v>108.13</v>
      </c>
      <c r="DG5" s="182">
        <v>108.13</v>
      </c>
      <c r="DH5" s="182">
        <v>108.13</v>
      </c>
      <c r="DI5" s="182">
        <v>108.13</v>
      </c>
      <c r="DJ5" s="182">
        <v>108.13</v>
      </c>
      <c r="DK5" s="182">
        <v>108.13</v>
      </c>
      <c r="DL5" s="182">
        <v>108.13</v>
      </c>
      <c r="DM5" s="182">
        <v>108.13</v>
      </c>
      <c r="DN5" s="182">
        <v>108.13</v>
      </c>
      <c r="DO5" s="182">
        <v>108.13</v>
      </c>
      <c r="DP5" s="182">
        <v>108.13</v>
      </c>
      <c r="DQ5" s="182">
        <v>108.13</v>
      </c>
      <c r="DR5" s="182">
        <v>108.13</v>
      </c>
      <c r="DS5" s="182">
        <v>108.13</v>
      </c>
      <c r="DT5" s="182">
        <v>108.13</v>
      </c>
      <c r="DU5" s="182">
        <v>108.13</v>
      </c>
      <c r="DV5" s="182">
        <v>108.13</v>
      </c>
      <c r="DW5" s="182">
        <v>108.13</v>
      </c>
      <c r="DX5" s="182">
        <v>108.13</v>
      </c>
      <c r="DY5" s="182">
        <v>108.13</v>
      </c>
      <c r="DZ5" s="182">
        <v>108.13</v>
      </c>
      <c r="EA5" s="182">
        <v>108.13</v>
      </c>
      <c r="EB5" s="182">
        <v>108.13</v>
      </c>
      <c r="EC5" s="182">
        <v>108.13</v>
      </c>
      <c r="ED5" s="182">
        <v>108.13</v>
      </c>
      <c r="EE5" s="182">
        <v>108.13</v>
      </c>
      <c r="EF5" s="182">
        <v>108.13</v>
      </c>
      <c r="EG5" s="182">
        <v>108.13</v>
      </c>
      <c r="EH5" s="182">
        <v>108.13</v>
      </c>
      <c r="FE5" s="182">
        <v>108.13</v>
      </c>
      <c r="FF5" s="182">
        <v>108.13</v>
      </c>
      <c r="FG5" s="182">
        <v>108.13</v>
      </c>
      <c r="FH5" s="182">
        <v>108.13</v>
      </c>
      <c r="FI5" s="182">
        <v>108.13</v>
      </c>
      <c r="FJ5" s="182">
        <v>108.13</v>
      </c>
      <c r="FK5" s="182">
        <v>108.13</v>
      </c>
      <c r="FL5" s="182">
        <v>108.13</v>
      </c>
      <c r="FM5" s="182">
        <v>108.13</v>
      </c>
      <c r="FN5" s="182">
        <v>108.13</v>
      </c>
      <c r="FO5" s="182">
        <v>108.13</v>
      </c>
      <c r="FP5" s="182">
        <v>108.13</v>
      </c>
      <c r="FQ5" s="182">
        <v>108.13</v>
      </c>
      <c r="FR5" s="182">
        <v>108.13</v>
      </c>
      <c r="FS5" s="182">
        <v>108.13</v>
      </c>
      <c r="FT5" s="182">
        <v>108.13</v>
      </c>
      <c r="FU5" s="182">
        <v>108.13</v>
      </c>
      <c r="FV5" s="182">
        <v>108.13</v>
      </c>
      <c r="FW5" s="182">
        <v>108.13</v>
      </c>
      <c r="FX5" s="182">
        <v>108.13</v>
      </c>
      <c r="FY5" s="182">
        <v>108.13</v>
      </c>
      <c r="FZ5" s="182">
        <v>108.13</v>
      </c>
      <c r="GA5" s="182">
        <v>108.13</v>
      </c>
      <c r="GB5" s="182">
        <v>108.13</v>
      </c>
      <c r="GC5" s="182">
        <v>108.13</v>
      </c>
      <c r="GD5" s="182">
        <v>108.13</v>
      </c>
      <c r="GE5" s="182">
        <v>108.13</v>
      </c>
      <c r="GF5" s="182">
        <v>108.13</v>
      </c>
      <c r="GG5" s="182">
        <v>108.13</v>
      </c>
      <c r="GH5" s="182">
        <v>108.13</v>
      </c>
      <c r="GI5" s="182">
        <v>108.13</v>
      </c>
      <c r="GJ5" s="182">
        <v>108.13</v>
      </c>
      <c r="GK5" s="182">
        <v>108.13</v>
      </c>
      <c r="GL5" s="182">
        <v>108.13</v>
      </c>
      <c r="GM5" s="182">
        <v>108.13</v>
      </c>
      <c r="GN5" s="182">
        <v>108.13</v>
      </c>
      <c r="GO5" s="182">
        <v>108.13</v>
      </c>
      <c r="GP5" s="182">
        <v>108.13</v>
      </c>
      <c r="GQ5" s="182">
        <v>108.13</v>
      </c>
      <c r="GR5" s="182">
        <v>108.13</v>
      </c>
      <c r="GS5" s="182">
        <v>108.13</v>
      </c>
      <c r="GT5" s="182">
        <v>108.13</v>
      </c>
      <c r="GU5" s="182">
        <v>108.13</v>
      </c>
      <c r="GV5" s="182">
        <v>108.13</v>
      </c>
      <c r="GW5" s="182">
        <v>108.13</v>
      </c>
      <c r="GX5" s="182">
        <v>108.13</v>
      </c>
      <c r="GY5" s="182">
        <v>108.13</v>
      </c>
      <c r="GZ5" s="182">
        <v>108.13</v>
      </c>
      <c r="HA5" s="182">
        <v>108.13</v>
      </c>
      <c r="HB5" s="182">
        <v>108.13</v>
      </c>
      <c r="HC5" s="182">
        <v>108.13</v>
      </c>
      <c r="HD5" s="182">
        <v>108.13</v>
      </c>
      <c r="HE5" s="182">
        <v>108.13</v>
      </c>
      <c r="HF5" s="182">
        <v>108.13</v>
      </c>
      <c r="HG5" s="182">
        <v>108.13</v>
      </c>
      <c r="HH5" s="182">
        <v>108.13</v>
      </c>
      <c r="HI5" s="182">
        <v>108.13</v>
      </c>
      <c r="HJ5" s="182">
        <v>108.13</v>
      </c>
      <c r="HK5" s="182">
        <v>108.13</v>
      </c>
      <c r="IG5" s="182">
        <v>108.13</v>
      </c>
      <c r="IH5" s="182">
        <v>108.13</v>
      </c>
      <c r="II5" s="182">
        <v>108.13</v>
      </c>
      <c r="IJ5" s="182">
        <v>108.13</v>
      </c>
      <c r="IK5" s="182">
        <v>108.13</v>
      </c>
      <c r="IL5" s="182">
        <v>108.13</v>
      </c>
      <c r="IM5" s="182">
        <v>108.13</v>
      </c>
      <c r="IN5" s="182">
        <v>108.13</v>
      </c>
      <c r="IO5" s="182">
        <v>108.13</v>
      </c>
      <c r="IP5" s="182">
        <v>108.13</v>
      </c>
      <c r="IQ5" s="182">
        <v>108.13</v>
      </c>
      <c r="IR5" s="182">
        <v>108.13</v>
      </c>
      <c r="IS5" s="182">
        <v>108.13</v>
      </c>
      <c r="IT5" s="182">
        <v>108.13</v>
      </c>
      <c r="IU5" s="182">
        <v>108.13</v>
      </c>
      <c r="IV5" s="182">
        <v>108.13</v>
      </c>
      <c r="IW5" s="182">
        <v>108.13</v>
      </c>
      <c r="IX5" s="182">
        <v>108.13</v>
      </c>
      <c r="IY5" s="182">
        <v>108.13</v>
      </c>
      <c r="IZ5" s="182">
        <v>108.13</v>
      </c>
      <c r="JA5" s="182">
        <v>108.13</v>
      </c>
      <c r="JB5" s="182">
        <v>108.13</v>
      </c>
      <c r="JC5" s="182">
        <v>108.13</v>
      </c>
      <c r="JD5" s="182">
        <v>108.13</v>
      </c>
      <c r="JE5" s="182">
        <v>108.13</v>
      </c>
      <c r="JF5" s="182">
        <v>108.13</v>
      </c>
      <c r="JG5" s="182">
        <v>108.13</v>
      </c>
      <c r="JH5" s="182">
        <v>108.13</v>
      </c>
      <c r="JI5" s="182">
        <v>108.13</v>
      </c>
      <c r="JJ5" s="182">
        <v>108.13</v>
      </c>
      <c r="JK5" s="182">
        <v>108.13</v>
      </c>
      <c r="JL5" s="182">
        <v>108.13</v>
      </c>
      <c r="JM5" s="182">
        <v>108.13</v>
      </c>
      <c r="JN5" s="182">
        <v>108.13</v>
      </c>
      <c r="JO5" s="182">
        <v>108.13</v>
      </c>
      <c r="JP5" s="182">
        <v>108.13</v>
      </c>
      <c r="JQ5" s="182">
        <v>108.13</v>
      </c>
      <c r="JR5" s="182">
        <v>108.13</v>
      </c>
      <c r="JS5" s="182">
        <v>108.13</v>
      </c>
      <c r="JT5" s="182">
        <v>108.13</v>
      </c>
      <c r="JU5" s="182">
        <v>108.13</v>
      </c>
      <c r="JV5" s="182">
        <v>108.13</v>
      </c>
      <c r="JW5" s="182">
        <v>108.13</v>
      </c>
      <c r="JX5" s="182">
        <v>108.13</v>
      </c>
      <c r="JY5" s="182">
        <v>108.13</v>
      </c>
      <c r="JZ5" s="182">
        <v>108.13</v>
      </c>
      <c r="KA5" s="182">
        <v>108.13</v>
      </c>
      <c r="KB5" s="182">
        <v>108.13</v>
      </c>
      <c r="KC5" s="182">
        <v>108.13</v>
      </c>
      <c r="KD5" s="182">
        <v>108.13</v>
      </c>
      <c r="KE5" s="182">
        <v>108.13</v>
      </c>
      <c r="KF5" s="182">
        <v>108.13</v>
      </c>
      <c r="KG5" s="182">
        <v>108.13</v>
      </c>
      <c r="KH5" s="182">
        <v>108.13</v>
      </c>
      <c r="KI5" s="182">
        <v>108.13</v>
      </c>
      <c r="KJ5" s="182">
        <v>108.13</v>
      </c>
      <c r="KK5" s="182">
        <v>108.13</v>
      </c>
      <c r="KL5" s="182">
        <v>108.13</v>
      </c>
      <c r="LI5" s="182">
        <v>108.13</v>
      </c>
      <c r="LJ5" s="182">
        <v>108.13</v>
      </c>
      <c r="LK5" s="182">
        <v>108.13</v>
      </c>
      <c r="LL5" s="182">
        <v>108.13</v>
      </c>
      <c r="LM5" s="182">
        <v>108.13</v>
      </c>
      <c r="LN5" s="182">
        <v>108.13</v>
      </c>
      <c r="LO5" s="182">
        <v>108.13</v>
      </c>
      <c r="LP5" s="182">
        <v>108.13</v>
      </c>
      <c r="LQ5" s="182">
        <v>108.13</v>
      </c>
      <c r="LR5" s="182">
        <v>108.13</v>
      </c>
      <c r="LS5" s="182">
        <v>108.13</v>
      </c>
      <c r="LT5" s="182">
        <v>108.13</v>
      </c>
      <c r="LU5" s="182">
        <v>108.13</v>
      </c>
      <c r="LV5" s="182">
        <v>108.13</v>
      </c>
      <c r="LW5" s="182">
        <v>108.13</v>
      </c>
      <c r="LX5" s="182">
        <v>108.13</v>
      </c>
      <c r="LY5" s="182">
        <v>108.13</v>
      </c>
      <c r="LZ5" s="182">
        <v>108.13</v>
      </c>
      <c r="MA5" s="182">
        <v>108.13</v>
      </c>
      <c r="MB5" s="182">
        <v>108.13</v>
      </c>
      <c r="MC5" s="182">
        <v>108.13</v>
      </c>
      <c r="MD5" s="182">
        <v>108.13</v>
      </c>
      <c r="ME5" s="182">
        <v>108.13</v>
      </c>
      <c r="MF5" s="182">
        <v>108.13</v>
      </c>
      <c r="MG5" s="182">
        <v>108.13</v>
      </c>
      <c r="MH5" s="182">
        <v>108.13</v>
      </c>
      <c r="MI5" s="182">
        <v>108.13</v>
      </c>
      <c r="MJ5" s="182">
        <v>108.13</v>
      </c>
      <c r="MK5" s="182">
        <v>108.13</v>
      </c>
      <c r="ML5" s="182">
        <v>108.13</v>
      </c>
      <c r="MM5" s="182">
        <v>108.13</v>
      </c>
      <c r="MN5" s="182">
        <v>108.13</v>
      </c>
      <c r="MO5" s="182">
        <v>108.13</v>
      </c>
      <c r="MP5" s="182">
        <v>108.13</v>
      </c>
      <c r="MQ5" s="182">
        <v>108.13</v>
      </c>
      <c r="MR5" s="182">
        <v>108.13</v>
      </c>
      <c r="MS5" s="182">
        <v>108.13</v>
      </c>
      <c r="MT5" s="182">
        <v>108.13</v>
      </c>
      <c r="MU5" s="182">
        <v>108.13</v>
      </c>
      <c r="MV5" s="182">
        <v>108.13</v>
      </c>
      <c r="MW5" s="182">
        <v>108.13</v>
      </c>
      <c r="MX5" s="182">
        <v>108.13</v>
      </c>
      <c r="MY5" s="182">
        <v>108.13</v>
      </c>
      <c r="MZ5" s="182">
        <v>108.13</v>
      </c>
      <c r="NA5" s="182">
        <v>108.13</v>
      </c>
      <c r="NB5" s="182">
        <v>108.13</v>
      </c>
      <c r="NC5" s="182">
        <v>108.13</v>
      </c>
      <c r="ND5" s="182">
        <v>108.13</v>
      </c>
      <c r="NE5" s="182">
        <v>108.13</v>
      </c>
      <c r="NF5" s="182">
        <v>108.13</v>
      </c>
      <c r="NG5" s="182">
        <v>108.13</v>
      </c>
      <c r="NH5" s="182">
        <v>108.13</v>
      </c>
      <c r="NI5" s="182">
        <v>108.13</v>
      </c>
      <c r="NJ5" s="182">
        <v>108.13</v>
      </c>
      <c r="NK5" s="182">
        <v>108.13</v>
      </c>
      <c r="NL5" s="182">
        <v>108.13</v>
      </c>
      <c r="NM5" s="182">
        <v>108.13</v>
      </c>
      <c r="NN5" s="182">
        <v>108.13</v>
      </c>
      <c r="NO5" s="182">
        <v>108.13</v>
      </c>
      <c r="NP5" s="182">
        <v>108.13</v>
      </c>
      <c r="NQ5" s="182">
        <v>108.13</v>
      </c>
      <c r="OK5" s="182">
        <v>108.13</v>
      </c>
      <c r="OL5" s="182">
        <v>108.13</v>
      </c>
      <c r="OM5" s="182">
        <v>108.13</v>
      </c>
      <c r="ON5" s="182">
        <v>108.13</v>
      </c>
      <c r="OO5" s="182">
        <v>108.13</v>
      </c>
      <c r="OP5" s="182">
        <v>108.13</v>
      </c>
      <c r="OQ5" s="182">
        <v>108.13</v>
      </c>
      <c r="OR5" s="182">
        <v>108.13</v>
      </c>
      <c r="OS5" s="182">
        <v>108.13</v>
      </c>
      <c r="OT5" s="182">
        <v>108.13</v>
      </c>
      <c r="OU5" s="182">
        <v>108.13</v>
      </c>
      <c r="OV5" s="182">
        <v>108.13</v>
      </c>
      <c r="OW5" s="182">
        <v>108.13</v>
      </c>
      <c r="OX5" s="182">
        <v>108.13</v>
      </c>
      <c r="OY5" s="182">
        <v>108.13</v>
      </c>
      <c r="OZ5" s="182">
        <v>108.13</v>
      </c>
      <c r="PA5" s="182">
        <v>108.13</v>
      </c>
      <c r="PB5" s="182">
        <v>108.13</v>
      </c>
      <c r="PC5" s="182">
        <v>108.13</v>
      </c>
      <c r="PD5" s="182">
        <v>108.13</v>
      </c>
      <c r="PE5" s="182">
        <v>108.13</v>
      </c>
      <c r="PF5" s="182">
        <v>108.13</v>
      </c>
      <c r="PG5" s="182">
        <v>108.13</v>
      </c>
      <c r="PH5" s="182">
        <v>108.13</v>
      </c>
      <c r="PI5" s="182">
        <v>108.13</v>
      </c>
      <c r="PJ5" s="182">
        <v>108.13</v>
      </c>
      <c r="PK5" s="182">
        <v>108.13</v>
      </c>
      <c r="PL5" s="182">
        <v>108.13</v>
      </c>
      <c r="PM5" s="182">
        <v>108.13</v>
      </c>
      <c r="PN5" s="182">
        <v>108.13</v>
      </c>
      <c r="PO5" s="182">
        <v>108.13</v>
      </c>
      <c r="PP5" s="182">
        <v>108.13</v>
      </c>
      <c r="PQ5" s="182">
        <v>108.13</v>
      </c>
      <c r="PR5" s="182">
        <v>108.13</v>
      </c>
      <c r="PS5" s="182">
        <v>108.13</v>
      </c>
      <c r="PT5" s="182">
        <v>108.13</v>
      </c>
      <c r="PU5" s="182">
        <v>108.13</v>
      </c>
      <c r="PV5" s="182">
        <v>108.13</v>
      </c>
      <c r="PW5" s="182">
        <v>108.13</v>
      </c>
      <c r="PX5" s="182">
        <v>108.13</v>
      </c>
      <c r="PY5" s="182">
        <v>108.13</v>
      </c>
      <c r="PZ5" s="182">
        <v>108.13</v>
      </c>
      <c r="QA5" s="182">
        <v>108.13</v>
      </c>
      <c r="QB5" s="182">
        <v>108.13</v>
      </c>
      <c r="QC5" s="182">
        <v>108.13</v>
      </c>
      <c r="QD5" s="182">
        <v>108.13</v>
      </c>
      <c r="QE5" s="182">
        <v>108.13</v>
      </c>
      <c r="QF5" s="182">
        <v>108.13</v>
      </c>
      <c r="QG5" s="182">
        <v>108.13</v>
      </c>
      <c r="QH5" s="182">
        <v>108.13</v>
      </c>
      <c r="QI5" s="182">
        <v>108.13</v>
      </c>
      <c r="QJ5" s="182">
        <v>108.13</v>
      </c>
      <c r="QK5" s="182">
        <v>108.13</v>
      </c>
      <c r="QL5" s="182">
        <v>108.13</v>
      </c>
      <c r="QM5" s="182">
        <v>108.13</v>
      </c>
      <c r="QN5" s="182">
        <v>108.13</v>
      </c>
      <c r="QO5" s="182">
        <v>108.13</v>
      </c>
      <c r="QP5" s="182">
        <v>108.13</v>
      </c>
      <c r="QQ5" s="182">
        <v>108.13</v>
      </c>
      <c r="QR5" s="182">
        <v>108.13</v>
      </c>
      <c r="RM5" s="182">
        <v>108.13</v>
      </c>
      <c r="RN5" s="182">
        <v>108.13</v>
      </c>
      <c r="RO5" s="182">
        <v>108.13</v>
      </c>
      <c r="RP5" s="182">
        <v>108.13</v>
      </c>
      <c r="RQ5" s="182">
        <v>108.13</v>
      </c>
      <c r="RR5" s="182">
        <v>108.13</v>
      </c>
      <c r="RS5" s="182">
        <v>108.13</v>
      </c>
      <c r="RT5" s="182">
        <v>108.13</v>
      </c>
      <c r="RU5" s="182">
        <v>108.13</v>
      </c>
      <c r="RV5" s="182">
        <v>108.13</v>
      </c>
      <c r="RW5" s="182">
        <v>108.13</v>
      </c>
      <c r="RX5" s="182">
        <v>108.13</v>
      </c>
      <c r="RY5" s="182">
        <v>108.13</v>
      </c>
      <c r="RZ5" s="182">
        <v>108.13</v>
      </c>
      <c r="SA5" s="182">
        <v>108.13</v>
      </c>
      <c r="SB5" s="182">
        <v>108.13</v>
      </c>
      <c r="SC5" s="182">
        <v>108.13</v>
      </c>
      <c r="SD5" s="182">
        <v>108.13</v>
      </c>
      <c r="SE5" s="182">
        <v>108.13</v>
      </c>
      <c r="SF5" s="182">
        <v>108.13</v>
      </c>
      <c r="SG5" s="182">
        <v>108.13</v>
      </c>
      <c r="SH5" s="182">
        <v>108.13</v>
      </c>
      <c r="SI5" s="182">
        <v>108.13</v>
      </c>
      <c r="SJ5" s="182">
        <v>108.13</v>
      </c>
      <c r="SK5" s="182">
        <v>108.13</v>
      </c>
      <c r="SL5" s="182">
        <v>108.13</v>
      </c>
      <c r="SM5" s="182">
        <v>108.13</v>
      </c>
      <c r="SN5" s="182">
        <v>108.13</v>
      </c>
      <c r="SO5" s="182">
        <v>108.13</v>
      </c>
      <c r="SP5" s="182">
        <v>108.13</v>
      </c>
      <c r="SQ5" s="182">
        <v>108.13</v>
      </c>
      <c r="SR5" s="182">
        <v>108.13</v>
      </c>
      <c r="SS5" s="182">
        <v>108.13</v>
      </c>
      <c r="ST5" s="182">
        <v>108.13</v>
      </c>
      <c r="SU5" s="182">
        <v>108.13</v>
      </c>
      <c r="SV5" s="182">
        <v>108.13</v>
      </c>
      <c r="SW5" s="182">
        <v>108.13</v>
      </c>
      <c r="SX5" s="182">
        <v>108.13</v>
      </c>
      <c r="SY5" s="182">
        <v>108.13</v>
      </c>
      <c r="SZ5" s="182">
        <v>108.13</v>
      </c>
      <c r="TA5" s="182">
        <v>108.13</v>
      </c>
      <c r="TB5" s="182">
        <v>108.13</v>
      </c>
      <c r="TC5" s="182">
        <v>108.13</v>
      </c>
      <c r="TD5" s="182">
        <v>108.13</v>
      </c>
      <c r="TE5" s="182">
        <v>108.13</v>
      </c>
      <c r="TF5" s="182">
        <v>108.13</v>
      </c>
      <c r="TG5" s="182">
        <v>108.13</v>
      </c>
      <c r="TH5" s="182">
        <v>108.13</v>
      </c>
      <c r="TI5" s="182">
        <v>108.13</v>
      </c>
      <c r="TJ5" s="182">
        <v>108.13</v>
      </c>
      <c r="TK5" s="182">
        <v>108.13</v>
      </c>
      <c r="TL5" s="182">
        <v>108.13</v>
      </c>
      <c r="TM5" s="182">
        <v>108.13</v>
      </c>
      <c r="TN5" s="182">
        <v>108.13</v>
      </c>
      <c r="TO5" s="182">
        <v>108.13</v>
      </c>
      <c r="TP5" s="182">
        <v>108.13</v>
      </c>
      <c r="TQ5" s="182">
        <v>108.13</v>
      </c>
      <c r="TR5" s="182">
        <v>108.13</v>
      </c>
      <c r="TS5" s="182">
        <v>108.13</v>
      </c>
      <c r="TT5" s="182">
        <v>108.13</v>
      </c>
      <c r="UO5" s="182">
        <v>108.13</v>
      </c>
      <c r="UP5" s="182">
        <v>108.13</v>
      </c>
      <c r="UQ5" s="182">
        <v>108.13</v>
      </c>
      <c r="UR5" s="182">
        <v>108.13</v>
      </c>
      <c r="US5" s="182">
        <v>108.13</v>
      </c>
      <c r="UT5" s="182">
        <v>108.13</v>
      </c>
      <c r="UU5" s="182">
        <v>108.13</v>
      </c>
      <c r="UV5" s="182">
        <v>108.13</v>
      </c>
      <c r="UW5" s="182">
        <v>108.13</v>
      </c>
      <c r="UX5" s="182">
        <v>108.13</v>
      </c>
      <c r="UY5" s="182">
        <v>108.13</v>
      </c>
      <c r="UZ5" s="182">
        <v>108.13</v>
      </c>
      <c r="VA5" s="182">
        <v>108.13</v>
      </c>
      <c r="VB5" s="182">
        <v>108.13</v>
      </c>
      <c r="VC5" s="182">
        <v>108.13</v>
      </c>
      <c r="VD5" s="182">
        <v>108.13</v>
      </c>
      <c r="VE5" s="182">
        <v>108.13</v>
      </c>
      <c r="VF5" s="182">
        <v>108.13</v>
      </c>
      <c r="VG5" s="182">
        <v>108.13</v>
      </c>
      <c r="VH5" s="182">
        <v>108.13</v>
      </c>
      <c r="VI5" s="182">
        <v>108.13</v>
      </c>
      <c r="VJ5" s="182">
        <v>108.13</v>
      </c>
      <c r="VK5" s="182">
        <v>108.13</v>
      </c>
      <c r="VL5" s="182">
        <v>108.13</v>
      </c>
      <c r="VM5" s="182">
        <v>108.13</v>
      </c>
      <c r="VN5" s="182">
        <v>108.13</v>
      </c>
      <c r="VO5" s="182">
        <v>108.13</v>
      </c>
      <c r="VP5" s="182">
        <v>108.13</v>
      </c>
      <c r="VQ5" s="182">
        <v>108.13</v>
      </c>
      <c r="VR5" s="182">
        <v>108.13</v>
      </c>
      <c r="VS5" s="182">
        <v>108.13</v>
      </c>
      <c r="VT5" s="182">
        <v>108.13</v>
      </c>
      <c r="VU5" s="182">
        <v>108.13</v>
      </c>
      <c r="VV5" s="182">
        <v>108.13</v>
      </c>
      <c r="VW5" s="182">
        <v>108.13</v>
      </c>
      <c r="VX5" s="182">
        <v>108.13</v>
      </c>
      <c r="VY5" s="182">
        <v>108.13</v>
      </c>
      <c r="VZ5" s="182">
        <v>108.13</v>
      </c>
      <c r="WA5" s="182">
        <v>108.13</v>
      </c>
      <c r="WB5" s="182">
        <v>108.13</v>
      </c>
      <c r="WC5" s="182">
        <v>108.13</v>
      </c>
      <c r="WD5" s="182">
        <v>108.13</v>
      </c>
      <c r="WE5" s="182">
        <v>108.13</v>
      </c>
      <c r="WF5" s="182">
        <v>108.13</v>
      </c>
      <c r="WG5" s="182">
        <v>108.13</v>
      </c>
      <c r="WH5" s="182">
        <v>108.13</v>
      </c>
      <c r="WI5" s="182">
        <v>108.13</v>
      </c>
      <c r="WJ5" s="182">
        <v>108.13</v>
      </c>
      <c r="WK5" s="182">
        <v>108.13</v>
      </c>
      <c r="WL5" s="182">
        <v>108.13</v>
      </c>
      <c r="WM5" s="182">
        <v>108.13</v>
      </c>
      <c r="WN5" s="182">
        <v>108.13</v>
      </c>
      <c r="WO5" s="182">
        <v>108.13</v>
      </c>
      <c r="WP5" s="182">
        <v>108.13</v>
      </c>
      <c r="WQ5" s="182">
        <v>108.13</v>
      </c>
      <c r="WR5" s="182">
        <v>108.13</v>
      </c>
      <c r="WS5" s="182">
        <v>108.13</v>
      </c>
      <c r="WT5" s="182">
        <v>108.13</v>
      </c>
      <c r="WU5" s="182">
        <v>108.13</v>
      </c>
      <c r="WV5" s="182">
        <v>108.13</v>
      </c>
      <c r="XQ5" s="182">
        <v>108.13</v>
      </c>
      <c r="XR5" s="182">
        <v>108.13</v>
      </c>
      <c r="XS5" s="182">
        <v>108.13</v>
      </c>
      <c r="XT5" s="182">
        <v>108.13</v>
      </c>
      <c r="XU5" s="182">
        <v>108.13</v>
      </c>
      <c r="XV5" s="182">
        <v>108.13</v>
      </c>
      <c r="XW5" s="182">
        <v>108.13</v>
      </c>
      <c r="XX5" s="182">
        <v>108.13</v>
      </c>
      <c r="XY5" s="182">
        <v>108.13</v>
      </c>
      <c r="XZ5" s="182">
        <v>108.13</v>
      </c>
      <c r="YA5" s="182">
        <v>108.13</v>
      </c>
      <c r="YB5" s="182">
        <v>108.13</v>
      </c>
      <c r="YC5" s="182">
        <v>108.13</v>
      </c>
      <c r="YD5" s="182">
        <v>108.13</v>
      </c>
      <c r="YE5" s="182">
        <v>108.13</v>
      </c>
      <c r="YF5" s="182">
        <v>108.13</v>
      </c>
      <c r="YG5" s="182">
        <v>108.13</v>
      </c>
      <c r="YH5" s="182">
        <v>108.13</v>
      </c>
      <c r="YI5" s="182">
        <v>108.13</v>
      </c>
      <c r="YJ5" s="182">
        <v>108.13</v>
      </c>
      <c r="YK5" s="182">
        <v>108.13</v>
      </c>
      <c r="YL5" s="182">
        <v>108.13</v>
      </c>
      <c r="YM5" s="182">
        <v>108.13</v>
      </c>
      <c r="YN5" s="182">
        <v>108.13</v>
      </c>
      <c r="YO5" s="182">
        <v>108.13</v>
      </c>
      <c r="YP5" s="182">
        <v>108.13</v>
      </c>
      <c r="YQ5" s="182">
        <v>108.13</v>
      </c>
      <c r="YR5" s="182">
        <v>108.13</v>
      </c>
      <c r="YS5" s="182">
        <v>108.13</v>
      </c>
      <c r="YT5" s="182">
        <v>108.13</v>
      </c>
      <c r="YU5" s="182">
        <v>108.13</v>
      </c>
      <c r="YV5" s="182">
        <v>108.13</v>
      </c>
      <c r="YW5" s="182">
        <v>108.13</v>
      </c>
      <c r="YX5" s="182">
        <v>108.13</v>
      </c>
      <c r="YY5" s="182">
        <v>108.13</v>
      </c>
      <c r="YZ5" s="182">
        <v>108.13</v>
      </c>
      <c r="ZA5" s="182">
        <v>108.13</v>
      </c>
      <c r="ZB5" s="182">
        <v>108.13</v>
      </c>
      <c r="ZC5" s="182">
        <v>108.13</v>
      </c>
      <c r="ZD5" s="182">
        <v>108.13</v>
      </c>
      <c r="ZE5" s="182">
        <v>108.13</v>
      </c>
      <c r="ZF5" s="182">
        <v>108.13</v>
      </c>
      <c r="ZG5" s="182">
        <v>108.13</v>
      </c>
      <c r="ZH5" s="182">
        <v>108.13</v>
      </c>
      <c r="ZI5" s="182">
        <v>108.13</v>
      </c>
      <c r="ZJ5" s="182">
        <v>108.13</v>
      </c>
      <c r="ZK5" s="182">
        <v>108.13</v>
      </c>
      <c r="ZL5" s="182">
        <v>108.13</v>
      </c>
      <c r="ZM5" s="182">
        <v>108.13</v>
      </c>
      <c r="ZN5" s="182">
        <v>108.13</v>
      </c>
      <c r="ZO5" s="182">
        <v>108.13</v>
      </c>
      <c r="ZP5" s="182">
        <v>108.13</v>
      </c>
      <c r="ZQ5" s="182">
        <v>108.13</v>
      </c>
      <c r="ZR5" s="182">
        <v>108.13</v>
      </c>
      <c r="ZS5" s="182">
        <v>108.13</v>
      </c>
      <c r="ZT5" s="182">
        <v>108.13</v>
      </c>
      <c r="ZU5" s="182">
        <v>108.13</v>
      </c>
      <c r="ZV5" s="182">
        <v>108.13</v>
      </c>
      <c r="ZW5" s="182">
        <v>108.13</v>
      </c>
      <c r="ZX5" s="182">
        <v>108.13</v>
      </c>
      <c r="AAS5" s="182">
        <v>108.13</v>
      </c>
      <c r="AAT5" s="182">
        <v>108.13</v>
      </c>
      <c r="AAU5" s="182">
        <v>108.13</v>
      </c>
      <c r="AAV5" s="182">
        <v>108.13</v>
      </c>
      <c r="AAW5" s="182">
        <v>108.13</v>
      </c>
      <c r="AAX5" s="182">
        <v>108.13</v>
      </c>
      <c r="AAY5" s="182">
        <v>108.13</v>
      </c>
      <c r="AAZ5" s="182">
        <v>108.13</v>
      </c>
      <c r="ABA5" s="182">
        <v>108.13</v>
      </c>
      <c r="ABB5" s="182">
        <v>108.13</v>
      </c>
      <c r="ABC5" s="182">
        <v>108.13</v>
      </c>
      <c r="ABD5" s="182">
        <v>108.13</v>
      </c>
      <c r="ABE5" s="182">
        <v>108.13</v>
      </c>
      <c r="ABF5" s="182">
        <v>108.13</v>
      </c>
      <c r="ABG5" s="182">
        <v>108.13</v>
      </c>
      <c r="ABH5" s="182">
        <v>108.13</v>
      </c>
      <c r="ABI5" s="182">
        <v>108.13</v>
      </c>
      <c r="ABJ5" s="182">
        <v>108.13</v>
      </c>
      <c r="ABK5" s="182">
        <v>108.13</v>
      </c>
      <c r="ABL5" s="182">
        <v>108.13</v>
      </c>
      <c r="ABM5" s="182">
        <v>108.13</v>
      </c>
      <c r="ABN5" s="182">
        <v>108.13</v>
      </c>
      <c r="ABO5" s="182">
        <v>108.13</v>
      </c>
      <c r="ABP5" s="182">
        <v>108.13</v>
      </c>
      <c r="ABQ5" s="182">
        <v>108.13</v>
      </c>
      <c r="ABR5" s="182">
        <v>108.13</v>
      </c>
      <c r="ABS5" s="182">
        <v>108.13</v>
      </c>
      <c r="ABT5" s="182">
        <v>108.13</v>
      </c>
      <c r="ABU5" s="182">
        <v>108.13</v>
      </c>
      <c r="ABV5" s="182">
        <v>108.13</v>
      </c>
      <c r="ABW5" s="182">
        <v>108.13</v>
      </c>
      <c r="ABX5" s="182">
        <v>108.13</v>
      </c>
      <c r="ABY5" s="182">
        <v>108.13</v>
      </c>
      <c r="ABZ5" s="182">
        <v>108.13</v>
      </c>
      <c r="ACA5" s="182">
        <v>108.13</v>
      </c>
      <c r="ACB5" s="182">
        <v>108.13</v>
      </c>
      <c r="ACC5" s="182">
        <v>108.13</v>
      </c>
      <c r="ACD5" s="182">
        <v>108.13</v>
      </c>
      <c r="ACE5" s="182">
        <v>108.13</v>
      </c>
      <c r="ACF5" s="182">
        <v>108.13</v>
      </c>
      <c r="ACG5" s="182">
        <v>108.13</v>
      </c>
      <c r="ACH5" s="182">
        <v>108.13</v>
      </c>
      <c r="ACI5" s="182">
        <v>108.13</v>
      </c>
      <c r="ACJ5" s="182">
        <v>108.13</v>
      </c>
      <c r="ACK5" s="182">
        <v>108.13</v>
      </c>
      <c r="ACL5" s="182">
        <v>108.13</v>
      </c>
      <c r="ACM5" s="182">
        <v>108.13</v>
      </c>
      <c r="ACN5" s="182">
        <v>108.13</v>
      </c>
      <c r="ACO5" s="182">
        <v>108.13</v>
      </c>
      <c r="ACP5" s="182">
        <v>108.13</v>
      </c>
      <c r="ACQ5" s="182">
        <v>108.13</v>
      </c>
      <c r="ACR5" s="182">
        <v>108.13</v>
      </c>
      <c r="ACS5" s="182">
        <v>108.13</v>
      </c>
      <c r="ACT5" s="182">
        <v>108.13</v>
      </c>
      <c r="ACU5" s="182">
        <v>108.13</v>
      </c>
      <c r="ACV5" s="182">
        <v>108.13</v>
      </c>
      <c r="ACW5" s="182">
        <v>108.13</v>
      </c>
      <c r="ACX5" s="182">
        <v>108.13</v>
      </c>
      <c r="ACY5" s="182">
        <v>108.13</v>
      </c>
      <c r="ADU5" s="182">
        <v>108.13</v>
      </c>
      <c r="ADV5" s="182">
        <v>108.13</v>
      </c>
      <c r="ADW5" s="182">
        <v>108.13</v>
      </c>
      <c r="ADX5" s="182">
        <v>108.13</v>
      </c>
      <c r="ADY5" s="182">
        <v>108.13</v>
      </c>
      <c r="ADZ5" s="182">
        <v>108.13</v>
      </c>
      <c r="AEA5" s="182">
        <v>108.13</v>
      </c>
      <c r="AEB5" s="182">
        <v>108.13</v>
      </c>
      <c r="AEC5" s="182">
        <v>108.13</v>
      </c>
      <c r="AED5" s="182">
        <v>108.13</v>
      </c>
      <c r="AEE5" s="182">
        <v>108.13</v>
      </c>
      <c r="AEF5" s="182">
        <v>108.13</v>
      </c>
      <c r="AEG5" s="182">
        <v>108.13</v>
      </c>
      <c r="AEH5" s="182">
        <v>108.13</v>
      </c>
      <c r="AEI5" s="182">
        <v>108.13</v>
      </c>
      <c r="AEJ5" s="182">
        <v>108.13</v>
      </c>
      <c r="AEK5" s="182">
        <v>108.13</v>
      </c>
      <c r="AEL5" s="182">
        <v>108.13</v>
      </c>
      <c r="AEM5" s="182">
        <v>108.13</v>
      </c>
      <c r="AEN5" s="182">
        <v>108.13</v>
      </c>
      <c r="AEO5" s="182">
        <v>108.13</v>
      </c>
      <c r="AEP5" s="182">
        <v>108.13</v>
      </c>
      <c r="AEQ5" s="182">
        <v>108.13</v>
      </c>
      <c r="AER5" s="182">
        <v>108.13</v>
      </c>
      <c r="AES5" s="182">
        <v>108.13</v>
      </c>
      <c r="AET5" s="182">
        <v>108.13</v>
      </c>
      <c r="AEU5" s="182">
        <v>108.13</v>
      </c>
      <c r="AEV5" s="182">
        <v>108.13</v>
      </c>
      <c r="AEW5" s="182">
        <v>108.13</v>
      </c>
      <c r="AEX5" s="182">
        <v>108.13</v>
      </c>
      <c r="AEY5" s="182">
        <v>108.13</v>
      </c>
      <c r="AEZ5" s="182">
        <v>108.13</v>
      </c>
      <c r="AFA5" s="182">
        <v>108.13</v>
      </c>
      <c r="AFB5" s="182">
        <v>108.13</v>
      </c>
      <c r="AFC5" s="182">
        <v>108.13</v>
      </c>
      <c r="AFD5" s="182">
        <v>108.13</v>
      </c>
      <c r="AFE5" s="182">
        <v>108.13</v>
      </c>
      <c r="AFF5" s="182">
        <v>108.13</v>
      </c>
      <c r="AFG5" s="182">
        <v>108.13</v>
      </c>
      <c r="AFH5" s="182">
        <v>108.13</v>
      </c>
      <c r="AFI5" s="182">
        <v>108.13</v>
      </c>
      <c r="AFJ5" s="182">
        <v>108.13</v>
      </c>
      <c r="AFK5" s="182">
        <v>108.13</v>
      </c>
      <c r="AFL5" s="182">
        <v>108.13</v>
      </c>
      <c r="AFM5" s="182">
        <v>108.13</v>
      </c>
      <c r="AFN5" s="182">
        <v>108.13</v>
      </c>
      <c r="AFO5" s="182">
        <v>108.13</v>
      </c>
      <c r="AFP5" s="182">
        <v>108.13</v>
      </c>
      <c r="AFQ5" s="182">
        <v>108.13</v>
      </c>
      <c r="AFR5" s="182">
        <v>108.13</v>
      </c>
      <c r="AFS5" s="182">
        <v>108.13</v>
      </c>
      <c r="AFT5" s="182">
        <v>108.13</v>
      </c>
      <c r="AFU5" s="182">
        <v>108.13</v>
      </c>
      <c r="AFV5" s="182">
        <v>108.13</v>
      </c>
      <c r="AFW5" s="182">
        <v>108.13</v>
      </c>
      <c r="AFX5" s="182">
        <v>108.13</v>
      </c>
      <c r="AFY5" s="182">
        <v>108.13</v>
      </c>
      <c r="AFZ5" s="182">
        <v>108.13</v>
      </c>
      <c r="AGA5" s="182">
        <v>108.13</v>
      </c>
      <c r="AGW5" s="182">
        <v>108.13</v>
      </c>
      <c r="AGX5" s="182">
        <v>108.13</v>
      </c>
      <c r="AGY5" s="182">
        <v>108.13</v>
      </c>
      <c r="AGZ5" s="182">
        <v>108.13</v>
      </c>
      <c r="AHA5" s="182">
        <v>108.13</v>
      </c>
      <c r="AHB5" s="182">
        <v>108.13</v>
      </c>
      <c r="AHC5" s="182">
        <v>108.13</v>
      </c>
      <c r="AHD5" s="182">
        <v>108.13</v>
      </c>
      <c r="AHE5" s="182">
        <v>108.13</v>
      </c>
      <c r="AHF5" s="182">
        <v>108.13</v>
      </c>
      <c r="AHG5" s="182">
        <v>108.13</v>
      </c>
      <c r="AHH5" s="182">
        <v>108.13</v>
      </c>
      <c r="AHI5" s="182">
        <v>108.13</v>
      </c>
      <c r="AHJ5" s="182">
        <v>108.13</v>
      </c>
      <c r="AHK5" s="182">
        <v>108.13</v>
      </c>
      <c r="AHL5" s="182">
        <v>108.13</v>
      </c>
      <c r="AHM5" s="182">
        <v>108.13</v>
      </c>
      <c r="AHN5" s="182">
        <v>108.13</v>
      </c>
      <c r="AHO5" s="182">
        <v>108.13</v>
      </c>
      <c r="AHP5" s="182">
        <v>108.13</v>
      </c>
      <c r="AHQ5" s="182">
        <v>108.13</v>
      </c>
      <c r="AHR5" s="182">
        <v>108.13</v>
      </c>
      <c r="AHS5" s="182">
        <v>108.13</v>
      </c>
      <c r="AHT5" s="182">
        <v>108.13</v>
      </c>
      <c r="AHU5" s="182">
        <v>108.13</v>
      </c>
      <c r="AHV5" s="182">
        <v>108.13</v>
      </c>
      <c r="AHW5" s="182">
        <v>108.13</v>
      </c>
      <c r="AHX5" s="182">
        <v>108.13</v>
      </c>
      <c r="AHY5" s="182">
        <v>108.13</v>
      </c>
      <c r="AHZ5" s="182">
        <v>108.13</v>
      </c>
      <c r="AIA5" s="182">
        <v>108.13</v>
      </c>
      <c r="AIB5" s="182">
        <v>108.13</v>
      </c>
      <c r="AIC5" s="182">
        <v>108.13</v>
      </c>
      <c r="AID5" s="182">
        <v>108.13</v>
      </c>
      <c r="AIE5" s="182">
        <v>108.13</v>
      </c>
      <c r="AIF5" s="182">
        <v>108.13</v>
      </c>
      <c r="AIG5" s="182">
        <v>108.13</v>
      </c>
      <c r="AIH5" s="182">
        <v>108.13</v>
      </c>
      <c r="AII5" s="182">
        <v>108.13</v>
      </c>
      <c r="AIJ5" s="182">
        <v>108.13</v>
      </c>
      <c r="AIK5" s="182">
        <v>108.13</v>
      </c>
      <c r="AIL5" s="182">
        <v>108.13</v>
      </c>
      <c r="AIM5" s="182">
        <v>108.13</v>
      </c>
      <c r="AIN5" s="182">
        <v>108.13</v>
      </c>
      <c r="AIO5" s="182">
        <v>108.13</v>
      </c>
      <c r="AIP5" s="182">
        <v>108.13</v>
      </c>
      <c r="AIQ5" s="182">
        <v>108.13</v>
      </c>
      <c r="AIR5" s="182">
        <v>108.13</v>
      </c>
      <c r="AIS5" s="182">
        <v>108.13</v>
      </c>
      <c r="AIT5" s="182">
        <v>108.13</v>
      </c>
      <c r="AIU5" s="182">
        <v>108.13</v>
      </c>
      <c r="AIV5" s="182">
        <v>108.13</v>
      </c>
      <c r="AIW5" s="182">
        <v>108.13</v>
      </c>
      <c r="AIX5" s="182">
        <v>108.13</v>
      </c>
      <c r="AIY5" s="182">
        <v>108.13</v>
      </c>
      <c r="AIZ5" s="182">
        <v>108.13</v>
      </c>
      <c r="AJA5" s="182">
        <v>108.13</v>
      </c>
      <c r="AJB5" s="182">
        <v>108.13</v>
      </c>
      <c r="AJC5" s="182">
        <v>108.13</v>
      </c>
    </row>
    <row r="6" spans="1:939">
      <c r="A6" s="182">
        <v>103.8</v>
      </c>
      <c r="B6" s="182">
        <v>103.8</v>
      </c>
      <c r="C6" s="182">
        <v>103.8</v>
      </c>
      <c r="D6" s="182">
        <v>103.8</v>
      </c>
      <c r="E6" s="182">
        <v>103.8</v>
      </c>
      <c r="F6" s="182">
        <v>103.8</v>
      </c>
      <c r="G6" s="182">
        <v>103.8</v>
      </c>
      <c r="H6" s="182">
        <v>103.8</v>
      </c>
      <c r="I6" s="182">
        <v>103.8</v>
      </c>
      <c r="J6" s="182">
        <v>103.8</v>
      </c>
      <c r="K6" s="182">
        <v>103.8</v>
      </c>
      <c r="L6" s="182">
        <v>103.8</v>
      </c>
      <c r="M6" s="182">
        <v>103.8</v>
      </c>
      <c r="N6" s="182">
        <v>103.8</v>
      </c>
      <c r="O6" s="182">
        <v>103.8</v>
      </c>
      <c r="P6" s="182">
        <v>103.8</v>
      </c>
      <c r="Q6" s="182">
        <v>103.8</v>
      </c>
      <c r="R6" s="182">
        <v>103.8</v>
      </c>
      <c r="S6" s="182">
        <v>103.8</v>
      </c>
      <c r="T6" s="182">
        <v>103.8</v>
      </c>
      <c r="U6" s="182">
        <v>103.8</v>
      </c>
      <c r="V6" s="182">
        <v>103.8</v>
      </c>
      <c r="W6" s="182">
        <v>103.8</v>
      </c>
      <c r="X6" s="182">
        <v>103.8</v>
      </c>
      <c r="Y6" s="182">
        <v>103.8</v>
      </c>
      <c r="Z6" s="182">
        <v>103.8</v>
      </c>
      <c r="AA6" s="182">
        <v>103.8</v>
      </c>
      <c r="AB6" s="182">
        <v>103.8</v>
      </c>
      <c r="AC6" s="182">
        <v>103.8</v>
      </c>
      <c r="AD6" s="182">
        <v>103.8</v>
      </c>
      <c r="AE6" s="182">
        <v>103.8</v>
      </c>
      <c r="AF6" s="182">
        <v>103.8</v>
      </c>
      <c r="AG6" s="182">
        <v>103.8</v>
      </c>
      <c r="AH6" s="182">
        <v>103.8</v>
      </c>
      <c r="AI6" s="182">
        <v>103.8</v>
      </c>
      <c r="AJ6" s="182">
        <v>103.8</v>
      </c>
      <c r="AK6" s="182">
        <v>103.8</v>
      </c>
      <c r="AL6" s="182">
        <v>103.8</v>
      </c>
      <c r="AM6" s="182">
        <v>103.8</v>
      </c>
      <c r="AN6" s="182">
        <v>103.8</v>
      </c>
      <c r="AO6" s="182">
        <v>103.8</v>
      </c>
      <c r="AP6" s="182">
        <v>103.8</v>
      </c>
      <c r="AQ6" s="182">
        <v>103.8</v>
      </c>
      <c r="AR6" s="182">
        <v>103.8</v>
      </c>
      <c r="AS6" s="182">
        <v>103.8</v>
      </c>
      <c r="AT6" s="182">
        <v>103.8</v>
      </c>
      <c r="AU6" s="182">
        <v>103.8</v>
      </c>
      <c r="AV6" s="182">
        <v>103.8</v>
      </c>
      <c r="AW6" s="182">
        <v>103.8</v>
      </c>
      <c r="AX6" s="182">
        <v>103.8</v>
      </c>
      <c r="AY6" s="182">
        <v>103.8</v>
      </c>
      <c r="AZ6" s="182">
        <v>103.8</v>
      </c>
      <c r="CC6" s="182">
        <v>103.8</v>
      </c>
      <c r="CD6" s="182">
        <v>103.8</v>
      </c>
      <c r="CE6" s="182">
        <v>103.8</v>
      </c>
      <c r="CF6" s="182">
        <v>103.8</v>
      </c>
      <c r="CG6" s="182">
        <v>103.8</v>
      </c>
      <c r="CH6" s="182">
        <v>103.8</v>
      </c>
      <c r="CI6" s="182">
        <v>103.8</v>
      </c>
      <c r="CJ6" s="182">
        <v>103.8</v>
      </c>
      <c r="CK6" s="182">
        <v>103.8</v>
      </c>
      <c r="CL6" s="182">
        <v>103.8</v>
      </c>
      <c r="CM6" s="182">
        <v>103.8</v>
      </c>
      <c r="CN6" s="182">
        <v>103.8</v>
      </c>
      <c r="CO6" s="182">
        <v>103.8</v>
      </c>
      <c r="CP6" s="182">
        <v>103.8</v>
      </c>
      <c r="CQ6" s="182">
        <v>103.8</v>
      </c>
      <c r="CR6" s="182">
        <v>103.8</v>
      </c>
      <c r="CS6" s="182">
        <v>103.8</v>
      </c>
      <c r="CT6" s="182">
        <v>103.8</v>
      </c>
      <c r="CU6" s="182">
        <v>103.8</v>
      </c>
      <c r="CV6" s="182">
        <v>103.8</v>
      </c>
      <c r="CW6" s="182">
        <v>103.8</v>
      </c>
      <c r="CX6" s="182">
        <v>103.8</v>
      </c>
      <c r="CY6" s="182">
        <v>103.8</v>
      </c>
      <c r="CZ6" s="182">
        <v>103.8</v>
      </c>
      <c r="DA6" s="182">
        <v>103.8</v>
      </c>
      <c r="DB6" s="182">
        <v>103.8</v>
      </c>
      <c r="DC6" s="182">
        <v>103.8</v>
      </c>
      <c r="DD6" s="182">
        <v>103.8</v>
      </c>
      <c r="DE6" s="182">
        <v>103.8</v>
      </c>
      <c r="DF6" s="182">
        <v>103.8</v>
      </c>
      <c r="DG6" s="182">
        <v>103.8</v>
      </c>
      <c r="DH6" s="182">
        <v>103.8</v>
      </c>
      <c r="DI6" s="182">
        <v>103.8</v>
      </c>
      <c r="DJ6" s="182">
        <v>103.8</v>
      </c>
      <c r="DK6" s="182">
        <v>103.8</v>
      </c>
      <c r="DL6" s="182">
        <v>103.8</v>
      </c>
      <c r="DM6" s="182">
        <v>103.8</v>
      </c>
      <c r="DN6" s="182">
        <v>103.8</v>
      </c>
      <c r="DO6" s="182">
        <v>103.8</v>
      </c>
      <c r="DP6" s="182">
        <v>103.8</v>
      </c>
      <c r="DQ6" s="182">
        <v>103.8</v>
      </c>
      <c r="DR6" s="182">
        <v>103.8</v>
      </c>
      <c r="DS6" s="182">
        <v>103.8</v>
      </c>
      <c r="DT6" s="182">
        <v>103.8</v>
      </c>
      <c r="DU6" s="182">
        <v>103.8</v>
      </c>
      <c r="DV6" s="182">
        <v>103.8</v>
      </c>
      <c r="DW6" s="182">
        <v>103.8</v>
      </c>
      <c r="DX6" s="182">
        <v>103.8</v>
      </c>
      <c r="DY6" s="182">
        <v>103.8</v>
      </c>
      <c r="DZ6" s="182">
        <v>103.8</v>
      </c>
      <c r="EA6" s="182">
        <v>103.8</v>
      </c>
      <c r="EB6" s="182">
        <v>103.8</v>
      </c>
      <c r="EC6" s="182">
        <v>103.8</v>
      </c>
      <c r="ED6" s="182">
        <v>103.8</v>
      </c>
      <c r="EE6" s="182">
        <v>103.8</v>
      </c>
      <c r="EF6" s="182">
        <v>103.8</v>
      </c>
      <c r="EG6" s="182">
        <v>103.8</v>
      </c>
      <c r="EH6" s="182">
        <v>103.8</v>
      </c>
      <c r="FE6" s="182">
        <v>103.8</v>
      </c>
      <c r="FF6" s="182">
        <v>103.8</v>
      </c>
      <c r="FG6" s="182">
        <v>103.8</v>
      </c>
      <c r="FH6" s="182">
        <v>103.8</v>
      </c>
      <c r="FI6" s="182">
        <v>103.8</v>
      </c>
      <c r="FJ6" s="182">
        <v>103.8</v>
      </c>
      <c r="FK6" s="182">
        <v>103.8</v>
      </c>
      <c r="FL6" s="182">
        <v>103.8</v>
      </c>
      <c r="FM6" s="182">
        <v>103.8</v>
      </c>
      <c r="FN6" s="182">
        <v>103.8</v>
      </c>
      <c r="FO6" s="182">
        <v>103.8</v>
      </c>
      <c r="FP6" s="182">
        <v>103.8</v>
      </c>
      <c r="FQ6" s="182">
        <v>103.8</v>
      </c>
      <c r="FR6" s="182">
        <v>103.8</v>
      </c>
      <c r="FS6" s="182">
        <v>103.8</v>
      </c>
      <c r="FT6" s="182">
        <v>103.8</v>
      </c>
      <c r="FU6" s="182">
        <v>103.8</v>
      </c>
      <c r="FV6" s="182">
        <v>103.8</v>
      </c>
      <c r="FW6" s="182">
        <v>103.8</v>
      </c>
      <c r="FX6" s="182">
        <v>103.8</v>
      </c>
      <c r="FY6" s="182">
        <v>103.8</v>
      </c>
      <c r="FZ6" s="182">
        <v>103.8</v>
      </c>
      <c r="GA6" s="182">
        <v>103.8</v>
      </c>
      <c r="GB6" s="182">
        <v>103.8</v>
      </c>
      <c r="GC6" s="182">
        <v>103.8</v>
      </c>
      <c r="GD6" s="182">
        <v>103.8</v>
      </c>
      <c r="GE6" s="182">
        <v>103.8</v>
      </c>
      <c r="GF6" s="182">
        <v>103.8</v>
      </c>
      <c r="GG6" s="182">
        <v>103.8</v>
      </c>
      <c r="GH6" s="182">
        <v>103.8</v>
      </c>
      <c r="GI6" s="182">
        <v>103.8</v>
      </c>
      <c r="GJ6" s="182">
        <v>103.8</v>
      </c>
      <c r="GK6" s="182">
        <v>103.8</v>
      </c>
      <c r="GL6" s="182">
        <v>103.8</v>
      </c>
      <c r="GM6" s="182">
        <v>103.8</v>
      </c>
      <c r="GN6" s="182">
        <v>103.8</v>
      </c>
      <c r="GO6" s="182">
        <v>103.8</v>
      </c>
      <c r="GP6" s="182">
        <v>103.8</v>
      </c>
      <c r="GQ6" s="182">
        <v>103.8</v>
      </c>
      <c r="GR6" s="182">
        <v>103.8</v>
      </c>
      <c r="GS6" s="182">
        <v>103.8</v>
      </c>
      <c r="GT6" s="182">
        <v>103.8</v>
      </c>
      <c r="GU6" s="182">
        <v>103.8</v>
      </c>
      <c r="GV6" s="182">
        <v>103.8</v>
      </c>
      <c r="GW6" s="182">
        <v>103.8</v>
      </c>
      <c r="GX6" s="182">
        <v>103.8</v>
      </c>
      <c r="GY6" s="182">
        <v>103.8</v>
      </c>
      <c r="GZ6" s="182">
        <v>103.8</v>
      </c>
      <c r="HA6" s="182">
        <v>103.8</v>
      </c>
      <c r="HB6" s="182">
        <v>103.8</v>
      </c>
      <c r="HC6" s="182">
        <v>103.8</v>
      </c>
      <c r="HD6" s="182">
        <v>103.8</v>
      </c>
      <c r="HE6" s="182">
        <v>103.8</v>
      </c>
      <c r="HF6" s="182">
        <v>103.8</v>
      </c>
      <c r="HG6" s="182">
        <v>103.8</v>
      </c>
      <c r="HH6" s="182">
        <v>103.8</v>
      </c>
      <c r="HI6" s="182">
        <v>103.8</v>
      </c>
      <c r="HJ6" s="182">
        <v>103.8</v>
      </c>
      <c r="HK6" s="182">
        <v>103.8</v>
      </c>
      <c r="IG6" s="182">
        <v>103.8</v>
      </c>
      <c r="IH6" s="182">
        <v>103.8</v>
      </c>
      <c r="II6" s="182">
        <v>103.8</v>
      </c>
      <c r="IJ6" s="182">
        <v>103.8</v>
      </c>
      <c r="IK6" s="182">
        <v>103.8</v>
      </c>
      <c r="IL6" s="182">
        <v>103.8</v>
      </c>
      <c r="IM6" s="182">
        <v>103.8</v>
      </c>
      <c r="IN6" s="182">
        <v>103.8</v>
      </c>
      <c r="IO6" s="182">
        <v>103.8</v>
      </c>
      <c r="IP6" s="182">
        <v>103.8</v>
      </c>
      <c r="IQ6" s="182">
        <v>103.8</v>
      </c>
      <c r="IR6" s="182">
        <v>103.8</v>
      </c>
      <c r="IS6" s="182">
        <v>103.8</v>
      </c>
      <c r="IT6" s="182">
        <v>103.8</v>
      </c>
      <c r="IU6" s="182">
        <v>103.8</v>
      </c>
      <c r="IV6" s="182">
        <v>103.8</v>
      </c>
      <c r="IW6" s="182">
        <v>103.8</v>
      </c>
      <c r="IX6" s="182">
        <v>103.8</v>
      </c>
      <c r="IY6" s="182">
        <v>103.8</v>
      </c>
      <c r="IZ6" s="182">
        <v>103.8</v>
      </c>
      <c r="JA6" s="182">
        <v>103.8</v>
      </c>
      <c r="JB6" s="182">
        <v>103.8</v>
      </c>
      <c r="JC6" s="182">
        <v>103.8</v>
      </c>
      <c r="JD6" s="182">
        <v>103.8</v>
      </c>
      <c r="JE6" s="182">
        <v>103.8</v>
      </c>
      <c r="JF6" s="182">
        <v>103.8</v>
      </c>
      <c r="JG6" s="182">
        <v>103.8</v>
      </c>
      <c r="JH6" s="182">
        <v>103.8</v>
      </c>
      <c r="JI6" s="182">
        <v>103.8</v>
      </c>
      <c r="JJ6" s="182">
        <v>103.8</v>
      </c>
      <c r="JK6" s="182">
        <v>103.8</v>
      </c>
      <c r="JL6" s="182">
        <v>103.8</v>
      </c>
      <c r="JM6" s="182">
        <v>103.8</v>
      </c>
      <c r="JN6" s="182">
        <v>103.8</v>
      </c>
      <c r="JO6" s="182">
        <v>103.8</v>
      </c>
      <c r="JP6" s="182">
        <v>103.8</v>
      </c>
      <c r="JQ6" s="182">
        <v>103.8</v>
      </c>
      <c r="JR6" s="182">
        <v>103.8</v>
      </c>
      <c r="JS6" s="182">
        <v>103.8</v>
      </c>
      <c r="JT6" s="182">
        <v>103.8</v>
      </c>
      <c r="JU6" s="182">
        <v>103.8</v>
      </c>
      <c r="JV6" s="182">
        <v>103.8</v>
      </c>
      <c r="JW6" s="182">
        <v>103.8</v>
      </c>
      <c r="JX6" s="182">
        <v>103.8</v>
      </c>
      <c r="JY6" s="182">
        <v>103.8</v>
      </c>
      <c r="JZ6" s="182">
        <v>103.8</v>
      </c>
      <c r="KA6" s="182">
        <v>103.8</v>
      </c>
      <c r="KB6" s="182">
        <v>103.8</v>
      </c>
      <c r="KC6" s="182">
        <v>103.8</v>
      </c>
      <c r="KD6" s="182">
        <v>103.8</v>
      </c>
      <c r="KE6" s="182">
        <v>103.8</v>
      </c>
      <c r="KF6" s="182">
        <v>103.8</v>
      </c>
      <c r="KG6" s="182">
        <v>103.8</v>
      </c>
      <c r="KH6" s="182">
        <v>103.8</v>
      </c>
      <c r="KI6" s="182">
        <v>103.8</v>
      </c>
      <c r="KJ6" s="182">
        <v>103.8</v>
      </c>
      <c r="KK6" s="182">
        <v>103.8</v>
      </c>
      <c r="KL6" s="182">
        <v>103.8</v>
      </c>
      <c r="LI6" s="182">
        <v>103.8</v>
      </c>
      <c r="LJ6" s="182">
        <v>103.8</v>
      </c>
      <c r="LK6" s="182">
        <v>103.8</v>
      </c>
      <c r="LL6" s="182">
        <v>103.8</v>
      </c>
      <c r="LM6" s="182">
        <v>103.8</v>
      </c>
      <c r="LN6" s="182">
        <v>103.8</v>
      </c>
      <c r="LO6" s="182">
        <v>103.8</v>
      </c>
      <c r="LP6" s="182">
        <v>103.8</v>
      </c>
      <c r="LQ6" s="182">
        <v>103.8</v>
      </c>
      <c r="LR6" s="182">
        <v>103.8</v>
      </c>
      <c r="LS6" s="182">
        <v>103.8</v>
      </c>
      <c r="LT6" s="182">
        <v>103.8</v>
      </c>
      <c r="LU6" s="182">
        <v>103.8</v>
      </c>
      <c r="LV6" s="182">
        <v>103.8</v>
      </c>
      <c r="LW6" s="182">
        <v>103.8</v>
      </c>
      <c r="LX6" s="182">
        <v>103.8</v>
      </c>
      <c r="LY6" s="182">
        <v>103.8</v>
      </c>
      <c r="LZ6" s="182">
        <v>103.8</v>
      </c>
      <c r="MA6" s="182">
        <v>103.8</v>
      </c>
      <c r="MB6" s="182">
        <v>103.8</v>
      </c>
      <c r="MC6" s="182">
        <v>103.8</v>
      </c>
      <c r="MD6" s="182">
        <v>103.8</v>
      </c>
      <c r="ME6" s="182">
        <v>103.8</v>
      </c>
      <c r="MF6" s="182">
        <v>103.8</v>
      </c>
      <c r="MG6" s="182">
        <v>103.8</v>
      </c>
      <c r="MH6" s="182">
        <v>103.8</v>
      </c>
      <c r="MI6" s="182">
        <v>103.8</v>
      </c>
      <c r="MJ6" s="182">
        <v>103.8</v>
      </c>
      <c r="MK6" s="182">
        <v>103.8</v>
      </c>
      <c r="ML6" s="182">
        <v>103.8</v>
      </c>
      <c r="MM6" s="182">
        <v>103.8</v>
      </c>
      <c r="MN6" s="182">
        <v>103.8</v>
      </c>
      <c r="MO6" s="182">
        <v>103.8</v>
      </c>
      <c r="MP6" s="182">
        <v>103.8</v>
      </c>
      <c r="MQ6" s="182">
        <v>103.8</v>
      </c>
      <c r="MR6" s="182">
        <v>103.8</v>
      </c>
      <c r="MS6" s="182">
        <v>103.8</v>
      </c>
      <c r="MT6" s="182">
        <v>103.8</v>
      </c>
      <c r="MU6" s="182">
        <v>103.8</v>
      </c>
      <c r="MV6" s="182">
        <v>103.8</v>
      </c>
      <c r="MW6" s="182">
        <v>103.8</v>
      </c>
      <c r="MX6" s="182">
        <v>103.8</v>
      </c>
      <c r="MY6" s="182">
        <v>103.8</v>
      </c>
      <c r="MZ6" s="182">
        <v>103.8</v>
      </c>
      <c r="NA6" s="182">
        <v>103.8</v>
      </c>
      <c r="NB6" s="182">
        <v>103.8</v>
      </c>
      <c r="NC6" s="182">
        <v>103.8</v>
      </c>
      <c r="ND6" s="182">
        <v>103.8</v>
      </c>
      <c r="NE6" s="182">
        <v>103.8</v>
      </c>
      <c r="NF6" s="182">
        <v>103.8</v>
      </c>
      <c r="NG6" s="182">
        <v>103.8</v>
      </c>
      <c r="NH6" s="182">
        <v>103.8</v>
      </c>
      <c r="NI6" s="182">
        <v>103.8</v>
      </c>
      <c r="NJ6" s="182">
        <v>103.8</v>
      </c>
      <c r="NK6" s="182">
        <v>103.8</v>
      </c>
      <c r="NL6" s="182">
        <v>103.8</v>
      </c>
      <c r="NM6" s="182">
        <v>103.8</v>
      </c>
      <c r="NN6" s="182">
        <v>103.8</v>
      </c>
      <c r="NO6" s="182">
        <v>103.8</v>
      </c>
      <c r="NP6" s="182">
        <v>103.8</v>
      </c>
      <c r="NQ6" s="182">
        <v>103.8</v>
      </c>
      <c r="OK6" s="182">
        <v>103.8</v>
      </c>
      <c r="OL6" s="182">
        <v>103.8</v>
      </c>
      <c r="OM6" s="182">
        <v>103.8</v>
      </c>
      <c r="ON6" s="182">
        <v>103.8</v>
      </c>
      <c r="OO6" s="182">
        <v>103.8</v>
      </c>
      <c r="OP6" s="182">
        <v>103.8</v>
      </c>
      <c r="OQ6" s="182">
        <v>103.8</v>
      </c>
      <c r="OR6" s="182">
        <v>103.8</v>
      </c>
      <c r="OS6" s="182">
        <v>103.8</v>
      </c>
      <c r="OT6" s="182">
        <v>103.8</v>
      </c>
      <c r="OU6" s="182">
        <v>103.8</v>
      </c>
      <c r="OV6" s="182">
        <v>103.8</v>
      </c>
      <c r="OW6" s="182">
        <v>103.8</v>
      </c>
      <c r="OX6" s="182">
        <v>103.8</v>
      </c>
      <c r="OY6" s="182">
        <v>103.8</v>
      </c>
      <c r="OZ6" s="182">
        <v>103.8</v>
      </c>
      <c r="PA6" s="182">
        <v>103.8</v>
      </c>
      <c r="PB6" s="182">
        <v>103.8</v>
      </c>
      <c r="PC6" s="182">
        <v>103.8</v>
      </c>
      <c r="PD6" s="182">
        <v>103.8</v>
      </c>
      <c r="PE6" s="182">
        <v>103.8</v>
      </c>
      <c r="PF6" s="182">
        <v>103.8</v>
      </c>
      <c r="PG6" s="182">
        <v>103.8</v>
      </c>
      <c r="PH6" s="182">
        <v>103.8</v>
      </c>
      <c r="PI6" s="182">
        <v>103.8</v>
      </c>
      <c r="PJ6" s="182">
        <v>103.8</v>
      </c>
      <c r="PK6" s="182">
        <v>103.8</v>
      </c>
      <c r="PL6" s="182">
        <v>103.8</v>
      </c>
      <c r="PM6" s="182">
        <v>103.8</v>
      </c>
      <c r="PN6" s="182">
        <v>103.8</v>
      </c>
      <c r="PO6" s="182">
        <v>103.8</v>
      </c>
      <c r="PP6" s="182">
        <v>103.8</v>
      </c>
      <c r="PQ6" s="182">
        <v>103.8</v>
      </c>
      <c r="PR6" s="182">
        <v>103.8</v>
      </c>
      <c r="PS6" s="182">
        <v>103.8</v>
      </c>
      <c r="PT6" s="182">
        <v>103.8</v>
      </c>
      <c r="PU6" s="182">
        <v>103.8</v>
      </c>
      <c r="PV6" s="182">
        <v>103.8</v>
      </c>
      <c r="PW6" s="182">
        <v>103.8</v>
      </c>
      <c r="PX6" s="182">
        <v>103.8</v>
      </c>
      <c r="PY6" s="182">
        <v>103.8</v>
      </c>
      <c r="PZ6" s="182">
        <v>103.8</v>
      </c>
      <c r="QA6" s="182">
        <v>103.8</v>
      </c>
      <c r="QB6" s="182">
        <v>103.8</v>
      </c>
      <c r="QC6" s="182">
        <v>103.8</v>
      </c>
      <c r="QD6" s="182">
        <v>103.8</v>
      </c>
      <c r="QE6" s="182">
        <v>103.8</v>
      </c>
      <c r="QF6" s="182">
        <v>103.8</v>
      </c>
      <c r="QG6" s="182">
        <v>103.8</v>
      </c>
      <c r="QH6" s="182">
        <v>103.8</v>
      </c>
      <c r="QI6" s="182">
        <v>103.8</v>
      </c>
      <c r="QJ6" s="182">
        <v>103.8</v>
      </c>
      <c r="QK6" s="182">
        <v>103.8</v>
      </c>
      <c r="QL6" s="182">
        <v>103.8</v>
      </c>
      <c r="QM6" s="182">
        <v>103.8</v>
      </c>
      <c r="QN6" s="182">
        <v>103.8</v>
      </c>
      <c r="QO6" s="182">
        <v>103.8</v>
      </c>
      <c r="QP6" s="182">
        <v>103.8</v>
      </c>
      <c r="QQ6" s="182">
        <v>103.8</v>
      </c>
      <c r="QR6" s="182">
        <v>103.8</v>
      </c>
      <c r="RM6" s="182">
        <v>103.8</v>
      </c>
      <c r="RN6" s="182">
        <v>103.8</v>
      </c>
      <c r="RO6" s="182">
        <v>103.8</v>
      </c>
      <c r="RP6" s="182">
        <v>103.8</v>
      </c>
      <c r="RQ6" s="182">
        <v>103.8</v>
      </c>
      <c r="RR6" s="182">
        <v>103.8</v>
      </c>
      <c r="RS6" s="182">
        <v>103.8</v>
      </c>
      <c r="RT6" s="182">
        <v>103.8</v>
      </c>
      <c r="RU6" s="182">
        <v>103.8</v>
      </c>
      <c r="RV6" s="182">
        <v>103.8</v>
      </c>
      <c r="RW6" s="182">
        <v>103.8</v>
      </c>
      <c r="RX6" s="182">
        <v>103.8</v>
      </c>
      <c r="RY6" s="182">
        <v>103.8</v>
      </c>
      <c r="RZ6" s="182">
        <v>103.8</v>
      </c>
      <c r="SA6" s="182">
        <v>103.8</v>
      </c>
      <c r="SB6" s="182">
        <v>103.8</v>
      </c>
      <c r="SC6" s="182">
        <v>103.8</v>
      </c>
      <c r="SD6" s="182">
        <v>103.8</v>
      </c>
      <c r="SE6" s="182">
        <v>103.8</v>
      </c>
      <c r="SF6" s="182">
        <v>103.8</v>
      </c>
      <c r="SG6" s="182">
        <v>103.8</v>
      </c>
      <c r="SH6" s="182">
        <v>103.8</v>
      </c>
      <c r="SI6" s="182">
        <v>103.8</v>
      </c>
      <c r="SJ6" s="182">
        <v>103.8</v>
      </c>
      <c r="SK6" s="182">
        <v>103.8</v>
      </c>
      <c r="SL6" s="182">
        <v>103.8</v>
      </c>
      <c r="SM6" s="182">
        <v>103.8</v>
      </c>
      <c r="SN6" s="182">
        <v>103.8</v>
      </c>
      <c r="SO6" s="182">
        <v>103.8</v>
      </c>
      <c r="SP6" s="182">
        <v>103.8</v>
      </c>
      <c r="SQ6" s="182">
        <v>103.8</v>
      </c>
      <c r="SR6" s="182">
        <v>103.8</v>
      </c>
      <c r="SS6" s="182">
        <v>103.8</v>
      </c>
      <c r="ST6" s="182">
        <v>103.8</v>
      </c>
      <c r="SU6" s="182">
        <v>103.8</v>
      </c>
      <c r="SV6" s="182">
        <v>103.8</v>
      </c>
      <c r="SW6" s="182">
        <v>103.8</v>
      </c>
      <c r="SX6" s="182">
        <v>103.8</v>
      </c>
      <c r="SY6" s="182">
        <v>103.8</v>
      </c>
      <c r="SZ6" s="182">
        <v>103.8</v>
      </c>
      <c r="TA6" s="182">
        <v>103.8</v>
      </c>
      <c r="TB6" s="182">
        <v>103.8</v>
      </c>
      <c r="TC6" s="182">
        <v>103.8</v>
      </c>
      <c r="TD6" s="182">
        <v>103.8</v>
      </c>
      <c r="TE6" s="182">
        <v>103.8</v>
      </c>
      <c r="TF6" s="182">
        <v>103.8</v>
      </c>
      <c r="TG6" s="182">
        <v>103.8</v>
      </c>
      <c r="TH6" s="182">
        <v>103.8</v>
      </c>
      <c r="TI6" s="182">
        <v>103.8</v>
      </c>
      <c r="TJ6" s="182">
        <v>103.8</v>
      </c>
      <c r="TK6" s="182">
        <v>103.8</v>
      </c>
      <c r="TL6" s="182">
        <v>103.8</v>
      </c>
      <c r="TM6" s="182">
        <v>103.8</v>
      </c>
      <c r="TN6" s="182">
        <v>103.8</v>
      </c>
      <c r="TO6" s="182">
        <v>103.8</v>
      </c>
      <c r="TP6" s="182">
        <v>103.8</v>
      </c>
      <c r="TQ6" s="182">
        <v>103.8</v>
      </c>
      <c r="TR6" s="182">
        <v>103.8</v>
      </c>
      <c r="TS6" s="182">
        <v>103.8</v>
      </c>
      <c r="TT6" s="182">
        <v>103.8</v>
      </c>
      <c r="UO6" s="182">
        <v>103.8</v>
      </c>
      <c r="UP6" s="182">
        <v>103.8</v>
      </c>
      <c r="UQ6" s="182">
        <v>103.8</v>
      </c>
      <c r="UR6" s="182">
        <v>103.8</v>
      </c>
      <c r="US6" s="182">
        <v>103.8</v>
      </c>
      <c r="UT6" s="182">
        <v>103.8</v>
      </c>
      <c r="UU6" s="182">
        <v>103.8</v>
      </c>
      <c r="UV6" s="182">
        <v>103.8</v>
      </c>
      <c r="UW6" s="182">
        <v>103.8</v>
      </c>
      <c r="UX6" s="182">
        <v>103.8</v>
      </c>
      <c r="UY6" s="182">
        <v>103.8</v>
      </c>
      <c r="UZ6" s="182">
        <v>103.8</v>
      </c>
      <c r="VA6" s="182">
        <v>103.8</v>
      </c>
      <c r="VB6" s="182">
        <v>103.8</v>
      </c>
      <c r="VC6" s="182">
        <v>103.8</v>
      </c>
      <c r="VD6" s="182">
        <v>103.8</v>
      </c>
      <c r="VE6" s="182">
        <v>103.8</v>
      </c>
      <c r="VF6" s="182">
        <v>103.8</v>
      </c>
      <c r="VG6" s="182">
        <v>103.8</v>
      </c>
      <c r="VH6" s="182">
        <v>103.8</v>
      </c>
      <c r="VI6" s="182">
        <v>103.8</v>
      </c>
      <c r="VJ6" s="182">
        <v>103.8</v>
      </c>
      <c r="VK6" s="182">
        <v>103.8</v>
      </c>
      <c r="VL6" s="182">
        <v>103.8</v>
      </c>
      <c r="VM6" s="182">
        <v>103.8</v>
      </c>
      <c r="VN6" s="182">
        <v>103.8</v>
      </c>
      <c r="VO6" s="182">
        <v>103.8</v>
      </c>
      <c r="VP6" s="182">
        <v>103.8</v>
      </c>
      <c r="VQ6" s="182">
        <v>103.8</v>
      </c>
      <c r="VR6" s="182">
        <v>103.8</v>
      </c>
      <c r="VS6" s="182">
        <v>103.8</v>
      </c>
      <c r="VT6" s="182">
        <v>103.8</v>
      </c>
      <c r="VU6" s="182">
        <v>103.8</v>
      </c>
      <c r="VV6" s="182">
        <v>103.8</v>
      </c>
      <c r="VW6" s="182">
        <v>103.8</v>
      </c>
      <c r="VX6" s="182">
        <v>103.8</v>
      </c>
      <c r="VY6" s="182">
        <v>103.8</v>
      </c>
      <c r="VZ6" s="182">
        <v>103.8</v>
      </c>
      <c r="WA6" s="182">
        <v>103.8</v>
      </c>
      <c r="WB6" s="182">
        <v>103.8</v>
      </c>
      <c r="WC6" s="182">
        <v>103.8</v>
      </c>
      <c r="WD6" s="182">
        <v>103.8</v>
      </c>
      <c r="WE6" s="182">
        <v>103.8</v>
      </c>
      <c r="WF6" s="182">
        <v>103.8</v>
      </c>
      <c r="WG6" s="182">
        <v>103.8</v>
      </c>
      <c r="WH6" s="182">
        <v>103.8</v>
      </c>
      <c r="WI6" s="182">
        <v>103.8</v>
      </c>
      <c r="WJ6" s="182">
        <v>103.8</v>
      </c>
      <c r="WK6" s="182">
        <v>103.8</v>
      </c>
      <c r="WL6" s="182">
        <v>103.8</v>
      </c>
      <c r="WM6" s="182">
        <v>103.8</v>
      </c>
      <c r="WN6" s="182">
        <v>103.8</v>
      </c>
      <c r="WO6" s="182">
        <v>103.8</v>
      </c>
      <c r="WP6" s="182">
        <v>103.8</v>
      </c>
      <c r="WQ6" s="182">
        <v>103.8</v>
      </c>
      <c r="WR6" s="182">
        <v>103.8</v>
      </c>
      <c r="WS6" s="182">
        <v>103.8</v>
      </c>
      <c r="WT6" s="182">
        <v>103.8</v>
      </c>
      <c r="WU6" s="182">
        <v>103.8</v>
      </c>
      <c r="WV6" s="182">
        <v>103.8</v>
      </c>
      <c r="XQ6" s="182">
        <v>103.8</v>
      </c>
      <c r="XR6" s="182">
        <v>103.8</v>
      </c>
      <c r="XS6" s="182">
        <v>103.8</v>
      </c>
      <c r="XT6" s="182">
        <v>103.8</v>
      </c>
      <c r="XU6" s="182">
        <v>103.8</v>
      </c>
      <c r="XV6" s="182">
        <v>103.8</v>
      </c>
      <c r="XW6" s="182">
        <v>103.8</v>
      </c>
      <c r="XX6" s="182">
        <v>103.8</v>
      </c>
      <c r="XY6" s="182">
        <v>103.8</v>
      </c>
      <c r="XZ6" s="182">
        <v>103.8</v>
      </c>
      <c r="YA6" s="182">
        <v>103.8</v>
      </c>
      <c r="YB6" s="182">
        <v>103.8</v>
      </c>
      <c r="YC6" s="182">
        <v>103.8</v>
      </c>
      <c r="YD6" s="182">
        <v>103.8</v>
      </c>
      <c r="YE6" s="182">
        <v>103.8</v>
      </c>
      <c r="YF6" s="182">
        <v>103.8</v>
      </c>
      <c r="YG6" s="182">
        <v>103.8</v>
      </c>
      <c r="YH6" s="182">
        <v>103.8</v>
      </c>
      <c r="YI6" s="182">
        <v>103.8</v>
      </c>
      <c r="YJ6" s="182">
        <v>103.8</v>
      </c>
      <c r="YK6" s="182">
        <v>103.8</v>
      </c>
      <c r="YL6" s="182">
        <v>103.8</v>
      </c>
      <c r="YM6" s="182">
        <v>103.8</v>
      </c>
      <c r="YN6" s="182">
        <v>103.8</v>
      </c>
      <c r="YO6" s="182">
        <v>103.8</v>
      </c>
      <c r="YP6" s="182">
        <v>103.8</v>
      </c>
      <c r="YQ6" s="182">
        <v>103.8</v>
      </c>
      <c r="YR6" s="182">
        <v>103.8</v>
      </c>
      <c r="YS6" s="182">
        <v>103.8</v>
      </c>
      <c r="YT6" s="182">
        <v>103.8</v>
      </c>
      <c r="YU6" s="182">
        <v>103.8</v>
      </c>
      <c r="YV6" s="182">
        <v>103.8</v>
      </c>
      <c r="YW6" s="182">
        <v>103.8</v>
      </c>
      <c r="YX6" s="182">
        <v>103.8</v>
      </c>
      <c r="YY6" s="182">
        <v>103.8</v>
      </c>
      <c r="YZ6" s="182">
        <v>103.8</v>
      </c>
      <c r="ZA6" s="182">
        <v>103.8</v>
      </c>
      <c r="ZB6" s="182">
        <v>103.8</v>
      </c>
      <c r="ZC6" s="182">
        <v>103.8</v>
      </c>
      <c r="ZD6" s="182">
        <v>103.8</v>
      </c>
      <c r="ZE6" s="182">
        <v>103.8</v>
      </c>
      <c r="ZF6" s="182">
        <v>103.8</v>
      </c>
      <c r="ZG6" s="182">
        <v>103.8</v>
      </c>
      <c r="ZH6" s="182">
        <v>103.8</v>
      </c>
      <c r="ZI6" s="182">
        <v>103.8</v>
      </c>
      <c r="ZJ6" s="182">
        <v>103.8</v>
      </c>
      <c r="ZK6" s="182">
        <v>103.8</v>
      </c>
      <c r="ZL6" s="182">
        <v>103.8</v>
      </c>
      <c r="ZM6" s="182">
        <v>103.8</v>
      </c>
      <c r="ZN6" s="182">
        <v>103.8</v>
      </c>
      <c r="ZO6" s="182">
        <v>103.8</v>
      </c>
      <c r="ZP6" s="182">
        <v>103.8</v>
      </c>
      <c r="ZQ6" s="182">
        <v>103.8</v>
      </c>
      <c r="ZR6" s="182">
        <v>103.8</v>
      </c>
      <c r="ZS6" s="182">
        <v>103.8</v>
      </c>
      <c r="ZT6" s="182">
        <v>103.8</v>
      </c>
      <c r="ZU6" s="182">
        <v>103.8</v>
      </c>
      <c r="ZV6" s="182">
        <v>103.8</v>
      </c>
      <c r="ZW6" s="182">
        <v>103.8</v>
      </c>
      <c r="ZX6" s="182">
        <v>103.8</v>
      </c>
      <c r="AAS6" s="182">
        <v>103.8</v>
      </c>
      <c r="AAT6" s="182">
        <v>103.8</v>
      </c>
      <c r="AAU6" s="182">
        <v>103.8</v>
      </c>
      <c r="AAV6" s="182">
        <v>103.8</v>
      </c>
      <c r="AAW6" s="182">
        <v>103.8</v>
      </c>
      <c r="AAX6" s="182">
        <v>103.8</v>
      </c>
      <c r="AAY6" s="182">
        <v>103.8</v>
      </c>
      <c r="AAZ6" s="182">
        <v>103.8</v>
      </c>
      <c r="ABA6" s="182">
        <v>103.8</v>
      </c>
      <c r="ABB6" s="182">
        <v>103.8</v>
      </c>
      <c r="ABC6" s="182">
        <v>103.8</v>
      </c>
      <c r="ABD6" s="182">
        <v>103.8</v>
      </c>
      <c r="ABE6" s="182">
        <v>103.8</v>
      </c>
      <c r="ABF6" s="182">
        <v>103.8</v>
      </c>
      <c r="ABG6" s="182">
        <v>103.8</v>
      </c>
      <c r="ABH6" s="182">
        <v>103.8</v>
      </c>
      <c r="ABI6" s="182">
        <v>103.8</v>
      </c>
      <c r="ABJ6" s="182">
        <v>103.8</v>
      </c>
      <c r="ABK6" s="182">
        <v>103.8</v>
      </c>
      <c r="ABL6" s="182">
        <v>103.8</v>
      </c>
      <c r="ABM6" s="182">
        <v>103.8</v>
      </c>
      <c r="ABN6" s="182">
        <v>103.8</v>
      </c>
      <c r="ABO6" s="182">
        <v>103.8</v>
      </c>
      <c r="ABP6" s="182">
        <v>103.8</v>
      </c>
      <c r="ABQ6" s="182">
        <v>103.8</v>
      </c>
      <c r="ABR6" s="182">
        <v>103.8</v>
      </c>
      <c r="ABS6" s="182">
        <v>103.8</v>
      </c>
      <c r="ABT6" s="182">
        <v>103.8</v>
      </c>
      <c r="ABU6" s="182">
        <v>103.8</v>
      </c>
      <c r="ABV6" s="182">
        <v>103.8</v>
      </c>
      <c r="ABW6" s="182">
        <v>103.8</v>
      </c>
      <c r="ABX6" s="182">
        <v>103.8</v>
      </c>
      <c r="ABY6" s="182">
        <v>103.8</v>
      </c>
      <c r="ABZ6" s="182">
        <v>103.8</v>
      </c>
      <c r="ACA6" s="182">
        <v>103.8</v>
      </c>
      <c r="ACB6" s="182">
        <v>103.8</v>
      </c>
      <c r="ACC6" s="182">
        <v>103.8</v>
      </c>
      <c r="ACD6" s="182">
        <v>103.8</v>
      </c>
      <c r="ACE6" s="182">
        <v>103.8</v>
      </c>
      <c r="ACF6" s="182">
        <v>103.8</v>
      </c>
      <c r="ACG6" s="182">
        <v>103.8</v>
      </c>
      <c r="ACH6" s="182">
        <v>103.8</v>
      </c>
      <c r="ACI6" s="182">
        <v>103.8</v>
      </c>
      <c r="ACJ6" s="182">
        <v>103.8</v>
      </c>
      <c r="ACK6" s="182">
        <v>103.8</v>
      </c>
      <c r="ACL6" s="182">
        <v>103.8</v>
      </c>
      <c r="ACM6" s="182">
        <v>103.8</v>
      </c>
      <c r="ACN6" s="182">
        <v>103.8</v>
      </c>
      <c r="ACO6" s="182">
        <v>103.8</v>
      </c>
      <c r="ACP6" s="182">
        <v>103.8</v>
      </c>
      <c r="ACQ6" s="182">
        <v>103.8</v>
      </c>
      <c r="ACR6" s="182">
        <v>103.8</v>
      </c>
      <c r="ACS6" s="182">
        <v>103.8</v>
      </c>
      <c r="ACT6" s="182">
        <v>103.8</v>
      </c>
      <c r="ACU6" s="182">
        <v>103.8</v>
      </c>
      <c r="ACV6" s="182">
        <v>103.8</v>
      </c>
      <c r="ACW6" s="182">
        <v>103.8</v>
      </c>
      <c r="ACX6" s="182">
        <v>103.8</v>
      </c>
      <c r="ACY6" s="182">
        <v>103.8</v>
      </c>
      <c r="ADU6" s="182">
        <v>103.8</v>
      </c>
      <c r="ADV6" s="182">
        <v>103.8</v>
      </c>
      <c r="ADW6" s="182">
        <v>103.8</v>
      </c>
      <c r="ADX6" s="182">
        <v>103.8</v>
      </c>
      <c r="ADY6" s="182">
        <v>103.8</v>
      </c>
      <c r="ADZ6" s="182">
        <v>103.8</v>
      </c>
      <c r="AEA6" s="182">
        <v>103.8</v>
      </c>
      <c r="AEB6" s="182">
        <v>103.8</v>
      </c>
      <c r="AEC6" s="182">
        <v>103.8</v>
      </c>
      <c r="AED6" s="182">
        <v>103.8</v>
      </c>
      <c r="AEE6" s="182">
        <v>103.8</v>
      </c>
      <c r="AEF6" s="182">
        <v>103.8</v>
      </c>
      <c r="AEG6" s="182">
        <v>103.8</v>
      </c>
      <c r="AEH6" s="182">
        <v>103.8</v>
      </c>
      <c r="AEI6" s="182">
        <v>103.8</v>
      </c>
      <c r="AEJ6" s="182">
        <v>103.8</v>
      </c>
      <c r="AEK6" s="182">
        <v>103.8</v>
      </c>
      <c r="AEL6" s="182">
        <v>103.8</v>
      </c>
      <c r="AEM6" s="182">
        <v>103.8</v>
      </c>
      <c r="AEN6" s="182">
        <v>103.8</v>
      </c>
      <c r="AEO6" s="182">
        <v>103.8</v>
      </c>
      <c r="AEP6" s="182">
        <v>103.8</v>
      </c>
      <c r="AEQ6" s="182">
        <v>103.8</v>
      </c>
      <c r="AER6" s="182">
        <v>103.8</v>
      </c>
      <c r="AES6" s="182">
        <v>103.8</v>
      </c>
      <c r="AET6" s="182">
        <v>103.8</v>
      </c>
      <c r="AEU6" s="182">
        <v>103.8</v>
      </c>
      <c r="AEV6" s="182">
        <v>103.8</v>
      </c>
      <c r="AEW6" s="182">
        <v>103.8</v>
      </c>
      <c r="AEX6" s="182">
        <v>103.8</v>
      </c>
      <c r="AEY6" s="182">
        <v>103.8</v>
      </c>
      <c r="AEZ6" s="182">
        <v>103.8</v>
      </c>
      <c r="AFA6" s="182">
        <v>103.8</v>
      </c>
      <c r="AFB6" s="182">
        <v>103.8</v>
      </c>
      <c r="AFC6" s="182">
        <v>103.8</v>
      </c>
      <c r="AFD6" s="182">
        <v>103.8</v>
      </c>
      <c r="AFE6" s="182">
        <v>103.8</v>
      </c>
      <c r="AFF6" s="182">
        <v>103.8</v>
      </c>
      <c r="AFG6" s="182">
        <v>103.8</v>
      </c>
      <c r="AFH6" s="182">
        <v>103.8</v>
      </c>
      <c r="AFI6" s="182">
        <v>103.8</v>
      </c>
      <c r="AFJ6" s="182">
        <v>103.8</v>
      </c>
      <c r="AFK6" s="182">
        <v>103.8</v>
      </c>
      <c r="AFL6" s="182">
        <v>103.8</v>
      </c>
      <c r="AFM6" s="182">
        <v>103.8</v>
      </c>
      <c r="AFN6" s="182">
        <v>103.8</v>
      </c>
      <c r="AFO6" s="182">
        <v>103.8</v>
      </c>
      <c r="AFP6" s="182">
        <v>103.8</v>
      </c>
      <c r="AFQ6" s="182">
        <v>103.8</v>
      </c>
      <c r="AFR6" s="182">
        <v>103.8</v>
      </c>
      <c r="AFS6" s="182">
        <v>103.8</v>
      </c>
      <c r="AFT6" s="182">
        <v>103.8</v>
      </c>
      <c r="AFU6" s="182">
        <v>103.8</v>
      </c>
      <c r="AFV6" s="182">
        <v>103.8</v>
      </c>
      <c r="AFW6" s="182">
        <v>103.8</v>
      </c>
      <c r="AFX6" s="182">
        <v>103.8</v>
      </c>
      <c r="AFY6" s="182">
        <v>103.8</v>
      </c>
      <c r="AFZ6" s="182">
        <v>103.8</v>
      </c>
      <c r="AGA6" s="182">
        <v>103.8</v>
      </c>
      <c r="AGW6" s="182">
        <v>103.8</v>
      </c>
      <c r="AGX6" s="182">
        <v>103.8</v>
      </c>
      <c r="AGY6" s="182">
        <v>103.8</v>
      </c>
      <c r="AGZ6" s="182">
        <v>103.8</v>
      </c>
      <c r="AHA6" s="182">
        <v>103.8</v>
      </c>
      <c r="AHB6" s="182">
        <v>103.8</v>
      </c>
      <c r="AHC6" s="182">
        <v>103.8</v>
      </c>
      <c r="AHD6" s="182">
        <v>103.8</v>
      </c>
      <c r="AHE6" s="182">
        <v>103.8</v>
      </c>
      <c r="AHF6" s="182">
        <v>103.8</v>
      </c>
      <c r="AHG6" s="182">
        <v>103.8</v>
      </c>
      <c r="AHH6" s="182">
        <v>103.8</v>
      </c>
      <c r="AHI6" s="182">
        <v>103.8</v>
      </c>
      <c r="AHJ6" s="182">
        <v>103.8</v>
      </c>
      <c r="AHK6" s="182">
        <v>103.8</v>
      </c>
      <c r="AHL6" s="182">
        <v>103.8</v>
      </c>
      <c r="AHM6" s="182">
        <v>103.8</v>
      </c>
      <c r="AHN6" s="182">
        <v>103.8</v>
      </c>
      <c r="AHO6" s="182">
        <v>103.8</v>
      </c>
      <c r="AHP6" s="182">
        <v>103.8</v>
      </c>
      <c r="AHQ6" s="182">
        <v>103.8</v>
      </c>
      <c r="AHR6" s="182">
        <v>103.8</v>
      </c>
      <c r="AHS6" s="182">
        <v>103.8</v>
      </c>
      <c r="AHT6" s="182">
        <v>103.8</v>
      </c>
      <c r="AHU6" s="182">
        <v>103.8</v>
      </c>
      <c r="AHV6" s="182">
        <v>103.8</v>
      </c>
      <c r="AHW6" s="182">
        <v>103.8</v>
      </c>
      <c r="AHX6" s="182">
        <v>103.8</v>
      </c>
      <c r="AHY6" s="182">
        <v>103.8</v>
      </c>
      <c r="AHZ6" s="182">
        <v>103.8</v>
      </c>
      <c r="AIA6" s="182">
        <v>103.8</v>
      </c>
      <c r="AIB6" s="182">
        <v>103.8</v>
      </c>
      <c r="AIC6" s="182">
        <v>103.8</v>
      </c>
      <c r="AID6" s="182">
        <v>103.8</v>
      </c>
      <c r="AIE6" s="182">
        <v>103.8</v>
      </c>
      <c r="AIF6" s="182">
        <v>103.8</v>
      </c>
      <c r="AIG6" s="182">
        <v>103.8</v>
      </c>
      <c r="AIH6" s="182">
        <v>103.8</v>
      </c>
      <c r="AII6" s="182">
        <v>103.8</v>
      </c>
      <c r="AIJ6" s="182">
        <v>103.8</v>
      </c>
      <c r="AIK6" s="182">
        <v>103.8</v>
      </c>
      <c r="AIL6" s="182">
        <v>103.8</v>
      </c>
      <c r="AIM6" s="182">
        <v>103.8</v>
      </c>
      <c r="AIN6" s="182">
        <v>103.8</v>
      </c>
      <c r="AIO6" s="182">
        <v>103.8</v>
      </c>
      <c r="AIP6" s="182">
        <v>103.8</v>
      </c>
      <c r="AIQ6" s="182">
        <v>103.8</v>
      </c>
      <c r="AIR6" s="182">
        <v>103.8</v>
      </c>
      <c r="AIS6" s="182">
        <v>103.8</v>
      </c>
      <c r="AIT6" s="182">
        <v>103.8</v>
      </c>
      <c r="AIU6" s="182">
        <v>103.8</v>
      </c>
      <c r="AIV6" s="182">
        <v>103.8</v>
      </c>
      <c r="AIW6" s="182">
        <v>103.8</v>
      </c>
      <c r="AIX6" s="182">
        <v>103.8</v>
      </c>
      <c r="AIY6" s="182">
        <v>103.8</v>
      </c>
      <c r="AIZ6" s="182">
        <v>103.8</v>
      </c>
      <c r="AJA6" s="182">
        <v>103.8</v>
      </c>
      <c r="AJB6" s="182">
        <v>103.8</v>
      </c>
      <c r="AJC6" s="182">
        <v>103.8</v>
      </c>
    </row>
    <row r="7" spans="1:939">
      <c r="A7" s="182">
        <v>86.5</v>
      </c>
      <c r="B7" s="182">
        <v>86.5</v>
      </c>
      <c r="C7" s="182">
        <v>86.5</v>
      </c>
      <c r="D7" s="182">
        <v>86.5</v>
      </c>
      <c r="E7" s="182">
        <v>86.5</v>
      </c>
      <c r="F7" s="182">
        <v>86.5</v>
      </c>
      <c r="G7" s="182">
        <v>86.5</v>
      </c>
      <c r="H7" s="182">
        <v>86.5</v>
      </c>
      <c r="I7" s="182">
        <v>86.5</v>
      </c>
      <c r="J7" s="182">
        <v>86.5</v>
      </c>
      <c r="K7" s="182">
        <v>86.5</v>
      </c>
      <c r="L7" s="182">
        <v>86.5</v>
      </c>
      <c r="M7" s="182">
        <v>86.5</v>
      </c>
      <c r="N7" s="182">
        <v>86.5</v>
      </c>
      <c r="O7" s="182">
        <v>86.5</v>
      </c>
      <c r="P7" s="182">
        <v>86.5</v>
      </c>
      <c r="Q7" s="182">
        <v>86.5</v>
      </c>
      <c r="R7" s="182">
        <v>86.5</v>
      </c>
      <c r="S7" s="182">
        <v>86.5</v>
      </c>
      <c r="T7" s="182">
        <v>86.5</v>
      </c>
      <c r="U7" s="182">
        <v>86.5</v>
      </c>
      <c r="V7" s="182">
        <v>86.5</v>
      </c>
      <c r="W7" s="182">
        <v>86.5</v>
      </c>
      <c r="X7" s="182">
        <v>86.5</v>
      </c>
      <c r="Y7" s="182">
        <v>86.5</v>
      </c>
      <c r="Z7" s="182">
        <v>86.5</v>
      </c>
      <c r="AA7" s="182">
        <v>86.5</v>
      </c>
      <c r="AB7" s="182">
        <v>86.5</v>
      </c>
      <c r="AC7" s="182">
        <v>86.5</v>
      </c>
      <c r="AD7" s="182">
        <v>86.5</v>
      </c>
      <c r="AE7" s="182">
        <v>86.5</v>
      </c>
      <c r="AF7" s="182">
        <v>86.5</v>
      </c>
      <c r="AG7" s="182">
        <v>86.5</v>
      </c>
      <c r="AH7" s="182">
        <v>86.5</v>
      </c>
      <c r="AI7" s="182">
        <v>86.5</v>
      </c>
      <c r="AJ7" s="182">
        <v>86.5</v>
      </c>
      <c r="AK7" s="182">
        <v>86.5</v>
      </c>
      <c r="AL7" s="182">
        <v>86.5</v>
      </c>
      <c r="AM7" s="182">
        <v>86.5</v>
      </c>
      <c r="AN7" s="182">
        <v>86.5</v>
      </c>
      <c r="AO7" s="182">
        <v>86.5</v>
      </c>
      <c r="AP7" s="182">
        <v>86.5</v>
      </c>
      <c r="AQ7" s="182">
        <v>86.5</v>
      </c>
      <c r="AR7" s="182">
        <v>86.5</v>
      </c>
      <c r="AS7" s="182">
        <v>86.5</v>
      </c>
      <c r="AT7" s="182">
        <v>86.5</v>
      </c>
      <c r="AU7" s="182">
        <v>86.5</v>
      </c>
      <c r="AV7" s="182">
        <v>86.5</v>
      </c>
      <c r="AW7" s="182">
        <v>86.5</v>
      </c>
      <c r="AX7" s="182">
        <v>86.5</v>
      </c>
      <c r="AY7" s="182">
        <v>86.5</v>
      </c>
      <c r="AZ7" s="182">
        <v>86.5</v>
      </c>
      <c r="CC7" s="182">
        <v>86.5</v>
      </c>
      <c r="CD7" s="182">
        <v>86.5</v>
      </c>
      <c r="CE7" s="182">
        <v>86.5</v>
      </c>
      <c r="CF7" s="182">
        <v>86.5</v>
      </c>
      <c r="CG7" s="182">
        <v>86.5</v>
      </c>
      <c r="CH7" s="182">
        <v>86.5</v>
      </c>
      <c r="CI7" s="182">
        <v>86.5</v>
      </c>
      <c r="CJ7" s="182">
        <v>86.5</v>
      </c>
      <c r="CK7" s="182">
        <v>86.5</v>
      </c>
      <c r="CL7" s="182">
        <v>86.5</v>
      </c>
      <c r="CM7" s="182">
        <v>86.5</v>
      </c>
      <c r="CN7" s="182">
        <v>86.5</v>
      </c>
      <c r="CO7" s="182">
        <v>86.5</v>
      </c>
      <c r="CP7" s="182">
        <v>86.5</v>
      </c>
      <c r="CQ7" s="182">
        <v>86.5</v>
      </c>
      <c r="CR7" s="182">
        <v>86.5</v>
      </c>
      <c r="CS7" s="182">
        <v>86.5</v>
      </c>
      <c r="CT7" s="182">
        <v>86.5</v>
      </c>
      <c r="CU7" s="182">
        <v>86.5</v>
      </c>
      <c r="CV7" s="182">
        <v>86.5</v>
      </c>
      <c r="CW7" s="182">
        <v>86.5</v>
      </c>
      <c r="CX7" s="182">
        <v>86.5</v>
      </c>
      <c r="CY7" s="182">
        <v>86.5</v>
      </c>
      <c r="CZ7" s="182">
        <v>86.5</v>
      </c>
      <c r="DA7" s="182">
        <v>86.5</v>
      </c>
      <c r="DB7" s="182">
        <v>86.5</v>
      </c>
      <c r="DC7" s="182">
        <v>86.5</v>
      </c>
      <c r="DD7" s="182">
        <v>86.5</v>
      </c>
      <c r="DE7" s="182">
        <v>86.5</v>
      </c>
      <c r="DF7" s="182">
        <v>86.5</v>
      </c>
      <c r="DG7" s="182">
        <v>86.5</v>
      </c>
      <c r="DH7" s="182">
        <v>86.5</v>
      </c>
      <c r="DI7" s="182">
        <v>86.5</v>
      </c>
      <c r="DJ7" s="182">
        <v>86.5</v>
      </c>
      <c r="DK7" s="182">
        <v>86.5</v>
      </c>
      <c r="DL7" s="182">
        <v>86.5</v>
      </c>
      <c r="DM7" s="182">
        <v>86.5</v>
      </c>
      <c r="DN7" s="182">
        <v>86.5</v>
      </c>
      <c r="DO7" s="182">
        <v>86.5</v>
      </c>
      <c r="DP7" s="182">
        <v>86.5</v>
      </c>
      <c r="DQ7" s="182">
        <v>86.5</v>
      </c>
      <c r="DR7" s="182">
        <v>86.5</v>
      </c>
      <c r="DS7" s="182">
        <v>86.5</v>
      </c>
      <c r="DT7" s="182">
        <v>86.5</v>
      </c>
      <c r="DU7" s="182">
        <v>86.5</v>
      </c>
      <c r="DV7" s="182">
        <v>86.5</v>
      </c>
      <c r="DW7" s="182">
        <v>86.5</v>
      </c>
      <c r="DX7" s="182">
        <v>86.5</v>
      </c>
      <c r="DY7" s="182">
        <v>86.5</v>
      </c>
      <c r="DZ7" s="182">
        <v>86.5</v>
      </c>
      <c r="EA7" s="182">
        <v>86.5</v>
      </c>
      <c r="EB7" s="182">
        <v>86.5</v>
      </c>
      <c r="EC7" s="182">
        <v>86.5</v>
      </c>
      <c r="ED7" s="182">
        <v>86.5</v>
      </c>
      <c r="EE7" s="182">
        <v>86.5</v>
      </c>
      <c r="EF7" s="182">
        <v>86.5</v>
      </c>
      <c r="EG7" s="182">
        <v>86.5</v>
      </c>
      <c r="EH7" s="182">
        <v>86.5</v>
      </c>
      <c r="FE7" s="182">
        <v>86.5</v>
      </c>
      <c r="FF7" s="182">
        <v>86.5</v>
      </c>
      <c r="FG7" s="182">
        <v>86.5</v>
      </c>
      <c r="FH7" s="182">
        <v>86.5</v>
      </c>
      <c r="FI7" s="182">
        <v>86.5</v>
      </c>
      <c r="FJ7" s="182">
        <v>86.5</v>
      </c>
      <c r="FK7" s="182">
        <v>86.5</v>
      </c>
      <c r="FL7" s="182">
        <v>86.5</v>
      </c>
      <c r="FM7" s="182">
        <v>86.5</v>
      </c>
      <c r="FN7" s="182">
        <v>86.5</v>
      </c>
      <c r="FO7" s="182">
        <v>86.5</v>
      </c>
      <c r="FP7" s="182">
        <v>86.5</v>
      </c>
      <c r="FQ7" s="182">
        <v>86.5</v>
      </c>
      <c r="FR7" s="182">
        <v>86.5</v>
      </c>
      <c r="FS7" s="182">
        <v>86.5</v>
      </c>
      <c r="FT7" s="182">
        <v>86.5</v>
      </c>
      <c r="FU7" s="182">
        <v>86.5</v>
      </c>
      <c r="FV7" s="182">
        <v>86.5</v>
      </c>
      <c r="FW7" s="182">
        <v>86.5</v>
      </c>
      <c r="FX7" s="182">
        <v>86.5</v>
      </c>
      <c r="FY7" s="182">
        <v>86.5</v>
      </c>
      <c r="FZ7" s="182">
        <v>86.5</v>
      </c>
      <c r="GA7" s="182">
        <v>86.5</v>
      </c>
      <c r="GB7" s="182">
        <v>86.5</v>
      </c>
      <c r="GC7" s="182">
        <v>86.5</v>
      </c>
      <c r="GD7" s="182">
        <v>86.5</v>
      </c>
      <c r="GE7" s="182">
        <v>86.5</v>
      </c>
      <c r="GF7" s="182">
        <v>86.5</v>
      </c>
      <c r="GG7" s="182">
        <v>86.5</v>
      </c>
      <c r="GH7" s="182">
        <v>86.5</v>
      </c>
      <c r="GI7" s="182">
        <v>86.5</v>
      </c>
      <c r="GJ7" s="182">
        <v>86.5</v>
      </c>
      <c r="GK7" s="182">
        <v>86.5</v>
      </c>
      <c r="GL7" s="182">
        <v>86.5</v>
      </c>
      <c r="GM7" s="182">
        <v>86.5</v>
      </c>
      <c r="GN7" s="182">
        <v>86.5</v>
      </c>
      <c r="GO7" s="182">
        <v>86.5</v>
      </c>
      <c r="GP7" s="182">
        <v>86.5</v>
      </c>
      <c r="GQ7" s="182">
        <v>86.5</v>
      </c>
      <c r="GR7" s="182">
        <v>86.5</v>
      </c>
      <c r="GS7" s="182">
        <v>86.5</v>
      </c>
      <c r="GT7" s="182">
        <v>86.5</v>
      </c>
      <c r="GU7" s="182">
        <v>86.5</v>
      </c>
      <c r="GV7" s="182">
        <v>86.5</v>
      </c>
      <c r="GW7" s="182">
        <v>86.5</v>
      </c>
      <c r="GX7" s="182">
        <v>86.5</v>
      </c>
      <c r="GY7" s="182">
        <v>86.5</v>
      </c>
      <c r="GZ7" s="182">
        <v>86.5</v>
      </c>
      <c r="HA7" s="182">
        <v>86.5</v>
      </c>
      <c r="HB7" s="182">
        <v>86.5</v>
      </c>
      <c r="HC7" s="182">
        <v>86.5</v>
      </c>
      <c r="HD7" s="182">
        <v>86.5</v>
      </c>
      <c r="HE7" s="182">
        <v>86.5</v>
      </c>
      <c r="HF7" s="182">
        <v>86.5</v>
      </c>
      <c r="HG7" s="182">
        <v>86.5</v>
      </c>
      <c r="HH7" s="182">
        <v>86.5</v>
      </c>
      <c r="HI7" s="182">
        <v>86.5</v>
      </c>
      <c r="HJ7" s="182">
        <v>86.5</v>
      </c>
      <c r="HK7" s="182">
        <v>86.5</v>
      </c>
      <c r="IG7" s="182">
        <v>86.5</v>
      </c>
      <c r="IH7" s="182">
        <v>86.5</v>
      </c>
      <c r="II7" s="182">
        <v>86.5</v>
      </c>
      <c r="IJ7" s="182">
        <v>86.5</v>
      </c>
      <c r="IK7" s="182">
        <v>86.5</v>
      </c>
      <c r="IL7" s="182">
        <v>86.5</v>
      </c>
      <c r="IM7" s="182">
        <v>86.5</v>
      </c>
      <c r="IN7" s="182">
        <v>86.5</v>
      </c>
      <c r="IO7" s="182">
        <v>86.5</v>
      </c>
      <c r="IP7" s="182">
        <v>86.5</v>
      </c>
      <c r="IQ7" s="182">
        <v>86.5</v>
      </c>
      <c r="IR7" s="182">
        <v>86.5</v>
      </c>
      <c r="IS7" s="182">
        <v>86.5</v>
      </c>
      <c r="IT7" s="182">
        <v>86.5</v>
      </c>
      <c r="IU7" s="182">
        <v>86.5</v>
      </c>
      <c r="IV7" s="182">
        <v>86.5</v>
      </c>
      <c r="IW7" s="182">
        <v>86.5</v>
      </c>
      <c r="IX7" s="182">
        <v>86.5</v>
      </c>
      <c r="IY7" s="182">
        <v>86.5</v>
      </c>
      <c r="IZ7" s="182">
        <v>86.5</v>
      </c>
      <c r="JA7" s="182">
        <v>86.5</v>
      </c>
      <c r="JB7" s="182">
        <v>86.5</v>
      </c>
      <c r="JC7" s="182">
        <v>86.5</v>
      </c>
      <c r="JD7" s="182">
        <v>86.5</v>
      </c>
      <c r="JE7" s="182">
        <v>86.5</v>
      </c>
      <c r="JF7" s="182">
        <v>86.5</v>
      </c>
      <c r="JG7" s="182">
        <v>86.5</v>
      </c>
      <c r="JH7" s="182">
        <v>86.5</v>
      </c>
      <c r="JI7" s="182">
        <v>86.5</v>
      </c>
      <c r="JJ7" s="182">
        <v>86.5</v>
      </c>
      <c r="JK7" s="182">
        <v>86.5</v>
      </c>
      <c r="JL7" s="182">
        <v>86.5</v>
      </c>
      <c r="JM7" s="182">
        <v>86.5</v>
      </c>
      <c r="JN7" s="182">
        <v>86.5</v>
      </c>
      <c r="JO7" s="182">
        <v>86.5</v>
      </c>
      <c r="JP7" s="182">
        <v>86.5</v>
      </c>
      <c r="JQ7" s="182">
        <v>86.5</v>
      </c>
      <c r="JR7" s="182">
        <v>86.5</v>
      </c>
      <c r="JS7" s="182">
        <v>86.5</v>
      </c>
      <c r="JT7" s="182">
        <v>86.5</v>
      </c>
      <c r="JU7" s="182">
        <v>86.5</v>
      </c>
      <c r="JV7" s="182">
        <v>86.5</v>
      </c>
      <c r="JW7" s="182">
        <v>86.5</v>
      </c>
      <c r="JX7" s="182">
        <v>86.5</v>
      </c>
      <c r="JY7" s="182">
        <v>86.5</v>
      </c>
      <c r="JZ7" s="182">
        <v>86.5</v>
      </c>
      <c r="KA7" s="182">
        <v>86.5</v>
      </c>
      <c r="KB7" s="182">
        <v>86.5</v>
      </c>
      <c r="KC7" s="182">
        <v>86.5</v>
      </c>
      <c r="KD7" s="182">
        <v>86.5</v>
      </c>
      <c r="KE7" s="182">
        <v>86.5</v>
      </c>
      <c r="KF7" s="182">
        <v>86.5</v>
      </c>
      <c r="KG7" s="182">
        <v>86.5</v>
      </c>
      <c r="KH7" s="182">
        <v>86.5</v>
      </c>
      <c r="KI7" s="182">
        <v>86.5</v>
      </c>
      <c r="KJ7" s="182">
        <v>86.5</v>
      </c>
      <c r="KK7" s="182">
        <v>86.5</v>
      </c>
      <c r="KL7" s="182">
        <v>86.5</v>
      </c>
      <c r="LI7" s="182">
        <v>86.5</v>
      </c>
      <c r="LJ7" s="182">
        <v>86.5</v>
      </c>
      <c r="LK7" s="182">
        <v>86.5</v>
      </c>
      <c r="LL7" s="182">
        <v>86.5</v>
      </c>
      <c r="LM7" s="182">
        <v>86.5</v>
      </c>
      <c r="LN7" s="182">
        <v>86.5</v>
      </c>
      <c r="LO7" s="182">
        <v>86.5</v>
      </c>
      <c r="LP7" s="182">
        <v>86.5</v>
      </c>
      <c r="LQ7" s="182">
        <v>86.5</v>
      </c>
      <c r="LR7" s="182">
        <v>86.5</v>
      </c>
      <c r="LS7" s="182">
        <v>86.5</v>
      </c>
      <c r="LT7" s="182">
        <v>86.5</v>
      </c>
      <c r="LU7" s="182">
        <v>86.5</v>
      </c>
      <c r="LV7" s="182">
        <v>86.5</v>
      </c>
      <c r="LW7" s="182">
        <v>86.5</v>
      </c>
      <c r="LX7" s="182">
        <v>86.5</v>
      </c>
      <c r="LY7" s="182">
        <v>86.5</v>
      </c>
      <c r="LZ7" s="182">
        <v>86.5</v>
      </c>
      <c r="MA7" s="182">
        <v>86.5</v>
      </c>
      <c r="MB7" s="182">
        <v>86.5</v>
      </c>
      <c r="MC7" s="182">
        <v>86.5</v>
      </c>
      <c r="MD7" s="182">
        <v>86.5</v>
      </c>
      <c r="ME7" s="182">
        <v>86.5</v>
      </c>
      <c r="MF7" s="182">
        <v>86.5</v>
      </c>
      <c r="MG7" s="182">
        <v>86.5</v>
      </c>
      <c r="MH7" s="182">
        <v>86.5</v>
      </c>
      <c r="MI7" s="182">
        <v>86.5</v>
      </c>
      <c r="MJ7" s="182">
        <v>86.5</v>
      </c>
      <c r="MK7" s="182">
        <v>86.5</v>
      </c>
      <c r="ML7" s="182">
        <v>86.5</v>
      </c>
      <c r="MM7" s="182">
        <v>86.5</v>
      </c>
      <c r="MN7" s="182">
        <v>86.5</v>
      </c>
      <c r="MO7" s="182">
        <v>86.5</v>
      </c>
      <c r="MP7" s="182">
        <v>86.5</v>
      </c>
      <c r="MQ7" s="182">
        <v>86.5</v>
      </c>
      <c r="MR7" s="182">
        <v>86.5</v>
      </c>
      <c r="MS7" s="182">
        <v>86.5</v>
      </c>
      <c r="MT7" s="182">
        <v>86.5</v>
      </c>
      <c r="MU7" s="182">
        <v>86.5</v>
      </c>
      <c r="MV7" s="182">
        <v>86.5</v>
      </c>
      <c r="MW7" s="182">
        <v>86.5</v>
      </c>
      <c r="MX7" s="182">
        <v>86.5</v>
      </c>
      <c r="MY7" s="182">
        <v>86.5</v>
      </c>
      <c r="MZ7" s="182">
        <v>86.5</v>
      </c>
      <c r="NA7" s="182">
        <v>86.5</v>
      </c>
      <c r="NB7" s="182">
        <v>86.5</v>
      </c>
      <c r="NC7" s="182">
        <v>86.5</v>
      </c>
      <c r="ND7" s="182">
        <v>86.5</v>
      </c>
      <c r="NE7" s="182">
        <v>86.5</v>
      </c>
      <c r="NF7" s="182">
        <v>86.5</v>
      </c>
      <c r="NG7" s="182">
        <v>86.5</v>
      </c>
      <c r="NH7" s="182">
        <v>86.5</v>
      </c>
      <c r="NI7" s="182">
        <v>86.5</v>
      </c>
      <c r="NJ7" s="182">
        <v>86.5</v>
      </c>
      <c r="NK7" s="182">
        <v>86.5</v>
      </c>
      <c r="NL7" s="182">
        <v>86.5</v>
      </c>
      <c r="NM7" s="182">
        <v>86.5</v>
      </c>
      <c r="NN7" s="182">
        <v>86.5</v>
      </c>
      <c r="NO7" s="182">
        <v>86.5</v>
      </c>
      <c r="NP7" s="182">
        <v>86.5</v>
      </c>
      <c r="NQ7" s="182">
        <v>86.5</v>
      </c>
      <c r="OK7" s="182">
        <v>86.5</v>
      </c>
      <c r="OL7" s="182">
        <v>86.5</v>
      </c>
      <c r="OM7" s="182">
        <v>86.5</v>
      </c>
      <c r="ON7" s="182">
        <v>86.5</v>
      </c>
      <c r="OO7" s="182">
        <v>86.5</v>
      </c>
      <c r="OP7" s="182">
        <v>86.5</v>
      </c>
      <c r="OQ7" s="182">
        <v>86.5</v>
      </c>
      <c r="OR7" s="182">
        <v>86.5</v>
      </c>
      <c r="OS7" s="182">
        <v>86.5</v>
      </c>
      <c r="OT7" s="182">
        <v>86.5</v>
      </c>
      <c r="OU7" s="182">
        <v>86.5</v>
      </c>
      <c r="OV7" s="182">
        <v>86.5</v>
      </c>
      <c r="OW7" s="182">
        <v>86.5</v>
      </c>
      <c r="OX7" s="182">
        <v>86.5</v>
      </c>
      <c r="OY7" s="182">
        <v>86.5</v>
      </c>
      <c r="OZ7" s="182">
        <v>86.5</v>
      </c>
      <c r="PA7" s="182">
        <v>86.5</v>
      </c>
      <c r="PB7" s="182">
        <v>86.5</v>
      </c>
      <c r="PC7" s="182">
        <v>86.5</v>
      </c>
      <c r="PD7" s="182">
        <v>86.5</v>
      </c>
      <c r="PE7" s="182">
        <v>86.5</v>
      </c>
      <c r="PF7" s="182">
        <v>86.5</v>
      </c>
      <c r="PG7" s="182">
        <v>86.5</v>
      </c>
      <c r="PH7" s="182">
        <v>86.5</v>
      </c>
      <c r="PI7" s="182">
        <v>86.5</v>
      </c>
      <c r="PJ7" s="182">
        <v>86.5</v>
      </c>
      <c r="PK7" s="182">
        <v>86.5</v>
      </c>
      <c r="PL7" s="182">
        <v>86.5</v>
      </c>
      <c r="PM7" s="182">
        <v>86.5</v>
      </c>
      <c r="PN7" s="182">
        <v>86.5</v>
      </c>
      <c r="PO7" s="182">
        <v>86.5</v>
      </c>
      <c r="PP7" s="182">
        <v>86.5</v>
      </c>
      <c r="PQ7" s="182">
        <v>86.5</v>
      </c>
      <c r="PR7" s="182">
        <v>86.5</v>
      </c>
      <c r="PS7" s="182">
        <v>86.5</v>
      </c>
      <c r="PT7" s="182">
        <v>86.5</v>
      </c>
      <c r="PU7" s="182">
        <v>86.5</v>
      </c>
      <c r="PV7" s="182">
        <v>86.5</v>
      </c>
      <c r="PW7" s="182">
        <v>86.5</v>
      </c>
      <c r="PX7" s="182">
        <v>86.5</v>
      </c>
      <c r="PY7" s="182">
        <v>86.5</v>
      </c>
      <c r="PZ7" s="182">
        <v>86.5</v>
      </c>
      <c r="QA7" s="182">
        <v>86.5</v>
      </c>
      <c r="QB7" s="182">
        <v>86.5</v>
      </c>
      <c r="QC7" s="182">
        <v>86.5</v>
      </c>
      <c r="QD7" s="182">
        <v>86.5</v>
      </c>
      <c r="QE7" s="182">
        <v>86.5</v>
      </c>
      <c r="QF7" s="182">
        <v>86.5</v>
      </c>
      <c r="QG7" s="182">
        <v>86.5</v>
      </c>
      <c r="QH7" s="182">
        <v>86.5</v>
      </c>
      <c r="QI7" s="182">
        <v>86.5</v>
      </c>
      <c r="QJ7" s="182">
        <v>86.5</v>
      </c>
      <c r="QK7" s="182">
        <v>86.5</v>
      </c>
      <c r="QL7" s="182">
        <v>86.5</v>
      </c>
      <c r="QM7" s="182">
        <v>86.5</v>
      </c>
      <c r="QN7" s="182">
        <v>86.5</v>
      </c>
      <c r="QO7" s="182">
        <v>86.5</v>
      </c>
      <c r="QP7" s="182">
        <v>86.5</v>
      </c>
      <c r="QQ7" s="182">
        <v>86.5</v>
      </c>
      <c r="QR7" s="182">
        <v>86.5</v>
      </c>
      <c r="RM7" s="182">
        <v>86.5</v>
      </c>
      <c r="RN7" s="182">
        <v>86.5</v>
      </c>
      <c r="RO7" s="182">
        <v>86.5</v>
      </c>
      <c r="RP7" s="182">
        <v>86.5</v>
      </c>
      <c r="RQ7" s="182">
        <v>86.5</v>
      </c>
      <c r="RR7" s="182">
        <v>86.5</v>
      </c>
      <c r="RS7" s="182">
        <v>86.5</v>
      </c>
      <c r="RT7" s="182">
        <v>86.5</v>
      </c>
      <c r="RU7" s="182">
        <v>86.5</v>
      </c>
      <c r="RV7" s="182">
        <v>86.5</v>
      </c>
      <c r="RW7" s="182">
        <v>86.5</v>
      </c>
      <c r="RX7" s="182">
        <v>86.5</v>
      </c>
      <c r="RY7" s="182">
        <v>86.5</v>
      </c>
      <c r="RZ7" s="182">
        <v>86.5</v>
      </c>
      <c r="SA7" s="182">
        <v>86.5</v>
      </c>
      <c r="SB7" s="182">
        <v>86.5</v>
      </c>
      <c r="SC7" s="182">
        <v>86.5</v>
      </c>
      <c r="SD7" s="182">
        <v>86.5</v>
      </c>
      <c r="SE7" s="182">
        <v>86.5</v>
      </c>
      <c r="SF7" s="182">
        <v>86.5</v>
      </c>
      <c r="SG7" s="182">
        <v>86.5</v>
      </c>
      <c r="SH7" s="182">
        <v>86.5</v>
      </c>
      <c r="SI7" s="182">
        <v>86.5</v>
      </c>
      <c r="SJ7" s="182">
        <v>86.5</v>
      </c>
      <c r="SK7" s="182">
        <v>86.5</v>
      </c>
      <c r="SL7" s="182">
        <v>86.5</v>
      </c>
      <c r="SM7" s="182">
        <v>86.5</v>
      </c>
      <c r="SN7" s="182">
        <v>86.5</v>
      </c>
      <c r="SO7" s="182">
        <v>86.5</v>
      </c>
      <c r="SP7" s="182">
        <v>86.5</v>
      </c>
      <c r="SQ7" s="182">
        <v>86.5</v>
      </c>
      <c r="SR7" s="182">
        <v>86.5</v>
      </c>
      <c r="SS7" s="182">
        <v>86.5</v>
      </c>
      <c r="ST7" s="182">
        <v>86.5</v>
      </c>
      <c r="SU7" s="182">
        <v>86.5</v>
      </c>
      <c r="SV7" s="182">
        <v>86.5</v>
      </c>
      <c r="SW7" s="182">
        <v>86.5</v>
      </c>
      <c r="SX7" s="182">
        <v>86.5</v>
      </c>
      <c r="SY7" s="182">
        <v>86.5</v>
      </c>
      <c r="SZ7" s="182">
        <v>86.5</v>
      </c>
      <c r="TA7" s="182">
        <v>86.5</v>
      </c>
      <c r="TB7" s="182">
        <v>86.5</v>
      </c>
      <c r="TC7" s="182">
        <v>86.5</v>
      </c>
      <c r="TD7" s="182">
        <v>86.5</v>
      </c>
      <c r="TE7" s="182">
        <v>86.5</v>
      </c>
      <c r="TF7" s="182">
        <v>86.5</v>
      </c>
      <c r="TG7" s="182">
        <v>86.5</v>
      </c>
      <c r="TH7" s="182">
        <v>86.5</v>
      </c>
      <c r="TI7" s="182">
        <v>86.5</v>
      </c>
      <c r="TJ7" s="182">
        <v>86.5</v>
      </c>
      <c r="TK7" s="182">
        <v>86.5</v>
      </c>
      <c r="TL7" s="182">
        <v>86.5</v>
      </c>
      <c r="TM7" s="182">
        <v>86.5</v>
      </c>
      <c r="TN7" s="182">
        <v>86.5</v>
      </c>
      <c r="TO7" s="182">
        <v>86.5</v>
      </c>
      <c r="TP7" s="182">
        <v>86.5</v>
      </c>
      <c r="TQ7" s="182">
        <v>86.5</v>
      </c>
      <c r="TR7" s="182">
        <v>86.5</v>
      </c>
      <c r="TS7" s="182">
        <v>86.5</v>
      </c>
      <c r="TT7" s="182">
        <v>86.5</v>
      </c>
      <c r="UO7" s="182">
        <v>86.5</v>
      </c>
      <c r="UP7" s="182">
        <v>86.5</v>
      </c>
      <c r="UQ7" s="182">
        <v>86.5</v>
      </c>
      <c r="UR7" s="182">
        <v>86.5</v>
      </c>
      <c r="US7" s="182">
        <v>86.5</v>
      </c>
      <c r="UT7" s="182">
        <v>86.5</v>
      </c>
      <c r="UU7" s="182">
        <v>86.5</v>
      </c>
      <c r="UV7" s="182">
        <v>86.5</v>
      </c>
      <c r="UW7" s="182">
        <v>86.5</v>
      </c>
      <c r="UX7" s="182">
        <v>86.5</v>
      </c>
      <c r="UY7" s="182">
        <v>86.5</v>
      </c>
      <c r="UZ7" s="182">
        <v>86.5</v>
      </c>
      <c r="VA7" s="182">
        <v>86.5</v>
      </c>
      <c r="VB7" s="182">
        <v>86.5</v>
      </c>
      <c r="VC7" s="182">
        <v>86.5</v>
      </c>
      <c r="VD7" s="182">
        <v>86.5</v>
      </c>
      <c r="VE7" s="182">
        <v>86.5</v>
      </c>
      <c r="VF7" s="182">
        <v>86.5</v>
      </c>
      <c r="VG7" s="182">
        <v>86.5</v>
      </c>
      <c r="VH7" s="182">
        <v>86.5</v>
      </c>
      <c r="VI7" s="182">
        <v>86.5</v>
      </c>
      <c r="VJ7" s="182">
        <v>86.5</v>
      </c>
      <c r="VK7" s="182">
        <v>86.5</v>
      </c>
      <c r="VL7" s="182">
        <v>86.5</v>
      </c>
      <c r="VM7" s="182">
        <v>86.5</v>
      </c>
      <c r="VN7" s="182">
        <v>86.5</v>
      </c>
      <c r="VO7" s="182">
        <v>86.5</v>
      </c>
      <c r="VP7" s="182">
        <v>86.5</v>
      </c>
      <c r="VQ7" s="182">
        <v>86.5</v>
      </c>
      <c r="VR7" s="182">
        <v>86.5</v>
      </c>
      <c r="VS7" s="182">
        <v>86.5</v>
      </c>
      <c r="VT7" s="182">
        <v>86.5</v>
      </c>
      <c r="VU7" s="182">
        <v>86.5</v>
      </c>
      <c r="VV7" s="182">
        <v>86.5</v>
      </c>
      <c r="VW7" s="182">
        <v>86.5</v>
      </c>
      <c r="VX7" s="182">
        <v>86.5</v>
      </c>
      <c r="VY7" s="182">
        <v>86.5</v>
      </c>
      <c r="VZ7" s="182">
        <v>86.5</v>
      </c>
      <c r="WA7" s="182">
        <v>86.5</v>
      </c>
      <c r="WB7" s="182">
        <v>86.5</v>
      </c>
      <c r="WC7" s="182">
        <v>86.5</v>
      </c>
      <c r="WD7" s="182">
        <v>86.5</v>
      </c>
      <c r="WE7" s="182">
        <v>86.5</v>
      </c>
      <c r="WF7" s="182">
        <v>86.5</v>
      </c>
      <c r="WG7" s="182">
        <v>86.5</v>
      </c>
      <c r="WH7" s="182">
        <v>86.5</v>
      </c>
      <c r="WI7" s="182">
        <v>86.5</v>
      </c>
      <c r="WJ7" s="182">
        <v>86.5</v>
      </c>
      <c r="WK7" s="182">
        <v>86.5</v>
      </c>
      <c r="WL7" s="182">
        <v>86.5</v>
      </c>
      <c r="WM7" s="182">
        <v>86.5</v>
      </c>
      <c r="WN7" s="182">
        <v>86.5</v>
      </c>
      <c r="WO7" s="182">
        <v>86.5</v>
      </c>
      <c r="WP7" s="182">
        <v>86.5</v>
      </c>
      <c r="WQ7" s="182">
        <v>86.5</v>
      </c>
      <c r="WR7" s="182">
        <v>86.5</v>
      </c>
      <c r="WS7" s="182">
        <v>86.5</v>
      </c>
      <c r="WT7" s="182">
        <v>86.5</v>
      </c>
      <c r="WU7" s="182">
        <v>86.5</v>
      </c>
      <c r="WV7" s="182">
        <v>86.5</v>
      </c>
      <c r="XQ7" s="182">
        <v>86.5</v>
      </c>
      <c r="XR7" s="182">
        <v>86.5</v>
      </c>
      <c r="XS7" s="182">
        <v>86.5</v>
      </c>
      <c r="XT7" s="182">
        <v>86.5</v>
      </c>
      <c r="XU7" s="182">
        <v>86.5</v>
      </c>
      <c r="XV7" s="182">
        <v>86.5</v>
      </c>
      <c r="XW7" s="182">
        <v>86.5</v>
      </c>
      <c r="XX7" s="182">
        <v>86.5</v>
      </c>
      <c r="XY7" s="182">
        <v>86.5</v>
      </c>
      <c r="XZ7" s="182">
        <v>86.5</v>
      </c>
      <c r="YA7" s="182">
        <v>86.5</v>
      </c>
      <c r="YB7" s="182">
        <v>86.5</v>
      </c>
      <c r="YC7" s="182">
        <v>86.5</v>
      </c>
      <c r="YD7" s="182">
        <v>86.5</v>
      </c>
      <c r="YE7" s="182">
        <v>86.5</v>
      </c>
      <c r="YF7" s="182">
        <v>86.5</v>
      </c>
      <c r="YG7" s="182">
        <v>86.5</v>
      </c>
      <c r="YH7" s="182">
        <v>86.5</v>
      </c>
      <c r="YI7" s="182">
        <v>86.5</v>
      </c>
      <c r="YJ7" s="182">
        <v>86.5</v>
      </c>
      <c r="YK7" s="182">
        <v>86.5</v>
      </c>
      <c r="YL7" s="182">
        <v>86.5</v>
      </c>
      <c r="YM7" s="182">
        <v>86.5</v>
      </c>
      <c r="YN7" s="182">
        <v>86.5</v>
      </c>
      <c r="YO7" s="182">
        <v>86.5</v>
      </c>
      <c r="YP7" s="182">
        <v>86.5</v>
      </c>
      <c r="YQ7" s="182">
        <v>86.5</v>
      </c>
      <c r="YR7" s="182">
        <v>86.5</v>
      </c>
      <c r="YS7" s="182">
        <v>86.5</v>
      </c>
      <c r="YT7" s="182">
        <v>86.5</v>
      </c>
      <c r="YU7" s="182">
        <v>86.5</v>
      </c>
      <c r="YV7" s="182">
        <v>86.5</v>
      </c>
      <c r="YW7" s="182">
        <v>86.5</v>
      </c>
      <c r="YX7" s="182">
        <v>86.5</v>
      </c>
      <c r="YY7" s="182">
        <v>86.5</v>
      </c>
      <c r="YZ7" s="182">
        <v>86.5</v>
      </c>
      <c r="ZA7" s="182">
        <v>86.5</v>
      </c>
      <c r="ZB7" s="182">
        <v>86.5</v>
      </c>
      <c r="ZC7" s="182">
        <v>86.5</v>
      </c>
      <c r="ZD7" s="182">
        <v>86.5</v>
      </c>
      <c r="ZE7" s="182">
        <v>86.5</v>
      </c>
      <c r="ZF7" s="182">
        <v>86.5</v>
      </c>
      <c r="ZG7" s="182">
        <v>86.5</v>
      </c>
      <c r="ZH7" s="182">
        <v>86.5</v>
      </c>
      <c r="ZI7" s="182">
        <v>86.5</v>
      </c>
      <c r="ZJ7" s="182">
        <v>86.5</v>
      </c>
      <c r="ZK7" s="182">
        <v>86.5</v>
      </c>
      <c r="ZL7" s="182">
        <v>86.5</v>
      </c>
      <c r="ZM7" s="182">
        <v>86.5</v>
      </c>
      <c r="ZN7" s="182">
        <v>86.5</v>
      </c>
      <c r="ZO7" s="182">
        <v>86.5</v>
      </c>
      <c r="ZP7" s="182">
        <v>86.5</v>
      </c>
      <c r="ZQ7" s="182">
        <v>86.5</v>
      </c>
      <c r="ZR7" s="182">
        <v>86.5</v>
      </c>
      <c r="ZS7" s="182">
        <v>86.5</v>
      </c>
      <c r="ZT7" s="182">
        <v>86.5</v>
      </c>
      <c r="ZU7" s="182">
        <v>86.5</v>
      </c>
      <c r="ZV7" s="182">
        <v>86.5</v>
      </c>
      <c r="ZW7" s="182">
        <v>86.5</v>
      </c>
      <c r="ZX7" s="182">
        <v>86.5</v>
      </c>
      <c r="AAS7" s="182">
        <v>86.5</v>
      </c>
      <c r="AAT7" s="182">
        <v>86.5</v>
      </c>
      <c r="AAU7" s="182">
        <v>86.5</v>
      </c>
      <c r="AAV7" s="182">
        <v>86.5</v>
      </c>
      <c r="AAW7" s="182">
        <v>86.5</v>
      </c>
      <c r="AAX7" s="182">
        <v>86.5</v>
      </c>
      <c r="AAY7" s="182">
        <v>86.5</v>
      </c>
      <c r="AAZ7" s="182">
        <v>86.5</v>
      </c>
      <c r="ABA7" s="182">
        <v>86.5</v>
      </c>
      <c r="ABB7" s="182">
        <v>86.5</v>
      </c>
      <c r="ABC7" s="182">
        <v>86.5</v>
      </c>
      <c r="ABD7" s="182">
        <v>86.5</v>
      </c>
      <c r="ABE7" s="182">
        <v>86.5</v>
      </c>
      <c r="ABF7" s="182">
        <v>86.5</v>
      </c>
      <c r="ABG7" s="182">
        <v>86.5</v>
      </c>
      <c r="ABH7" s="182">
        <v>86.5</v>
      </c>
      <c r="ABI7" s="182">
        <v>86.5</v>
      </c>
      <c r="ABJ7" s="182">
        <v>86.5</v>
      </c>
      <c r="ABK7" s="182">
        <v>86.5</v>
      </c>
      <c r="ABL7" s="182">
        <v>86.5</v>
      </c>
      <c r="ABM7" s="182">
        <v>86.5</v>
      </c>
      <c r="ABN7" s="182">
        <v>86.5</v>
      </c>
      <c r="ABO7" s="182">
        <v>86.5</v>
      </c>
      <c r="ABP7" s="182">
        <v>86.5</v>
      </c>
      <c r="ABQ7" s="182">
        <v>86.5</v>
      </c>
      <c r="ABR7" s="182">
        <v>86.5</v>
      </c>
      <c r="ABS7" s="182">
        <v>86.5</v>
      </c>
      <c r="ABT7" s="182">
        <v>86.5</v>
      </c>
      <c r="ABU7" s="182">
        <v>86.5</v>
      </c>
      <c r="ABV7" s="182">
        <v>86.5</v>
      </c>
      <c r="ABW7" s="182">
        <v>86.5</v>
      </c>
      <c r="ABX7" s="182">
        <v>86.5</v>
      </c>
      <c r="ABY7" s="182">
        <v>86.5</v>
      </c>
      <c r="ABZ7" s="182">
        <v>86.5</v>
      </c>
      <c r="ACA7" s="182">
        <v>86.5</v>
      </c>
      <c r="ACB7" s="182">
        <v>86.5</v>
      </c>
      <c r="ACC7" s="182">
        <v>86.5</v>
      </c>
      <c r="ACD7" s="182">
        <v>86.5</v>
      </c>
      <c r="ACE7" s="182">
        <v>86.5</v>
      </c>
      <c r="ACF7" s="182">
        <v>86.5</v>
      </c>
      <c r="ACG7" s="182">
        <v>86.5</v>
      </c>
      <c r="ACH7" s="182">
        <v>86.5</v>
      </c>
      <c r="ACI7" s="182">
        <v>86.5</v>
      </c>
      <c r="ACJ7" s="182">
        <v>86.5</v>
      </c>
      <c r="ACK7" s="182">
        <v>86.5</v>
      </c>
      <c r="ACL7" s="182">
        <v>86.5</v>
      </c>
      <c r="ACM7" s="182">
        <v>86.5</v>
      </c>
      <c r="ACN7" s="182">
        <v>86.5</v>
      </c>
      <c r="ACO7" s="182">
        <v>86.5</v>
      </c>
      <c r="ACP7" s="182">
        <v>86.5</v>
      </c>
      <c r="ACQ7" s="182">
        <v>86.5</v>
      </c>
      <c r="ACR7" s="182">
        <v>86.5</v>
      </c>
      <c r="ACS7" s="182">
        <v>86.5</v>
      </c>
      <c r="ACT7" s="182">
        <v>86.5</v>
      </c>
      <c r="ACU7" s="182">
        <v>86.5</v>
      </c>
      <c r="ACV7" s="182">
        <v>86.5</v>
      </c>
      <c r="ACW7" s="182">
        <v>86.5</v>
      </c>
      <c r="ACX7" s="182">
        <v>86.5</v>
      </c>
      <c r="ACY7" s="182">
        <v>86.5</v>
      </c>
      <c r="ADU7" s="182">
        <v>86.5</v>
      </c>
      <c r="ADV7" s="182">
        <v>86.5</v>
      </c>
      <c r="ADW7" s="182">
        <v>86.5</v>
      </c>
      <c r="ADX7" s="182">
        <v>86.5</v>
      </c>
      <c r="ADY7" s="182">
        <v>86.5</v>
      </c>
      <c r="ADZ7" s="182">
        <v>86.5</v>
      </c>
      <c r="AEA7" s="182">
        <v>86.5</v>
      </c>
      <c r="AEB7" s="182">
        <v>86.5</v>
      </c>
      <c r="AEC7" s="182">
        <v>86.5</v>
      </c>
      <c r="AED7" s="182">
        <v>86.5</v>
      </c>
      <c r="AEE7" s="182">
        <v>86.5</v>
      </c>
      <c r="AEF7" s="182">
        <v>86.5</v>
      </c>
      <c r="AEG7" s="182">
        <v>86.5</v>
      </c>
      <c r="AEH7" s="182">
        <v>86.5</v>
      </c>
      <c r="AEI7" s="182">
        <v>86.5</v>
      </c>
      <c r="AEJ7" s="182">
        <v>86.5</v>
      </c>
      <c r="AEK7" s="182">
        <v>86.5</v>
      </c>
      <c r="AEL7" s="182">
        <v>86.5</v>
      </c>
      <c r="AEM7" s="182">
        <v>86.5</v>
      </c>
      <c r="AEN7" s="182">
        <v>86.5</v>
      </c>
      <c r="AEO7" s="182">
        <v>86.5</v>
      </c>
      <c r="AEP7" s="182">
        <v>86.5</v>
      </c>
      <c r="AEQ7" s="182">
        <v>86.5</v>
      </c>
      <c r="AER7" s="182">
        <v>86.5</v>
      </c>
      <c r="AES7" s="182">
        <v>86.5</v>
      </c>
      <c r="AET7" s="182">
        <v>86.5</v>
      </c>
      <c r="AEU7" s="182">
        <v>86.5</v>
      </c>
      <c r="AEV7" s="182">
        <v>86.5</v>
      </c>
      <c r="AEW7" s="182">
        <v>86.5</v>
      </c>
      <c r="AEX7" s="182">
        <v>86.5</v>
      </c>
      <c r="AEY7" s="182">
        <v>86.5</v>
      </c>
      <c r="AEZ7" s="182">
        <v>86.5</v>
      </c>
      <c r="AFA7" s="182">
        <v>86.5</v>
      </c>
      <c r="AFB7" s="182">
        <v>86.5</v>
      </c>
      <c r="AFC7" s="182">
        <v>86.5</v>
      </c>
      <c r="AFD7" s="182">
        <v>86.5</v>
      </c>
      <c r="AFE7" s="182">
        <v>86.5</v>
      </c>
      <c r="AFF7" s="182">
        <v>86.5</v>
      </c>
      <c r="AFG7" s="182">
        <v>86.5</v>
      </c>
      <c r="AFH7" s="182">
        <v>86.5</v>
      </c>
      <c r="AFI7" s="182">
        <v>86.5</v>
      </c>
      <c r="AFJ7" s="182">
        <v>86.5</v>
      </c>
      <c r="AFK7" s="182">
        <v>86.5</v>
      </c>
      <c r="AFL7" s="182">
        <v>86.5</v>
      </c>
      <c r="AFM7" s="182">
        <v>86.5</v>
      </c>
      <c r="AFN7" s="182">
        <v>86.5</v>
      </c>
      <c r="AFO7" s="182">
        <v>86.5</v>
      </c>
      <c r="AFP7" s="182">
        <v>86.5</v>
      </c>
      <c r="AFQ7" s="182">
        <v>86.5</v>
      </c>
      <c r="AFR7" s="182">
        <v>86.5</v>
      </c>
      <c r="AFS7" s="182">
        <v>86.5</v>
      </c>
      <c r="AFT7" s="182">
        <v>86.5</v>
      </c>
      <c r="AFU7" s="182">
        <v>86.5</v>
      </c>
      <c r="AFV7" s="182">
        <v>86.5</v>
      </c>
      <c r="AFW7" s="182">
        <v>86.5</v>
      </c>
      <c r="AFX7" s="182">
        <v>86.5</v>
      </c>
      <c r="AFY7" s="182">
        <v>86.5</v>
      </c>
      <c r="AFZ7" s="182">
        <v>86.5</v>
      </c>
      <c r="AGA7" s="182">
        <v>86.5</v>
      </c>
      <c r="AGW7" s="182">
        <v>86.5</v>
      </c>
      <c r="AGX7" s="182">
        <v>86.5</v>
      </c>
      <c r="AGY7" s="182">
        <v>86.5</v>
      </c>
      <c r="AGZ7" s="182">
        <v>86.5</v>
      </c>
      <c r="AHA7" s="182">
        <v>86.5</v>
      </c>
      <c r="AHB7" s="182">
        <v>86.5</v>
      </c>
      <c r="AHC7" s="182">
        <v>86.5</v>
      </c>
      <c r="AHD7" s="182">
        <v>86.5</v>
      </c>
      <c r="AHE7" s="182">
        <v>86.5</v>
      </c>
      <c r="AHF7" s="182">
        <v>86.5</v>
      </c>
      <c r="AHG7" s="182">
        <v>86.5</v>
      </c>
      <c r="AHH7" s="182">
        <v>86.5</v>
      </c>
      <c r="AHI7" s="182">
        <v>86.5</v>
      </c>
      <c r="AHJ7" s="182">
        <v>86.5</v>
      </c>
      <c r="AHK7" s="182">
        <v>86.5</v>
      </c>
      <c r="AHL7" s="182">
        <v>86.5</v>
      </c>
      <c r="AHM7" s="182">
        <v>86.5</v>
      </c>
      <c r="AHN7" s="182">
        <v>86.5</v>
      </c>
      <c r="AHO7" s="182">
        <v>86.5</v>
      </c>
      <c r="AHP7" s="182">
        <v>86.5</v>
      </c>
      <c r="AHQ7" s="182">
        <v>86.5</v>
      </c>
      <c r="AHR7" s="182">
        <v>86.5</v>
      </c>
      <c r="AHS7" s="182">
        <v>86.5</v>
      </c>
      <c r="AHT7" s="182">
        <v>86.5</v>
      </c>
      <c r="AHU7" s="182">
        <v>86.5</v>
      </c>
      <c r="AHV7" s="182">
        <v>86.5</v>
      </c>
      <c r="AHW7" s="182">
        <v>86.5</v>
      </c>
      <c r="AHX7" s="182">
        <v>86.5</v>
      </c>
      <c r="AHY7" s="182">
        <v>86.5</v>
      </c>
      <c r="AHZ7" s="182">
        <v>86.5</v>
      </c>
      <c r="AIA7" s="182">
        <v>86.5</v>
      </c>
      <c r="AIB7" s="182">
        <v>86.5</v>
      </c>
      <c r="AIC7" s="182">
        <v>86.5</v>
      </c>
      <c r="AID7" s="182">
        <v>86.5</v>
      </c>
      <c r="AIE7" s="182">
        <v>86.5</v>
      </c>
      <c r="AIF7" s="182">
        <v>86.5</v>
      </c>
      <c r="AIG7" s="182">
        <v>86.5</v>
      </c>
      <c r="AIH7" s="182">
        <v>86.5</v>
      </c>
      <c r="AII7" s="182">
        <v>86.5</v>
      </c>
      <c r="AIJ7" s="182">
        <v>86.5</v>
      </c>
      <c r="AIK7" s="182">
        <v>86.5</v>
      </c>
      <c r="AIL7" s="182">
        <v>86.5</v>
      </c>
      <c r="AIM7" s="182">
        <v>86.5</v>
      </c>
      <c r="AIN7" s="182">
        <v>86.5</v>
      </c>
      <c r="AIO7" s="182">
        <v>86.5</v>
      </c>
      <c r="AIP7" s="182">
        <v>86.5</v>
      </c>
      <c r="AIQ7" s="182">
        <v>86.5</v>
      </c>
      <c r="AIR7" s="182">
        <v>86.5</v>
      </c>
      <c r="AIS7" s="182">
        <v>86.5</v>
      </c>
      <c r="AIT7" s="182">
        <v>86.5</v>
      </c>
      <c r="AIU7" s="182">
        <v>86.5</v>
      </c>
      <c r="AIV7" s="182">
        <v>86.5</v>
      </c>
      <c r="AIW7" s="182">
        <v>86.5</v>
      </c>
      <c r="AIX7" s="182">
        <v>86.5</v>
      </c>
      <c r="AIY7" s="182">
        <v>86.5</v>
      </c>
      <c r="AIZ7" s="182">
        <v>86.5</v>
      </c>
      <c r="AJA7" s="182">
        <v>86.5</v>
      </c>
      <c r="AJB7" s="182">
        <v>86.5</v>
      </c>
      <c r="AJC7" s="182">
        <v>86.5</v>
      </c>
    </row>
    <row r="8" spans="1:939">
      <c r="A8" s="182">
        <v>69.2</v>
      </c>
      <c r="B8" s="182">
        <v>69.2</v>
      </c>
      <c r="C8" s="182">
        <v>69.2</v>
      </c>
      <c r="D8" s="182">
        <v>69.2</v>
      </c>
      <c r="E8" s="182">
        <v>69.2</v>
      </c>
      <c r="F8" s="182">
        <v>69.2</v>
      </c>
      <c r="G8" s="182">
        <v>69.2</v>
      </c>
      <c r="H8" s="182">
        <v>69.2</v>
      </c>
      <c r="I8" s="182">
        <v>69.2</v>
      </c>
      <c r="J8" s="182">
        <v>69.2</v>
      </c>
      <c r="K8" s="182">
        <v>69.2</v>
      </c>
      <c r="L8" s="182">
        <v>69.2</v>
      </c>
      <c r="M8" s="182">
        <v>69.2</v>
      </c>
      <c r="N8" s="182">
        <v>69.2</v>
      </c>
      <c r="O8" s="182">
        <v>69.2</v>
      </c>
      <c r="P8" s="182">
        <v>69.2</v>
      </c>
      <c r="Q8" s="182">
        <v>69.2</v>
      </c>
      <c r="R8" s="182">
        <v>69.2</v>
      </c>
      <c r="S8" s="182">
        <v>69.2</v>
      </c>
      <c r="T8" s="182">
        <v>69.2</v>
      </c>
      <c r="U8" s="182">
        <v>69.2</v>
      </c>
      <c r="V8" s="182">
        <v>69.2</v>
      </c>
      <c r="W8" s="182">
        <v>69.2</v>
      </c>
      <c r="X8" s="182">
        <v>69.2</v>
      </c>
      <c r="Y8" s="182">
        <v>69.2</v>
      </c>
      <c r="Z8" s="182">
        <v>69.2</v>
      </c>
      <c r="AA8" s="182">
        <v>69.2</v>
      </c>
      <c r="AB8" s="182">
        <v>69.2</v>
      </c>
      <c r="AC8" s="182">
        <v>69.2</v>
      </c>
      <c r="AD8" s="182">
        <v>69.2</v>
      </c>
      <c r="AE8" s="182">
        <v>69.2</v>
      </c>
      <c r="AF8" s="182">
        <v>69.2</v>
      </c>
      <c r="AG8" s="182">
        <v>69.2</v>
      </c>
      <c r="AH8" s="182">
        <v>69.2</v>
      </c>
      <c r="AI8" s="182">
        <v>69.2</v>
      </c>
      <c r="AJ8" s="182">
        <v>69.2</v>
      </c>
      <c r="AK8" s="182">
        <v>69.2</v>
      </c>
      <c r="AL8" s="182">
        <v>69.2</v>
      </c>
      <c r="AM8" s="182">
        <v>69.2</v>
      </c>
      <c r="AN8" s="182">
        <v>69.2</v>
      </c>
      <c r="AO8" s="182">
        <v>69.2</v>
      </c>
      <c r="AP8" s="182">
        <v>69.2</v>
      </c>
      <c r="AQ8" s="182">
        <v>69.2</v>
      </c>
      <c r="AR8" s="182">
        <v>69.2</v>
      </c>
      <c r="AS8" s="182">
        <v>69.2</v>
      </c>
      <c r="AT8" s="182">
        <v>69.2</v>
      </c>
      <c r="AU8" s="182">
        <v>69.2</v>
      </c>
      <c r="AV8" s="182">
        <v>69.2</v>
      </c>
      <c r="AW8" s="182">
        <v>69.2</v>
      </c>
      <c r="AX8" s="182">
        <v>69.2</v>
      </c>
      <c r="AY8" s="182">
        <v>69.2</v>
      </c>
      <c r="AZ8" s="182">
        <v>69.2</v>
      </c>
      <c r="CC8" s="182">
        <v>69.2</v>
      </c>
      <c r="CD8" s="182">
        <v>69.2</v>
      </c>
      <c r="CE8" s="182">
        <v>69.2</v>
      </c>
      <c r="CF8" s="182">
        <v>69.2</v>
      </c>
      <c r="CG8" s="182">
        <v>69.2</v>
      </c>
      <c r="CH8" s="182">
        <v>69.2</v>
      </c>
      <c r="CI8" s="182">
        <v>69.2</v>
      </c>
      <c r="CJ8" s="182">
        <v>69.2</v>
      </c>
      <c r="CK8" s="182">
        <v>69.2</v>
      </c>
      <c r="CL8" s="182">
        <v>69.2</v>
      </c>
      <c r="CM8" s="182">
        <v>69.2</v>
      </c>
      <c r="CN8" s="182">
        <v>69.2</v>
      </c>
      <c r="CO8" s="182">
        <v>69.2</v>
      </c>
      <c r="CP8" s="182">
        <v>69.2</v>
      </c>
      <c r="CQ8" s="182">
        <v>69.2</v>
      </c>
      <c r="CR8" s="182">
        <v>69.2</v>
      </c>
      <c r="CS8" s="182">
        <v>69.2</v>
      </c>
      <c r="CT8" s="182">
        <v>69.2</v>
      </c>
      <c r="CU8" s="182">
        <v>69.2</v>
      </c>
      <c r="CV8" s="182">
        <v>69.2</v>
      </c>
      <c r="CW8" s="182">
        <v>69.2</v>
      </c>
      <c r="CX8" s="182">
        <v>69.2</v>
      </c>
      <c r="CY8" s="182">
        <v>69.2</v>
      </c>
      <c r="CZ8" s="182">
        <v>69.2</v>
      </c>
      <c r="DA8" s="182">
        <v>69.2</v>
      </c>
      <c r="DB8" s="182">
        <v>69.2</v>
      </c>
      <c r="DC8" s="182">
        <v>69.2</v>
      </c>
      <c r="DD8" s="182">
        <v>69.2</v>
      </c>
      <c r="DE8" s="182">
        <v>69.2</v>
      </c>
      <c r="DF8" s="182">
        <v>69.2</v>
      </c>
      <c r="DG8" s="182">
        <v>69.2</v>
      </c>
      <c r="DH8" s="182">
        <v>69.2</v>
      </c>
      <c r="DI8" s="182">
        <v>69.2</v>
      </c>
      <c r="DJ8" s="182">
        <v>69.2</v>
      </c>
      <c r="DK8" s="182">
        <v>69.2</v>
      </c>
      <c r="DL8" s="182">
        <v>69.2</v>
      </c>
      <c r="DM8" s="182">
        <v>69.2</v>
      </c>
      <c r="DN8" s="182">
        <v>69.2</v>
      </c>
      <c r="DO8" s="182">
        <v>69.2</v>
      </c>
      <c r="DP8" s="182">
        <v>69.2</v>
      </c>
      <c r="DQ8" s="182">
        <v>69.2</v>
      </c>
      <c r="DR8" s="182">
        <v>69.2</v>
      </c>
      <c r="DS8" s="182">
        <v>69.2</v>
      </c>
      <c r="DT8" s="182">
        <v>69.2</v>
      </c>
      <c r="DU8" s="182">
        <v>69.2</v>
      </c>
      <c r="DV8" s="182">
        <v>69.2</v>
      </c>
      <c r="DW8" s="182">
        <v>69.2</v>
      </c>
      <c r="DX8" s="182">
        <v>69.2</v>
      </c>
      <c r="DY8" s="182">
        <v>69.2</v>
      </c>
      <c r="DZ8" s="182">
        <v>69.2</v>
      </c>
      <c r="EA8" s="182">
        <v>69.2</v>
      </c>
      <c r="EB8" s="182">
        <v>69.2</v>
      </c>
      <c r="EC8" s="182">
        <v>69.2</v>
      </c>
      <c r="ED8" s="182">
        <v>69.2</v>
      </c>
      <c r="EE8" s="182">
        <v>69.2</v>
      </c>
      <c r="EF8" s="182">
        <v>69.2</v>
      </c>
      <c r="EG8" s="182">
        <v>69.2</v>
      </c>
      <c r="EH8" s="182">
        <v>69.2</v>
      </c>
      <c r="FE8" s="182">
        <v>69.2</v>
      </c>
      <c r="FF8" s="182">
        <v>69.2</v>
      </c>
      <c r="FG8" s="182">
        <v>69.2</v>
      </c>
      <c r="FH8" s="182">
        <v>69.2</v>
      </c>
      <c r="FI8" s="182">
        <v>69.2</v>
      </c>
      <c r="FJ8" s="182">
        <v>69.2</v>
      </c>
      <c r="FK8" s="182">
        <v>69.2</v>
      </c>
      <c r="FL8" s="182">
        <v>69.2</v>
      </c>
      <c r="FM8" s="182">
        <v>69.2</v>
      </c>
      <c r="FN8" s="182">
        <v>69.2</v>
      </c>
      <c r="FO8" s="182">
        <v>69.2</v>
      </c>
      <c r="FP8" s="182">
        <v>69.2</v>
      </c>
      <c r="FQ8" s="182">
        <v>69.2</v>
      </c>
      <c r="FR8" s="182">
        <v>69.2</v>
      </c>
      <c r="FS8" s="182">
        <v>69.2</v>
      </c>
      <c r="FT8" s="182">
        <v>69.2</v>
      </c>
      <c r="FU8" s="182">
        <v>69.2</v>
      </c>
      <c r="FV8" s="182">
        <v>69.2</v>
      </c>
      <c r="FW8" s="182">
        <v>69.2</v>
      </c>
      <c r="FX8" s="182">
        <v>69.2</v>
      </c>
      <c r="FY8" s="182">
        <v>69.2</v>
      </c>
      <c r="FZ8" s="182">
        <v>69.2</v>
      </c>
      <c r="GA8" s="182">
        <v>69.2</v>
      </c>
      <c r="GB8" s="182">
        <v>69.2</v>
      </c>
      <c r="GC8" s="182">
        <v>69.2</v>
      </c>
      <c r="GD8" s="182">
        <v>69.2</v>
      </c>
      <c r="GE8" s="182">
        <v>69.2</v>
      </c>
      <c r="GF8" s="182">
        <v>69.2</v>
      </c>
      <c r="GG8" s="182">
        <v>69.2</v>
      </c>
      <c r="GH8" s="182">
        <v>69.2</v>
      </c>
      <c r="GI8" s="182">
        <v>69.2</v>
      </c>
      <c r="GJ8" s="182">
        <v>69.2</v>
      </c>
      <c r="GK8" s="182">
        <v>69.2</v>
      </c>
      <c r="GL8" s="182">
        <v>69.2</v>
      </c>
      <c r="GM8" s="182">
        <v>69.2</v>
      </c>
      <c r="GN8" s="182">
        <v>69.2</v>
      </c>
      <c r="GO8" s="182">
        <v>69.2</v>
      </c>
      <c r="GP8" s="182">
        <v>69.2</v>
      </c>
      <c r="GQ8" s="182">
        <v>69.2</v>
      </c>
      <c r="GR8" s="182">
        <v>69.2</v>
      </c>
      <c r="GS8" s="182">
        <v>69.2</v>
      </c>
      <c r="GT8" s="182">
        <v>69.2</v>
      </c>
      <c r="GU8" s="182">
        <v>69.2</v>
      </c>
      <c r="GV8" s="182">
        <v>69.2</v>
      </c>
      <c r="GW8" s="182">
        <v>69.2</v>
      </c>
      <c r="GX8" s="182">
        <v>69.2</v>
      </c>
      <c r="GY8" s="182">
        <v>69.2</v>
      </c>
      <c r="GZ8" s="182">
        <v>69.2</v>
      </c>
      <c r="HA8" s="182">
        <v>69.2</v>
      </c>
      <c r="HB8" s="182">
        <v>69.2</v>
      </c>
      <c r="HC8" s="182">
        <v>69.2</v>
      </c>
      <c r="HD8" s="182">
        <v>69.2</v>
      </c>
      <c r="HE8" s="182">
        <v>69.2</v>
      </c>
      <c r="HF8" s="182">
        <v>69.2</v>
      </c>
      <c r="HG8" s="182">
        <v>69.2</v>
      </c>
      <c r="HH8" s="182">
        <v>69.2</v>
      </c>
      <c r="HI8" s="182">
        <v>69.2</v>
      </c>
      <c r="HJ8" s="182">
        <v>69.2</v>
      </c>
      <c r="HK8" s="182">
        <v>69.2</v>
      </c>
      <c r="IG8" s="182">
        <v>69.2</v>
      </c>
      <c r="IH8" s="182">
        <v>69.2</v>
      </c>
      <c r="II8" s="182">
        <v>69.2</v>
      </c>
      <c r="IJ8" s="182">
        <v>69.2</v>
      </c>
      <c r="IK8" s="182">
        <v>69.2</v>
      </c>
      <c r="IL8" s="182">
        <v>69.2</v>
      </c>
      <c r="IM8" s="182">
        <v>69.2</v>
      </c>
      <c r="IN8" s="182">
        <v>69.2</v>
      </c>
      <c r="IO8" s="182">
        <v>69.2</v>
      </c>
      <c r="IP8" s="182">
        <v>69.2</v>
      </c>
      <c r="IQ8" s="182">
        <v>69.2</v>
      </c>
      <c r="IR8" s="182">
        <v>69.2</v>
      </c>
      <c r="IS8" s="182">
        <v>69.2</v>
      </c>
      <c r="IT8" s="182">
        <v>69.2</v>
      </c>
      <c r="IU8" s="182">
        <v>69.2</v>
      </c>
      <c r="IV8" s="182">
        <v>69.2</v>
      </c>
      <c r="IW8" s="182">
        <v>69.2</v>
      </c>
      <c r="IX8" s="182">
        <v>69.2</v>
      </c>
      <c r="IY8" s="182">
        <v>69.2</v>
      </c>
      <c r="IZ8" s="182">
        <v>69.2</v>
      </c>
      <c r="JA8" s="182">
        <v>69.2</v>
      </c>
      <c r="JB8" s="182">
        <v>69.2</v>
      </c>
      <c r="JC8" s="182">
        <v>69.2</v>
      </c>
      <c r="JD8" s="182">
        <v>69.2</v>
      </c>
      <c r="JE8" s="182">
        <v>69.2</v>
      </c>
      <c r="JF8" s="182">
        <v>69.2</v>
      </c>
      <c r="JG8" s="182">
        <v>69.2</v>
      </c>
      <c r="JH8" s="182">
        <v>69.2</v>
      </c>
      <c r="JI8" s="182">
        <v>69.2</v>
      </c>
      <c r="JJ8" s="182">
        <v>69.2</v>
      </c>
      <c r="JK8" s="182">
        <v>69.2</v>
      </c>
      <c r="JL8" s="182">
        <v>69.2</v>
      </c>
      <c r="JM8" s="182">
        <v>69.2</v>
      </c>
      <c r="JN8" s="182">
        <v>69.2</v>
      </c>
      <c r="JO8" s="182">
        <v>69.2</v>
      </c>
      <c r="JP8" s="182">
        <v>69.2</v>
      </c>
      <c r="JQ8" s="182">
        <v>69.2</v>
      </c>
      <c r="JR8" s="182">
        <v>69.2</v>
      </c>
      <c r="JS8" s="182">
        <v>69.2</v>
      </c>
      <c r="JT8" s="182">
        <v>69.2</v>
      </c>
      <c r="JU8" s="182">
        <v>69.2</v>
      </c>
      <c r="JV8" s="182">
        <v>69.2</v>
      </c>
      <c r="JW8" s="182">
        <v>69.2</v>
      </c>
      <c r="JX8" s="182">
        <v>69.2</v>
      </c>
      <c r="JY8" s="182">
        <v>69.2</v>
      </c>
      <c r="JZ8" s="182">
        <v>69.2</v>
      </c>
      <c r="KA8" s="182">
        <v>69.2</v>
      </c>
      <c r="KB8" s="182">
        <v>69.2</v>
      </c>
      <c r="KC8" s="182">
        <v>69.2</v>
      </c>
      <c r="KD8" s="182">
        <v>69.2</v>
      </c>
      <c r="KE8" s="182">
        <v>69.2</v>
      </c>
      <c r="KF8" s="182">
        <v>69.2</v>
      </c>
      <c r="KG8" s="182">
        <v>69.2</v>
      </c>
      <c r="KH8" s="182">
        <v>69.2</v>
      </c>
      <c r="KI8" s="182">
        <v>69.2</v>
      </c>
      <c r="KJ8" s="182">
        <v>69.2</v>
      </c>
      <c r="KK8" s="182">
        <v>69.2</v>
      </c>
      <c r="KL8" s="182">
        <v>69.2</v>
      </c>
      <c r="LI8" s="182">
        <v>69.2</v>
      </c>
      <c r="LJ8" s="182">
        <v>69.2</v>
      </c>
      <c r="LK8" s="182">
        <v>69.2</v>
      </c>
      <c r="LL8" s="182">
        <v>69.2</v>
      </c>
      <c r="LM8" s="182">
        <v>69.2</v>
      </c>
      <c r="LN8" s="182">
        <v>69.2</v>
      </c>
      <c r="LO8" s="182">
        <v>69.2</v>
      </c>
      <c r="LP8" s="182">
        <v>69.2</v>
      </c>
      <c r="LQ8" s="182">
        <v>69.2</v>
      </c>
      <c r="LR8" s="182">
        <v>69.2</v>
      </c>
      <c r="LS8" s="182">
        <v>69.2</v>
      </c>
      <c r="LT8" s="182">
        <v>69.2</v>
      </c>
      <c r="LU8" s="182">
        <v>69.2</v>
      </c>
      <c r="LV8" s="182">
        <v>69.2</v>
      </c>
      <c r="LW8" s="182">
        <v>69.2</v>
      </c>
      <c r="LX8" s="182">
        <v>69.2</v>
      </c>
      <c r="LY8" s="182">
        <v>69.2</v>
      </c>
      <c r="LZ8" s="182">
        <v>69.2</v>
      </c>
      <c r="MA8" s="182">
        <v>69.2</v>
      </c>
      <c r="MB8" s="182">
        <v>69.2</v>
      </c>
      <c r="MC8" s="182">
        <v>69.2</v>
      </c>
      <c r="MD8" s="182">
        <v>69.2</v>
      </c>
      <c r="ME8" s="182">
        <v>69.2</v>
      </c>
      <c r="MF8" s="182">
        <v>69.2</v>
      </c>
      <c r="MG8" s="182">
        <v>69.2</v>
      </c>
      <c r="MH8" s="182">
        <v>69.2</v>
      </c>
      <c r="MI8" s="182">
        <v>69.2</v>
      </c>
      <c r="MJ8" s="182">
        <v>69.2</v>
      </c>
      <c r="MK8" s="182">
        <v>69.2</v>
      </c>
      <c r="ML8" s="182">
        <v>69.2</v>
      </c>
      <c r="MM8" s="182">
        <v>69.2</v>
      </c>
      <c r="MN8" s="182">
        <v>69.2</v>
      </c>
      <c r="MO8" s="182">
        <v>69.2</v>
      </c>
      <c r="MP8" s="182">
        <v>69.2</v>
      </c>
      <c r="MQ8" s="182">
        <v>69.2</v>
      </c>
      <c r="MR8" s="182">
        <v>69.2</v>
      </c>
      <c r="MS8" s="182">
        <v>69.2</v>
      </c>
      <c r="MT8" s="182">
        <v>69.2</v>
      </c>
      <c r="MU8" s="182">
        <v>69.2</v>
      </c>
      <c r="MV8" s="182">
        <v>69.2</v>
      </c>
      <c r="MW8" s="182">
        <v>69.2</v>
      </c>
      <c r="MX8" s="182">
        <v>69.2</v>
      </c>
      <c r="MY8" s="182">
        <v>69.2</v>
      </c>
      <c r="MZ8" s="182">
        <v>69.2</v>
      </c>
      <c r="NA8" s="182">
        <v>69.2</v>
      </c>
      <c r="NB8" s="182">
        <v>69.2</v>
      </c>
      <c r="NC8" s="182">
        <v>69.2</v>
      </c>
      <c r="ND8" s="182">
        <v>69.2</v>
      </c>
      <c r="NE8" s="182">
        <v>69.2</v>
      </c>
      <c r="NF8" s="182">
        <v>69.2</v>
      </c>
      <c r="NG8" s="182">
        <v>69.2</v>
      </c>
      <c r="NH8" s="182">
        <v>69.2</v>
      </c>
      <c r="NI8" s="182">
        <v>69.2</v>
      </c>
      <c r="NJ8" s="182">
        <v>69.2</v>
      </c>
      <c r="NK8" s="182">
        <v>69.2</v>
      </c>
      <c r="NL8" s="182">
        <v>69.2</v>
      </c>
      <c r="NM8" s="182">
        <v>69.2</v>
      </c>
      <c r="NN8" s="182">
        <v>69.2</v>
      </c>
      <c r="NO8" s="182">
        <v>69.2</v>
      </c>
      <c r="NP8" s="182">
        <v>69.2</v>
      </c>
      <c r="NQ8" s="182">
        <v>69.2</v>
      </c>
      <c r="OK8" s="182">
        <v>69.2</v>
      </c>
      <c r="OL8" s="182">
        <v>69.2</v>
      </c>
      <c r="OM8" s="182">
        <v>69.2</v>
      </c>
      <c r="ON8" s="182">
        <v>69.2</v>
      </c>
      <c r="OO8" s="182">
        <v>69.2</v>
      </c>
      <c r="OP8" s="182">
        <v>69.2</v>
      </c>
      <c r="OQ8" s="182">
        <v>69.2</v>
      </c>
      <c r="OR8" s="182">
        <v>69.2</v>
      </c>
      <c r="OS8" s="182">
        <v>69.2</v>
      </c>
      <c r="OT8" s="182">
        <v>69.2</v>
      </c>
      <c r="OU8" s="182">
        <v>69.2</v>
      </c>
      <c r="OV8" s="182">
        <v>69.2</v>
      </c>
      <c r="OW8" s="182">
        <v>69.2</v>
      </c>
      <c r="OX8" s="182">
        <v>69.2</v>
      </c>
      <c r="OY8" s="182">
        <v>69.2</v>
      </c>
      <c r="OZ8" s="182">
        <v>69.2</v>
      </c>
      <c r="PA8" s="182">
        <v>69.2</v>
      </c>
      <c r="PB8" s="182">
        <v>69.2</v>
      </c>
      <c r="PC8" s="182">
        <v>69.2</v>
      </c>
      <c r="PD8" s="182">
        <v>69.2</v>
      </c>
      <c r="PE8" s="182">
        <v>69.2</v>
      </c>
      <c r="PF8" s="182">
        <v>69.2</v>
      </c>
      <c r="PG8" s="182">
        <v>69.2</v>
      </c>
      <c r="PH8" s="182">
        <v>69.2</v>
      </c>
      <c r="PI8" s="182">
        <v>69.2</v>
      </c>
      <c r="PJ8" s="182">
        <v>69.2</v>
      </c>
      <c r="PK8" s="182">
        <v>69.2</v>
      </c>
      <c r="PL8" s="182">
        <v>69.2</v>
      </c>
      <c r="PM8" s="182">
        <v>69.2</v>
      </c>
      <c r="PN8" s="182">
        <v>69.2</v>
      </c>
      <c r="PO8" s="182">
        <v>69.2</v>
      </c>
      <c r="PP8" s="182">
        <v>69.2</v>
      </c>
      <c r="PQ8" s="182">
        <v>69.2</v>
      </c>
      <c r="PR8" s="182">
        <v>69.2</v>
      </c>
      <c r="PS8" s="182">
        <v>69.2</v>
      </c>
      <c r="PT8" s="182">
        <v>69.2</v>
      </c>
      <c r="PU8" s="182">
        <v>69.2</v>
      </c>
      <c r="PV8" s="182">
        <v>69.2</v>
      </c>
      <c r="PW8" s="182">
        <v>69.2</v>
      </c>
      <c r="PX8" s="182">
        <v>69.2</v>
      </c>
      <c r="PY8" s="182">
        <v>69.2</v>
      </c>
      <c r="PZ8" s="182">
        <v>69.2</v>
      </c>
      <c r="QA8" s="182">
        <v>69.2</v>
      </c>
      <c r="QB8" s="182">
        <v>69.2</v>
      </c>
      <c r="QC8" s="182">
        <v>69.2</v>
      </c>
      <c r="QD8" s="182">
        <v>69.2</v>
      </c>
      <c r="QE8" s="182">
        <v>69.2</v>
      </c>
      <c r="QF8" s="182">
        <v>69.2</v>
      </c>
      <c r="QG8" s="182">
        <v>69.2</v>
      </c>
      <c r="QH8" s="182">
        <v>69.2</v>
      </c>
      <c r="QI8" s="182">
        <v>69.2</v>
      </c>
      <c r="QJ8" s="182">
        <v>69.2</v>
      </c>
      <c r="QK8" s="182">
        <v>69.2</v>
      </c>
      <c r="QL8" s="182">
        <v>69.2</v>
      </c>
      <c r="QM8" s="182">
        <v>69.2</v>
      </c>
      <c r="QN8" s="182">
        <v>69.2</v>
      </c>
      <c r="QO8" s="182">
        <v>69.2</v>
      </c>
      <c r="QP8" s="182">
        <v>69.2</v>
      </c>
      <c r="QQ8" s="182">
        <v>69.2</v>
      </c>
      <c r="QR8" s="182">
        <v>69.2</v>
      </c>
      <c r="RM8" s="182">
        <v>69.2</v>
      </c>
      <c r="RN8" s="182">
        <v>69.2</v>
      </c>
      <c r="RO8" s="182">
        <v>69.2</v>
      </c>
      <c r="RP8" s="182">
        <v>69.2</v>
      </c>
      <c r="RQ8" s="182">
        <v>69.2</v>
      </c>
      <c r="RR8" s="182">
        <v>69.2</v>
      </c>
      <c r="RS8" s="182">
        <v>69.2</v>
      </c>
      <c r="RT8" s="182">
        <v>69.2</v>
      </c>
      <c r="RU8" s="182">
        <v>69.2</v>
      </c>
      <c r="RV8" s="182">
        <v>69.2</v>
      </c>
      <c r="RW8" s="182">
        <v>69.2</v>
      </c>
      <c r="RX8" s="182">
        <v>69.2</v>
      </c>
      <c r="RY8" s="182">
        <v>69.2</v>
      </c>
      <c r="RZ8" s="182">
        <v>69.2</v>
      </c>
      <c r="SA8" s="182">
        <v>69.2</v>
      </c>
      <c r="SB8" s="182">
        <v>69.2</v>
      </c>
      <c r="SC8" s="182">
        <v>69.2</v>
      </c>
      <c r="SD8" s="182">
        <v>69.2</v>
      </c>
      <c r="SE8" s="182">
        <v>69.2</v>
      </c>
      <c r="SF8" s="182">
        <v>69.2</v>
      </c>
      <c r="SG8" s="182">
        <v>69.2</v>
      </c>
      <c r="SH8" s="182">
        <v>69.2</v>
      </c>
      <c r="SI8" s="182">
        <v>69.2</v>
      </c>
      <c r="SJ8" s="182">
        <v>69.2</v>
      </c>
      <c r="SK8" s="182">
        <v>69.2</v>
      </c>
      <c r="SL8" s="182">
        <v>69.2</v>
      </c>
      <c r="SM8" s="182">
        <v>69.2</v>
      </c>
      <c r="SN8" s="182">
        <v>69.2</v>
      </c>
      <c r="SO8" s="182">
        <v>69.2</v>
      </c>
      <c r="SP8" s="182">
        <v>69.2</v>
      </c>
      <c r="SQ8" s="182">
        <v>69.2</v>
      </c>
      <c r="SR8" s="182">
        <v>69.2</v>
      </c>
      <c r="SS8" s="182">
        <v>69.2</v>
      </c>
      <c r="ST8" s="182">
        <v>69.2</v>
      </c>
      <c r="SU8" s="182">
        <v>69.2</v>
      </c>
      <c r="SV8" s="182">
        <v>69.2</v>
      </c>
      <c r="SW8" s="182">
        <v>69.2</v>
      </c>
      <c r="SX8" s="182">
        <v>69.2</v>
      </c>
      <c r="SY8" s="182">
        <v>69.2</v>
      </c>
      <c r="SZ8" s="182">
        <v>69.2</v>
      </c>
      <c r="TA8" s="182">
        <v>69.2</v>
      </c>
      <c r="TB8" s="182">
        <v>69.2</v>
      </c>
      <c r="TC8" s="182">
        <v>69.2</v>
      </c>
      <c r="TD8" s="182">
        <v>69.2</v>
      </c>
      <c r="TE8" s="182">
        <v>69.2</v>
      </c>
      <c r="TF8" s="182">
        <v>69.2</v>
      </c>
      <c r="TG8" s="182">
        <v>69.2</v>
      </c>
      <c r="TH8" s="182">
        <v>69.2</v>
      </c>
      <c r="TI8" s="182">
        <v>69.2</v>
      </c>
      <c r="TJ8" s="182">
        <v>69.2</v>
      </c>
      <c r="TK8" s="182">
        <v>69.2</v>
      </c>
      <c r="TL8" s="182">
        <v>69.2</v>
      </c>
      <c r="TM8" s="182">
        <v>69.2</v>
      </c>
      <c r="TN8" s="182">
        <v>69.2</v>
      </c>
      <c r="TO8" s="182">
        <v>69.2</v>
      </c>
      <c r="TP8" s="182">
        <v>69.2</v>
      </c>
      <c r="TQ8" s="182">
        <v>69.2</v>
      </c>
      <c r="TR8" s="182">
        <v>69.2</v>
      </c>
      <c r="TS8" s="182">
        <v>69.2</v>
      </c>
      <c r="TT8" s="182">
        <v>69.2</v>
      </c>
      <c r="UO8" s="182">
        <v>69.2</v>
      </c>
      <c r="UP8" s="182">
        <v>69.2</v>
      </c>
      <c r="UQ8" s="182">
        <v>69.2</v>
      </c>
      <c r="UR8" s="182">
        <v>69.2</v>
      </c>
      <c r="US8" s="182">
        <v>69.2</v>
      </c>
      <c r="UT8" s="182">
        <v>69.2</v>
      </c>
      <c r="UU8" s="182">
        <v>69.2</v>
      </c>
      <c r="UV8" s="182">
        <v>69.2</v>
      </c>
      <c r="UW8" s="182">
        <v>69.2</v>
      </c>
      <c r="UX8" s="182">
        <v>69.2</v>
      </c>
      <c r="UY8" s="182">
        <v>69.2</v>
      </c>
      <c r="UZ8" s="182">
        <v>69.2</v>
      </c>
      <c r="VA8" s="182">
        <v>69.2</v>
      </c>
      <c r="VB8" s="182">
        <v>69.2</v>
      </c>
      <c r="VC8" s="182">
        <v>69.2</v>
      </c>
      <c r="VD8" s="182">
        <v>69.2</v>
      </c>
      <c r="VE8" s="182">
        <v>69.2</v>
      </c>
      <c r="VF8" s="182">
        <v>69.2</v>
      </c>
      <c r="VG8" s="182">
        <v>69.2</v>
      </c>
      <c r="VH8" s="182">
        <v>69.2</v>
      </c>
      <c r="VI8" s="182">
        <v>69.2</v>
      </c>
      <c r="VJ8" s="182">
        <v>69.2</v>
      </c>
      <c r="VK8" s="182">
        <v>69.2</v>
      </c>
      <c r="VL8" s="182">
        <v>69.2</v>
      </c>
      <c r="VM8" s="182">
        <v>69.2</v>
      </c>
      <c r="VN8" s="182">
        <v>69.2</v>
      </c>
      <c r="VO8" s="182">
        <v>69.2</v>
      </c>
      <c r="VP8" s="182">
        <v>69.2</v>
      </c>
      <c r="VQ8" s="182">
        <v>69.2</v>
      </c>
      <c r="VR8" s="182">
        <v>69.2</v>
      </c>
      <c r="VS8" s="182">
        <v>69.2</v>
      </c>
      <c r="VT8" s="182">
        <v>69.2</v>
      </c>
      <c r="VU8" s="182">
        <v>69.2</v>
      </c>
      <c r="VV8" s="182">
        <v>69.2</v>
      </c>
      <c r="VW8" s="182">
        <v>69.2</v>
      </c>
      <c r="VX8" s="182">
        <v>69.2</v>
      </c>
      <c r="VY8" s="182">
        <v>69.2</v>
      </c>
      <c r="VZ8" s="182">
        <v>69.2</v>
      </c>
      <c r="WA8" s="182">
        <v>69.2</v>
      </c>
      <c r="WB8" s="182">
        <v>69.2</v>
      </c>
      <c r="WC8" s="182">
        <v>69.2</v>
      </c>
      <c r="WD8" s="182">
        <v>69.2</v>
      </c>
      <c r="WE8" s="182">
        <v>69.2</v>
      </c>
      <c r="WF8" s="182">
        <v>69.2</v>
      </c>
      <c r="WG8" s="182">
        <v>69.2</v>
      </c>
      <c r="WH8" s="182">
        <v>69.2</v>
      </c>
      <c r="WI8" s="182">
        <v>69.2</v>
      </c>
      <c r="WJ8" s="182">
        <v>69.2</v>
      </c>
      <c r="WK8" s="182">
        <v>69.2</v>
      </c>
      <c r="WL8" s="182">
        <v>69.2</v>
      </c>
      <c r="WM8" s="182">
        <v>69.2</v>
      </c>
      <c r="WN8" s="182">
        <v>69.2</v>
      </c>
      <c r="WO8" s="182">
        <v>69.2</v>
      </c>
      <c r="WP8" s="182">
        <v>69.2</v>
      </c>
      <c r="WQ8" s="182">
        <v>69.2</v>
      </c>
      <c r="WR8" s="182">
        <v>69.2</v>
      </c>
      <c r="WS8" s="182">
        <v>69.2</v>
      </c>
      <c r="WT8" s="182">
        <v>69.2</v>
      </c>
      <c r="WU8" s="182">
        <v>69.2</v>
      </c>
      <c r="WV8" s="182">
        <v>69.2</v>
      </c>
      <c r="XQ8" s="182">
        <v>69.2</v>
      </c>
      <c r="XR8" s="182">
        <v>69.2</v>
      </c>
      <c r="XS8" s="182">
        <v>69.2</v>
      </c>
      <c r="XT8" s="182">
        <v>69.2</v>
      </c>
      <c r="XU8" s="182">
        <v>69.2</v>
      </c>
      <c r="XV8" s="182">
        <v>69.2</v>
      </c>
      <c r="XW8" s="182">
        <v>69.2</v>
      </c>
      <c r="XX8" s="182">
        <v>69.2</v>
      </c>
      <c r="XY8" s="182">
        <v>69.2</v>
      </c>
      <c r="XZ8" s="182">
        <v>69.2</v>
      </c>
      <c r="YA8" s="182">
        <v>69.2</v>
      </c>
      <c r="YB8" s="182">
        <v>69.2</v>
      </c>
      <c r="YC8" s="182">
        <v>69.2</v>
      </c>
      <c r="YD8" s="182">
        <v>69.2</v>
      </c>
      <c r="YE8" s="182">
        <v>69.2</v>
      </c>
      <c r="YF8" s="182">
        <v>69.2</v>
      </c>
      <c r="YG8" s="182">
        <v>69.2</v>
      </c>
      <c r="YH8" s="182">
        <v>69.2</v>
      </c>
      <c r="YI8" s="182">
        <v>69.2</v>
      </c>
      <c r="YJ8" s="182">
        <v>69.2</v>
      </c>
      <c r="YK8" s="182">
        <v>69.2</v>
      </c>
      <c r="YL8" s="182">
        <v>69.2</v>
      </c>
      <c r="YM8" s="182">
        <v>69.2</v>
      </c>
      <c r="YN8" s="182">
        <v>69.2</v>
      </c>
      <c r="YO8" s="182">
        <v>69.2</v>
      </c>
      <c r="YP8" s="182">
        <v>69.2</v>
      </c>
      <c r="YQ8" s="182">
        <v>69.2</v>
      </c>
      <c r="YR8" s="182">
        <v>69.2</v>
      </c>
      <c r="YS8" s="182">
        <v>69.2</v>
      </c>
      <c r="YT8" s="182">
        <v>69.2</v>
      </c>
      <c r="YU8" s="182">
        <v>69.2</v>
      </c>
      <c r="YV8" s="182">
        <v>69.2</v>
      </c>
      <c r="YW8" s="182">
        <v>69.2</v>
      </c>
      <c r="YX8" s="182">
        <v>69.2</v>
      </c>
      <c r="YY8" s="182">
        <v>69.2</v>
      </c>
      <c r="YZ8" s="182">
        <v>69.2</v>
      </c>
      <c r="ZA8" s="182">
        <v>69.2</v>
      </c>
      <c r="ZB8" s="182">
        <v>69.2</v>
      </c>
      <c r="ZC8" s="182">
        <v>69.2</v>
      </c>
      <c r="ZD8" s="182">
        <v>69.2</v>
      </c>
      <c r="ZE8" s="182">
        <v>69.2</v>
      </c>
      <c r="ZF8" s="182">
        <v>69.2</v>
      </c>
      <c r="ZG8" s="182">
        <v>69.2</v>
      </c>
      <c r="ZH8" s="182">
        <v>69.2</v>
      </c>
      <c r="ZI8" s="182">
        <v>69.2</v>
      </c>
      <c r="ZJ8" s="182">
        <v>69.2</v>
      </c>
      <c r="ZK8" s="182">
        <v>69.2</v>
      </c>
      <c r="ZL8" s="182">
        <v>69.2</v>
      </c>
      <c r="ZM8" s="182">
        <v>69.2</v>
      </c>
      <c r="ZN8" s="182">
        <v>69.2</v>
      </c>
      <c r="ZO8" s="182">
        <v>69.2</v>
      </c>
      <c r="ZP8" s="182">
        <v>69.2</v>
      </c>
      <c r="ZQ8" s="182">
        <v>69.2</v>
      </c>
      <c r="ZR8" s="182">
        <v>69.2</v>
      </c>
      <c r="ZS8" s="182">
        <v>69.2</v>
      </c>
      <c r="ZT8" s="182">
        <v>69.2</v>
      </c>
      <c r="ZU8" s="182">
        <v>69.2</v>
      </c>
      <c r="ZV8" s="182">
        <v>69.2</v>
      </c>
      <c r="ZW8" s="182">
        <v>69.2</v>
      </c>
      <c r="ZX8" s="182">
        <v>69.2</v>
      </c>
      <c r="AAS8" s="182">
        <v>69.2</v>
      </c>
      <c r="AAT8" s="182">
        <v>69.2</v>
      </c>
      <c r="AAU8" s="182">
        <v>69.2</v>
      </c>
      <c r="AAV8" s="182">
        <v>69.2</v>
      </c>
      <c r="AAW8" s="182">
        <v>69.2</v>
      </c>
      <c r="AAX8" s="182">
        <v>69.2</v>
      </c>
      <c r="AAY8" s="182">
        <v>69.2</v>
      </c>
      <c r="AAZ8" s="182">
        <v>69.2</v>
      </c>
      <c r="ABA8" s="182">
        <v>69.2</v>
      </c>
      <c r="ABB8" s="182">
        <v>69.2</v>
      </c>
      <c r="ABC8" s="182">
        <v>69.2</v>
      </c>
      <c r="ABD8" s="182">
        <v>69.2</v>
      </c>
      <c r="ABE8" s="182">
        <v>69.2</v>
      </c>
      <c r="ABF8" s="182">
        <v>69.2</v>
      </c>
      <c r="ABG8" s="182">
        <v>69.2</v>
      </c>
      <c r="ABH8" s="182">
        <v>69.2</v>
      </c>
      <c r="ABI8" s="182">
        <v>69.2</v>
      </c>
      <c r="ABJ8" s="182">
        <v>69.2</v>
      </c>
      <c r="ABK8" s="182">
        <v>69.2</v>
      </c>
      <c r="ABL8" s="182">
        <v>69.2</v>
      </c>
      <c r="ABM8" s="182">
        <v>69.2</v>
      </c>
      <c r="ABN8" s="182">
        <v>69.2</v>
      </c>
      <c r="ABO8" s="182">
        <v>69.2</v>
      </c>
      <c r="ABP8" s="182">
        <v>69.2</v>
      </c>
      <c r="ABQ8" s="182">
        <v>69.2</v>
      </c>
      <c r="ABR8" s="182">
        <v>69.2</v>
      </c>
      <c r="ABS8" s="182">
        <v>69.2</v>
      </c>
      <c r="ABT8" s="182">
        <v>69.2</v>
      </c>
      <c r="ABU8" s="182">
        <v>69.2</v>
      </c>
      <c r="ABV8" s="182">
        <v>69.2</v>
      </c>
      <c r="ABW8" s="182">
        <v>69.2</v>
      </c>
      <c r="ABX8" s="182">
        <v>69.2</v>
      </c>
      <c r="ABY8" s="182">
        <v>69.2</v>
      </c>
      <c r="ABZ8" s="182">
        <v>69.2</v>
      </c>
      <c r="ACA8" s="182">
        <v>69.2</v>
      </c>
      <c r="ACB8" s="182">
        <v>69.2</v>
      </c>
      <c r="ACC8" s="182">
        <v>69.2</v>
      </c>
      <c r="ACD8" s="182">
        <v>69.2</v>
      </c>
      <c r="ACE8" s="182">
        <v>69.2</v>
      </c>
      <c r="ACF8" s="182">
        <v>69.2</v>
      </c>
      <c r="ACG8" s="182">
        <v>69.2</v>
      </c>
      <c r="ACH8" s="182">
        <v>69.2</v>
      </c>
      <c r="ACI8" s="182">
        <v>69.2</v>
      </c>
      <c r="ACJ8" s="182">
        <v>69.2</v>
      </c>
      <c r="ACK8" s="182">
        <v>69.2</v>
      </c>
      <c r="ACL8" s="182">
        <v>69.2</v>
      </c>
      <c r="ACM8" s="182">
        <v>69.2</v>
      </c>
      <c r="ACN8" s="182">
        <v>69.2</v>
      </c>
      <c r="ACO8" s="182">
        <v>69.2</v>
      </c>
      <c r="ACP8" s="182">
        <v>69.2</v>
      </c>
      <c r="ACQ8" s="182">
        <v>69.2</v>
      </c>
      <c r="ACR8" s="182">
        <v>69.2</v>
      </c>
      <c r="ACS8" s="182">
        <v>69.2</v>
      </c>
      <c r="ACT8" s="182">
        <v>69.2</v>
      </c>
      <c r="ACU8" s="182">
        <v>69.2</v>
      </c>
      <c r="ACV8" s="182">
        <v>69.2</v>
      </c>
      <c r="ACW8" s="182">
        <v>69.2</v>
      </c>
      <c r="ACX8" s="182">
        <v>69.2</v>
      </c>
      <c r="ACY8" s="182">
        <v>69.2</v>
      </c>
      <c r="ADU8" s="182">
        <v>69.2</v>
      </c>
      <c r="ADV8" s="182">
        <v>69.2</v>
      </c>
      <c r="ADW8" s="182">
        <v>69.2</v>
      </c>
      <c r="ADX8" s="182">
        <v>69.2</v>
      </c>
      <c r="ADY8" s="182">
        <v>69.2</v>
      </c>
      <c r="ADZ8" s="182">
        <v>69.2</v>
      </c>
      <c r="AEA8" s="182">
        <v>69.2</v>
      </c>
      <c r="AEB8" s="182">
        <v>69.2</v>
      </c>
      <c r="AEC8" s="182">
        <v>69.2</v>
      </c>
      <c r="AED8" s="182">
        <v>69.2</v>
      </c>
      <c r="AEE8" s="182">
        <v>69.2</v>
      </c>
      <c r="AEF8" s="182">
        <v>69.2</v>
      </c>
      <c r="AEG8" s="182">
        <v>69.2</v>
      </c>
      <c r="AEH8" s="182">
        <v>69.2</v>
      </c>
      <c r="AEI8" s="182">
        <v>69.2</v>
      </c>
      <c r="AEJ8" s="182">
        <v>69.2</v>
      </c>
      <c r="AEK8" s="182">
        <v>69.2</v>
      </c>
      <c r="AEL8" s="182">
        <v>69.2</v>
      </c>
      <c r="AEM8" s="182">
        <v>69.2</v>
      </c>
      <c r="AEN8" s="182">
        <v>69.2</v>
      </c>
      <c r="AEO8" s="182">
        <v>69.2</v>
      </c>
      <c r="AEP8" s="182">
        <v>69.2</v>
      </c>
      <c r="AEQ8" s="182">
        <v>69.2</v>
      </c>
      <c r="AER8" s="182">
        <v>69.2</v>
      </c>
      <c r="AES8" s="182">
        <v>69.2</v>
      </c>
      <c r="AET8" s="182">
        <v>69.2</v>
      </c>
      <c r="AEU8" s="182">
        <v>69.2</v>
      </c>
      <c r="AEV8" s="182">
        <v>69.2</v>
      </c>
      <c r="AEW8" s="182">
        <v>69.2</v>
      </c>
      <c r="AEX8" s="182">
        <v>69.2</v>
      </c>
      <c r="AEY8" s="182">
        <v>69.2</v>
      </c>
      <c r="AEZ8" s="182">
        <v>69.2</v>
      </c>
      <c r="AFA8" s="182">
        <v>69.2</v>
      </c>
      <c r="AFB8" s="182">
        <v>69.2</v>
      </c>
      <c r="AFC8" s="182">
        <v>69.2</v>
      </c>
      <c r="AFD8" s="182">
        <v>69.2</v>
      </c>
      <c r="AFE8" s="182">
        <v>69.2</v>
      </c>
      <c r="AFF8" s="182">
        <v>69.2</v>
      </c>
      <c r="AFG8" s="182">
        <v>69.2</v>
      </c>
      <c r="AFH8" s="182">
        <v>69.2</v>
      </c>
      <c r="AFI8" s="182">
        <v>69.2</v>
      </c>
      <c r="AFJ8" s="182">
        <v>69.2</v>
      </c>
      <c r="AFK8" s="182">
        <v>69.2</v>
      </c>
      <c r="AFL8" s="182">
        <v>69.2</v>
      </c>
      <c r="AFM8" s="182">
        <v>69.2</v>
      </c>
      <c r="AFN8" s="182">
        <v>69.2</v>
      </c>
      <c r="AFO8" s="182">
        <v>69.2</v>
      </c>
      <c r="AFP8" s="182">
        <v>69.2</v>
      </c>
      <c r="AFQ8" s="182">
        <v>69.2</v>
      </c>
      <c r="AFR8" s="182">
        <v>69.2</v>
      </c>
      <c r="AFS8" s="182">
        <v>69.2</v>
      </c>
      <c r="AFT8" s="182">
        <v>69.2</v>
      </c>
      <c r="AFU8" s="182">
        <v>69.2</v>
      </c>
      <c r="AFV8" s="182">
        <v>69.2</v>
      </c>
      <c r="AFW8" s="182">
        <v>69.2</v>
      </c>
      <c r="AFX8" s="182">
        <v>69.2</v>
      </c>
      <c r="AFY8" s="182">
        <v>69.2</v>
      </c>
      <c r="AFZ8" s="182">
        <v>69.2</v>
      </c>
      <c r="AGA8" s="182">
        <v>69.2</v>
      </c>
      <c r="AGW8" s="182">
        <v>69.2</v>
      </c>
      <c r="AGX8" s="182">
        <v>69.2</v>
      </c>
      <c r="AGY8" s="182">
        <v>69.2</v>
      </c>
      <c r="AGZ8" s="182">
        <v>69.2</v>
      </c>
      <c r="AHA8" s="182">
        <v>69.2</v>
      </c>
      <c r="AHB8" s="182">
        <v>69.2</v>
      </c>
      <c r="AHC8" s="182">
        <v>69.2</v>
      </c>
      <c r="AHD8" s="182">
        <v>69.2</v>
      </c>
      <c r="AHE8" s="182">
        <v>69.2</v>
      </c>
      <c r="AHF8" s="182">
        <v>69.2</v>
      </c>
      <c r="AHG8" s="182">
        <v>69.2</v>
      </c>
      <c r="AHH8" s="182">
        <v>69.2</v>
      </c>
      <c r="AHI8" s="182">
        <v>69.2</v>
      </c>
      <c r="AHJ8" s="182">
        <v>69.2</v>
      </c>
      <c r="AHK8" s="182">
        <v>69.2</v>
      </c>
      <c r="AHL8" s="182">
        <v>69.2</v>
      </c>
      <c r="AHM8" s="182">
        <v>69.2</v>
      </c>
      <c r="AHN8" s="182">
        <v>69.2</v>
      </c>
      <c r="AHO8" s="182">
        <v>69.2</v>
      </c>
      <c r="AHP8" s="182">
        <v>69.2</v>
      </c>
      <c r="AHQ8" s="182">
        <v>69.2</v>
      </c>
      <c r="AHR8" s="182">
        <v>69.2</v>
      </c>
      <c r="AHS8" s="182">
        <v>69.2</v>
      </c>
      <c r="AHT8" s="182">
        <v>69.2</v>
      </c>
      <c r="AHU8" s="182">
        <v>69.2</v>
      </c>
      <c r="AHV8" s="182">
        <v>69.2</v>
      </c>
      <c r="AHW8" s="182">
        <v>69.2</v>
      </c>
      <c r="AHX8" s="182">
        <v>69.2</v>
      </c>
      <c r="AHY8" s="182">
        <v>69.2</v>
      </c>
      <c r="AHZ8" s="182">
        <v>69.2</v>
      </c>
      <c r="AIA8" s="182">
        <v>69.2</v>
      </c>
      <c r="AIB8" s="182">
        <v>69.2</v>
      </c>
      <c r="AIC8" s="182">
        <v>69.2</v>
      </c>
      <c r="AID8" s="182">
        <v>69.2</v>
      </c>
      <c r="AIE8" s="182">
        <v>69.2</v>
      </c>
      <c r="AIF8" s="182">
        <v>69.2</v>
      </c>
      <c r="AIG8" s="182">
        <v>69.2</v>
      </c>
      <c r="AIH8" s="182">
        <v>69.2</v>
      </c>
      <c r="AII8" s="182">
        <v>69.2</v>
      </c>
      <c r="AIJ8" s="182">
        <v>69.2</v>
      </c>
      <c r="AIK8" s="182">
        <v>69.2</v>
      </c>
      <c r="AIL8" s="182">
        <v>69.2</v>
      </c>
      <c r="AIM8" s="182">
        <v>69.2</v>
      </c>
      <c r="AIN8" s="182">
        <v>69.2</v>
      </c>
      <c r="AIO8" s="182">
        <v>69.2</v>
      </c>
      <c r="AIP8" s="182">
        <v>69.2</v>
      </c>
      <c r="AIQ8" s="182">
        <v>69.2</v>
      </c>
      <c r="AIR8" s="182">
        <v>69.2</v>
      </c>
      <c r="AIS8" s="182">
        <v>69.2</v>
      </c>
      <c r="AIT8" s="182">
        <v>69.2</v>
      </c>
      <c r="AIU8" s="182">
        <v>69.2</v>
      </c>
      <c r="AIV8" s="182">
        <v>69.2</v>
      </c>
      <c r="AIW8" s="182">
        <v>69.2</v>
      </c>
      <c r="AIX8" s="182">
        <v>69.2</v>
      </c>
      <c r="AIY8" s="182">
        <v>69.2</v>
      </c>
      <c r="AIZ8" s="182">
        <v>69.2</v>
      </c>
      <c r="AJA8" s="182">
        <v>69.2</v>
      </c>
      <c r="AJB8" s="182">
        <v>69.2</v>
      </c>
      <c r="AJC8" s="182">
        <v>69.2</v>
      </c>
    </row>
    <row r="9" spans="1:939">
      <c r="A9" s="182">
        <v>51.9</v>
      </c>
      <c r="B9" s="182">
        <v>51.9</v>
      </c>
      <c r="C9" s="182">
        <v>51.9</v>
      </c>
      <c r="D9" s="182">
        <v>51.9</v>
      </c>
      <c r="E9" s="182">
        <v>51.9</v>
      </c>
      <c r="F9" s="182">
        <v>51.9</v>
      </c>
      <c r="G9" s="182">
        <v>51.9</v>
      </c>
      <c r="H9" s="182">
        <v>51.9</v>
      </c>
      <c r="I9" s="182">
        <v>51.9</v>
      </c>
      <c r="J9" s="182">
        <v>51.9</v>
      </c>
      <c r="K9" s="182">
        <v>51.9</v>
      </c>
      <c r="L9" s="182">
        <v>51.9</v>
      </c>
      <c r="M9" s="182">
        <v>51.9</v>
      </c>
      <c r="N9" s="182">
        <v>51.9</v>
      </c>
      <c r="O9" s="182">
        <v>51.9</v>
      </c>
      <c r="P9" s="182">
        <v>51.9</v>
      </c>
      <c r="Q9" s="182">
        <v>51.9</v>
      </c>
      <c r="R9" s="182">
        <v>51.9</v>
      </c>
      <c r="S9" s="182">
        <v>51.9</v>
      </c>
      <c r="T9" s="182">
        <v>51.9</v>
      </c>
      <c r="U9" s="182">
        <v>51.9</v>
      </c>
      <c r="V9" s="182">
        <v>51.9</v>
      </c>
      <c r="W9" s="182">
        <v>51.9</v>
      </c>
      <c r="X9" s="182">
        <v>51.9</v>
      </c>
      <c r="Y9" s="182">
        <v>51.9</v>
      </c>
      <c r="Z9" s="182">
        <v>51.9</v>
      </c>
      <c r="AA9" s="182">
        <v>51.9</v>
      </c>
      <c r="AB9" s="182">
        <v>51.9</v>
      </c>
      <c r="AC9" s="182">
        <v>51.9</v>
      </c>
      <c r="AD9" s="182">
        <v>51.9</v>
      </c>
      <c r="AE9" s="182">
        <v>51.9</v>
      </c>
      <c r="AF9" s="182">
        <v>51.9</v>
      </c>
      <c r="AG9" s="182">
        <v>51.9</v>
      </c>
      <c r="AH9" s="182">
        <v>51.9</v>
      </c>
      <c r="AI9" s="182">
        <v>51.9</v>
      </c>
      <c r="AJ9" s="182">
        <v>51.9</v>
      </c>
      <c r="AK9" s="182">
        <v>51.9</v>
      </c>
      <c r="AL9" s="182">
        <v>51.9</v>
      </c>
      <c r="AM9" s="182">
        <v>51.9</v>
      </c>
      <c r="AN9" s="182">
        <v>51.9</v>
      </c>
      <c r="AO9" s="182">
        <v>51.9</v>
      </c>
      <c r="AP9" s="182">
        <v>51.9</v>
      </c>
      <c r="AQ9" s="182">
        <v>51.9</v>
      </c>
      <c r="AR9" s="182">
        <v>51.9</v>
      </c>
      <c r="AS9" s="182">
        <v>51.9</v>
      </c>
      <c r="AT9" s="182">
        <v>51.9</v>
      </c>
      <c r="AU9" s="182">
        <v>51.9</v>
      </c>
      <c r="AV9" s="182">
        <v>51.9</v>
      </c>
      <c r="AW9" s="182">
        <v>51.9</v>
      </c>
      <c r="AX9" s="182">
        <v>51.9</v>
      </c>
      <c r="AY9" s="182">
        <v>51.9</v>
      </c>
      <c r="AZ9" s="182">
        <v>51.9</v>
      </c>
      <c r="CC9" s="182">
        <v>51.9</v>
      </c>
      <c r="CD9" s="182">
        <v>51.9</v>
      </c>
      <c r="CE9" s="182">
        <v>51.9</v>
      </c>
      <c r="CF9" s="182">
        <v>51.9</v>
      </c>
      <c r="CG9" s="182">
        <v>51.9</v>
      </c>
      <c r="CH9" s="182">
        <v>51.9</v>
      </c>
      <c r="CI9" s="182">
        <v>51.9</v>
      </c>
      <c r="CJ9" s="182">
        <v>51.9</v>
      </c>
      <c r="CK9" s="182">
        <v>51.9</v>
      </c>
      <c r="CL9" s="182">
        <v>51.9</v>
      </c>
      <c r="CM9" s="182">
        <v>51.9</v>
      </c>
      <c r="CN9" s="182">
        <v>51.9</v>
      </c>
      <c r="CO9" s="182">
        <v>51.9</v>
      </c>
      <c r="CP9" s="182">
        <v>51.9</v>
      </c>
      <c r="CQ9" s="182">
        <v>51.9</v>
      </c>
      <c r="CR9" s="182">
        <v>51.9</v>
      </c>
      <c r="CS9" s="182">
        <v>51.9</v>
      </c>
      <c r="CT9" s="182">
        <v>51.9</v>
      </c>
      <c r="CU9" s="182">
        <v>51.9</v>
      </c>
      <c r="CV9" s="182">
        <v>51.9</v>
      </c>
      <c r="CW9" s="182">
        <v>51.9</v>
      </c>
      <c r="CX9" s="182">
        <v>51.9</v>
      </c>
      <c r="CY9" s="182">
        <v>51.9</v>
      </c>
      <c r="CZ9" s="182">
        <v>51.9</v>
      </c>
      <c r="DA9" s="182">
        <v>51.9</v>
      </c>
      <c r="DB9" s="182">
        <v>51.9</v>
      </c>
      <c r="DC9" s="182">
        <v>51.9</v>
      </c>
      <c r="DD9" s="182">
        <v>51.9</v>
      </c>
      <c r="DE9" s="182">
        <v>51.9</v>
      </c>
      <c r="DF9" s="182">
        <v>51.9</v>
      </c>
      <c r="DG9" s="182">
        <v>51.9</v>
      </c>
      <c r="DH9" s="182">
        <v>51.9</v>
      </c>
      <c r="DI9" s="182">
        <v>51.9</v>
      </c>
      <c r="DJ9" s="182">
        <v>51.9</v>
      </c>
      <c r="DK9" s="182">
        <v>51.9</v>
      </c>
      <c r="DL9" s="182">
        <v>51.9</v>
      </c>
      <c r="DM9" s="182">
        <v>51.9</v>
      </c>
      <c r="DN9" s="182">
        <v>51.9</v>
      </c>
      <c r="DO9" s="182">
        <v>51.9</v>
      </c>
      <c r="DP9" s="182">
        <v>51.9</v>
      </c>
      <c r="DQ9" s="182">
        <v>51.9</v>
      </c>
      <c r="DR9" s="182">
        <v>51.9</v>
      </c>
      <c r="DS9" s="182">
        <v>51.9</v>
      </c>
      <c r="DT9" s="182">
        <v>51.9</v>
      </c>
      <c r="DU9" s="182">
        <v>51.9</v>
      </c>
      <c r="DV9" s="182">
        <v>51.9</v>
      </c>
      <c r="DW9" s="182">
        <v>51.9</v>
      </c>
      <c r="DX9" s="182">
        <v>51.9</v>
      </c>
      <c r="DY9" s="182">
        <v>51.9</v>
      </c>
      <c r="DZ9" s="182">
        <v>51.9</v>
      </c>
      <c r="EA9" s="182">
        <v>51.9</v>
      </c>
      <c r="EB9" s="182">
        <v>51.9</v>
      </c>
      <c r="EC9" s="182">
        <v>51.9</v>
      </c>
      <c r="ED9" s="182">
        <v>51.9</v>
      </c>
      <c r="EE9" s="182">
        <v>51.9</v>
      </c>
      <c r="EF9" s="182">
        <v>51.9</v>
      </c>
      <c r="EG9" s="182">
        <v>51.9</v>
      </c>
      <c r="EH9" s="182">
        <v>51.9</v>
      </c>
      <c r="FE9" s="182">
        <v>51.9</v>
      </c>
      <c r="FF9" s="182">
        <v>51.9</v>
      </c>
      <c r="FG9" s="182">
        <v>51.9</v>
      </c>
      <c r="FH9" s="182">
        <v>51.9</v>
      </c>
      <c r="FI9" s="182">
        <v>51.9</v>
      </c>
      <c r="FJ9" s="182">
        <v>51.9</v>
      </c>
      <c r="FK9" s="182">
        <v>51.9</v>
      </c>
      <c r="FL9" s="182">
        <v>51.9</v>
      </c>
      <c r="FM9" s="182">
        <v>51.9</v>
      </c>
      <c r="FN9" s="182">
        <v>51.9</v>
      </c>
      <c r="FO9" s="182">
        <v>51.9</v>
      </c>
      <c r="FP9" s="182">
        <v>51.9</v>
      </c>
      <c r="FQ9" s="182">
        <v>51.9</v>
      </c>
      <c r="FR9" s="182">
        <v>51.9</v>
      </c>
      <c r="FS9" s="182">
        <v>51.9</v>
      </c>
      <c r="FT9" s="182">
        <v>51.9</v>
      </c>
      <c r="FU9" s="182">
        <v>51.9</v>
      </c>
      <c r="FV9" s="182">
        <v>51.9</v>
      </c>
      <c r="FW9" s="182">
        <v>51.9</v>
      </c>
      <c r="FX9" s="182">
        <v>51.9</v>
      </c>
      <c r="FY9" s="182">
        <v>51.9</v>
      </c>
      <c r="FZ9" s="182">
        <v>51.9</v>
      </c>
      <c r="GA9" s="182">
        <v>51.9</v>
      </c>
      <c r="GB9" s="182">
        <v>51.9</v>
      </c>
      <c r="GC9" s="182">
        <v>51.9</v>
      </c>
      <c r="GD9" s="182">
        <v>51.9</v>
      </c>
      <c r="GE9" s="182">
        <v>51.9</v>
      </c>
      <c r="GF9" s="182">
        <v>51.9</v>
      </c>
      <c r="GG9" s="182">
        <v>51.9</v>
      </c>
      <c r="GH9" s="182">
        <v>51.9</v>
      </c>
      <c r="GI9" s="182">
        <v>51.9</v>
      </c>
      <c r="GJ9" s="182">
        <v>51.9</v>
      </c>
      <c r="GK9" s="182">
        <v>51.9</v>
      </c>
      <c r="GL9" s="182">
        <v>51.9</v>
      </c>
      <c r="GM9" s="182">
        <v>51.9</v>
      </c>
      <c r="GN9" s="182">
        <v>51.9</v>
      </c>
      <c r="GO9" s="182">
        <v>51.9</v>
      </c>
      <c r="GP9" s="182">
        <v>51.9</v>
      </c>
      <c r="GQ9" s="182">
        <v>51.9</v>
      </c>
      <c r="GR9" s="182">
        <v>51.9</v>
      </c>
      <c r="GS9" s="182">
        <v>51.9</v>
      </c>
      <c r="GT9" s="182">
        <v>51.9</v>
      </c>
      <c r="GU9" s="182">
        <v>51.9</v>
      </c>
      <c r="GV9" s="182">
        <v>51.9</v>
      </c>
      <c r="GW9" s="182">
        <v>51.9</v>
      </c>
      <c r="GX9" s="182">
        <v>51.9</v>
      </c>
      <c r="GY9" s="182">
        <v>51.9</v>
      </c>
      <c r="GZ9" s="182">
        <v>51.9</v>
      </c>
      <c r="HA9" s="182">
        <v>51.9</v>
      </c>
      <c r="HB9" s="182">
        <v>51.9</v>
      </c>
      <c r="HC9" s="182">
        <v>51.9</v>
      </c>
      <c r="HD9" s="182">
        <v>51.9</v>
      </c>
      <c r="HE9" s="182">
        <v>51.9</v>
      </c>
      <c r="HF9" s="182">
        <v>51.9</v>
      </c>
      <c r="HG9" s="182">
        <v>51.9</v>
      </c>
      <c r="HH9" s="182">
        <v>51.9</v>
      </c>
      <c r="HI9" s="182">
        <v>51.9</v>
      </c>
      <c r="HJ9" s="182">
        <v>51.9</v>
      </c>
      <c r="HK9" s="182">
        <v>51.9</v>
      </c>
      <c r="IG9" s="182">
        <v>51.9</v>
      </c>
      <c r="IH9" s="182">
        <v>51.9</v>
      </c>
      <c r="II9" s="182">
        <v>51.9</v>
      </c>
      <c r="IJ9" s="182">
        <v>51.9</v>
      </c>
      <c r="IK9" s="182">
        <v>51.9</v>
      </c>
      <c r="IL9" s="182">
        <v>51.9</v>
      </c>
      <c r="IM9" s="182">
        <v>51.9</v>
      </c>
      <c r="IN9" s="182">
        <v>51.9</v>
      </c>
      <c r="IO9" s="182">
        <v>51.9</v>
      </c>
      <c r="IP9" s="182">
        <v>51.9</v>
      </c>
      <c r="IQ9" s="182">
        <v>51.9</v>
      </c>
      <c r="IR9" s="182">
        <v>51.9</v>
      </c>
      <c r="IS9" s="182">
        <v>51.9</v>
      </c>
      <c r="IT9" s="182">
        <v>51.9</v>
      </c>
      <c r="IU9" s="182">
        <v>51.9</v>
      </c>
      <c r="IV9" s="182">
        <v>51.9</v>
      </c>
      <c r="IW9" s="182">
        <v>51.9</v>
      </c>
      <c r="IX9" s="182">
        <v>51.9</v>
      </c>
      <c r="IY9" s="182">
        <v>51.9</v>
      </c>
      <c r="IZ9" s="182">
        <v>51.9</v>
      </c>
      <c r="JA9" s="182">
        <v>51.9</v>
      </c>
      <c r="JB9" s="182">
        <v>51.9</v>
      </c>
      <c r="JC9" s="182">
        <v>51.9</v>
      </c>
      <c r="JD9" s="182">
        <v>51.9</v>
      </c>
      <c r="JE9" s="182">
        <v>51.9</v>
      </c>
      <c r="JF9" s="182">
        <v>51.9</v>
      </c>
      <c r="JG9" s="182">
        <v>51.9</v>
      </c>
      <c r="JH9" s="182">
        <v>51.9</v>
      </c>
      <c r="JI9" s="182">
        <v>51.9</v>
      </c>
      <c r="JJ9" s="182">
        <v>51.9</v>
      </c>
      <c r="JK9" s="182">
        <v>51.9</v>
      </c>
      <c r="JL9" s="182">
        <v>51.9</v>
      </c>
      <c r="JM9" s="182">
        <v>51.9</v>
      </c>
      <c r="JN9" s="182">
        <v>51.9</v>
      </c>
      <c r="JO9" s="182">
        <v>51.9</v>
      </c>
      <c r="JP9" s="182">
        <v>51.9</v>
      </c>
      <c r="JQ9" s="182">
        <v>51.9</v>
      </c>
      <c r="JR9" s="182">
        <v>51.9</v>
      </c>
      <c r="JS9" s="182">
        <v>51.9</v>
      </c>
      <c r="JT9" s="182">
        <v>51.9</v>
      </c>
      <c r="JU9" s="182">
        <v>51.9</v>
      </c>
      <c r="JV9" s="182">
        <v>51.9</v>
      </c>
      <c r="JW9" s="182">
        <v>51.9</v>
      </c>
      <c r="JX9" s="182">
        <v>51.9</v>
      </c>
      <c r="JY9" s="182">
        <v>51.9</v>
      </c>
      <c r="JZ9" s="182">
        <v>51.9</v>
      </c>
      <c r="KA9" s="182">
        <v>51.9</v>
      </c>
      <c r="KB9" s="182">
        <v>51.9</v>
      </c>
      <c r="KC9" s="182">
        <v>51.9</v>
      </c>
      <c r="KD9" s="182">
        <v>51.9</v>
      </c>
      <c r="KE9" s="182">
        <v>51.9</v>
      </c>
      <c r="KF9" s="182">
        <v>51.9</v>
      </c>
      <c r="KG9" s="182">
        <v>51.9</v>
      </c>
      <c r="KH9" s="182">
        <v>51.9</v>
      </c>
      <c r="KI9" s="182">
        <v>51.9</v>
      </c>
      <c r="KJ9" s="182">
        <v>51.9</v>
      </c>
      <c r="KK9" s="182">
        <v>51.9</v>
      </c>
      <c r="KL9" s="182">
        <v>51.9</v>
      </c>
      <c r="LI9" s="182">
        <v>51.9</v>
      </c>
      <c r="LJ9" s="182">
        <v>51.9</v>
      </c>
      <c r="LK9" s="182">
        <v>51.9</v>
      </c>
      <c r="LL9" s="182">
        <v>51.9</v>
      </c>
      <c r="LM9" s="182">
        <v>51.9</v>
      </c>
      <c r="LN9" s="182">
        <v>51.9</v>
      </c>
      <c r="LO9" s="182">
        <v>51.9</v>
      </c>
      <c r="LP9" s="182">
        <v>51.9</v>
      </c>
      <c r="LQ9" s="182">
        <v>51.9</v>
      </c>
      <c r="LR9" s="182">
        <v>51.9</v>
      </c>
      <c r="LS9" s="182">
        <v>51.9</v>
      </c>
      <c r="LT9" s="182">
        <v>51.9</v>
      </c>
      <c r="LU9" s="182">
        <v>51.9</v>
      </c>
      <c r="LV9" s="182">
        <v>51.9</v>
      </c>
      <c r="LW9" s="182">
        <v>51.9</v>
      </c>
      <c r="LX9" s="182">
        <v>51.9</v>
      </c>
      <c r="LY9" s="182">
        <v>51.9</v>
      </c>
      <c r="LZ9" s="182">
        <v>51.9</v>
      </c>
      <c r="MA9" s="182">
        <v>51.9</v>
      </c>
      <c r="MB9" s="182">
        <v>51.9</v>
      </c>
      <c r="MC9" s="182">
        <v>51.9</v>
      </c>
      <c r="MD9" s="182">
        <v>51.9</v>
      </c>
      <c r="ME9" s="182">
        <v>51.9</v>
      </c>
      <c r="MF9" s="182">
        <v>51.9</v>
      </c>
      <c r="MG9" s="182">
        <v>51.9</v>
      </c>
      <c r="MH9" s="182">
        <v>51.9</v>
      </c>
      <c r="MI9" s="182">
        <v>51.9</v>
      </c>
      <c r="MJ9" s="182">
        <v>51.9</v>
      </c>
      <c r="MK9" s="182">
        <v>51.9</v>
      </c>
      <c r="ML9" s="182">
        <v>51.9</v>
      </c>
      <c r="MM9" s="182">
        <v>51.9</v>
      </c>
      <c r="MN9" s="182">
        <v>51.9</v>
      </c>
      <c r="MO9" s="182">
        <v>51.9</v>
      </c>
      <c r="MP9" s="182">
        <v>51.9</v>
      </c>
      <c r="MQ9" s="182">
        <v>51.9</v>
      </c>
      <c r="MR9" s="182">
        <v>51.9</v>
      </c>
      <c r="MS9" s="182">
        <v>51.9</v>
      </c>
      <c r="MT9" s="182">
        <v>51.9</v>
      </c>
      <c r="MU9" s="182">
        <v>51.9</v>
      </c>
      <c r="MV9" s="182">
        <v>51.9</v>
      </c>
      <c r="MW9" s="182">
        <v>51.9</v>
      </c>
      <c r="MX9" s="182">
        <v>51.9</v>
      </c>
      <c r="MY9" s="182">
        <v>51.9</v>
      </c>
      <c r="MZ9" s="182">
        <v>51.9</v>
      </c>
      <c r="NA9" s="182">
        <v>51.9</v>
      </c>
      <c r="NB9" s="182">
        <v>51.9</v>
      </c>
      <c r="NC9" s="182">
        <v>51.9</v>
      </c>
      <c r="ND9" s="182">
        <v>51.9</v>
      </c>
      <c r="NE9" s="182">
        <v>51.9</v>
      </c>
      <c r="NF9" s="182">
        <v>51.9</v>
      </c>
      <c r="NG9" s="182">
        <v>51.9</v>
      </c>
      <c r="NH9" s="182">
        <v>51.9</v>
      </c>
      <c r="NI9" s="182">
        <v>51.9</v>
      </c>
      <c r="NJ9" s="182">
        <v>51.9</v>
      </c>
      <c r="NK9" s="182">
        <v>51.9</v>
      </c>
      <c r="NL9" s="182">
        <v>51.9</v>
      </c>
      <c r="NM9" s="182">
        <v>51.9</v>
      </c>
      <c r="NN9" s="182">
        <v>51.9</v>
      </c>
      <c r="NO9" s="182">
        <v>51.9</v>
      </c>
      <c r="NP9" s="182">
        <v>51.9</v>
      </c>
      <c r="NQ9" s="182">
        <v>51.9</v>
      </c>
      <c r="OK9" s="182">
        <v>51.9</v>
      </c>
      <c r="OL9" s="182">
        <v>51.9</v>
      </c>
      <c r="OM9" s="182">
        <v>51.9</v>
      </c>
      <c r="ON9" s="182">
        <v>51.9</v>
      </c>
      <c r="OO9" s="182">
        <v>51.9</v>
      </c>
      <c r="OP9" s="182">
        <v>51.9</v>
      </c>
      <c r="OQ9" s="182">
        <v>51.9</v>
      </c>
      <c r="OR9" s="182">
        <v>51.9</v>
      </c>
      <c r="OS9" s="182">
        <v>51.9</v>
      </c>
      <c r="OT9" s="182">
        <v>51.9</v>
      </c>
      <c r="OU9" s="182">
        <v>51.9</v>
      </c>
      <c r="OV9" s="182">
        <v>51.9</v>
      </c>
      <c r="OW9" s="182">
        <v>51.9</v>
      </c>
      <c r="OX9" s="182">
        <v>51.9</v>
      </c>
      <c r="OY9" s="182">
        <v>51.9</v>
      </c>
      <c r="OZ9" s="182">
        <v>51.9</v>
      </c>
      <c r="PA9" s="182">
        <v>51.9</v>
      </c>
      <c r="PB9" s="182">
        <v>51.9</v>
      </c>
      <c r="PC9" s="182">
        <v>51.9</v>
      </c>
      <c r="PD9" s="182">
        <v>51.9</v>
      </c>
      <c r="PE9" s="182">
        <v>51.9</v>
      </c>
      <c r="PF9" s="182">
        <v>51.9</v>
      </c>
      <c r="PG9" s="182">
        <v>51.9</v>
      </c>
      <c r="PH9" s="182">
        <v>51.9</v>
      </c>
      <c r="PI9" s="182">
        <v>51.9</v>
      </c>
      <c r="PJ9" s="182">
        <v>51.9</v>
      </c>
      <c r="PK9" s="182">
        <v>51.9</v>
      </c>
      <c r="PL9" s="182">
        <v>51.9</v>
      </c>
      <c r="PM9" s="182">
        <v>51.9</v>
      </c>
      <c r="PN9" s="182">
        <v>51.9</v>
      </c>
      <c r="PO9" s="182">
        <v>51.9</v>
      </c>
      <c r="PP9" s="182">
        <v>51.9</v>
      </c>
      <c r="PQ9" s="182">
        <v>51.9</v>
      </c>
      <c r="PR9" s="182">
        <v>51.9</v>
      </c>
      <c r="PS9" s="182">
        <v>51.9</v>
      </c>
      <c r="PT9" s="182">
        <v>51.9</v>
      </c>
      <c r="PU9" s="182">
        <v>51.9</v>
      </c>
      <c r="PV9" s="182">
        <v>51.9</v>
      </c>
      <c r="PW9" s="182">
        <v>51.9</v>
      </c>
      <c r="PX9" s="182">
        <v>51.9</v>
      </c>
      <c r="PY9" s="182">
        <v>51.9</v>
      </c>
      <c r="PZ9" s="182">
        <v>51.9</v>
      </c>
      <c r="QA9" s="182">
        <v>51.9</v>
      </c>
      <c r="QB9" s="182">
        <v>51.9</v>
      </c>
      <c r="QC9" s="182">
        <v>51.9</v>
      </c>
      <c r="QD9" s="182">
        <v>51.9</v>
      </c>
      <c r="QE9" s="182">
        <v>51.9</v>
      </c>
      <c r="QF9" s="182">
        <v>51.9</v>
      </c>
      <c r="QG9" s="182">
        <v>51.9</v>
      </c>
      <c r="QH9" s="182">
        <v>51.9</v>
      </c>
      <c r="QI9" s="182">
        <v>51.9</v>
      </c>
      <c r="QJ9" s="182">
        <v>51.9</v>
      </c>
      <c r="QK9" s="182">
        <v>51.9</v>
      </c>
      <c r="QL9" s="182">
        <v>51.9</v>
      </c>
      <c r="QM9" s="182">
        <v>51.9</v>
      </c>
      <c r="QN9" s="182">
        <v>51.9</v>
      </c>
      <c r="QO9" s="182">
        <v>51.9</v>
      </c>
      <c r="QP9" s="182">
        <v>51.9</v>
      </c>
      <c r="QQ9" s="182">
        <v>51.9</v>
      </c>
      <c r="QR9" s="182">
        <v>51.9</v>
      </c>
      <c r="RM9" s="182">
        <v>51.9</v>
      </c>
      <c r="RN9" s="182">
        <v>51.9</v>
      </c>
      <c r="RO9" s="182">
        <v>51.9</v>
      </c>
      <c r="RP9" s="182">
        <v>51.9</v>
      </c>
      <c r="RQ9" s="182">
        <v>51.9</v>
      </c>
      <c r="RR9" s="182">
        <v>51.9</v>
      </c>
      <c r="RS9" s="182">
        <v>51.9</v>
      </c>
      <c r="RT9" s="182">
        <v>51.9</v>
      </c>
      <c r="RU9" s="182">
        <v>51.9</v>
      </c>
      <c r="RV9" s="182">
        <v>51.9</v>
      </c>
      <c r="RW9" s="182">
        <v>51.9</v>
      </c>
      <c r="RX9" s="182">
        <v>51.9</v>
      </c>
      <c r="RY9" s="182">
        <v>51.9</v>
      </c>
      <c r="RZ9" s="182">
        <v>51.9</v>
      </c>
      <c r="SA9" s="182">
        <v>51.9</v>
      </c>
      <c r="SB9" s="182">
        <v>51.9</v>
      </c>
      <c r="SC9" s="182">
        <v>51.9</v>
      </c>
      <c r="SD9" s="182">
        <v>51.9</v>
      </c>
      <c r="SE9" s="182">
        <v>51.9</v>
      </c>
      <c r="SF9" s="182">
        <v>51.9</v>
      </c>
      <c r="SG9" s="182">
        <v>51.9</v>
      </c>
      <c r="SH9" s="182">
        <v>51.9</v>
      </c>
      <c r="SI9" s="182">
        <v>51.9</v>
      </c>
      <c r="SJ9" s="182">
        <v>51.9</v>
      </c>
      <c r="SK9" s="182">
        <v>51.9</v>
      </c>
      <c r="SL9" s="182">
        <v>51.9</v>
      </c>
      <c r="SM9" s="182">
        <v>51.9</v>
      </c>
      <c r="SN9" s="182">
        <v>51.9</v>
      </c>
      <c r="SO9" s="182">
        <v>51.9</v>
      </c>
      <c r="SP9" s="182">
        <v>51.9</v>
      </c>
      <c r="SQ9" s="182">
        <v>51.9</v>
      </c>
      <c r="SR9" s="182">
        <v>51.9</v>
      </c>
      <c r="SS9" s="182">
        <v>51.9</v>
      </c>
      <c r="ST9" s="182">
        <v>51.9</v>
      </c>
      <c r="SU9" s="182">
        <v>51.9</v>
      </c>
      <c r="SV9" s="182">
        <v>51.9</v>
      </c>
      <c r="SW9" s="182">
        <v>51.9</v>
      </c>
      <c r="SX9" s="182">
        <v>51.9</v>
      </c>
      <c r="SY9" s="182">
        <v>51.9</v>
      </c>
      <c r="SZ9" s="182">
        <v>51.9</v>
      </c>
      <c r="TA9" s="182">
        <v>51.9</v>
      </c>
      <c r="TB9" s="182">
        <v>51.9</v>
      </c>
      <c r="TC9" s="182">
        <v>51.9</v>
      </c>
      <c r="TD9" s="182">
        <v>51.9</v>
      </c>
      <c r="TE9" s="182">
        <v>51.9</v>
      </c>
      <c r="TF9" s="182">
        <v>51.9</v>
      </c>
      <c r="TG9" s="182">
        <v>51.9</v>
      </c>
      <c r="TH9" s="182">
        <v>51.9</v>
      </c>
      <c r="TI9" s="182">
        <v>51.9</v>
      </c>
      <c r="TJ9" s="182">
        <v>51.9</v>
      </c>
      <c r="TK9" s="182">
        <v>51.9</v>
      </c>
      <c r="TL9" s="182">
        <v>51.9</v>
      </c>
      <c r="TM9" s="182">
        <v>51.9</v>
      </c>
      <c r="TN9" s="182">
        <v>51.9</v>
      </c>
      <c r="TO9" s="182">
        <v>51.9</v>
      </c>
      <c r="TP9" s="182">
        <v>51.9</v>
      </c>
      <c r="TQ9" s="182">
        <v>51.9</v>
      </c>
      <c r="TR9" s="182">
        <v>51.9</v>
      </c>
      <c r="TS9" s="182">
        <v>51.9</v>
      </c>
      <c r="TT9" s="182">
        <v>51.9</v>
      </c>
      <c r="UO9" s="182">
        <v>51.9</v>
      </c>
      <c r="UP9" s="182">
        <v>51.9</v>
      </c>
      <c r="UQ9" s="182">
        <v>51.9</v>
      </c>
      <c r="UR9" s="182">
        <v>51.9</v>
      </c>
      <c r="US9" s="182">
        <v>51.9</v>
      </c>
      <c r="UT9" s="182">
        <v>51.9</v>
      </c>
      <c r="UU9" s="182">
        <v>51.9</v>
      </c>
      <c r="UV9" s="182">
        <v>51.9</v>
      </c>
      <c r="UW9" s="182">
        <v>51.9</v>
      </c>
      <c r="UX9" s="182">
        <v>51.9</v>
      </c>
      <c r="UY9" s="182">
        <v>51.9</v>
      </c>
      <c r="UZ9" s="182">
        <v>51.9</v>
      </c>
      <c r="VA9" s="182">
        <v>51.9</v>
      </c>
      <c r="VB9" s="182">
        <v>51.9</v>
      </c>
      <c r="VC9" s="182">
        <v>51.9</v>
      </c>
      <c r="VD9" s="182">
        <v>51.9</v>
      </c>
      <c r="VE9" s="182">
        <v>51.9</v>
      </c>
      <c r="VF9" s="182">
        <v>51.9</v>
      </c>
      <c r="VG9" s="182">
        <v>51.9</v>
      </c>
      <c r="VH9" s="182">
        <v>51.9</v>
      </c>
      <c r="VI9" s="182">
        <v>51.9</v>
      </c>
      <c r="VJ9" s="182">
        <v>51.9</v>
      </c>
      <c r="VK9" s="182">
        <v>51.9</v>
      </c>
      <c r="VL9" s="182">
        <v>51.9</v>
      </c>
      <c r="VM9" s="182">
        <v>51.9</v>
      </c>
      <c r="VN9" s="182">
        <v>51.9</v>
      </c>
      <c r="VO9" s="182">
        <v>51.9</v>
      </c>
      <c r="VP9" s="182">
        <v>51.9</v>
      </c>
      <c r="VQ9" s="182">
        <v>51.9</v>
      </c>
      <c r="VR9" s="182">
        <v>51.9</v>
      </c>
      <c r="VS9" s="182">
        <v>51.9</v>
      </c>
      <c r="VT9" s="182">
        <v>51.9</v>
      </c>
      <c r="VU9" s="182">
        <v>51.9</v>
      </c>
      <c r="VV9" s="182">
        <v>51.9</v>
      </c>
      <c r="VW9" s="182">
        <v>51.9</v>
      </c>
      <c r="VX9" s="182">
        <v>51.9</v>
      </c>
      <c r="VY9" s="182">
        <v>51.9</v>
      </c>
      <c r="VZ9" s="182">
        <v>51.9</v>
      </c>
      <c r="WA9" s="182">
        <v>51.9</v>
      </c>
      <c r="WB9" s="182">
        <v>51.9</v>
      </c>
      <c r="WC9" s="182">
        <v>51.9</v>
      </c>
      <c r="WD9" s="182">
        <v>51.9</v>
      </c>
      <c r="WE9" s="182">
        <v>51.9</v>
      </c>
      <c r="WF9" s="182">
        <v>51.9</v>
      </c>
      <c r="WG9" s="182">
        <v>51.9</v>
      </c>
      <c r="WH9" s="182">
        <v>51.9</v>
      </c>
      <c r="WI9" s="182">
        <v>51.9</v>
      </c>
      <c r="WJ9" s="182">
        <v>51.9</v>
      </c>
      <c r="WK9" s="182">
        <v>51.9</v>
      </c>
      <c r="WL9" s="182">
        <v>51.9</v>
      </c>
      <c r="WM9" s="182">
        <v>51.9</v>
      </c>
      <c r="WN9" s="182">
        <v>51.9</v>
      </c>
      <c r="WO9" s="182">
        <v>51.9</v>
      </c>
      <c r="WP9" s="182">
        <v>51.9</v>
      </c>
      <c r="WQ9" s="182">
        <v>51.9</v>
      </c>
      <c r="WR9" s="182">
        <v>51.9</v>
      </c>
      <c r="WS9" s="182">
        <v>51.9</v>
      </c>
      <c r="WT9" s="182">
        <v>51.9</v>
      </c>
      <c r="WU9" s="182">
        <v>51.9</v>
      </c>
      <c r="WV9" s="182">
        <v>51.9</v>
      </c>
      <c r="XQ9" s="182">
        <v>51.9</v>
      </c>
      <c r="XR9" s="182">
        <v>51.9</v>
      </c>
      <c r="XS9" s="182">
        <v>51.9</v>
      </c>
      <c r="XT9" s="182">
        <v>51.9</v>
      </c>
      <c r="XU9" s="182">
        <v>51.9</v>
      </c>
      <c r="XV9" s="182">
        <v>51.9</v>
      </c>
      <c r="XW9" s="182">
        <v>51.9</v>
      </c>
      <c r="XX9" s="182">
        <v>51.9</v>
      </c>
      <c r="XY9" s="182">
        <v>51.9</v>
      </c>
      <c r="XZ9" s="182">
        <v>51.9</v>
      </c>
      <c r="YA9" s="182">
        <v>51.9</v>
      </c>
      <c r="YB9" s="182">
        <v>51.9</v>
      </c>
      <c r="YC9" s="182">
        <v>51.9</v>
      </c>
      <c r="YD9" s="182">
        <v>51.9</v>
      </c>
      <c r="YE9" s="182">
        <v>51.9</v>
      </c>
      <c r="YF9" s="182">
        <v>51.9</v>
      </c>
      <c r="YG9" s="182">
        <v>51.9</v>
      </c>
      <c r="YH9" s="182">
        <v>51.9</v>
      </c>
      <c r="YI9" s="182">
        <v>51.9</v>
      </c>
      <c r="YJ9" s="182">
        <v>51.9</v>
      </c>
      <c r="YK9" s="182">
        <v>51.9</v>
      </c>
      <c r="YL9" s="182">
        <v>51.9</v>
      </c>
      <c r="YM9" s="182">
        <v>51.9</v>
      </c>
      <c r="YN9" s="182">
        <v>51.9</v>
      </c>
      <c r="YO9" s="182">
        <v>51.9</v>
      </c>
      <c r="YP9" s="182">
        <v>51.9</v>
      </c>
      <c r="YQ9" s="182">
        <v>51.9</v>
      </c>
      <c r="YR9" s="182">
        <v>51.9</v>
      </c>
      <c r="YS9" s="182">
        <v>51.9</v>
      </c>
      <c r="YT9" s="182">
        <v>51.9</v>
      </c>
      <c r="YU9" s="182">
        <v>51.9</v>
      </c>
      <c r="YV9" s="182">
        <v>51.9</v>
      </c>
      <c r="YW9" s="182">
        <v>51.9</v>
      </c>
      <c r="YX9" s="182">
        <v>51.9</v>
      </c>
      <c r="YY9" s="182">
        <v>51.9</v>
      </c>
      <c r="YZ9" s="182">
        <v>51.9</v>
      </c>
      <c r="ZA9" s="182">
        <v>51.9</v>
      </c>
      <c r="ZB9" s="182">
        <v>51.9</v>
      </c>
      <c r="ZC9" s="182">
        <v>51.9</v>
      </c>
      <c r="ZD9" s="182">
        <v>51.9</v>
      </c>
      <c r="ZE9" s="182">
        <v>51.9</v>
      </c>
      <c r="ZF9" s="182">
        <v>51.9</v>
      </c>
      <c r="ZG9" s="182">
        <v>51.9</v>
      </c>
      <c r="ZH9" s="182">
        <v>51.9</v>
      </c>
      <c r="ZI9" s="182">
        <v>51.9</v>
      </c>
      <c r="ZJ9" s="182">
        <v>51.9</v>
      </c>
      <c r="ZK9" s="182">
        <v>51.9</v>
      </c>
      <c r="ZL9" s="182">
        <v>51.9</v>
      </c>
      <c r="ZM9" s="182">
        <v>51.9</v>
      </c>
      <c r="ZN9" s="182">
        <v>51.9</v>
      </c>
      <c r="ZO9" s="182">
        <v>51.9</v>
      </c>
      <c r="ZP9" s="182">
        <v>51.9</v>
      </c>
      <c r="ZQ9" s="182">
        <v>51.9</v>
      </c>
      <c r="ZR9" s="182">
        <v>51.9</v>
      </c>
      <c r="ZS9" s="182">
        <v>51.9</v>
      </c>
      <c r="ZT9" s="182">
        <v>51.9</v>
      </c>
      <c r="ZU9" s="182">
        <v>51.9</v>
      </c>
      <c r="ZV9" s="182">
        <v>51.9</v>
      </c>
      <c r="ZW9" s="182">
        <v>51.9</v>
      </c>
      <c r="ZX9" s="182">
        <v>51.9</v>
      </c>
      <c r="AAS9" s="182">
        <v>51.9</v>
      </c>
      <c r="AAT9" s="182">
        <v>51.9</v>
      </c>
      <c r="AAU9" s="182">
        <v>51.9</v>
      </c>
      <c r="AAV9" s="182">
        <v>51.9</v>
      </c>
      <c r="AAW9" s="182">
        <v>51.9</v>
      </c>
      <c r="AAX9" s="182">
        <v>51.9</v>
      </c>
      <c r="AAY9" s="182">
        <v>51.9</v>
      </c>
      <c r="AAZ9" s="182">
        <v>51.9</v>
      </c>
      <c r="ABA9" s="182">
        <v>51.9</v>
      </c>
      <c r="ABB9" s="182">
        <v>51.9</v>
      </c>
      <c r="ABC9" s="182">
        <v>51.9</v>
      </c>
      <c r="ABD9" s="182">
        <v>51.9</v>
      </c>
      <c r="ABE9" s="182">
        <v>51.9</v>
      </c>
      <c r="ABF9" s="182">
        <v>51.9</v>
      </c>
      <c r="ABG9" s="182">
        <v>51.9</v>
      </c>
      <c r="ABH9" s="182">
        <v>51.9</v>
      </c>
      <c r="ABI9" s="182">
        <v>51.9</v>
      </c>
      <c r="ABJ9" s="182">
        <v>51.9</v>
      </c>
      <c r="ABK9" s="182">
        <v>51.9</v>
      </c>
      <c r="ABL9" s="182">
        <v>51.9</v>
      </c>
      <c r="ABM9" s="182">
        <v>51.9</v>
      </c>
      <c r="ABN9" s="182">
        <v>51.9</v>
      </c>
      <c r="ABO9" s="182">
        <v>51.9</v>
      </c>
      <c r="ABP9" s="182">
        <v>51.9</v>
      </c>
      <c r="ABQ9" s="182">
        <v>51.9</v>
      </c>
      <c r="ABR9" s="182">
        <v>51.9</v>
      </c>
      <c r="ABS9" s="182">
        <v>51.9</v>
      </c>
      <c r="ABT9" s="182">
        <v>51.9</v>
      </c>
      <c r="ABU9" s="182">
        <v>51.9</v>
      </c>
      <c r="ABV9" s="182">
        <v>51.9</v>
      </c>
      <c r="ABW9" s="182">
        <v>51.9</v>
      </c>
      <c r="ABX9" s="182">
        <v>51.9</v>
      </c>
      <c r="ABY9" s="182">
        <v>51.9</v>
      </c>
      <c r="ABZ9" s="182">
        <v>51.9</v>
      </c>
      <c r="ACA9" s="182">
        <v>51.9</v>
      </c>
      <c r="ACB9" s="182">
        <v>51.9</v>
      </c>
      <c r="ACC9" s="182">
        <v>51.9</v>
      </c>
      <c r="ACD9" s="182">
        <v>51.9</v>
      </c>
      <c r="ACE9" s="182">
        <v>51.9</v>
      </c>
      <c r="ACF9" s="182">
        <v>51.9</v>
      </c>
      <c r="ACG9" s="182">
        <v>51.9</v>
      </c>
      <c r="ACH9" s="182">
        <v>51.9</v>
      </c>
      <c r="ACI9" s="182">
        <v>51.9</v>
      </c>
      <c r="ACJ9" s="182">
        <v>51.9</v>
      </c>
      <c r="ACK9" s="182">
        <v>51.9</v>
      </c>
      <c r="ACL9" s="182">
        <v>51.9</v>
      </c>
      <c r="ACM9" s="182">
        <v>51.9</v>
      </c>
      <c r="ACN9" s="182">
        <v>51.9</v>
      </c>
      <c r="ACO9" s="182">
        <v>51.9</v>
      </c>
      <c r="ACP9" s="182">
        <v>51.9</v>
      </c>
      <c r="ACQ9" s="182">
        <v>51.9</v>
      </c>
      <c r="ACR9" s="182">
        <v>51.9</v>
      </c>
      <c r="ACS9" s="182">
        <v>51.9</v>
      </c>
      <c r="ACT9" s="182">
        <v>51.9</v>
      </c>
      <c r="ACU9" s="182">
        <v>51.9</v>
      </c>
      <c r="ACV9" s="182">
        <v>51.9</v>
      </c>
      <c r="ACW9" s="182">
        <v>51.9</v>
      </c>
      <c r="ACX9" s="182">
        <v>51.9</v>
      </c>
      <c r="ACY9" s="182">
        <v>51.9</v>
      </c>
      <c r="ADU9" s="182">
        <v>51.9</v>
      </c>
      <c r="ADV9" s="182">
        <v>51.9</v>
      </c>
      <c r="ADW9" s="182">
        <v>51.9</v>
      </c>
      <c r="ADX9" s="182">
        <v>51.9</v>
      </c>
      <c r="ADY9" s="182">
        <v>51.9</v>
      </c>
      <c r="ADZ9" s="182">
        <v>51.9</v>
      </c>
      <c r="AEA9" s="182">
        <v>51.9</v>
      </c>
      <c r="AEB9" s="182">
        <v>51.9</v>
      </c>
      <c r="AEC9" s="182">
        <v>51.9</v>
      </c>
      <c r="AED9" s="182">
        <v>51.9</v>
      </c>
      <c r="AEE9" s="182">
        <v>51.9</v>
      </c>
      <c r="AEF9" s="182">
        <v>51.9</v>
      </c>
      <c r="AEG9" s="182">
        <v>51.9</v>
      </c>
      <c r="AEH9" s="182">
        <v>51.9</v>
      </c>
      <c r="AEI9" s="182">
        <v>51.9</v>
      </c>
      <c r="AEJ9" s="182">
        <v>51.9</v>
      </c>
      <c r="AEK9" s="182">
        <v>51.9</v>
      </c>
      <c r="AEL9" s="182">
        <v>51.9</v>
      </c>
      <c r="AEM9" s="182">
        <v>51.9</v>
      </c>
      <c r="AEN9" s="182">
        <v>51.9</v>
      </c>
      <c r="AEO9" s="182">
        <v>51.9</v>
      </c>
      <c r="AEP9" s="182">
        <v>51.9</v>
      </c>
      <c r="AEQ9" s="182">
        <v>51.9</v>
      </c>
      <c r="AER9" s="182">
        <v>51.9</v>
      </c>
      <c r="AES9" s="182">
        <v>51.9</v>
      </c>
      <c r="AET9" s="182">
        <v>51.9</v>
      </c>
      <c r="AEU9" s="182">
        <v>51.9</v>
      </c>
      <c r="AEV9" s="182">
        <v>51.9</v>
      </c>
      <c r="AEW9" s="182">
        <v>51.9</v>
      </c>
      <c r="AEX9" s="182">
        <v>51.9</v>
      </c>
      <c r="AEY9" s="182">
        <v>51.9</v>
      </c>
      <c r="AEZ9" s="182">
        <v>51.9</v>
      </c>
      <c r="AFA9" s="182">
        <v>51.9</v>
      </c>
      <c r="AFB9" s="182">
        <v>51.9</v>
      </c>
      <c r="AFC9" s="182">
        <v>51.9</v>
      </c>
      <c r="AFD9" s="182">
        <v>51.9</v>
      </c>
      <c r="AFE9" s="182">
        <v>51.9</v>
      </c>
      <c r="AFF9" s="182">
        <v>51.9</v>
      </c>
      <c r="AFG9" s="182">
        <v>51.9</v>
      </c>
      <c r="AFH9" s="182">
        <v>51.9</v>
      </c>
      <c r="AFI9" s="182">
        <v>51.9</v>
      </c>
      <c r="AFJ9" s="182">
        <v>51.9</v>
      </c>
      <c r="AFK9" s="182">
        <v>51.9</v>
      </c>
      <c r="AFL9" s="182">
        <v>51.9</v>
      </c>
      <c r="AFM9" s="182">
        <v>51.9</v>
      </c>
      <c r="AFN9" s="182">
        <v>51.9</v>
      </c>
      <c r="AFO9" s="182">
        <v>51.9</v>
      </c>
      <c r="AFP9" s="182">
        <v>51.9</v>
      </c>
      <c r="AFQ9" s="182">
        <v>51.9</v>
      </c>
      <c r="AFR9" s="182">
        <v>51.9</v>
      </c>
      <c r="AFS9" s="182">
        <v>51.9</v>
      </c>
      <c r="AFT9" s="182">
        <v>51.9</v>
      </c>
      <c r="AFU9" s="182">
        <v>51.9</v>
      </c>
      <c r="AFV9" s="182">
        <v>51.9</v>
      </c>
      <c r="AFW9" s="182">
        <v>51.9</v>
      </c>
      <c r="AFX9" s="182">
        <v>51.9</v>
      </c>
      <c r="AFY9" s="182">
        <v>51.9</v>
      </c>
      <c r="AFZ9" s="182">
        <v>51.9</v>
      </c>
      <c r="AGA9" s="182">
        <v>51.9</v>
      </c>
      <c r="AGW9" s="182">
        <v>51.9</v>
      </c>
      <c r="AGX9" s="182">
        <v>51.9</v>
      </c>
      <c r="AGY9" s="182">
        <v>51.9</v>
      </c>
      <c r="AGZ9" s="182">
        <v>51.9</v>
      </c>
      <c r="AHA9" s="182">
        <v>51.9</v>
      </c>
      <c r="AHB9" s="182">
        <v>51.9</v>
      </c>
      <c r="AHC9" s="182">
        <v>51.9</v>
      </c>
      <c r="AHD9" s="182">
        <v>51.9</v>
      </c>
      <c r="AHE9" s="182">
        <v>51.9</v>
      </c>
      <c r="AHF9" s="182">
        <v>51.9</v>
      </c>
      <c r="AHG9" s="182">
        <v>51.9</v>
      </c>
      <c r="AHH9" s="182">
        <v>51.9</v>
      </c>
      <c r="AHI9" s="182">
        <v>51.9</v>
      </c>
      <c r="AHJ9" s="182">
        <v>51.9</v>
      </c>
      <c r="AHK9" s="182">
        <v>51.9</v>
      </c>
      <c r="AHL9" s="182">
        <v>51.9</v>
      </c>
      <c r="AHM9" s="182">
        <v>51.9</v>
      </c>
      <c r="AHN9" s="182">
        <v>51.9</v>
      </c>
      <c r="AHO9" s="182">
        <v>51.9</v>
      </c>
      <c r="AHP9" s="182">
        <v>51.9</v>
      </c>
      <c r="AHQ9" s="182">
        <v>51.9</v>
      </c>
      <c r="AHR9" s="182">
        <v>51.9</v>
      </c>
      <c r="AHS9" s="182">
        <v>51.9</v>
      </c>
      <c r="AHT9" s="182">
        <v>51.9</v>
      </c>
      <c r="AHU9" s="182">
        <v>51.9</v>
      </c>
      <c r="AHV9" s="182">
        <v>51.9</v>
      </c>
      <c r="AHW9" s="182">
        <v>51.9</v>
      </c>
      <c r="AHX9" s="182">
        <v>51.9</v>
      </c>
      <c r="AHY9" s="182">
        <v>51.9</v>
      </c>
      <c r="AHZ9" s="182">
        <v>51.9</v>
      </c>
      <c r="AIA9" s="182">
        <v>51.9</v>
      </c>
      <c r="AIB9" s="182">
        <v>51.9</v>
      </c>
      <c r="AIC9" s="182">
        <v>51.9</v>
      </c>
      <c r="AID9" s="182">
        <v>51.9</v>
      </c>
      <c r="AIE9" s="182">
        <v>51.9</v>
      </c>
      <c r="AIF9" s="182">
        <v>51.9</v>
      </c>
      <c r="AIG9" s="182">
        <v>51.9</v>
      </c>
      <c r="AIH9" s="182">
        <v>51.9</v>
      </c>
      <c r="AII9" s="182">
        <v>51.9</v>
      </c>
      <c r="AIJ9" s="182">
        <v>51.9</v>
      </c>
      <c r="AIK9" s="182">
        <v>51.9</v>
      </c>
      <c r="AIL9" s="182">
        <v>51.9</v>
      </c>
      <c r="AIM9" s="182">
        <v>51.9</v>
      </c>
      <c r="AIN9" s="182">
        <v>51.9</v>
      </c>
      <c r="AIO9" s="182">
        <v>51.9</v>
      </c>
      <c r="AIP9" s="182">
        <v>51.9</v>
      </c>
      <c r="AIQ9" s="182">
        <v>51.9</v>
      </c>
      <c r="AIR9" s="182">
        <v>51.9</v>
      </c>
      <c r="AIS9" s="182">
        <v>51.9</v>
      </c>
      <c r="AIT9" s="182">
        <v>51.9</v>
      </c>
      <c r="AIU9" s="182">
        <v>51.9</v>
      </c>
      <c r="AIV9" s="182">
        <v>51.9</v>
      </c>
      <c r="AIW9" s="182">
        <v>51.9</v>
      </c>
      <c r="AIX9" s="182">
        <v>51.9</v>
      </c>
      <c r="AIY9" s="182">
        <v>51.9</v>
      </c>
      <c r="AIZ9" s="182">
        <v>51.9</v>
      </c>
      <c r="AJA9" s="182">
        <v>51.9</v>
      </c>
      <c r="AJB9" s="182">
        <v>51.9</v>
      </c>
      <c r="AJC9" s="182">
        <v>51.9</v>
      </c>
    </row>
    <row r="10" spans="1:939">
      <c r="A10" s="182">
        <v>47.58</v>
      </c>
      <c r="B10" s="182">
        <v>47.58</v>
      </c>
      <c r="C10" s="182">
        <v>47.58</v>
      </c>
      <c r="D10" s="182">
        <v>47.58</v>
      </c>
      <c r="E10" s="182">
        <v>47.58</v>
      </c>
      <c r="F10" s="182">
        <v>47.58</v>
      </c>
      <c r="G10" s="182">
        <v>47.58</v>
      </c>
      <c r="H10" s="182">
        <v>47.58</v>
      </c>
      <c r="I10" s="182">
        <v>47.58</v>
      </c>
      <c r="J10" s="182">
        <v>47.58</v>
      </c>
      <c r="K10" s="182">
        <v>47.58</v>
      </c>
      <c r="L10" s="182">
        <v>47.58</v>
      </c>
      <c r="M10" s="182">
        <v>47.58</v>
      </c>
      <c r="N10" s="182">
        <v>47.58</v>
      </c>
      <c r="O10" s="182">
        <v>47.58</v>
      </c>
      <c r="P10" s="182">
        <v>47.58</v>
      </c>
      <c r="Q10" s="182">
        <v>47.58</v>
      </c>
      <c r="R10" s="182">
        <v>47.58</v>
      </c>
      <c r="S10" s="182">
        <v>47.58</v>
      </c>
      <c r="T10" s="182">
        <v>47.58</v>
      </c>
      <c r="U10" s="182">
        <v>47.58</v>
      </c>
      <c r="V10" s="182">
        <v>47.58</v>
      </c>
      <c r="W10" s="182">
        <v>47.58</v>
      </c>
      <c r="X10" s="182">
        <v>47.58</v>
      </c>
      <c r="Y10" s="182">
        <v>47.58</v>
      </c>
      <c r="Z10" s="182">
        <v>47.58</v>
      </c>
      <c r="AA10" s="182">
        <v>47.58</v>
      </c>
      <c r="AB10" s="182">
        <v>47.58</v>
      </c>
      <c r="AC10" s="182">
        <v>47.58</v>
      </c>
      <c r="AD10" s="182">
        <v>47.58</v>
      </c>
      <c r="AE10" s="182">
        <v>47.58</v>
      </c>
      <c r="AF10" s="182">
        <v>47.58</v>
      </c>
      <c r="AG10" s="182">
        <v>47.58</v>
      </c>
      <c r="AH10" s="182">
        <v>47.58</v>
      </c>
      <c r="AI10" s="182">
        <v>47.58</v>
      </c>
      <c r="AJ10" s="182">
        <v>47.58</v>
      </c>
      <c r="AK10" s="182">
        <v>47.58</v>
      </c>
      <c r="AL10" s="182">
        <v>47.58</v>
      </c>
      <c r="AM10" s="182">
        <v>47.58</v>
      </c>
      <c r="AN10" s="182">
        <v>47.58</v>
      </c>
      <c r="AO10" s="182">
        <v>47.58</v>
      </c>
      <c r="AP10" s="182">
        <v>47.58</v>
      </c>
      <c r="AQ10" s="182">
        <v>47.58</v>
      </c>
      <c r="AR10" s="182">
        <v>47.58</v>
      </c>
      <c r="AS10" s="182">
        <v>47.58</v>
      </c>
      <c r="AT10" s="182">
        <v>47.58</v>
      </c>
      <c r="AU10" s="182">
        <v>47.58</v>
      </c>
      <c r="AV10" s="182">
        <v>47.58</v>
      </c>
      <c r="AW10" s="182">
        <v>47.58</v>
      </c>
      <c r="AX10" s="182">
        <v>47.58</v>
      </c>
      <c r="AY10" s="182">
        <v>47.58</v>
      </c>
      <c r="AZ10" s="182">
        <v>47.58</v>
      </c>
      <c r="CC10" s="182">
        <v>47.58</v>
      </c>
      <c r="CD10" s="182">
        <v>47.58</v>
      </c>
      <c r="CE10" s="182">
        <v>47.58</v>
      </c>
      <c r="CF10" s="182">
        <v>47.58</v>
      </c>
      <c r="CG10" s="182">
        <v>47.58</v>
      </c>
      <c r="CH10" s="182">
        <v>47.58</v>
      </c>
      <c r="CI10" s="182">
        <v>47.58</v>
      </c>
      <c r="CJ10" s="182">
        <v>47.58</v>
      </c>
      <c r="CK10" s="182">
        <v>47.58</v>
      </c>
      <c r="CL10" s="182">
        <v>47.58</v>
      </c>
      <c r="CM10" s="182">
        <v>47.58</v>
      </c>
      <c r="CN10" s="182">
        <v>47.58</v>
      </c>
      <c r="CO10" s="182">
        <v>47.58</v>
      </c>
      <c r="CP10" s="182">
        <v>47.58</v>
      </c>
      <c r="CQ10" s="182">
        <v>47.58</v>
      </c>
      <c r="CR10" s="182">
        <v>47.58</v>
      </c>
      <c r="CS10" s="182">
        <v>47.58</v>
      </c>
      <c r="CT10" s="182">
        <v>47.58</v>
      </c>
      <c r="CU10" s="182">
        <v>47.58</v>
      </c>
      <c r="CV10" s="182">
        <v>47.58</v>
      </c>
      <c r="CW10" s="182">
        <v>47.58</v>
      </c>
      <c r="CX10" s="182">
        <v>47.58</v>
      </c>
      <c r="CY10" s="182">
        <v>47.58</v>
      </c>
      <c r="CZ10" s="182">
        <v>47.58</v>
      </c>
      <c r="DA10" s="182">
        <v>47.58</v>
      </c>
      <c r="DB10" s="182">
        <v>47.58</v>
      </c>
      <c r="DC10" s="182">
        <v>47.58</v>
      </c>
      <c r="DD10" s="182">
        <v>47.58</v>
      </c>
      <c r="DE10" s="182">
        <v>47.58</v>
      </c>
      <c r="DF10" s="182">
        <v>47.58</v>
      </c>
      <c r="DG10" s="182">
        <v>47.58</v>
      </c>
      <c r="DH10" s="182">
        <v>47.58</v>
      </c>
      <c r="DI10" s="182">
        <v>47.58</v>
      </c>
      <c r="DJ10" s="182">
        <v>47.58</v>
      </c>
      <c r="DK10" s="182">
        <v>47.58</v>
      </c>
      <c r="DL10" s="182">
        <v>47.58</v>
      </c>
      <c r="DM10" s="182">
        <v>47.58</v>
      </c>
      <c r="DN10" s="182">
        <v>47.58</v>
      </c>
      <c r="DO10" s="182">
        <v>47.58</v>
      </c>
      <c r="DP10" s="182">
        <v>47.58</v>
      </c>
      <c r="DQ10" s="182">
        <v>47.58</v>
      </c>
      <c r="DR10" s="182">
        <v>47.58</v>
      </c>
      <c r="DS10" s="182">
        <v>47.58</v>
      </c>
      <c r="DT10" s="182">
        <v>47.58</v>
      </c>
      <c r="DU10" s="182">
        <v>47.58</v>
      </c>
      <c r="DV10" s="182">
        <v>47.58</v>
      </c>
      <c r="DW10" s="182">
        <v>47.58</v>
      </c>
      <c r="DX10" s="182">
        <v>47.58</v>
      </c>
      <c r="DY10" s="182">
        <v>47.58</v>
      </c>
      <c r="DZ10" s="182">
        <v>47.58</v>
      </c>
      <c r="EA10" s="182">
        <v>47.58</v>
      </c>
      <c r="EB10" s="182">
        <v>47.58</v>
      </c>
      <c r="EC10" s="182">
        <v>47.58</v>
      </c>
      <c r="ED10" s="182">
        <v>47.58</v>
      </c>
      <c r="EE10" s="182">
        <v>47.58</v>
      </c>
      <c r="EF10" s="182">
        <v>47.58</v>
      </c>
      <c r="EG10" s="182">
        <v>47.58</v>
      </c>
      <c r="EH10" s="182">
        <v>47.58</v>
      </c>
      <c r="FE10" s="182">
        <v>47.58</v>
      </c>
      <c r="FF10" s="182">
        <v>47.58</v>
      </c>
      <c r="FG10" s="182">
        <v>47.58</v>
      </c>
      <c r="FH10" s="182">
        <v>47.58</v>
      </c>
      <c r="FI10" s="182">
        <v>47.58</v>
      </c>
      <c r="FJ10" s="182">
        <v>47.58</v>
      </c>
      <c r="FK10" s="182">
        <v>47.58</v>
      </c>
      <c r="FL10" s="182">
        <v>47.58</v>
      </c>
      <c r="FM10" s="182">
        <v>47.58</v>
      </c>
      <c r="FN10" s="182">
        <v>47.58</v>
      </c>
      <c r="FO10" s="182">
        <v>47.58</v>
      </c>
      <c r="FP10" s="182">
        <v>47.58</v>
      </c>
      <c r="FQ10" s="182">
        <v>47.58</v>
      </c>
      <c r="FR10" s="182">
        <v>47.58</v>
      </c>
      <c r="FS10" s="182">
        <v>47.58</v>
      </c>
      <c r="FT10" s="182">
        <v>47.58</v>
      </c>
      <c r="FU10" s="182">
        <v>47.58</v>
      </c>
      <c r="FV10" s="182">
        <v>47.58</v>
      </c>
      <c r="FW10" s="182">
        <v>47.58</v>
      </c>
      <c r="FX10" s="182">
        <v>47.58</v>
      </c>
      <c r="FY10" s="182">
        <v>47.58</v>
      </c>
      <c r="FZ10" s="182">
        <v>47.58</v>
      </c>
      <c r="GA10" s="182">
        <v>47.58</v>
      </c>
      <c r="GB10" s="182">
        <v>47.58</v>
      </c>
      <c r="GC10" s="182">
        <v>47.58</v>
      </c>
      <c r="GD10" s="182">
        <v>47.58</v>
      </c>
      <c r="GE10" s="182">
        <v>47.58</v>
      </c>
      <c r="GF10" s="182">
        <v>47.58</v>
      </c>
      <c r="GG10" s="182">
        <v>47.58</v>
      </c>
      <c r="GH10" s="182">
        <v>47.58</v>
      </c>
      <c r="GI10" s="182">
        <v>47.58</v>
      </c>
      <c r="GJ10" s="182">
        <v>47.58</v>
      </c>
      <c r="GK10" s="182">
        <v>47.58</v>
      </c>
      <c r="GL10" s="182">
        <v>47.58</v>
      </c>
      <c r="GM10" s="182">
        <v>47.58</v>
      </c>
      <c r="GN10" s="182">
        <v>47.58</v>
      </c>
      <c r="GO10" s="182">
        <v>47.58</v>
      </c>
      <c r="GP10" s="182">
        <v>47.58</v>
      </c>
      <c r="GQ10" s="182">
        <v>47.58</v>
      </c>
      <c r="GR10" s="182">
        <v>47.58</v>
      </c>
      <c r="GS10" s="182">
        <v>47.58</v>
      </c>
      <c r="GT10" s="182">
        <v>47.58</v>
      </c>
      <c r="GU10" s="182">
        <v>47.58</v>
      </c>
      <c r="GV10" s="182">
        <v>47.58</v>
      </c>
      <c r="GW10" s="182">
        <v>47.58</v>
      </c>
      <c r="GX10" s="182">
        <v>47.58</v>
      </c>
      <c r="GY10" s="182">
        <v>47.58</v>
      </c>
      <c r="GZ10" s="182">
        <v>47.58</v>
      </c>
      <c r="HA10" s="182">
        <v>47.58</v>
      </c>
      <c r="HB10" s="182">
        <v>47.58</v>
      </c>
      <c r="HC10" s="182">
        <v>47.58</v>
      </c>
      <c r="HD10" s="182">
        <v>47.58</v>
      </c>
      <c r="HE10" s="182">
        <v>47.58</v>
      </c>
      <c r="HF10" s="182">
        <v>47.58</v>
      </c>
      <c r="HG10" s="182">
        <v>47.58</v>
      </c>
      <c r="HH10" s="182">
        <v>47.58</v>
      </c>
      <c r="HI10" s="182">
        <v>47.58</v>
      </c>
      <c r="HJ10" s="182">
        <v>47.58</v>
      </c>
      <c r="HK10" s="182">
        <v>47.58</v>
      </c>
      <c r="IG10" s="182">
        <v>47.58</v>
      </c>
      <c r="IH10" s="182">
        <v>47.58</v>
      </c>
      <c r="II10" s="182">
        <v>47.58</v>
      </c>
      <c r="IJ10" s="182">
        <v>47.58</v>
      </c>
      <c r="IK10" s="182">
        <v>47.58</v>
      </c>
      <c r="IL10" s="182">
        <v>47.58</v>
      </c>
      <c r="IM10" s="182">
        <v>47.58</v>
      </c>
      <c r="IN10" s="182">
        <v>47.58</v>
      </c>
      <c r="IO10" s="182">
        <v>47.58</v>
      </c>
      <c r="IP10" s="182">
        <v>47.58</v>
      </c>
      <c r="IQ10" s="182">
        <v>47.58</v>
      </c>
      <c r="IR10" s="182">
        <v>47.58</v>
      </c>
      <c r="IS10" s="182">
        <v>47.58</v>
      </c>
      <c r="IT10" s="182">
        <v>47.58</v>
      </c>
      <c r="IU10" s="182">
        <v>47.58</v>
      </c>
      <c r="IV10" s="182">
        <v>47.58</v>
      </c>
      <c r="IW10" s="182">
        <v>47.58</v>
      </c>
      <c r="IX10" s="182">
        <v>47.58</v>
      </c>
      <c r="IY10" s="182">
        <v>47.58</v>
      </c>
      <c r="IZ10" s="182">
        <v>47.58</v>
      </c>
      <c r="JA10" s="182">
        <v>47.58</v>
      </c>
      <c r="JB10" s="182">
        <v>47.58</v>
      </c>
      <c r="JC10" s="182">
        <v>47.58</v>
      </c>
      <c r="JD10" s="182">
        <v>47.58</v>
      </c>
      <c r="JE10" s="182">
        <v>47.58</v>
      </c>
      <c r="JF10" s="182">
        <v>47.58</v>
      </c>
      <c r="JG10" s="182">
        <v>47.58</v>
      </c>
      <c r="JH10" s="182">
        <v>47.58</v>
      </c>
      <c r="JI10" s="182">
        <v>47.58</v>
      </c>
      <c r="JJ10" s="182">
        <v>47.58</v>
      </c>
      <c r="JK10" s="182">
        <v>47.58</v>
      </c>
      <c r="JL10" s="182">
        <v>47.58</v>
      </c>
      <c r="JM10" s="182">
        <v>47.58</v>
      </c>
      <c r="JN10" s="182">
        <v>47.58</v>
      </c>
      <c r="JO10" s="182">
        <v>47.58</v>
      </c>
      <c r="JP10" s="182">
        <v>47.58</v>
      </c>
      <c r="JQ10" s="182">
        <v>47.58</v>
      </c>
      <c r="JR10" s="182">
        <v>47.58</v>
      </c>
      <c r="JS10" s="182">
        <v>47.58</v>
      </c>
      <c r="JT10" s="182">
        <v>47.58</v>
      </c>
      <c r="JU10" s="182">
        <v>47.58</v>
      </c>
      <c r="JV10" s="182">
        <v>47.58</v>
      </c>
      <c r="JW10" s="182">
        <v>47.58</v>
      </c>
      <c r="JX10" s="182">
        <v>47.58</v>
      </c>
      <c r="JY10" s="182">
        <v>47.58</v>
      </c>
      <c r="JZ10" s="182">
        <v>47.58</v>
      </c>
      <c r="KA10" s="182">
        <v>47.58</v>
      </c>
      <c r="KB10" s="182">
        <v>47.58</v>
      </c>
      <c r="KC10" s="182">
        <v>47.58</v>
      </c>
      <c r="KD10" s="182">
        <v>47.58</v>
      </c>
      <c r="KE10" s="182">
        <v>47.58</v>
      </c>
      <c r="KF10" s="182">
        <v>47.58</v>
      </c>
      <c r="KG10" s="182">
        <v>47.58</v>
      </c>
      <c r="KH10" s="182">
        <v>47.58</v>
      </c>
      <c r="KI10" s="182">
        <v>47.58</v>
      </c>
      <c r="KJ10" s="182">
        <v>47.58</v>
      </c>
      <c r="KK10" s="182">
        <v>47.58</v>
      </c>
      <c r="KL10" s="182">
        <v>47.58</v>
      </c>
      <c r="LI10" s="182">
        <v>47.58</v>
      </c>
      <c r="LJ10" s="182">
        <v>47.58</v>
      </c>
      <c r="LK10" s="182">
        <v>47.58</v>
      </c>
      <c r="LL10" s="182">
        <v>47.58</v>
      </c>
      <c r="LM10" s="182">
        <v>47.58</v>
      </c>
      <c r="LN10" s="182">
        <v>47.58</v>
      </c>
      <c r="LO10" s="182">
        <v>47.58</v>
      </c>
      <c r="LP10" s="182">
        <v>47.58</v>
      </c>
      <c r="LQ10" s="182">
        <v>47.58</v>
      </c>
      <c r="LR10" s="182">
        <v>47.58</v>
      </c>
      <c r="LS10" s="182">
        <v>47.58</v>
      </c>
      <c r="LT10" s="182">
        <v>47.58</v>
      </c>
      <c r="LU10" s="182">
        <v>47.58</v>
      </c>
      <c r="LV10" s="182">
        <v>47.58</v>
      </c>
      <c r="LW10" s="182">
        <v>47.58</v>
      </c>
      <c r="LX10" s="182">
        <v>47.58</v>
      </c>
      <c r="LY10" s="182">
        <v>47.58</v>
      </c>
      <c r="LZ10" s="182">
        <v>47.58</v>
      </c>
      <c r="MA10" s="182">
        <v>47.58</v>
      </c>
      <c r="MB10" s="182">
        <v>47.58</v>
      </c>
      <c r="MC10" s="182">
        <v>47.58</v>
      </c>
      <c r="MD10" s="182">
        <v>47.58</v>
      </c>
      <c r="ME10" s="182">
        <v>47.58</v>
      </c>
      <c r="MF10" s="182">
        <v>47.58</v>
      </c>
      <c r="MG10" s="182">
        <v>47.58</v>
      </c>
      <c r="MH10" s="182">
        <v>47.58</v>
      </c>
      <c r="MI10" s="182">
        <v>47.58</v>
      </c>
      <c r="MJ10" s="182">
        <v>47.58</v>
      </c>
      <c r="MK10" s="182">
        <v>47.58</v>
      </c>
      <c r="ML10" s="182">
        <v>47.58</v>
      </c>
      <c r="MM10" s="182">
        <v>47.58</v>
      </c>
      <c r="MN10" s="182">
        <v>47.58</v>
      </c>
      <c r="MO10" s="182">
        <v>47.58</v>
      </c>
      <c r="MP10" s="182">
        <v>47.58</v>
      </c>
      <c r="MQ10" s="182">
        <v>47.58</v>
      </c>
      <c r="MR10" s="182">
        <v>47.58</v>
      </c>
      <c r="MS10" s="182">
        <v>47.58</v>
      </c>
      <c r="MT10" s="182">
        <v>47.58</v>
      </c>
      <c r="MU10" s="182">
        <v>47.58</v>
      </c>
      <c r="MV10" s="182">
        <v>47.58</v>
      </c>
      <c r="MW10" s="182">
        <v>47.58</v>
      </c>
      <c r="MX10" s="182">
        <v>47.58</v>
      </c>
      <c r="MY10" s="182">
        <v>47.58</v>
      </c>
      <c r="MZ10" s="182">
        <v>47.58</v>
      </c>
      <c r="NA10" s="182">
        <v>47.58</v>
      </c>
      <c r="NB10" s="182">
        <v>47.58</v>
      </c>
      <c r="NC10" s="182">
        <v>47.58</v>
      </c>
      <c r="ND10" s="182">
        <v>47.58</v>
      </c>
      <c r="NE10" s="182">
        <v>47.58</v>
      </c>
      <c r="NF10" s="182">
        <v>47.58</v>
      </c>
      <c r="NG10" s="182">
        <v>47.58</v>
      </c>
      <c r="NH10" s="182">
        <v>47.58</v>
      </c>
      <c r="NI10" s="182">
        <v>47.58</v>
      </c>
      <c r="NJ10" s="182">
        <v>47.58</v>
      </c>
      <c r="NK10" s="182">
        <v>47.58</v>
      </c>
      <c r="NL10" s="182">
        <v>47.58</v>
      </c>
      <c r="NM10" s="182">
        <v>47.58</v>
      </c>
      <c r="NN10" s="182">
        <v>47.58</v>
      </c>
      <c r="NO10" s="182">
        <v>47.58</v>
      </c>
      <c r="NP10" s="182">
        <v>47.58</v>
      </c>
      <c r="NQ10" s="182">
        <v>47.58</v>
      </c>
      <c r="OK10" s="182">
        <v>47.58</v>
      </c>
      <c r="OL10" s="182">
        <v>47.58</v>
      </c>
      <c r="OM10" s="182">
        <v>47.58</v>
      </c>
      <c r="ON10" s="182">
        <v>47.58</v>
      </c>
      <c r="OO10" s="182">
        <v>47.58</v>
      </c>
      <c r="OP10" s="182">
        <v>47.58</v>
      </c>
      <c r="OQ10" s="182">
        <v>47.58</v>
      </c>
      <c r="OR10" s="182">
        <v>47.58</v>
      </c>
      <c r="OS10" s="182">
        <v>47.58</v>
      </c>
      <c r="OT10" s="182">
        <v>47.58</v>
      </c>
      <c r="OU10" s="182">
        <v>47.58</v>
      </c>
      <c r="OV10" s="182">
        <v>47.58</v>
      </c>
      <c r="OW10" s="182">
        <v>47.58</v>
      </c>
      <c r="OX10" s="182">
        <v>47.58</v>
      </c>
      <c r="OY10" s="182">
        <v>47.58</v>
      </c>
      <c r="OZ10" s="182">
        <v>47.58</v>
      </c>
      <c r="PA10" s="182">
        <v>47.58</v>
      </c>
      <c r="PB10" s="182">
        <v>47.58</v>
      </c>
      <c r="PC10" s="182">
        <v>47.58</v>
      </c>
      <c r="PD10" s="182">
        <v>47.58</v>
      </c>
      <c r="PE10" s="182">
        <v>47.58</v>
      </c>
      <c r="PF10" s="182">
        <v>47.58</v>
      </c>
      <c r="PG10" s="182">
        <v>47.58</v>
      </c>
      <c r="PH10" s="182">
        <v>47.58</v>
      </c>
      <c r="PI10" s="182">
        <v>47.58</v>
      </c>
      <c r="PJ10" s="182">
        <v>47.58</v>
      </c>
      <c r="PK10" s="182">
        <v>47.58</v>
      </c>
      <c r="PL10" s="182">
        <v>47.58</v>
      </c>
      <c r="PM10" s="182">
        <v>47.58</v>
      </c>
      <c r="PN10" s="182">
        <v>47.58</v>
      </c>
      <c r="PO10" s="182">
        <v>47.58</v>
      </c>
      <c r="PP10" s="182">
        <v>47.58</v>
      </c>
      <c r="PQ10" s="182">
        <v>47.58</v>
      </c>
      <c r="PR10" s="182">
        <v>47.58</v>
      </c>
      <c r="PS10" s="182">
        <v>47.58</v>
      </c>
      <c r="PT10" s="182">
        <v>47.58</v>
      </c>
      <c r="PU10" s="182">
        <v>47.58</v>
      </c>
      <c r="PV10" s="182">
        <v>47.58</v>
      </c>
      <c r="PW10" s="182">
        <v>47.58</v>
      </c>
      <c r="PX10" s="182">
        <v>47.58</v>
      </c>
      <c r="PY10" s="182">
        <v>47.58</v>
      </c>
      <c r="PZ10" s="182">
        <v>47.58</v>
      </c>
      <c r="QA10" s="182">
        <v>47.58</v>
      </c>
      <c r="QB10" s="182">
        <v>47.58</v>
      </c>
      <c r="QC10" s="182">
        <v>47.58</v>
      </c>
      <c r="QD10" s="182">
        <v>47.58</v>
      </c>
      <c r="QE10" s="182">
        <v>47.58</v>
      </c>
      <c r="QF10" s="182">
        <v>47.58</v>
      </c>
      <c r="QG10" s="182">
        <v>47.58</v>
      </c>
      <c r="QH10" s="182">
        <v>47.58</v>
      </c>
      <c r="QI10" s="182">
        <v>47.58</v>
      </c>
      <c r="QJ10" s="182">
        <v>47.58</v>
      </c>
      <c r="QK10" s="182">
        <v>47.58</v>
      </c>
      <c r="QL10" s="182">
        <v>47.58</v>
      </c>
      <c r="QM10" s="182">
        <v>47.58</v>
      </c>
      <c r="QN10" s="182">
        <v>47.58</v>
      </c>
      <c r="QO10" s="182">
        <v>47.58</v>
      </c>
      <c r="QP10" s="182">
        <v>47.58</v>
      </c>
      <c r="QQ10" s="182">
        <v>47.58</v>
      </c>
      <c r="QR10" s="182">
        <v>47.58</v>
      </c>
      <c r="RM10" s="182">
        <v>47.58</v>
      </c>
      <c r="RN10" s="182">
        <v>47.58</v>
      </c>
      <c r="RO10" s="182">
        <v>47.58</v>
      </c>
      <c r="RP10" s="182">
        <v>47.58</v>
      </c>
      <c r="RQ10" s="182">
        <v>47.58</v>
      </c>
      <c r="RR10" s="182">
        <v>47.58</v>
      </c>
      <c r="RS10" s="182">
        <v>47.58</v>
      </c>
      <c r="RT10" s="182">
        <v>47.58</v>
      </c>
      <c r="RU10" s="182">
        <v>47.58</v>
      </c>
      <c r="RV10" s="182">
        <v>47.58</v>
      </c>
      <c r="RW10" s="182">
        <v>47.58</v>
      </c>
      <c r="RX10" s="182">
        <v>47.58</v>
      </c>
      <c r="RY10" s="182">
        <v>47.58</v>
      </c>
      <c r="RZ10" s="182">
        <v>47.58</v>
      </c>
      <c r="SA10" s="182">
        <v>47.58</v>
      </c>
      <c r="SB10" s="182">
        <v>47.58</v>
      </c>
      <c r="SC10" s="182">
        <v>47.58</v>
      </c>
      <c r="SD10" s="182">
        <v>47.58</v>
      </c>
      <c r="SE10" s="182">
        <v>47.58</v>
      </c>
      <c r="SF10" s="182">
        <v>47.58</v>
      </c>
      <c r="SG10" s="182">
        <v>47.58</v>
      </c>
      <c r="SH10" s="182">
        <v>47.58</v>
      </c>
      <c r="SI10" s="182">
        <v>47.58</v>
      </c>
      <c r="SJ10" s="182">
        <v>47.58</v>
      </c>
      <c r="SK10" s="182">
        <v>47.58</v>
      </c>
      <c r="SL10" s="182">
        <v>47.58</v>
      </c>
      <c r="SM10" s="182">
        <v>47.58</v>
      </c>
      <c r="SN10" s="182">
        <v>47.58</v>
      </c>
      <c r="SO10" s="182">
        <v>47.58</v>
      </c>
      <c r="SP10" s="182">
        <v>47.58</v>
      </c>
      <c r="SQ10" s="182">
        <v>47.58</v>
      </c>
      <c r="SR10" s="182">
        <v>47.58</v>
      </c>
      <c r="SS10" s="182">
        <v>47.58</v>
      </c>
      <c r="ST10" s="182">
        <v>47.58</v>
      </c>
      <c r="SU10" s="182">
        <v>47.58</v>
      </c>
      <c r="SV10" s="182">
        <v>47.58</v>
      </c>
      <c r="SW10" s="182">
        <v>47.58</v>
      </c>
      <c r="SX10" s="182">
        <v>47.58</v>
      </c>
      <c r="SY10" s="182">
        <v>47.58</v>
      </c>
      <c r="SZ10" s="182">
        <v>47.58</v>
      </c>
      <c r="TA10" s="182">
        <v>47.58</v>
      </c>
      <c r="TB10" s="182">
        <v>47.58</v>
      </c>
      <c r="TC10" s="182">
        <v>47.58</v>
      </c>
      <c r="TD10" s="182">
        <v>47.58</v>
      </c>
      <c r="TE10" s="182">
        <v>47.58</v>
      </c>
      <c r="TF10" s="182">
        <v>47.58</v>
      </c>
      <c r="TG10" s="182">
        <v>47.58</v>
      </c>
      <c r="TH10" s="182">
        <v>47.58</v>
      </c>
      <c r="TI10" s="182">
        <v>47.58</v>
      </c>
      <c r="TJ10" s="182">
        <v>47.58</v>
      </c>
      <c r="TK10" s="182">
        <v>47.58</v>
      </c>
      <c r="TL10" s="182">
        <v>47.58</v>
      </c>
      <c r="TM10" s="182">
        <v>47.58</v>
      </c>
      <c r="TN10" s="182">
        <v>47.58</v>
      </c>
      <c r="TO10" s="182">
        <v>47.58</v>
      </c>
      <c r="TP10" s="182">
        <v>47.58</v>
      </c>
      <c r="TQ10" s="182">
        <v>47.58</v>
      </c>
      <c r="TR10" s="182">
        <v>47.58</v>
      </c>
      <c r="TS10" s="182">
        <v>47.58</v>
      </c>
      <c r="TT10" s="182">
        <v>47.58</v>
      </c>
      <c r="UO10" s="182">
        <v>47.58</v>
      </c>
      <c r="UP10" s="182">
        <v>47.58</v>
      </c>
      <c r="UQ10" s="182">
        <v>47.58</v>
      </c>
      <c r="UR10" s="182">
        <v>47.58</v>
      </c>
      <c r="US10" s="182">
        <v>47.58</v>
      </c>
      <c r="UT10" s="182">
        <v>47.58</v>
      </c>
      <c r="UU10" s="182">
        <v>47.58</v>
      </c>
      <c r="UV10" s="182">
        <v>47.58</v>
      </c>
      <c r="UW10" s="182">
        <v>47.58</v>
      </c>
      <c r="UX10" s="182">
        <v>47.58</v>
      </c>
      <c r="UY10" s="182">
        <v>47.58</v>
      </c>
      <c r="UZ10" s="182">
        <v>47.58</v>
      </c>
      <c r="VA10" s="182">
        <v>47.58</v>
      </c>
      <c r="VB10" s="182">
        <v>47.58</v>
      </c>
      <c r="VC10" s="182">
        <v>47.58</v>
      </c>
      <c r="VD10" s="182">
        <v>47.58</v>
      </c>
      <c r="VE10" s="182">
        <v>47.58</v>
      </c>
      <c r="VF10" s="182">
        <v>47.58</v>
      </c>
      <c r="VG10" s="182">
        <v>47.58</v>
      </c>
      <c r="VH10" s="182">
        <v>47.58</v>
      </c>
      <c r="VI10" s="182">
        <v>47.58</v>
      </c>
      <c r="VJ10" s="182">
        <v>47.58</v>
      </c>
      <c r="VK10" s="182">
        <v>47.58</v>
      </c>
      <c r="VL10" s="182">
        <v>47.58</v>
      </c>
      <c r="VM10" s="182">
        <v>47.58</v>
      </c>
      <c r="VN10" s="182">
        <v>47.58</v>
      </c>
      <c r="VO10" s="182">
        <v>47.58</v>
      </c>
      <c r="VP10" s="182">
        <v>47.58</v>
      </c>
      <c r="VQ10" s="182">
        <v>47.58</v>
      </c>
      <c r="VR10" s="182">
        <v>47.58</v>
      </c>
      <c r="VS10" s="182">
        <v>47.58</v>
      </c>
      <c r="VT10" s="182">
        <v>47.58</v>
      </c>
      <c r="VU10" s="182">
        <v>47.58</v>
      </c>
      <c r="VV10" s="182">
        <v>47.58</v>
      </c>
      <c r="VW10" s="182">
        <v>47.58</v>
      </c>
      <c r="VX10" s="182">
        <v>47.58</v>
      </c>
      <c r="VY10" s="182">
        <v>47.58</v>
      </c>
      <c r="VZ10" s="182">
        <v>47.58</v>
      </c>
      <c r="WA10" s="182">
        <v>47.58</v>
      </c>
      <c r="WB10" s="182">
        <v>47.58</v>
      </c>
      <c r="WC10" s="182">
        <v>47.58</v>
      </c>
      <c r="WD10" s="182">
        <v>47.58</v>
      </c>
      <c r="WE10" s="182">
        <v>47.58</v>
      </c>
      <c r="WF10" s="182">
        <v>47.58</v>
      </c>
      <c r="WG10" s="182">
        <v>47.58</v>
      </c>
      <c r="WH10" s="182">
        <v>47.58</v>
      </c>
      <c r="WI10" s="182">
        <v>47.58</v>
      </c>
      <c r="WJ10" s="182">
        <v>47.58</v>
      </c>
      <c r="WK10" s="182">
        <v>47.58</v>
      </c>
      <c r="WL10" s="182">
        <v>47.58</v>
      </c>
      <c r="WM10" s="182">
        <v>47.58</v>
      </c>
      <c r="WN10" s="182">
        <v>47.58</v>
      </c>
      <c r="WO10" s="182">
        <v>47.58</v>
      </c>
      <c r="WP10" s="182">
        <v>47.58</v>
      </c>
      <c r="WQ10" s="182">
        <v>47.58</v>
      </c>
      <c r="WR10" s="182">
        <v>47.58</v>
      </c>
      <c r="WS10" s="182">
        <v>47.58</v>
      </c>
      <c r="WT10" s="182">
        <v>47.58</v>
      </c>
      <c r="WU10" s="182">
        <v>47.58</v>
      </c>
      <c r="WV10" s="182">
        <v>47.58</v>
      </c>
      <c r="XQ10" s="182">
        <v>47.58</v>
      </c>
      <c r="XR10" s="182">
        <v>47.58</v>
      </c>
      <c r="XS10" s="182">
        <v>47.58</v>
      </c>
      <c r="XT10" s="182">
        <v>47.58</v>
      </c>
      <c r="XU10" s="182">
        <v>47.58</v>
      </c>
      <c r="XV10" s="182">
        <v>47.58</v>
      </c>
      <c r="XW10" s="182">
        <v>47.58</v>
      </c>
      <c r="XX10" s="182">
        <v>47.58</v>
      </c>
      <c r="XY10" s="182">
        <v>47.58</v>
      </c>
      <c r="XZ10" s="182">
        <v>47.58</v>
      </c>
      <c r="YA10" s="182">
        <v>47.58</v>
      </c>
      <c r="YB10" s="182">
        <v>47.58</v>
      </c>
      <c r="YC10" s="182">
        <v>47.58</v>
      </c>
      <c r="YD10" s="182">
        <v>47.58</v>
      </c>
      <c r="YE10" s="182">
        <v>47.58</v>
      </c>
      <c r="YF10" s="182">
        <v>47.58</v>
      </c>
      <c r="YG10" s="182">
        <v>47.58</v>
      </c>
      <c r="YH10" s="182">
        <v>47.58</v>
      </c>
      <c r="YI10" s="182">
        <v>47.58</v>
      </c>
      <c r="YJ10" s="182">
        <v>47.58</v>
      </c>
      <c r="YK10" s="182">
        <v>47.58</v>
      </c>
      <c r="YL10" s="182">
        <v>47.58</v>
      </c>
      <c r="YM10" s="182">
        <v>47.58</v>
      </c>
      <c r="YN10" s="182">
        <v>47.58</v>
      </c>
      <c r="YO10" s="182">
        <v>47.58</v>
      </c>
      <c r="YP10" s="182">
        <v>47.58</v>
      </c>
      <c r="YQ10" s="182">
        <v>47.58</v>
      </c>
      <c r="YR10" s="182">
        <v>47.58</v>
      </c>
      <c r="YS10" s="182">
        <v>47.58</v>
      </c>
      <c r="YT10" s="182">
        <v>47.58</v>
      </c>
      <c r="YU10" s="182">
        <v>47.58</v>
      </c>
      <c r="YV10" s="182">
        <v>47.58</v>
      </c>
      <c r="YW10" s="182">
        <v>47.58</v>
      </c>
      <c r="YX10" s="182">
        <v>47.58</v>
      </c>
      <c r="YY10" s="182">
        <v>47.58</v>
      </c>
      <c r="YZ10" s="182">
        <v>47.58</v>
      </c>
      <c r="ZA10" s="182">
        <v>47.58</v>
      </c>
      <c r="ZB10" s="182">
        <v>47.58</v>
      </c>
      <c r="ZC10" s="182">
        <v>47.58</v>
      </c>
      <c r="ZD10" s="182">
        <v>47.58</v>
      </c>
      <c r="ZE10" s="182">
        <v>47.58</v>
      </c>
      <c r="ZF10" s="182">
        <v>47.58</v>
      </c>
      <c r="ZG10" s="182">
        <v>47.58</v>
      </c>
      <c r="ZH10" s="182">
        <v>47.58</v>
      </c>
      <c r="ZI10" s="182">
        <v>47.58</v>
      </c>
      <c r="ZJ10" s="182">
        <v>47.58</v>
      </c>
      <c r="ZK10" s="182">
        <v>47.58</v>
      </c>
      <c r="ZL10" s="182">
        <v>47.58</v>
      </c>
      <c r="ZM10" s="182">
        <v>47.58</v>
      </c>
      <c r="ZN10" s="182">
        <v>47.58</v>
      </c>
      <c r="ZO10" s="182">
        <v>47.58</v>
      </c>
      <c r="ZP10" s="182">
        <v>47.58</v>
      </c>
      <c r="ZQ10" s="182">
        <v>47.58</v>
      </c>
      <c r="ZR10" s="182">
        <v>47.58</v>
      </c>
      <c r="ZS10" s="182">
        <v>47.58</v>
      </c>
      <c r="ZT10" s="182">
        <v>47.58</v>
      </c>
      <c r="ZU10" s="182">
        <v>47.58</v>
      </c>
      <c r="ZV10" s="182">
        <v>47.58</v>
      </c>
      <c r="ZW10" s="182">
        <v>47.58</v>
      </c>
      <c r="ZX10" s="182">
        <v>47.58</v>
      </c>
      <c r="AAS10" s="182">
        <v>47.58</v>
      </c>
      <c r="AAT10" s="182">
        <v>47.58</v>
      </c>
      <c r="AAU10" s="182">
        <v>47.58</v>
      </c>
      <c r="AAV10" s="182">
        <v>47.58</v>
      </c>
      <c r="AAW10" s="182">
        <v>47.58</v>
      </c>
      <c r="AAX10" s="182">
        <v>47.58</v>
      </c>
      <c r="AAY10" s="182">
        <v>47.58</v>
      </c>
      <c r="AAZ10" s="182">
        <v>47.58</v>
      </c>
      <c r="ABA10" s="182">
        <v>47.58</v>
      </c>
      <c r="ABB10" s="182">
        <v>47.58</v>
      </c>
      <c r="ABC10" s="182">
        <v>47.58</v>
      </c>
      <c r="ABD10" s="182">
        <v>47.58</v>
      </c>
      <c r="ABE10" s="182">
        <v>47.58</v>
      </c>
      <c r="ABF10" s="182">
        <v>47.58</v>
      </c>
      <c r="ABG10" s="182">
        <v>47.58</v>
      </c>
      <c r="ABH10" s="182">
        <v>47.58</v>
      </c>
      <c r="ABI10" s="182">
        <v>47.58</v>
      </c>
      <c r="ABJ10" s="182">
        <v>47.58</v>
      </c>
      <c r="ABK10" s="182">
        <v>47.58</v>
      </c>
      <c r="ABL10" s="182">
        <v>47.58</v>
      </c>
      <c r="ABM10" s="182">
        <v>47.58</v>
      </c>
      <c r="ABN10" s="182">
        <v>47.58</v>
      </c>
      <c r="ABO10" s="182">
        <v>47.58</v>
      </c>
      <c r="ABP10" s="182">
        <v>47.58</v>
      </c>
      <c r="ABQ10" s="182">
        <v>47.58</v>
      </c>
      <c r="ABR10" s="182">
        <v>47.58</v>
      </c>
      <c r="ABS10" s="182">
        <v>47.58</v>
      </c>
      <c r="ABT10" s="182">
        <v>47.58</v>
      </c>
      <c r="ABU10" s="182">
        <v>47.58</v>
      </c>
      <c r="ABV10" s="182">
        <v>47.58</v>
      </c>
      <c r="ABW10" s="182">
        <v>47.58</v>
      </c>
      <c r="ABX10" s="182">
        <v>47.58</v>
      </c>
      <c r="ABY10" s="182">
        <v>47.58</v>
      </c>
      <c r="ABZ10" s="182">
        <v>47.58</v>
      </c>
      <c r="ACA10" s="182">
        <v>47.58</v>
      </c>
      <c r="ACB10" s="182">
        <v>47.58</v>
      </c>
      <c r="ACC10" s="182">
        <v>47.58</v>
      </c>
      <c r="ACD10" s="182">
        <v>47.58</v>
      </c>
      <c r="ACE10" s="182">
        <v>47.58</v>
      </c>
      <c r="ACF10" s="182">
        <v>47.58</v>
      </c>
      <c r="ACG10" s="182">
        <v>47.58</v>
      </c>
      <c r="ACH10" s="182">
        <v>47.58</v>
      </c>
      <c r="ACI10" s="182">
        <v>47.58</v>
      </c>
      <c r="ACJ10" s="182">
        <v>47.58</v>
      </c>
      <c r="ACK10" s="182">
        <v>47.58</v>
      </c>
      <c r="ACL10" s="182">
        <v>47.58</v>
      </c>
      <c r="ACM10" s="182">
        <v>47.58</v>
      </c>
      <c r="ACN10" s="182">
        <v>47.58</v>
      </c>
      <c r="ACO10" s="182">
        <v>47.58</v>
      </c>
      <c r="ACP10" s="182">
        <v>47.58</v>
      </c>
      <c r="ACQ10" s="182">
        <v>47.58</v>
      </c>
      <c r="ACR10" s="182">
        <v>47.58</v>
      </c>
      <c r="ACS10" s="182">
        <v>47.58</v>
      </c>
      <c r="ACT10" s="182">
        <v>47.58</v>
      </c>
      <c r="ACU10" s="182">
        <v>47.58</v>
      </c>
      <c r="ACV10" s="182">
        <v>47.58</v>
      </c>
      <c r="ACW10" s="182">
        <v>47.58</v>
      </c>
      <c r="ACX10" s="182">
        <v>47.58</v>
      </c>
      <c r="ACY10" s="182">
        <v>47.58</v>
      </c>
      <c r="ADU10" s="182">
        <v>47.58</v>
      </c>
      <c r="ADV10" s="182">
        <v>47.58</v>
      </c>
      <c r="ADW10" s="182">
        <v>47.58</v>
      </c>
      <c r="ADX10" s="182">
        <v>47.58</v>
      </c>
      <c r="ADY10" s="182">
        <v>47.58</v>
      </c>
      <c r="ADZ10" s="182">
        <v>47.58</v>
      </c>
      <c r="AEA10" s="182">
        <v>47.58</v>
      </c>
      <c r="AEB10" s="182">
        <v>47.58</v>
      </c>
      <c r="AEC10" s="182">
        <v>47.58</v>
      </c>
      <c r="AED10" s="182">
        <v>47.58</v>
      </c>
      <c r="AEE10" s="182">
        <v>47.58</v>
      </c>
      <c r="AEF10" s="182">
        <v>47.58</v>
      </c>
      <c r="AEG10" s="182">
        <v>47.58</v>
      </c>
      <c r="AEH10" s="182">
        <v>47.58</v>
      </c>
      <c r="AEI10" s="182">
        <v>47.58</v>
      </c>
      <c r="AEJ10" s="182">
        <v>47.58</v>
      </c>
      <c r="AEK10" s="182">
        <v>47.58</v>
      </c>
      <c r="AEL10" s="182">
        <v>47.58</v>
      </c>
      <c r="AEM10" s="182">
        <v>47.58</v>
      </c>
      <c r="AEN10" s="182">
        <v>47.58</v>
      </c>
      <c r="AEO10" s="182">
        <v>47.58</v>
      </c>
      <c r="AEP10" s="182">
        <v>47.58</v>
      </c>
      <c r="AEQ10" s="182">
        <v>47.58</v>
      </c>
      <c r="AER10" s="182">
        <v>47.58</v>
      </c>
      <c r="AES10" s="182">
        <v>47.58</v>
      </c>
      <c r="AET10" s="182">
        <v>47.58</v>
      </c>
      <c r="AEU10" s="182">
        <v>47.58</v>
      </c>
      <c r="AEV10" s="182">
        <v>47.58</v>
      </c>
      <c r="AEW10" s="182">
        <v>47.58</v>
      </c>
      <c r="AEX10" s="182">
        <v>47.58</v>
      </c>
      <c r="AEY10" s="182">
        <v>47.58</v>
      </c>
      <c r="AEZ10" s="182">
        <v>47.58</v>
      </c>
      <c r="AFA10" s="182">
        <v>47.58</v>
      </c>
      <c r="AFB10" s="182">
        <v>47.58</v>
      </c>
      <c r="AFC10" s="182">
        <v>47.58</v>
      </c>
      <c r="AFD10" s="182">
        <v>47.58</v>
      </c>
      <c r="AFE10" s="182">
        <v>47.58</v>
      </c>
      <c r="AFF10" s="182">
        <v>47.58</v>
      </c>
      <c r="AFG10" s="182">
        <v>47.58</v>
      </c>
      <c r="AFH10" s="182">
        <v>47.58</v>
      </c>
      <c r="AFI10" s="182">
        <v>47.58</v>
      </c>
      <c r="AFJ10" s="182">
        <v>47.58</v>
      </c>
      <c r="AFK10" s="182">
        <v>47.58</v>
      </c>
      <c r="AFL10" s="182">
        <v>47.58</v>
      </c>
      <c r="AFM10" s="182">
        <v>47.58</v>
      </c>
      <c r="AFN10" s="182">
        <v>47.58</v>
      </c>
      <c r="AFO10" s="182">
        <v>47.58</v>
      </c>
      <c r="AFP10" s="182">
        <v>47.58</v>
      </c>
      <c r="AFQ10" s="182">
        <v>47.58</v>
      </c>
      <c r="AFR10" s="182">
        <v>47.58</v>
      </c>
      <c r="AFS10" s="182">
        <v>47.58</v>
      </c>
      <c r="AFT10" s="182">
        <v>47.58</v>
      </c>
      <c r="AFU10" s="182">
        <v>47.58</v>
      </c>
      <c r="AFV10" s="182">
        <v>47.58</v>
      </c>
      <c r="AFW10" s="182">
        <v>47.58</v>
      </c>
      <c r="AFX10" s="182">
        <v>47.58</v>
      </c>
      <c r="AFY10" s="182">
        <v>47.58</v>
      </c>
      <c r="AFZ10" s="182">
        <v>47.58</v>
      </c>
      <c r="AGA10" s="182">
        <v>47.58</v>
      </c>
      <c r="AGW10" s="182">
        <v>47.58</v>
      </c>
      <c r="AGX10" s="182">
        <v>47.58</v>
      </c>
      <c r="AGY10" s="182">
        <v>47.58</v>
      </c>
      <c r="AGZ10" s="182">
        <v>47.58</v>
      </c>
      <c r="AHA10" s="182">
        <v>47.58</v>
      </c>
      <c r="AHB10" s="182">
        <v>47.58</v>
      </c>
      <c r="AHC10" s="182">
        <v>47.58</v>
      </c>
      <c r="AHD10" s="182">
        <v>47.58</v>
      </c>
      <c r="AHE10" s="182">
        <v>47.58</v>
      </c>
      <c r="AHF10" s="182">
        <v>47.58</v>
      </c>
      <c r="AHG10" s="182">
        <v>47.58</v>
      </c>
      <c r="AHH10" s="182">
        <v>47.58</v>
      </c>
      <c r="AHI10" s="182">
        <v>47.58</v>
      </c>
      <c r="AHJ10" s="182">
        <v>47.58</v>
      </c>
      <c r="AHK10" s="182">
        <v>47.58</v>
      </c>
      <c r="AHL10" s="182">
        <v>47.58</v>
      </c>
      <c r="AHM10" s="182">
        <v>47.58</v>
      </c>
      <c r="AHN10" s="182">
        <v>47.58</v>
      </c>
      <c r="AHO10" s="182">
        <v>47.58</v>
      </c>
      <c r="AHP10" s="182">
        <v>47.58</v>
      </c>
      <c r="AHQ10" s="182">
        <v>47.58</v>
      </c>
      <c r="AHR10" s="182">
        <v>47.58</v>
      </c>
      <c r="AHS10" s="182">
        <v>47.58</v>
      </c>
      <c r="AHT10" s="182">
        <v>47.58</v>
      </c>
      <c r="AHU10" s="182">
        <v>47.58</v>
      </c>
      <c r="AHV10" s="182">
        <v>47.58</v>
      </c>
      <c r="AHW10" s="182">
        <v>47.58</v>
      </c>
      <c r="AHX10" s="182">
        <v>47.58</v>
      </c>
      <c r="AHY10" s="182">
        <v>47.58</v>
      </c>
      <c r="AHZ10" s="182">
        <v>47.58</v>
      </c>
      <c r="AIA10" s="182">
        <v>47.58</v>
      </c>
      <c r="AIB10" s="182">
        <v>47.58</v>
      </c>
      <c r="AIC10" s="182">
        <v>47.58</v>
      </c>
      <c r="AID10" s="182">
        <v>47.58</v>
      </c>
      <c r="AIE10" s="182">
        <v>47.58</v>
      </c>
      <c r="AIF10" s="182">
        <v>47.58</v>
      </c>
      <c r="AIG10" s="182">
        <v>47.58</v>
      </c>
      <c r="AIH10" s="182">
        <v>47.58</v>
      </c>
      <c r="AII10" s="182">
        <v>47.58</v>
      </c>
      <c r="AIJ10" s="182">
        <v>47.58</v>
      </c>
      <c r="AIK10" s="182">
        <v>47.58</v>
      </c>
      <c r="AIL10" s="182">
        <v>47.58</v>
      </c>
      <c r="AIM10" s="182">
        <v>47.58</v>
      </c>
      <c r="AIN10" s="182">
        <v>47.58</v>
      </c>
      <c r="AIO10" s="182">
        <v>47.58</v>
      </c>
      <c r="AIP10" s="182">
        <v>47.58</v>
      </c>
      <c r="AIQ10" s="182">
        <v>47.58</v>
      </c>
      <c r="AIR10" s="182">
        <v>47.58</v>
      </c>
      <c r="AIS10" s="182">
        <v>47.58</v>
      </c>
      <c r="AIT10" s="182">
        <v>47.58</v>
      </c>
      <c r="AIU10" s="182">
        <v>47.58</v>
      </c>
      <c r="AIV10" s="182">
        <v>47.58</v>
      </c>
      <c r="AIW10" s="182">
        <v>47.58</v>
      </c>
      <c r="AIX10" s="182">
        <v>47.58</v>
      </c>
      <c r="AIY10" s="182">
        <v>47.58</v>
      </c>
      <c r="AIZ10" s="182">
        <v>47.58</v>
      </c>
      <c r="AJA10" s="182">
        <v>47.58</v>
      </c>
      <c r="AJB10" s="182">
        <v>47.58</v>
      </c>
      <c r="AJC10" s="182">
        <v>47.58</v>
      </c>
    </row>
    <row r="11" spans="1:939">
      <c r="A11" s="182">
        <v>43.25</v>
      </c>
      <c r="B11" s="182">
        <v>43.25</v>
      </c>
      <c r="C11" s="182">
        <v>43.25</v>
      </c>
      <c r="D11" s="182">
        <v>43.25</v>
      </c>
      <c r="E11" s="182">
        <v>43.25</v>
      </c>
      <c r="F11" s="182">
        <v>43.25</v>
      </c>
      <c r="G11" s="182">
        <v>43.25</v>
      </c>
      <c r="H11" s="182">
        <v>43.25</v>
      </c>
      <c r="I11" s="182">
        <v>43.25</v>
      </c>
      <c r="J11" s="182">
        <v>43.25</v>
      </c>
      <c r="K11" s="182">
        <v>43.25</v>
      </c>
      <c r="L11" s="182">
        <v>43.25</v>
      </c>
      <c r="M11" s="182">
        <v>43.25</v>
      </c>
      <c r="N11" s="182">
        <v>43.25</v>
      </c>
      <c r="O11" s="182">
        <v>43.25</v>
      </c>
      <c r="P11" s="182">
        <v>43.25</v>
      </c>
      <c r="Q11" s="182">
        <v>43.25</v>
      </c>
      <c r="R11" s="182">
        <v>43.25</v>
      </c>
      <c r="S11" s="182">
        <v>43.25</v>
      </c>
      <c r="T11" s="182">
        <v>43.25</v>
      </c>
      <c r="U11" s="182">
        <v>43.25</v>
      </c>
      <c r="V11" s="182">
        <v>43.25</v>
      </c>
      <c r="W11" s="182">
        <v>43.25</v>
      </c>
      <c r="X11" s="182">
        <v>43.25</v>
      </c>
      <c r="Y11" s="182">
        <v>43.25</v>
      </c>
      <c r="Z11" s="182">
        <v>43.25</v>
      </c>
      <c r="AA11" s="182">
        <v>43.25</v>
      </c>
      <c r="AB11" s="182">
        <v>43.25</v>
      </c>
      <c r="AC11" s="182">
        <v>43.25</v>
      </c>
      <c r="AD11" s="182">
        <v>43.25</v>
      </c>
      <c r="AE11" s="182">
        <v>43.25</v>
      </c>
      <c r="AF11" s="182">
        <v>43.25</v>
      </c>
      <c r="AG11" s="182">
        <v>43.25</v>
      </c>
      <c r="AH11" s="182">
        <v>43.25</v>
      </c>
      <c r="AI11" s="182">
        <v>43.25</v>
      </c>
      <c r="AJ11" s="182">
        <v>43.25</v>
      </c>
      <c r="AK11" s="182">
        <v>43.25</v>
      </c>
      <c r="AL11" s="182">
        <v>43.25</v>
      </c>
      <c r="AM11" s="182">
        <v>43.25</v>
      </c>
      <c r="AN11" s="182">
        <v>43.25</v>
      </c>
      <c r="AO11" s="182">
        <v>43.25</v>
      </c>
      <c r="AP11" s="182">
        <v>43.25</v>
      </c>
      <c r="AQ11" s="182">
        <v>43.25</v>
      </c>
      <c r="AR11" s="182">
        <v>43.25</v>
      </c>
      <c r="AS11" s="182">
        <v>43.25</v>
      </c>
      <c r="AT11" s="182">
        <v>43.25</v>
      </c>
      <c r="AU11" s="182">
        <v>43.25</v>
      </c>
      <c r="AV11" s="182">
        <v>43.25</v>
      </c>
      <c r="AW11" s="182">
        <v>43.25</v>
      </c>
      <c r="AX11" s="182">
        <v>43.25</v>
      </c>
      <c r="AY11" s="182">
        <v>43.25</v>
      </c>
      <c r="AZ11" s="182">
        <v>43.25</v>
      </c>
      <c r="CC11" s="182">
        <v>43.25</v>
      </c>
      <c r="CD11" s="182">
        <v>43.25</v>
      </c>
      <c r="CE11" s="182">
        <v>43.25</v>
      </c>
      <c r="CF11" s="182">
        <v>43.25</v>
      </c>
      <c r="CG11" s="182">
        <v>43.25</v>
      </c>
      <c r="CH11" s="182">
        <v>43.25</v>
      </c>
      <c r="CI11" s="182">
        <v>43.25</v>
      </c>
      <c r="CJ11" s="182">
        <v>43.25</v>
      </c>
      <c r="CK11" s="182">
        <v>43.25</v>
      </c>
      <c r="CL11" s="182">
        <v>43.25</v>
      </c>
      <c r="CM11" s="182">
        <v>43.25</v>
      </c>
      <c r="CN11" s="182">
        <v>43.25</v>
      </c>
      <c r="CO11" s="182">
        <v>43.25</v>
      </c>
      <c r="CP11" s="182">
        <v>43.25</v>
      </c>
      <c r="CQ11" s="182">
        <v>43.25</v>
      </c>
      <c r="CR11" s="182">
        <v>43.25</v>
      </c>
      <c r="CS11" s="182">
        <v>43.25</v>
      </c>
      <c r="CT11" s="182">
        <v>43.25</v>
      </c>
      <c r="CU11" s="182">
        <v>43.25</v>
      </c>
      <c r="CV11" s="182">
        <v>43.25</v>
      </c>
      <c r="CW11" s="182">
        <v>43.25</v>
      </c>
      <c r="CX11" s="182">
        <v>43.25</v>
      </c>
      <c r="CY11" s="182">
        <v>43.25</v>
      </c>
      <c r="CZ11" s="182">
        <v>43.25</v>
      </c>
      <c r="DA11" s="182">
        <v>43.25</v>
      </c>
      <c r="DB11" s="182">
        <v>43.25</v>
      </c>
      <c r="DC11" s="182">
        <v>43.25</v>
      </c>
      <c r="DD11" s="182">
        <v>43.25</v>
      </c>
      <c r="DE11" s="182">
        <v>43.25</v>
      </c>
      <c r="DF11" s="182">
        <v>43.25</v>
      </c>
      <c r="DG11" s="182">
        <v>43.25</v>
      </c>
      <c r="DH11" s="182">
        <v>43.25</v>
      </c>
      <c r="DI11" s="182">
        <v>43.25</v>
      </c>
      <c r="DJ11" s="182">
        <v>43.25</v>
      </c>
      <c r="DK11" s="182">
        <v>43.25</v>
      </c>
      <c r="DL11" s="182">
        <v>43.25</v>
      </c>
      <c r="DM11" s="182">
        <v>43.25</v>
      </c>
      <c r="DN11" s="182">
        <v>43.25</v>
      </c>
      <c r="DO11" s="182">
        <v>43.25</v>
      </c>
      <c r="DP11" s="182">
        <v>43.25</v>
      </c>
      <c r="DQ11" s="182">
        <v>43.25</v>
      </c>
      <c r="DR11" s="182">
        <v>43.25</v>
      </c>
      <c r="DS11" s="182">
        <v>43.25</v>
      </c>
      <c r="DT11" s="182">
        <v>43.25</v>
      </c>
      <c r="DU11" s="182">
        <v>43.25</v>
      </c>
      <c r="DV11" s="182">
        <v>43.25</v>
      </c>
      <c r="DW11" s="182">
        <v>43.25</v>
      </c>
      <c r="DX11" s="182">
        <v>43.25</v>
      </c>
      <c r="DY11" s="182">
        <v>43.25</v>
      </c>
      <c r="DZ11" s="182">
        <v>43.25</v>
      </c>
      <c r="EA11" s="182">
        <v>43.25</v>
      </c>
      <c r="EB11" s="182">
        <v>43.25</v>
      </c>
      <c r="EC11" s="182">
        <v>43.25</v>
      </c>
      <c r="ED11" s="182">
        <v>43.25</v>
      </c>
      <c r="EE11" s="182">
        <v>43.25</v>
      </c>
      <c r="EF11" s="182">
        <v>43.25</v>
      </c>
      <c r="EG11" s="182">
        <v>43.25</v>
      </c>
      <c r="EH11" s="182">
        <v>43.25</v>
      </c>
      <c r="FE11" s="182">
        <v>43.25</v>
      </c>
      <c r="FF11" s="182">
        <v>43.25</v>
      </c>
      <c r="FG11" s="182">
        <v>43.25</v>
      </c>
      <c r="FH11" s="182">
        <v>43.25</v>
      </c>
      <c r="FI11" s="182">
        <v>43.25</v>
      </c>
      <c r="FJ11" s="182">
        <v>43.25</v>
      </c>
      <c r="FK11" s="182">
        <v>43.25</v>
      </c>
      <c r="FL11" s="182">
        <v>43.25</v>
      </c>
      <c r="FM11" s="182">
        <v>43.25</v>
      </c>
      <c r="FN11" s="182">
        <v>43.25</v>
      </c>
      <c r="FO11" s="182">
        <v>43.25</v>
      </c>
      <c r="FP11" s="182">
        <v>43.25</v>
      </c>
      <c r="FQ11" s="182">
        <v>43.25</v>
      </c>
      <c r="FR11" s="182">
        <v>43.25</v>
      </c>
      <c r="FS11" s="182">
        <v>43.25</v>
      </c>
      <c r="FT11" s="182">
        <v>43.25</v>
      </c>
      <c r="FU11" s="182">
        <v>43.25</v>
      </c>
      <c r="FV11" s="182">
        <v>43.25</v>
      </c>
      <c r="FW11" s="182">
        <v>43.25</v>
      </c>
      <c r="FX11" s="182">
        <v>43.25</v>
      </c>
      <c r="FY11" s="182">
        <v>43.25</v>
      </c>
      <c r="FZ11" s="182">
        <v>43.25</v>
      </c>
      <c r="GA11" s="182">
        <v>43.25</v>
      </c>
      <c r="GB11" s="182">
        <v>43.25</v>
      </c>
      <c r="GC11" s="182">
        <v>43.25</v>
      </c>
      <c r="GD11" s="182">
        <v>43.25</v>
      </c>
      <c r="GE11" s="182">
        <v>43.25</v>
      </c>
      <c r="GF11" s="182">
        <v>43.25</v>
      </c>
      <c r="GG11" s="182">
        <v>43.25</v>
      </c>
      <c r="GH11" s="182">
        <v>43.25</v>
      </c>
      <c r="GI11" s="182">
        <v>43.25</v>
      </c>
      <c r="GJ11" s="182">
        <v>43.25</v>
      </c>
      <c r="GK11" s="182">
        <v>43.25</v>
      </c>
      <c r="GL11" s="182">
        <v>43.25</v>
      </c>
      <c r="GM11" s="182">
        <v>43.25</v>
      </c>
      <c r="GN11" s="182">
        <v>43.25</v>
      </c>
      <c r="GO11" s="182">
        <v>43.25</v>
      </c>
      <c r="GP11" s="182">
        <v>43.25</v>
      </c>
      <c r="GQ11" s="182">
        <v>43.25</v>
      </c>
      <c r="GR11" s="182">
        <v>43.25</v>
      </c>
      <c r="GS11" s="182">
        <v>43.25</v>
      </c>
      <c r="GT11" s="182">
        <v>43.25</v>
      </c>
      <c r="GU11" s="182">
        <v>43.25</v>
      </c>
      <c r="GV11" s="182">
        <v>43.25</v>
      </c>
      <c r="GW11" s="182">
        <v>43.25</v>
      </c>
      <c r="GX11" s="182">
        <v>43.25</v>
      </c>
      <c r="GY11" s="182">
        <v>43.25</v>
      </c>
      <c r="GZ11" s="182">
        <v>43.25</v>
      </c>
      <c r="HA11" s="182">
        <v>43.25</v>
      </c>
      <c r="HB11" s="182">
        <v>43.25</v>
      </c>
      <c r="HC11" s="182">
        <v>43.25</v>
      </c>
      <c r="HD11" s="182">
        <v>43.25</v>
      </c>
      <c r="HE11" s="182">
        <v>43.25</v>
      </c>
      <c r="HF11" s="182">
        <v>43.25</v>
      </c>
      <c r="HG11" s="182">
        <v>43.25</v>
      </c>
      <c r="HH11" s="182">
        <v>43.25</v>
      </c>
      <c r="HI11" s="182">
        <v>43.25</v>
      </c>
      <c r="HJ11" s="182">
        <v>43.25</v>
      </c>
      <c r="HK11" s="182">
        <v>43.25</v>
      </c>
      <c r="IG11" s="182">
        <v>43.25</v>
      </c>
      <c r="IH11" s="182">
        <v>43.25</v>
      </c>
      <c r="II11" s="182">
        <v>43.25</v>
      </c>
      <c r="IJ11" s="182">
        <v>43.25</v>
      </c>
      <c r="IK11" s="182">
        <v>43.25</v>
      </c>
      <c r="IL11" s="182">
        <v>43.25</v>
      </c>
      <c r="IM11" s="182">
        <v>43.25</v>
      </c>
      <c r="IN11" s="182">
        <v>43.25</v>
      </c>
      <c r="IO11" s="182">
        <v>43.25</v>
      </c>
      <c r="IP11" s="182">
        <v>43.25</v>
      </c>
      <c r="IQ11" s="182">
        <v>43.25</v>
      </c>
      <c r="IR11" s="182">
        <v>43.25</v>
      </c>
      <c r="IS11" s="182">
        <v>43.25</v>
      </c>
      <c r="IT11" s="182">
        <v>43.25</v>
      </c>
      <c r="IU11" s="182">
        <v>43.25</v>
      </c>
      <c r="IV11" s="182">
        <v>43.25</v>
      </c>
      <c r="IW11" s="182">
        <v>43.25</v>
      </c>
      <c r="IX11" s="182">
        <v>43.25</v>
      </c>
      <c r="IY11" s="182">
        <v>43.25</v>
      </c>
      <c r="IZ11" s="182">
        <v>43.25</v>
      </c>
      <c r="JA11" s="182">
        <v>43.25</v>
      </c>
      <c r="JB11" s="182">
        <v>43.25</v>
      </c>
      <c r="JC11" s="182">
        <v>43.25</v>
      </c>
      <c r="JD11" s="182">
        <v>43.25</v>
      </c>
      <c r="JE11" s="182">
        <v>43.25</v>
      </c>
      <c r="JF11" s="182">
        <v>43.25</v>
      </c>
      <c r="JG11" s="182">
        <v>43.25</v>
      </c>
      <c r="JH11" s="182">
        <v>43.25</v>
      </c>
      <c r="JI11" s="182">
        <v>43.25</v>
      </c>
      <c r="JJ11" s="182">
        <v>43.25</v>
      </c>
      <c r="JK11" s="182">
        <v>43.25</v>
      </c>
      <c r="JL11" s="182">
        <v>43.25</v>
      </c>
      <c r="JM11" s="182">
        <v>43.25</v>
      </c>
      <c r="JN11" s="182">
        <v>43.25</v>
      </c>
      <c r="JO11" s="182">
        <v>43.25</v>
      </c>
      <c r="JP11" s="182">
        <v>43.25</v>
      </c>
      <c r="JQ11" s="182">
        <v>43.25</v>
      </c>
      <c r="JR11" s="182">
        <v>43.25</v>
      </c>
      <c r="JS11" s="182">
        <v>43.25</v>
      </c>
      <c r="JT11" s="182">
        <v>43.25</v>
      </c>
      <c r="JU11" s="182">
        <v>43.25</v>
      </c>
      <c r="JV11" s="182">
        <v>43.25</v>
      </c>
      <c r="JW11" s="182">
        <v>43.25</v>
      </c>
      <c r="JX11" s="182">
        <v>43.25</v>
      </c>
      <c r="JY11" s="182">
        <v>43.25</v>
      </c>
      <c r="JZ11" s="182">
        <v>43.25</v>
      </c>
      <c r="KA11" s="182">
        <v>43.25</v>
      </c>
      <c r="KB11" s="182">
        <v>43.25</v>
      </c>
      <c r="KC11" s="182">
        <v>43.25</v>
      </c>
      <c r="KD11" s="182">
        <v>43.25</v>
      </c>
      <c r="KE11" s="182">
        <v>43.25</v>
      </c>
      <c r="KF11" s="182">
        <v>43.25</v>
      </c>
      <c r="KG11" s="182">
        <v>43.25</v>
      </c>
      <c r="KH11" s="182">
        <v>43.25</v>
      </c>
      <c r="KI11" s="182">
        <v>43.25</v>
      </c>
      <c r="KJ11" s="182">
        <v>43.25</v>
      </c>
      <c r="KK11" s="182">
        <v>43.25</v>
      </c>
      <c r="KL11" s="182">
        <v>43.25</v>
      </c>
      <c r="LI11" s="182">
        <v>43.25</v>
      </c>
      <c r="LJ11" s="182">
        <v>43.25</v>
      </c>
      <c r="LK11" s="182">
        <v>43.25</v>
      </c>
      <c r="LL11" s="182">
        <v>43.25</v>
      </c>
      <c r="LM11" s="182">
        <v>43.25</v>
      </c>
      <c r="LN11" s="182">
        <v>43.25</v>
      </c>
      <c r="LO11" s="182">
        <v>43.25</v>
      </c>
      <c r="LP11" s="182">
        <v>43.25</v>
      </c>
      <c r="LQ11" s="182">
        <v>43.25</v>
      </c>
      <c r="LR11" s="182">
        <v>43.25</v>
      </c>
      <c r="LS11" s="182">
        <v>43.25</v>
      </c>
      <c r="LT11" s="182">
        <v>43.25</v>
      </c>
      <c r="LU11" s="182">
        <v>43.25</v>
      </c>
      <c r="LV11" s="182">
        <v>43.25</v>
      </c>
      <c r="LW11" s="182">
        <v>43.25</v>
      </c>
      <c r="LX11" s="182">
        <v>43.25</v>
      </c>
      <c r="LY11" s="182">
        <v>43.25</v>
      </c>
      <c r="LZ11" s="182">
        <v>43.25</v>
      </c>
      <c r="MA11" s="182">
        <v>43.25</v>
      </c>
      <c r="MB11" s="182">
        <v>43.25</v>
      </c>
      <c r="MC11" s="182">
        <v>43.25</v>
      </c>
      <c r="MD11" s="182">
        <v>43.25</v>
      </c>
      <c r="ME11" s="182">
        <v>43.25</v>
      </c>
      <c r="MF11" s="182">
        <v>43.25</v>
      </c>
      <c r="MG11" s="182">
        <v>43.25</v>
      </c>
      <c r="MH11" s="182">
        <v>43.25</v>
      </c>
      <c r="MI11" s="182">
        <v>43.25</v>
      </c>
      <c r="MJ11" s="182">
        <v>43.25</v>
      </c>
      <c r="MK11" s="182">
        <v>43.25</v>
      </c>
      <c r="ML11" s="182">
        <v>43.25</v>
      </c>
      <c r="MM11" s="182">
        <v>43.25</v>
      </c>
      <c r="MN11" s="182">
        <v>43.25</v>
      </c>
      <c r="MO11" s="182">
        <v>43.25</v>
      </c>
      <c r="MP11" s="182">
        <v>43.25</v>
      </c>
      <c r="MQ11" s="182">
        <v>43.25</v>
      </c>
      <c r="MR11" s="182">
        <v>43.25</v>
      </c>
      <c r="MS11" s="182">
        <v>43.25</v>
      </c>
      <c r="MT11" s="182">
        <v>43.25</v>
      </c>
      <c r="MU11" s="182">
        <v>43.25</v>
      </c>
      <c r="MV11" s="182">
        <v>43.25</v>
      </c>
      <c r="MW11" s="182">
        <v>43.25</v>
      </c>
      <c r="MX11" s="182">
        <v>43.25</v>
      </c>
      <c r="MY11" s="182">
        <v>43.25</v>
      </c>
      <c r="MZ11" s="182">
        <v>43.25</v>
      </c>
      <c r="NA11" s="182">
        <v>43.25</v>
      </c>
      <c r="NB11" s="182">
        <v>43.25</v>
      </c>
      <c r="NC11" s="182">
        <v>43.25</v>
      </c>
      <c r="ND11" s="182">
        <v>43.25</v>
      </c>
      <c r="NE11" s="182">
        <v>43.25</v>
      </c>
      <c r="NF11" s="182">
        <v>43.25</v>
      </c>
      <c r="NG11" s="182">
        <v>43.25</v>
      </c>
      <c r="NH11" s="182">
        <v>43.25</v>
      </c>
      <c r="NI11" s="182">
        <v>43.25</v>
      </c>
      <c r="NJ11" s="182">
        <v>43.25</v>
      </c>
      <c r="NK11" s="182">
        <v>43.25</v>
      </c>
      <c r="NL11" s="182">
        <v>43.25</v>
      </c>
      <c r="NM11" s="182">
        <v>43.25</v>
      </c>
      <c r="NN11" s="182">
        <v>43.25</v>
      </c>
      <c r="NO11" s="182">
        <v>43.25</v>
      </c>
      <c r="NP11" s="182">
        <v>43.25</v>
      </c>
      <c r="NQ11" s="182">
        <v>43.25</v>
      </c>
      <c r="OK11" s="182">
        <v>43.25</v>
      </c>
      <c r="OL11" s="182">
        <v>43.25</v>
      </c>
      <c r="OM11" s="182">
        <v>43.25</v>
      </c>
      <c r="ON11" s="182">
        <v>43.25</v>
      </c>
      <c r="OO11" s="182">
        <v>43.25</v>
      </c>
      <c r="OP11" s="182">
        <v>43.25</v>
      </c>
      <c r="OQ11" s="182">
        <v>43.25</v>
      </c>
      <c r="OR11" s="182">
        <v>43.25</v>
      </c>
      <c r="OS11" s="182">
        <v>43.25</v>
      </c>
      <c r="OT11" s="182">
        <v>43.25</v>
      </c>
      <c r="OU11" s="182">
        <v>43.25</v>
      </c>
      <c r="OV11" s="182">
        <v>43.25</v>
      </c>
      <c r="OW11" s="182">
        <v>43.25</v>
      </c>
      <c r="OX11" s="182">
        <v>43.25</v>
      </c>
      <c r="OY11" s="182">
        <v>43.25</v>
      </c>
      <c r="OZ11" s="182">
        <v>43.25</v>
      </c>
      <c r="PA11" s="182">
        <v>43.25</v>
      </c>
      <c r="PB11" s="182">
        <v>43.25</v>
      </c>
      <c r="PC11" s="182">
        <v>43.25</v>
      </c>
      <c r="PD11" s="182">
        <v>43.25</v>
      </c>
      <c r="PE11" s="182">
        <v>43.25</v>
      </c>
      <c r="PF11" s="182">
        <v>43.25</v>
      </c>
      <c r="PG11" s="182">
        <v>43.25</v>
      </c>
      <c r="PH11" s="182">
        <v>43.25</v>
      </c>
      <c r="PI11" s="182">
        <v>43.25</v>
      </c>
      <c r="PJ11" s="182">
        <v>43.25</v>
      </c>
      <c r="PK11" s="182">
        <v>43.25</v>
      </c>
      <c r="PL11" s="182">
        <v>43.25</v>
      </c>
      <c r="PM11" s="182">
        <v>43.25</v>
      </c>
      <c r="PN11" s="182">
        <v>43.25</v>
      </c>
      <c r="PO11" s="182">
        <v>43.25</v>
      </c>
      <c r="PP11" s="182">
        <v>43.25</v>
      </c>
      <c r="PQ11" s="182">
        <v>43.25</v>
      </c>
      <c r="PR11" s="182">
        <v>43.25</v>
      </c>
      <c r="PS11" s="182">
        <v>43.25</v>
      </c>
      <c r="PT11" s="182">
        <v>43.25</v>
      </c>
      <c r="PU11" s="182">
        <v>43.25</v>
      </c>
      <c r="PV11" s="182">
        <v>43.25</v>
      </c>
      <c r="PW11" s="182">
        <v>43.25</v>
      </c>
      <c r="PX11" s="182">
        <v>43.25</v>
      </c>
      <c r="PY11" s="182">
        <v>43.25</v>
      </c>
      <c r="PZ11" s="182">
        <v>43.25</v>
      </c>
      <c r="QA11" s="182">
        <v>43.25</v>
      </c>
      <c r="QB11" s="182">
        <v>43.25</v>
      </c>
      <c r="QC11" s="182">
        <v>43.25</v>
      </c>
      <c r="QD11" s="182">
        <v>43.25</v>
      </c>
      <c r="QE11" s="182">
        <v>43.25</v>
      </c>
      <c r="QF11" s="182">
        <v>43.25</v>
      </c>
      <c r="QG11" s="182">
        <v>43.25</v>
      </c>
      <c r="QH11" s="182">
        <v>43.25</v>
      </c>
      <c r="QI11" s="182">
        <v>43.25</v>
      </c>
      <c r="QJ11" s="182">
        <v>43.25</v>
      </c>
      <c r="QK11" s="182">
        <v>43.25</v>
      </c>
      <c r="QL11" s="182">
        <v>43.25</v>
      </c>
      <c r="QM11" s="182">
        <v>43.25</v>
      </c>
      <c r="QN11" s="182">
        <v>43.25</v>
      </c>
      <c r="QO11" s="182">
        <v>43.25</v>
      </c>
      <c r="QP11" s="182">
        <v>43.25</v>
      </c>
      <c r="QQ11" s="182">
        <v>43.25</v>
      </c>
      <c r="QR11" s="182">
        <v>43.25</v>
      </c>
      <c r="RM11" s="182">
        <v>43.25</v>
      </c>
      <c r="RN11" s="182">
        <v>43.25</v>
      </c>
      <c r="RO11" s="182">
        <v>43.25</v>
      </c>
      <c r="RP11" s="182">
        <v>43.25</v>
      </c>
      <c r="RQ11" s="182">
        <v>43.25</v>
      </c>
      <c r="RR11" s="182">
        <v>43.25</v>
      </c>
      <c r="RS11" s="182">
        <v>43.25</v>
      </c>
      <c r="RT11" s="182">
        <v>43.25</v>
      </c>
      <c r="RU11" s="182">
        <v>43.25</v>
      </c>
      <c r="RV11" s="182">
        <v>43.25</v>
      </c>
      <c r="RW11" s="182">
        <v>43.25</v>
      </c>
      <c r="RX11" s="182">
        <v>43.25</v>
      </c>
      <c r="RY11" s="182">
        <v>43.25</v>
      </c>
      <c r="RZ11" s="182">
        <v>43.25</v>
      </c>
      <c r="SA11" s="182">
        <v>43.25</v>
      </c>
      <c r="SB11" s="182">
        <v>43.25</v>
      </c>
      <c r="SC11" s="182">
        <v>43.25</v>
      </c>
      <c r="SD11" s="182">
        <v>43.25</v>
      </c>
      <c r="SE11" s="182">
        <v>43.25</v>
      </c>
      <c r="SF11" s="182">
        <v>43.25</v>
      </c>
      <c r="SG11" s="182">
        <v>43.25</v>
      </c>
      <c r="SH11" s="182">
        <v>43.25</v>
      </c>
      <c r="SI11" s="182">
        <v>43.25</v>
      </c>
      <c r="SJ11" s="182">
        <v>43.25</v>
      </c>
      <c r="SK11" s="182">
        <v>43.25</v>
      </c>
      <c r="SL11" s="182">
        <v>43.25</v>
      </c>
      <c r="SM11" s="182">
        <v>43.25</v>
      </c>
      <c r="SN11" s="182">
        <v>43.25</v>
      </c>
      <c r="SO11" s="182">
        <v>43.25</v>
      </c>
      <c r="SP11" s="182">
        <v>43.25</v>
      </c>
      <c r="SQ11" s="182">
        <v>43.25</v>
      </c>
      <c r="SR11" s="182">
        <v>43.25</v>
      </c>
      <c r="SS11" s="182">
        <v>43.25</v>
      </c>
      <c r="ST11" s="182">
        <v>43.25</v>
      </c>
      <c r="SU11" s="182">
        <v>43.25</v>
      </c>
      <c r="SV11" s="182">
        <v>43.25</v>
      </c>
      <c r="SW11" s="182">
        <v>43.25</v>
      </c>
      <c r="SX11" s="182">
        <v>43.25</v>
      </c>
      <c r="SY11" s="182">
        <v>43.25</v>
      </c>
      <c r="SZ11" s="182">
        <v>43.25</v>
      </c>
      <c r="TA11" s="182">
        <v>43.25</v>
      </c>
      <c r="TB11" s="182">
        <v>43.25</v>
      </c>
      <c r="TC11" s="182">
        <v>43.25</v>
      </c>
      <c r="TD11" s="182">
        <v>43.25</v>
      </c>
      <c r="TE11" s="182">
        <v>43.25</v>
      </c>
      <c r="TF11" s="182">
        <v>43.25</v>
      </c>
      <c r="TG11" s="182">
        <v>43.25</v>
      </c>
      <c r="TH11" s="182">
        <v>43.25</v>
      </c>
      <c r="TI11" s="182">
        <v>43.25</v>
      </c>
      <c r="TJ11" s="182">
        <v>43.25</v>
      </c>
      <c r="TK11" s="182">
        <v>43.25</v>
      </c>
      <c r="TL11" s="182">
        <v>43.25</v>
      </c>
      <c r="TM11" s="182">
        <v>43.25</v>
      </c>
      <c r="TN11" s="182">
        <v>43.25</v>
      </c>
      <c r="TO11" s="182">
        <v>43.25</v>
      </c>
      <c r="TP11" s="182">
        <v>43.25</v>
      </c>
      <c r="TQ11" s="182">
        <v>43.25</v>
      </c>
      <c r="TR11" s="182">
        <v>43.25</v>
      </c>
      <c r="TS11" s="182">
        <v>43.25</v>
      </c>
      <c r="TT11" s="182">
        <v>43.25</v>
      </c>
      <c r="UO11" s="182">
        <v>43.25</v>
      </c>
      <c r="UP11" s="182">
        <v>43.25</v>
      </c>
      <c r="UQ11" s="182">
        <v>43.25</v>
      </c>
      <c r="UR11" s="182">
        <v>43.25</v>
      </c>
      <c r="US11" s="182">
        <v>43.25</v>
      </c>
      <c r="UT11" s="182">
        <v>43.25</v>
      </c>
      <c r="UU11" s="182">
        <v>43.25</v>
      </c>
      <c r="UV11" s="182">
        <v>43.25</v>
      </c>
      <c r="UW11" s="182">
        <v>43.25</v>
      </c>
      <c r="UX11" s="182">
        <v>43.25</v>
      </c>
      <c r="UY11" s="182">
        <v>43.25</v>
      </c>
      <c r="UZ11" s="182">
        <v>43.25</v>
      </c>
      <c r="VA11" s="182">
        <v>43.25</v>
      </c>
      <c r="VB11" s="182">
        <v>43.25</v>
      </c>
      <c r="VC11" s="182">
        <v>43.25</v>
      </c>
      <c r="VD11" s="182">
        <v>43.25</v>
      </c>
      <c r="VE11" s="182">
        <v>43.25</v>
      </c>
      <c r="VF11" s="182">
        <v>43.25</v>
      </c>
      <c r="VG11" s="182">
        <v>43.25</v>
      </c>
      <c r="VH11" s="182">
        <v>43.25</v>
      </c>
      <c r="VI11" s="182">
        <v>43.25</v>
      </c>
      <c r="VJ11" s="182">
        <v>43.25</v>
      </c>
      <c r="VK11" s="182">
        <v>43.25</v>
      </c>
      <c r="VL11" s="182">
        <v>43.25</v>
      </c>
      <c r="VM11" s="182">
        <v>43.25</v>
      </c>
      <c r="VN11" s="182">
        <v>43.25</v>
      </c>
      <c r="VO11" s="182">
        <v>43.25</v>
      </c>
      <c r="VP11" s="182">
        <v>43.25</v>
      </c>
      <c r="VQ11" s="182">
        <v>43.25</v>
      </c>
      <c r="VR11" s="182">
        <v>43.25</v>
      </c>
      <c r="VS11" s="182">
        <v>43.25</v>
      </c>
      <c r="VT11" s="182">
        <v>43.25</v>
      </c>
      <c r="VU11" s="182">
        <v>43.25</v>
      </c>
      <c r="VV11" s="182">
        <v>43.25</v>
      </c>
      <c r="VW11" s="182">
        <v>43.25</v>
      </c>
      <c r="VX11" s="182">
        <v>43.25</v>
      </c>
      <c r="VY11" s="182">
        <v>43.25</v>
      </c>
      <c r="VZ11" s="182">
        <v>43.25</v>
      </c>
      <c r="WA11" s="182">
        <v>43.25</v>
      </c>
      <c r="WB11" s="182">
        <v>43.25</v>
      </c>
      <c r="WC11" s="182">
        <v>43.25</v>
      </c>
      <c r="WD11" s="182">
        <v>43.25</v>
      </c>
      <c r="WE11" s="182">
        <v>43.25</v>
      </c>
      <c r="WF11" s="182">
        <v>43.25</v>
      </c>
      <c r="WG11" s="182">
        <v>43.25</v>
      </c>
      <c r="WH11" s="182">
        <v>43.25</v>
      </c>
      <c r="WI11" s="182">
        <v>43.25</v>
      </c>
      <c r="WJ11" s="182">
        <v>43.25</v>
      </c>
      <c r="WK11" s="182">
        <v>43.25</v>
      </c>
      <c r="WL11" s="182">
        <v>43.25</v>
      </c>
      <c r="WM11" s="182">
        <v>43.25</v>
      </c>
      <c r="WN11" s="182">
        <v>43.25</v>
      </c>
      <c r="WO11" s="182">
        <v>43.25</v>
      </c>
      <c r="WP11" s="182">
        <v>43.25</v>
      </c>
      <c r="WQ11" s="182">
        <v>43.25</v>
      </c>
      <c r="WR11" s="182">
        <v>43.25</v>
      </c>
      <c r="WS11" s="182">
        <v>43.25</v>
      </c>
      <c r="WT11" s="182">
        <v>43.25</v>
      </c>
      <c r="WU11" s="182">
        <v>43.25</v>
      </c>
      <c r="WV11" s="182">
        <v>43.25</v>
      </c>
      <c r="XQ11" s="182">
        <v>43.25</v>
      </c>
      <c r="XR11" s="182">
        <v>43.25</v>
      </c>
      <c r="XS11" s="182">
        <v>43.25</v>
      </c>
      <c r="XT11" s="182">
        <v>43.25</v>
      </c>
      <c r="XU11" s="182">
        <v>43.25</v>
      </c>
      <c r="XV11" s="182">
        <v>43.25</v>
      </c>
      <c r="XW11" s="182">
        <v>43.25</v>
      </c>
      <c r="XX11" s="182">
        <v>43.25</v>
      </c>
      <c r="XY11" s="182">
        <v>43.25</v>
      </c>
      <c r="XZ11" s="182">
        <v>43.25</v>
      </c>
      <c r="YA11" s="182">
        <v>43.25</v>
      </c>
      <c r="YB11" s="182">
        <v>43.25</v>
      </c>
      <c r="YC11" s="182">
        <v>43.25</v>
      </c>
      <c r="YD11" s="182">
        <v>43.25</v>
      </c>
      <c r="YE11" s="182">
        <v>43.25</v>
      </c>
      <c r="YF11" s="182">
        <v>43.25</v>
      </c>
      <c r="YG11" s="182">
        <v>43.25</v>
      </c>
      <c r="YH11" s="182">
        <v>43.25</v>
      </c>
      <c r="YI11" s="182">
        <v>43.25</v>
      </c>
      <c r="YJ11" s="182">
        <v>43.25</v>
      </c>
      <c r="YK11" s="182">
        <v>43.25</v>
      </c>
      <c r="YL11" s="182">
        <v>43.25</v>
      </c>
      <c r="YM11" s="182">
        <v>43.25</v>
      </c>
      <c r="YN11" s="182">
        <v>43.25</v>
      </c>
      <c r="YO11" s="182">
        <v>43.25</v>
      </c>
      <c r="YP11" s="182">
        <v>43.25</v>
      </c>
      <c r="YQ11" s="182">
        <v>43.25</v>
      </c>
      <c r="YR11" s="182">
        <v>43.25</v>
      </c>
      <c r="YS11" s="182">
        <v>43.25</v>
      </c>
      <c r="YT11" s="182">
        <v>43.25</v>
      </c>
      <c r="YU11" s="182">
        <v>43.25</v>
      </c>
      <c r="YV11" s="182">
        <v>43.25</v>
      </c>
      <c r="YW11" s="182">
        <v>43.25</v>
      </c>
      <c r="YX11" s="182">
        <v>43.25</v>
      </c>
      <c r="YY11" s="182">
        <v>43.25</v>
      </c>
      <c r="YZ11" s="182">
        <v>43.25</v>
      </c>
      <c r="ZA11" s="182">
        <v>43.25</v>
      </c>
      <c r="ZB11" s="182">
        <v>43.25</v>
      </c>
      <c r="ZC11" s="182">
        <v>43.25</v>
      </c>
      <c r="ZD11" s="182">
        <v>43.25</v>
      </c>
      <c r="ZE11" s="182">
        <v>43.25</v>
      </c>
      <c r="ZF11" s="182">
        <v>43.25</v>
      </c>
      <c r="ZG11" s="182">
        <v>43.25</v>
      </c>
      <c r="ZH11" s="182">
        <v>43.25</v>
      </c>
      <c r="ZI11" s="182">
        <v>43.25</v>
      </c>
      <c r="ZJ11" s="182">
        <v>43.25</v>
      </c>
      <c r="ZK11" s="182">
        <v>43.25</v>
      </c>
      <c r="ZL11" s="182">
        <v>43.25</v>
      </c>
      <c r="ZM11" s="182">
        <v>43.25</v>
      </c>
      <c r="ZN11" s="182">
        <v>43.25</v>
      </c>
      <c r="ZO11" s="182">
        <v>43.25</v>
      </c>
      <c r="ZP11" s="182">
        <v>43.25</v>
      </c>
      <c r="ZQ11" s="182">
        <v>43.25</v>
      </c>
      <c r="ZR11" s="182">
        <v>43.25</v>
      </c>
      <c r="ZS11" s="182">
        <v>43.25</v>
      </c>
      <c r="ZT11" s="182">
        <v>43.25</v>
      </c>
      <c r="ZU11" s="182">
        <v>43.25</v>
      </c>
      <c r="ZV11" s="182">
        <v>43.25</v>
      </c>
      <c r="ZW11" s="182">
        <v>43.25</v>
      </c>
      <c r="ZX11" s="182">
        <v>43.25</v>
      </c>
      <c r="AAS11" s="182">
        <v>43.25</v>
      </c>
      <c r="AAT11" s="182">
        <v>43.25</v>
      </c>
      <c r="AAU11" s="182">
        <v>43.25</v>
      </c>
      <c r="AAV11" s="182">
        <v>43.25</v>
      </c>
      <c r="AAW11" s="182">
        <v>43.25</v>
      </c>
      <c r="AAX11" s="182">
        <v>43.25</v>
      </c>
      <c r="AAY11" s="182">
        <v>43.25</v>
      </c>
      <c r="AAZ11" s="182">
        <v>43.25</v>
      </c>
      <c r="ABA11" s="182">
        <v>43.25</v>
      </c>
      <c r="ABB11" s="182">
        <v>43.25</v>
      </c>
      <c r="ABC11" s="182">
        <v>43.25</v>
      </c>
      <c r="ABD11" s="182">
        <v>43.25</v>
      </c>
      <c r="ABE11" s="182">
        <v>43.25</v>
      </c>
      <c r="ABF11" s="182">
        <v>43.25</v>
      </c>
      <c r="ABG11" s="182">
        <v>43.25</v>
      </c>
      <c r="ABH11" s="182">
        <v>43.25</v>
      </c>
      <c r="ABI11" s="182">
        <v>43.25</v>
      </c>
      <c r="ABJ11" s="182">
        <v>43.25</v>
      </c>
      <c r="ABK11" s="182">
        <v>43.25</v>
      </c>
      <c r="ABL11" s="182">
        <v>43.25</v>
      </c>
      <c r="ABM11" s="182">
        <v>43.25</v>
      </c>
      <c r="ABN11" s="182">
        <v>43.25</v>
      </c>
      <c r="ABO11" s="182">
        <v>43.25</v>
      </c>
      <c r="ABP11" s="182">
        <v>43.25</v>
      </c>
      <c r="ABQ11" s="182">
        <v>43.25</v>
      </c>
      <c r="ABR11" s="182">
        <v>43.25</v>
      </c>
      <c r="ABS11" s="182">
        <v>43.25</v>
      </c>
      <c r="ABT11" s="182">
        <v>43.25</v>
      </c>
      <c r="ABU11" s="182">
        <v>43.25</v>
      </c>
      <c r="ABV11" s="182">
        <v>43.25</v>
      </c>
      <c r="ABW11" s="182">
        <v>43.25</v>
      </c>
      <c r="ABX11" s="182">
        <v>43.25</v>
      </c>
      <c r="ABY11" s="182">
        <v>43.25</v>
      </c>
      <c r="ABZ11" s="182">
        <v>43.25</v>
      </c>
      <c r="ACA11" s="182">
        <v>43.25</v>
      </c>
      <c r="ACB11" s="182">
        <v>43.25</v>
      </c>
      <c r="ACC11" s="182">
        <v>43.25</v>
      </c>
      <c r="ACD11" s="182">
        <v>43.25</v>
      </c>
      <c r="ACE11" s="182">
        <v>43.25</v>
      </c>
      <c r="ACF11" s="182">
        <v>43.25</v>
      </c>
      <c r="ACG11" s="182">
        <v>43.25</v>
      </c>
      <c r="ACH11" s="182">
        <v>43.25</v>
      </c>
      <c r="ACI11" s="182">
        <v>43.25</v>
      </c>
      <c r="ACJ11" s="182">
        <v>43.25</v>
      </c>
      <c r="ACK11" s="182">
        <v>43.25</v>
      </c>
      <c r="ACL11" s="182">
        <v>43.25</v>
      </c>
      <c r="ACM11" s="182">
        <v>43.25</v>
      </c>
      <c r="ACN11" s="182">
        <v>43.25</v>
      </c>
      <c r="ACO11" s="182">
        <v>43.25</v>
      </c>
      <c r="ACP11" s="182">
        <v>43.25</v>
      </c>
      <c r="ACQ11" s="182">
        <v>43.25</v>
      </c>
      <c r="ACR11" s="182">
        <v>43.25</v>
      </c>
      <c r="ACS11" s="182">
        <v>43.25</v>
      </c>
      <c r="ACT11" s="182">
        <v>43.25</v>
      </c>
      <c r="ACU11" s="182">
        <v>43.25</v>
      </c>
      <c r="ACV11" s="182">
        <v>43.25</v>
      </c>
      <c r="ACW11" s="182">
        <v>43.25</v>
      </c>
      <c r="ACX11" s="182">
        <v>43.25</v>
      </c>
      <c r="ACY11" s="182">
        <v>43.25</v>
      </c>
      <c r="ADU11" s="182">
        <v>43.25</v>
      </c>
      <c r="ADV11" s="182">
        <v>43.25</v>
      </c>
      <c r="ADW11" s="182">
        <v>43.25</v>
      </c>
      <c r="ADX11" s="182">
        <v>43.25</v>
      </c>
      <c r="ADY11" s="182">
        <v>43.25</v>
      </c>
      <c r="ADZ11" s="182">
        <v>43.25</v>
      </c>
      <c r="AEA11" s="182">
        <v>43.25</v>
      </c>
      <c r="AEB11" s="182">
        <v>43.25</v>
      </c>
      <c r="AEC11" s="182">
        <v>43.25</v>
      </c>
      <c r="AED11" s="182">
        <v>43.25</v>
      </c>
      <c r="AEE11" s="182">
        <v>43.25</v>
      </c>
      <c r="AEF11" s="182">
        <v>43.25</v>
      </c>
      <c r="AEG11" s="182">
        <v>43.25</v>
      </c>
      <c r="AEH11" s="182">
        <v>43.25</v>
      </c>
      <c r="AEI11" s="182">
        <v>43.25</v>
      </c>
      <c r="AEJ11" s="182">
        <v>43.25</v>
      </c>
      <c r="AEK11" s="182">
        <v>43.25</v>
      </c>
      <c r="AEL11" s="182">
        <v>43.25</v>
      </c>
      <c r="AEM11" s="182">
        <v>43.25</v>
      </c>
      <c r="AEN11" s="182">
        <v>43.25</v>
      </c>
      <c r="AEO11" s="182">
        <v>43.25</v>
      </c>
      <c r="AEP11" s="182">
        <v>43.25</v>
      </c>
      <c r="AEQ11" s="182">
        <v>43.25</v>
      </c>
      <c r="AER11" s="182">
        <v>43.25</v>
      </c>
      <c r="AES11" s="182">
        <v>43.25</v>
      </c>
      <c r="AET11" s="182">
        <v>43.25</v>
      </c>
      <c r="AEU11" s="182">
        <v>43.25</v>
      </c>
      <c r="AEV11" s="182">
        <v>43.25</v>
      </c>
      <c r="AEW11" s="182">
        <v>43.25</v>
      </c>
      <c r="AEX11" s="182">
        <v>43.25</v>
      </c>
      <c r="AEY11" s="182">
        <v>43.25</v>
      </c>
      <c r="AEZ11" s="182">
        <v>43.25</v>
      </c>
      <c r="AFA11" s="182">
        <v>43.25</v>
      </c>
      <c r="AFB11" s="182">
        <v>43.25</v>
      </c>
      <c r="AFC11" s="182">
        <v>43.25</v>
      </c>
      <c r="AFD11" s="182">
        <v>43.25</v>
      </c>
      <c r="AFE11" s="182">
        <v>43.25</v>
      </c>
      <c r="AFF11" s="182">
        <v>43.25</v>
      </c>
      <c r="AFG11" s="182">
        <v>43.25</v>
      </c>
      <c r="AFH11" s="182">
        <v>43.25</v>
      </c>
      <c r="AFI11" s="182">
        <v>43.25</v>
      </c>
      <c r="AFJ11" s="182">
        <v>43.25</v>
      </c>
      <c r="AFK11" s="182">
        <v>43.25</v>
      </c>
      <c r="AFL11" s="182">
        <v>43.25</v>
      </c>
      <c r="AFM11" s="182">
        <v>43.25</v>
      </c>
      <c r="AFN11" s="182">
        <v>43.25</v>
      </c>
      <c r="AFO11" s="182">
        <v>43.25</v>
      </c>
      <c r="AFP11" s="182">
        <v>43.25</v>
      </c>
      <c r="AFQ11" s="182">
        <v>43.25</v>
      </c>
      <c r="AFR11" s="182">
        <v>43.25</v>
      </c>
      <c r="AFS11" s="182">
        <v>43.25</v>
      </c>
      <c r="AFT11" s="182">
        <v>43.25</v>
      </c>
      <c r="AFU11" s="182">
        <v>43.25</v>
      </c>
      <c r="AFV11" s="182">
        <v>43.25</v>
      </c>
      <c r="AFW11" s="182">
        <v>43.25</v>
      </c>
      <c r="AFX11" s="182">
        <v>43.25</v>
      </c>
      <c r="AFY11" s="182">
        <v>43.25</v>
      </c>
      <c r="AFZ11" s="182">
        <v>43.25</v>
      </c>
      <c r="AGA11" s="182">
        <v>43.25</v>
      </c>
      <c r="AGW11" s="182">
        <v>43.25</v>
      </c>
      <c r="AGX11" s="182">
        <v>43.25</v>
      </c>
      <c r="AGY11" s="182">
        <v>43.25</v>
      </c>
      <c r="AGZ11" s="182">
        <v>43.25</v>
      </c>
      <c r="AHA11" s="182">
        <v>43.25</v>
      </c>
      <c r="AHB11" s="182">
        <v>43.25</v>
      </c>
      <c r="AHC11" s="182">
        <v>43.25</v>
      </c>
      <c r="AHD11" s="182">
        <v>43.25</v>
      </c>
      <c r="AHE11" s="182">
        <v>43.25</v>
      </c>
      <c r="AHF11" s="182">
        <v>43.25</v>
      </c>
      <c r="AHG11" s="182">
        <v>43.25</v>
      </c>
      <c r="AHH11" s="182">
        <v>43.25</v>
      </c>
      <c r="AHI11" s="182">
        <v>43.25</v>
      </c>
      <c r="AHJ11" s="182">
        <v>43.25</v>
      </c>
      <c r="AHK11" s="182">
        <v>43.25</v>
      </c>
      <c r="AHL11" s="182">
        <v>43.25</v>
      </c>
      <c r="AHM11" s="182">
        <v>43.25</v>
      </c>
      <c r="AHN11" s="182">
        <v>43.25</v>
      </c>
      <c r="AHO11" s="182">
        <v>43.25</v>
      </c>
      <c r="AHP11" s="182">
        <v>43.25</v>
      </c>
      <c r="AHQ11" s="182">
        <v>43.25</v>
      </c>
      <c r="AHR11" s="182">
        <v>43.25</v>
      </c>
      <c r="AHS11" s="182">
        <v>43.25</v>
      </c>
      <c r="AHT11" s="182">
        <v>43.25</v>
      </c>
      <c r="AHU11" s="182">
        <v>43.25</v>
      </c>
      <c r="AHV11" s="182">
        <v>43.25</v>
      </c>
      <c r="AHW11" s="182">
        <v>43.25</v>
      </c>
      <c r="AHX11" s="182">
        <v>43.25</v>
      </c>
      <c r="AHY11" s="182">
        <v>43.25</v>
      </c>
      <c r="AHZ11" s="182">
        <v>43.25</v>
      </c>
      <c r="AIA11" s="182">
        <v>43.25</v>
      </c>
      <c r="AIB11" s="182">
        <v>43.25</v>
      </c>
      <c r="AIC11" s="182">
        <v>43.25</v>
      </c>
      <c r="AID11" s="182">
        <v>43.25</v>
      </c>
      <c r="AIE11" s="182">
        <v>43.25</v>
      </c>
      <c r="AIF11" s="182">
        <v>43.25</v>
      </c>
      <c r="AIG11" s="182">
        <v>43.25</v>
      </c>
      <c r="AIH11" s="182">
        <v>43.25</v>
      </c>
      <c r="AII11" s="182">
        <v>43.25</v>
      </c>
      <c r="AIJ11" s="182">
        <v>43.25</v>
      </c>
      <c r="AIK11" s="182">
        <v>43.25</v>
      </c>
      <c r="AIL11" s="182">
        <v>43.25</v>
      </c>
      <c r="AIM11" s="182">
        <v>43.25</v>
      </c>
      <c r="AIN11" s="182">
        <v>43.25</v>
      </c>
      <c r="AIO11" s="182">
        <v>43.25</v>
      </c>
      <c r="AIP11" s="182">
        <v>43.25</v>
      </c>
      <c r="AIQ11" s="182">
        <v>43.25</v>
      </c>
      <c r="AIR11" s="182">
        <v>43.25</v>
      </c>
      <c r="AIS11" s="182">
        <v>43.25</v>
      </c>
      <c r="AIT11" s="182">
        <v>43.25</v>
      </c>
      <c r="AIU11" s="182">
        <v>43.25</v>
      </c>
      <c r="AIV11" s="182">
        <v>43.25</v>
      </c>
      <c r="AIW11" s="182">
        <v>43.25</v>
      </c>
      <c r="AIX11" s="182">
        <v>43.25</v>
      </c>
      <c r="AIY11" s="182">
        <v>43.25</v>
      </c>
      <c r="AIZ11" s="182">
        <v>43.25</v>
      </c>
      <c r="AJA11" s="182">
        <v>43.25</v>
      </c>
      <c r="AJB11" s="182">
        <v>43.25</v>
      </c>
      <c r="AJC11" s="182">
        <v>43.25</v>
      </c>
    </row>
    <row r="12" spans="1:939">
      <c r="A12" s="182">
        <v>34.6</v>
      </c>
      <c r="B12" s="182">
        <v>34.6</v>
      </c>
      <c r="C12" s="182">
        <v>34.6</v>
      </c>
      <c r="D12" s="182">
        <v>34.6</v>
      </c>
      <c r="E12" s="182">
        <v>34.6</v>
      </c>
      <c r="F12" s="182">
        <v>34.6</v>
      </c>
      <c r="G12" s="182">
        <v>34.6</v>
      </c>
      <c r="H12" s="182">
        <v>34.6</v>
      </c>
      <c r="I12" s="182">
        <v>34.6</v>
      </c>
      <c r="J12" s="182">
        <v>34.6</v>
      </c>
      <c r="K12" s="182">
        <v>34.6</v>
      </c>
      <c r="L12" s="182">
        <v>34.6</v>
      </c>
      <c r="M12" s="182">
        <v>34.6</v>
      </c>
      <c r="N12" s="182">
        <v>34.6</v>
      </c>
      <c r="O12" s="182">
        <v>34.6</v>
      </c>
      <c r="P12" s="182">
        <v>34.6</v>
      </c>
      <c r="Q12" s="182">
        <v>34.6</v>
      </c>
      <c r="R12" s="182">
        <v>34.6</v>
      </c>
      <c r="S12" s="182">
        <v>34.6</v>
      </c>
      <c r="T12" s="182">
        <v>34.6</v>
      </c>
      <c r="U12" s="182">
        <v>34.6</v>
      </c>
      <c r="V12" s="182">
        <v>34.6</v>
      </c>
      <c r="W12" s="182">
        <v>34.6</v>
      </c>
      <c r="X12" s="182">
        <v>34.6</v>
      </c>
      <c r="Y12" s="182">
        <v>34.6</v>
      </c>
      <c r="Z12" s="182">
        <v>34.6</v>
      </c>
      <c r="AA12" s="182">
        <v>34.6</v>
      </c>
      <c r="AB12" s="182">
        <v>34.6</v>
      </c>
      <c r="AC12" s="182">
        <v>34.6</v>
      </c>
      <c r="AD12" s="182">
        <v>34.6</v>
      </c>
      <c r="AE12" s="182">
        <v>34.6</v>
      </c>
      <c r="AF12" s="182">
        <v>34.6</v>
      </c>
      <c r="AG12" s="182">
        <v>34.6</v>
      </c>
      <c r="AH12" s="182">
        <v>34.6</v>
      </c>
      <c r="AI12" s="182">
        <v>34.6</v>
      </c>
      <c r="AJ12" s="182">
        <v>34.6</v>
      </c>
      <c r="AK12" s="182">
        <v>34.6</v>
      </c>
      <c r="AL12" s="182">
        <v>34.6</v>
      </c>
      <c r="AM12" s="182">
        <v>34.6</v>
      </c>
      <c r="AN12" s="182">
        <v>34.6</v>
      </c>
      <c r="AO12" s="182">
        <v>34.6</v>
      </c>
      <c r="AP12" s="182">
        <v>34.6</v>
      </c>
      <c r="AQ12" s="182">
        <v>34.6</v>
      </c>
      <c r="AR12" s="182">
        <v>34.6</v>
      </c>
      <c r="AS12" s="182">
        <v>34.6</v>
      </c>
      <c r="AT12" s="182">
        <v>34.6</v>
      </c>
      <c r="AU12" s="182">
        <v>34.6</v>
      </c>
      <c r="AV12" s="182">
        <v>34.6</v>
      </c>
      <c r="AW12" s="182">
        <v>34.6</v>
      </c>
      <c r="AX12" s="182">
        <v>34.6</v>
      </c>
      <c r="AY12" s="182">
        <v>34.6</v>
      </c>
      <c r="AZ12" s="182">
        <v>34.6</v>
      </c>
      <c r="CC12" s="182">
        <v>34.6</v>
      </c>
      <c r="CD12" s="182">
        <v>34.6</v>
      </c>
      <c r="CE12" s="182">
        <v>34.6</v>
      </c>
      <c r="CF12" s="182">
        <v>34.6</v>
      </c>
      <c r="CG12" s="182">
        <v>34.6</v>
      </c>
      <c r="CH12" s="182">
        <v>34.6</v>
      </c>
      <c r="CI12" s="182">
        <v>34.6</v>
      </c>
      <c r="CJ12" s="182">
        <v>34.6</v>
      </c>
      <c r="CK12" s="182">
        <v>34.6</v>
      </c>
      <c r="CL12" s="182">
        <v>34.6</v>
      </c>
      <c r="CM12" s="182">
        <v>34.6</v>
      </c>
      <c r="CN12" s="182">
        <v>34.6</v>
      </c>
      <c r="CO12" s="182">
        <v>34.6</v>
      </c>
      <c r="CP12" s="182">
        <v>34.6</v>
      </c>
      <c r="CQ12" s="182">
        <v>34.6</v>
      </c>
      <c r="CR12" s="182">
        <v>34.6</v>
      </c>
      <c r="CS12" s="182">
        <v>34.6</v>
      </c>
      <c r="CT12" s="182">
        <v>34.6</v>
      </c>
      <c r="CU12" s="182">
        <v>34.6</v>
      </c>
      <c r="CV12" s="182">
        <v>34.6</v>
      </c>
      <c r="CW12" s="182">
        <v>34.6</v>
      </c>
      <c r="CX12" s="182">
        <v>34.6</v>
      </c>
      <c r="CY12" s="182">
        <v>34.6</v>
      </c>
      <c r="CZ12" s="182">
        <v>34.6</v>
      </c>
      <c r="DA12" s="182">
        <v>34.6</v>
      </c>
      <c r="DB12" s="182">
        <v>34.6</v>
      </c>
      <c r="DC12" s="182">
        <v>34.6</v>
      </c>
      <c r="DD12" s="182">
        <v>34.6</v>
      </c>
      <c r="DE12" s="182">
        <v>34.6</v>
      </c>
      <c r="DF12" s="182">
        <v>34.6</v>
      </c>
      <c r="DG12" s="182">
        <v>34.6</v>
      </c>
      <c r="DH12" s="182">
        <v>34.6</v>
      </c>
      <c r="DI12" s="182">
        <v>34.6</v>
      </c>
      <c r="DJ12" s="182">
        <v>34.6</v>
      </c>
      <c r="DK12" s="182">
        <v>34.6</v>
      </c>
      <c r="DL12" s="182">
        <v>34.6</v>
      </c>
      <c r="DM12" s="182">
        <v>34.6</v>
      </c>
      <c r="DN12" s="182">
        <v>34.6</v>
      </c>
      <c r="DO12" s="182">
        <v>34.6</v>
      </c>
      <c r="DP12" s="182">
        <v>34.6</v>
      </c>
      <c r="DQ12" s="182">
        <v>34.6</v>
      </c>
      <c r="DR12" s="182">
        <v>34.6</v>
      </c>
      <c r="DS12" s="182">
        <v>34.6</v>
      </c>
      <c r="DT12" s="182">
        <v>34.6</v>
      </c>
      <c r="DU12" s="182">
        <v>34.6</v>
      </c>
      <c r="DV12" s="182">
        <v>34.6</v>
      </c>
      <c r="DW12" s="182">
        <v>34.6</v>
      </c>
      <c r="DX12" s="182">
        <v>34.6</v>
      </c>
      <c r="DY12" s="182">
        <v>34.6</v>
      </c>
      <c r="DZ12" s="182">
        <v>34.6</v>
      </c>
      <c r="EA12" s="182">
        <v>34.6</v>
      </c>
      <c r="EB12" s="182">
        <v>34.6</v>
      </c>
      <c r="EC12" s="182">
        <v>34.6</v>
      </c>
      <c r="ED12" s="182">
        <v>34.6</v>
      </c>
      <c r="EE12" s="182">
        <v>34.6</v>
      </c>
      <c r="EF12" s="182">
        <v>34.6</v>
      </c>
      <c r="EG12" s="182">
        <v>34.6</v>
      </c>
      <c r="EH12" s="182">
        <v>34.6</v>
      </c>
      <c r="FE12" s="182">
        <v>34.6</v>
      </c>
      <c r="FF12" s="182">
        <v>34.6</v>
      </c>
      <c r="FG12" s="182">
        <v>34.6</v>
      </c>
      <c r="FH12" s="182">
        <v>34.6</v>
      </c>
      <c r="FI12" s="182">
        <v>34.6</v>
      </c>
      <c r="FJ12" s="182">
        <v>34.6</v>
      </c>
      <c r="FK12" s="182">
        <v>34.6</v>
      </c>
      <c r="FL12" s="182">
        <v>34.6</v>
      </c>
      <c r="FM12" s="182">
        <v>34.6</v>
      </c>
      <c r="FN12" s="182">
        <v>34.6</v>
      </c>
      <c r="FO12" s="182">
        <v>34.6</v>
      </c>
      <c r="FP12" s="182">
        <v>34.6</v>
      </c>
      <c r="FQ12" s="182">
        <v>34.6</v>
      </c>
      <c r="FR12" s="182">
        <v>34.6</v>
      </c>
      <c r="FS12" s="182">
        <v>34.6</v>
      </c>
      <c r="FT12" s="182">
        <v>34.6</v>
      </c>
      <c r="FU12" s="182">
        <v>34.6</v>
      </c>
      <c r="FV12" s="182">
        <v>34.6</v>
      </c>
      <c r="FW12" s="182">
        <v>34.6</v>
      </c>
      <c r="FX12" s="182">
        <v>34.6</v>
      </c>
      <c r="FY12" s="182">
        <v>34.6</v>
      </c>
      <c r="FZ12" s="182">
        <v>34.6</v>
      </c>
      <c r="GA12" s="182">
        <v>34.6</v>
      </c>
      <c r="GB12" s="182">
        <v>34.6</v>
      </c>
      <c r="GC12" s="182">
        <v>34.6</v>
      </c>
      <c r="GD12" s="182">
        <v>34.6</v>
      </c>
      <c r="GE12" s="182">
        <v>34.6</v>
      </c>
      <c r="GF12" s="182">
        <v>34.6</v>
      </c>
      <c r="GG12" s="182">
        <v>34.6</v>
      </c>
      <c r="GH12" s="182">
        <v>34.6</v>
      </c>
      <c r="GI12" s="182">
        <v>34.6</v>
      </c>
      <c r="GJ12" s="182">
        <v>34.6</v>
      </c>
      <c r="GK12" s="182">
        <v>34.6</v>
      </c>
      <c r="GL12" s="182">
        <v>34.6</v>
      </c>
      <c r="GM12" s="182">
        <v>34.6</v>
      </c>
      <c r="GN12" s="182">
        <v>34.6</v>
      </c>
      <c r="GO12" s="182">
        <v>34.6</v>
      </c>
      <c r="GP12" s="182">
        <v>34.6</v>
      </c>
      <c r="GQ12" s="182">
        <v>34.6</v>
      </c>
      <c r="GR12" s="182">
        <v>34.6</v>
      </c>
      <c r="GS12" s="182">
        <v>34.6</v>
      </c>
      <c r="GT12" s="182">
        <v>34.6</v>
      </c>
      <c r="GU12" s="182">
        <v>34.6</v>
      </c>
      <c r="GV12" s="182">
        <v>34.6</v>
      </c>
      <c r="GW12" s="182">
        <v>34.6</v>
      </c>
      <c r="GX12" s="182">
        <v>34.6</v>
      </c>
      <c r="GY12" s="182">
        <v>34.6</v>
      </c>
      <c r="GZ12" s="182">
        <v>34.6</v>
      </c>
      <c r="HA12" s="182">
        <v>34.6</v>
      </c>
      <c r="HB12" s="182">
        <v>34.6</v>
      </c>
      <c r="HC12" s="182">
        <v>34.6</v>
      </c>
      <c r="HD12" s="182">
        <v>34.6</v>
      </c>
      <c r="HE12" s="182">
        <v>34.6</v>
      </c>
      <c r="HF12" s="182">
        <v>34.6</v>
      </c>
      <c r="HG12" s="182">
        <v>34.6</v>
      </c>
      <c r="HH12" s="182">
        <v>34.6</v>
      </c>
      <c r="HI12" s="182">
        <v>34.6</v>
      </c>
      <c r="HJ12" s="182">
        <v>34.6</v>
      </c>
      <c r="HK12" s="182">
        <v>34.6</v>
      </c>
      <c r="IG12" s="182">
        <v>34.6</v>
      </c>
      <c r="IH12" s="182">
        <v>34.6</v>
      </c>
      <c r="II12" s="182">
        <v>34.6</v>
      </c>
      <c r="IJ12" s="182">
        <v>34.6</v>
      </c>
      <c r="IK12" s="182">
        <v>34.6</v>
      </c>
      <c r="IL12" s="182">
        <v>34.6</v>
      </c>
      <c r="IM12" s="182">
        <v>34.6</v>
      </c>
      <c r="IN12" s="182">
        <v>34.6</v>
      </c>
      <c r="IO12" s="182">
        <v>34.6</v>
      </c>
      <c r="IP12" s="182">
        <v>34.6</v>
      </c>
      <c r="IQ12" s="182">
        <v>34.6</v>
      </c>
      <c r="IR12" s="182">
        <v>34.6</v>
      </c>
      <c r="IS12" s="182">
        <v>34.6</v>
      </c>
      <c r="IT12" s="182">
        <v>34.6</v>
      </c>
      <c r="IU12" s="182">
        <v>34.6</v>
      </c>
      <c r="IV12" s="182">
        <v>34.6</v>
      </c>
      <c r="IW12" s="182">
        <v>34.6</v>
      </c>
      <c r="IX12" s="182">
        <v>34.6</v>
      </c>
      <c r="IY12" s="182">
        <v>34.6</v>
      </c>
      <c r="IZ12" s="182">
        <v>34.6</v>
      </c>
      <c r="JA12" s="182">
        <v>34.6</v>
      </c>
      <c r="JB12" s="182">
        <v>34.6</v>
      </c>
      <c r="JC12" s="182">
        <v>34.6</v>
      </c>
      <c r="JD12" s="182">
        <v>34.6</v>
      </c>
      <c r="JE12" s="182">
        <v>34.6</v>
      </c>
      <c r="JF12" s="182">
        <v>34.6</v>
      </c>
      <c r="JG12" s="182">
        <v>34.6</v>
      </c>
      <c r="JH12" s="182">
        <v>34.6</v>
      </c>
      <c r="JI12" s="182">
        <v>34.6</v>
      </c>
      <c r="JJ12" s="182">
        <v>34.6</v>
      </c>
      <c r="JK12" s="182">
        <v>34.6</v>
      </c>
      <c r="JL12" s="182">
        <v>34.6</v>
      </c>
      <c r="JM12" s="182">
        <v>34.6</v>
      </c>
      <c r="JN12" s="182">
        <v>34.6</v>
      </c>
      <c r="JO12" s="182">
        <v>34.6</v>
      </c>
      <c r="JP12" s="182">
        <v>34.6</v>
      </c>
      <c r="JQ12" s="182">
        <v>34.6</v>
      </c>
      <c r="JR12" s="182">
        <v>34.6</v>
      </c>
      <c r="JS12" s="182">
        <v>34.6</v>
      </c>
      <c r="JT12" s="182">
        <v>34.6</v>
      </c>
      <c r="JU12" s="182">
        <v>34.6</v>
      </c>
      <c r="JV12" s="182">
        <v>34.6</v>
      </c>
      <c r="JW12" s="182">
        <v>34.6</v>
      </c>
      <c r="JX12" s="182">
        <v>34.6</v>
      </c>
      <c r="JY12" s="182">
        <v>34.6</v>
      </c>
      <c r="JZ12" s="182">
        <v>34.6</v>
      </c>
      <c r="KA12" s="182">
        <v>34.6</v>
      </c>
      <c r="KB12" s="182">
        <v>34.6</v>
      </c>
      <c r="KC12" s="182">
        <v>34.6</v>
      </c>
      <c r="KD12" s="182">
        <v>34.6</v>
      </c>
      <c r="KE12" s="182">
        <v>34.6</v>
      </c>
      <c r="KF12" s="182">
        <v>34.6</v>
      </c>
      <c r="KG12" s="182">
        <v>34.6</v>
      </c>
      <c r="KH12" s="182">
        <v>34.6</v>
      </c>
      <c r="KI12" s="182">
        <v>34.6</v>
      </c>
      <c r="KJ12" s="182">
        <v>34.6</v>
      </c>
      <c r="KK12" s="182">
        <v>34.6</v>
      </c>
      <c r="KL12" s="182">
        <v>34.6</v>
      </c>
      <c r="LI12" s="182">
        <v>34.6</v>
      </c>
      <c r="LJ12" s="182">
        <v>34.6</v>
      </c>
      <c r="LK12" s="182">
        <v>34.6</v>
      </c>
      <c r="LL12" s="182">
        <v>34.6</v>
      </c>
      <c r="LM12" s="182">
        <v>34.6</v>
      </c>
      <c r="LN12" s="182">
        <v>34.6</v>
      </c>
      <c r="LO12" s="182">
        <v>34.6</v>
      </c>
      <c r="LP12" s="182">
        <v>34.6</v>
      </c>
      <c r="LQ12" s="182">
        <v>34.6</v>
      </c>
      <c r="LR12" s="182">
        <v>34.6</v>
      </c>
      <c r="LS12" s="182">
        <v>34.6</v>
      </c>
      <c r="LT12" s="182">
        <v>34.6</v>
      </c>
      <c r="LU12" s="182">
        <v>34.6</v>
      </c>
      <c r="LV12" s="182">
        <v>34.6</v>
      </c>
      <c r="LW12" s="182">
        <v>34.6</v>
      </c>
      <c r="LX12" s="182">
        <v>34.6</v>
      </c>
      <c r="LY12" s="182">
        <v>34.6</v>
      </c>
      <c r="LZ12" s="182">
        <v>34.6</v>
      </c>
      <c r="MA12" s="182">
        <v>34.6</v>
      </c>
      <c r="MB12" s="182">
        <v>34.6</v>
      </c>
      <c r="MC12" s="182">
        <v>34.6</v>
      </c>
      <c r="MD12" s="182">
        <v>34.6</v>
      </c>
      <c r="ME12" s="182">
        <v>34.6</v>
      </c>
      <c r="MF12" s="182">
        <v>34.6</v>
      </c>
      <c r="MG12" s="182">
        <v>34.6</v>
      </c>
      <c r="MH12" s="182">
        <v>34.6</v>
      </c>
      <c r="MI12" s="182">
        <v>34.6</v>
      </c>
      <c r="MJ12" s="182">
        <v>34.6</v>
      </c>
      <c r="MK12" s="182">
        <v>34.6</v>
      </c>
      <c r="ML12" s="182">
        <v>34.6</v>
      </c>
      <c r="MM12" s="182">
        <v>34.6</v>
      </c>
      <c r="MN12" s="182">
        <v>34.6</v>
      </c>
      <c r="MO12" s="182">
        <v>34.6</v>
      </c>
      <c r="MP12" s="182">
        <v>34.6</v>
      </c>
      <c r="MQ12" s="182">
        <v>34.6</v>
      </c>
      <c r="MR12" s="182">
        <v>34.6</v>
      </c>
      <c r="MS12" s="182">
        <v>34.6</v>
      </c>
      <c r="MT12" s="182">
        <v>34.6</v>
      </c>
      <c r="MU12" s="182">
        <v>34.6</v>
      </c>
      <c r="MV12" s="182">
        <v>34.6</v>
      </c>
      <c r="MW12" s="182">
        <v>34.6</v>
      </c>
      <c r="MX12" s="182">
        <v>34.6</v>
      </c>
      <c r="MY12" s="182">
        <v>34.6</v>
      </c>
      <c r="MZ12" s="182">
        <v>34.6</v>
      </c>
      <c r="NA12" s="182">
        <v>34.6</v>
      </c>
      <c r="NB12" s="182">
        <v>34.6</v>
      </c>
      <c r="NC12" s="182">
        <v>34.6</v>
      </c>
      <c r="ND12" s="182">
        <v>34.6</v>
      </c>
      <c r="NE12" s="182">
        <v>34.6</v>
      </c>
      <c r="NF12" s="182">
        <v>34.6</v>
      </c>
      <c r="NG12" s="182">
        <v>34.6</v>
      </c>
      <c r="NH12" s="182">
        <v>34.6</v>
      </c>
      <c r="NI12" s="182">
        <v>34.6</v>
      </c>
      <c r="NJ12" s="182">
        <v>34.6</v>
      </c>
      <c r="NK12" s="182">
        <v>34.6</v>
      </c>
      <c r="NL12" s="182">
        <v>34.6</v>
      </c>
      <c r="NM12" s="182">
        <v>34.6</v>
      </c>
      <c r="NN12" s="182">
        <v>34.6</v>
      </c>
      <c r="NO12" s="182">
        <v>34.6</v>
      </c>
      <c r="NP12" s="182">
        <v>34.6</v>
      </c>
      <c r="NQ12" s="182">
        <v>34.6</v>
      </c>
      <c r="OK12" s="182">
        <v>34.6</v>
      </c>
      <c r="OL12" s="182">
        <v>34.6</v>
      </c>
      <c r="OM12" s="182">
        <v>34.6</v>
      </c>
      <c r="ON12" s="182">
        <v>34.6</v>
      </c>
      <c r="OO12" s="182">
        <v>34.6</v>
      </c>
      <c r="OP12" s="182">
        <v>34.6</v>
      </c>
      <c r="OQ12" s="182">
        <v>34.6</v>
      </c>
      <c r="OR12" s="182">
        <v>34.6</v>
      </c>
      <c r="OS12" s="182">
        <v>34.6</v>
      </c>
      <c r="OT12" s="182">
        <v>34.6</v>
      </c>
      <c r="OU12" s="182">
        <v>34.6</v>
      </c>
      <c r="OV12" s="182">
        <v>34.6</v>
      </c>
      <c r="OW12" s="182">
        <v>34.6</v>
      </c>
      <c r="OX12" s="182">
        <v>34.6</v>
      </c>
      <c r="OY12" s="182">
        <v>34.6</v>
      </c>
      <c r="OZ12" s="182">
        <v>34.6</v>
      </c>
      <c r="PA12" s="182">
        <v>34.6</v>
      </c>
      <c r="PB12" s="182">
        <v>34.6</v>
      </c>
      <c r="PC12" s="182">
        <v>34.6</v>
      </c>
      <c r="PD12" s="182">
        <v>34.6</v>
      </c>
      <c r="PE12" s="182">
        <v>34.6</v>
      </c>
      <c r="PF12" s="182">
        <v>34.6</v>
      </c>
      <c r="PG12" s="182">
        <v>34.6</v>
      </c>
      <c r="PH12" s="182">
        <v>34.6</v>
      </c>
      <c r="PI12" s="182">
        <v>34.6</v>
      </c>
      <c r="PJ12" s="182">
        <v>34.6</v>
      </c>
      <c r="PK12" s="182">
        <v>34.6</v>
      </c>
      <c r="PL12" s="182">
        <v>34.6</v>
      </c>
      <c r="PM12" s="182">
        <v>34.6</v>
      </c>
      <c r="PN12" s="182">
        <v>34.6</v>
      </c>
      <c r="PO12" s="182">
        <v>34.6</v>
      </c>
      <c r="PP12" s="182">
        <v>34.6</v>
      </c>
      <c r="PQ12" s="182">
        <v>34.6</v>
      </c>
      <c r="PR12" s="182">
        <v>34.6</v>
      </c>
      <c r="PS12" s="182">
        <v>34.6</v>
      </c>
      <c r="PT12" s="182">
        <v>34.6</v>
      </c>
      <c r="PU12" s="182">
        <v>34.6</v>
      </c>
      <c r="PV12" s="182">
        <v>34.6</v>
      </c>
      <c r="PW12" s="182">
        <v>34.6</v>
      </c>
      <c r="PX12" s="182">
        <v>34.6</v>
      </c>
      <c r="PY12" s="182">
        <v>34.6</v>
      </c>
      <c r="PZ12" s="182">
        <v>34.6</v>
      </c>
      <c r="QA12" s="182">
        <v>34.6</v>
      </c>
      <c r="QB12" s="182">
        <v>34.6</v>
      </c>
      <c r="QC12" s="182">
        <v>34.6</v>
      </c>
      <c r="QD12" s="182">
        <v>34.6</v>
      </c>
      <c r="QE12" s="182">
        <v>34.6</v>
      </c>
      <c r="QF12" s="182">
        <v>34.6</v>
      </c>
      <c r="QG12" s="182">
        <v>34.6</v>
      </c>
      <c r="QH12" s="182">
        <v>34.6</v>
      </c>
      <c r="QI12" s="182">
        <v>34.6</v>
      </c>
      <c r="QJ12" s="182">
        <v>34.6</v>
      </c>
      <c r="QK12" s="182">
        <v>34.6</v>
      </c>
      <c r="QL12" s="182">
        <v>34.6</v>
      </c>
      <c r="QM12" s="182">
        <v>34.6</v>
      </c>
      <c r="QN12" s="182">
        <v>34.6</v>
      </c>
      <c r="QO12" s="182">
        <v>34.6</v>
      </c>
      <c r="QP12" s="182">
        <v>34.6</v>
      </c>
      <c r="QQ12" s="182">
        <v>34.6</v>
      </c>
      <c r="QR12" s="182">
        <v>34.6</v>
      </c>
      <c r="RM12" s="182">
        <v>34.6</v>
      </c>
      <c r="RN12" s="182">
        <v>34.6</v>
      </c>
      <c r="RO12" s="182">
        <v>34.6</v>
      </c>
      <c r="RP12" s="182">
        <v>34.6</v>
      </c>
      <c r="RQ12" s="182">
        <v>34.6</v>
      </c>
      <c r="RR12" s="182">
        <v>34.6</v>
      </c>
      <c r="RS12" s="182">
        <v>34.6</v>
      </c>
      <c r="RT12" s="182">
        <v>34.6</v>
      </c>
      <c r="RU12" s="182">
        <v>34.6</v>
      </c>
      <c r="RV12" s="182">
        <v>34.6</v>
      </c>
      <c r="RW12" s="182">
        <v>34.6</v>
      </c>
      <c r="RX12" s="182">
        <v>34.6</v>
      </c>
      <c r="RY12" s="182">
        <v>34.6</v>
      </c>
      <c r="RZ12" s="182">
        <v>34.6</v>
      </c>
      <c r="SA12" s="182">
        <v>34.6</v>
      </c>
      <c r="SB12" s="182">
        <v>34.6</v>
      </c>
      <c r="SC12" s="182">
        <v>34.6</v>
      </c>
      <c r="SD12" s="182">
        <v>34.6</v>
      </c>
      <c r="SE12" s="182">
        <v>34.6</v>
      </c>
      <c r="SF12" s="182">
        <v>34.6</v>
      </c>
      <c r="SG12" s="182">
        <v>34.6</v>
      </c>
      <c r="SH12" s="182">
        <v>34.6</v>
      </c>
      <c r="SI12" s="182">
        <v>34.6</v>
      </c>
      <c r="SJ12" s="182">
        <v>34.6</v>
      </c>
      <c r="SK12" s="182">
        <v>34.6</v>
      </c>
      <c r="SL12" s="182">
        <v>34.6</v>
      </c>
      <c r="SM12" s="182">
        <v>34.6</v>
      </c>
      <c r="SN12" s="182">
        <v>34.6</v>
      </c>
      <c r="SO12" s="182">
        <v>34.6</v>
      </c>
      <c r="SP12" s="182">
        <v>34.6</v>
      </c>
      <c r="SQ12" s="182">
        <v>34.6</v>
      </c>
      <c r="SR12" s="182">
        <v>34.6</v>
      </c>
      <c r="SS12" s="182">
        <v>34.6</v>
      </c>
      <c r="ST12" s="182">
        <v>34.6</v>
      </c>
      <c r="SU12" s="182">
        <v>34.6</v>
      </c>
      <c r="SV12" s="182">
        <v>34.6</v>
      </c>
      <c r="SW12" s="182">
        <v>34.6</v>
      </c>
      <c r="SX12" s="182">
        <v>34.6</v>
      </c>
      <c r="SY12" s="182">
        <v>34.6</v>
      </c>
      <c r="SZ12" s="182">
        <v>34.6</v>
      </c>
      <c r="TA12" s="182">
        <v>34.6</v>
      </c>
      <c r="TB12" s="182">
        <v>34.6</v>
      </c>
      <c r="TC12" s="182">
        <v>34.6</v>
      </c>
      <c r="TD12" s="182">
        <v>34.6</v>
      </c>
      <c r="TE12" s="182">
        <v>34.6</v>
      </c>
      <c r="TF12" s="182">
        <v>34.6</v>
      </c>
      <c r="TG12" s="182">
        <v>34.6</v>
      </c>
      <c r="TH12" s="182">
        <v>34.6</v>
      </c>
      <c r="TI12" s="182">
        <v>34.6</v>
      </c>
      <c r="TJ12" s="182">
        <v>34.6</v>
      </c>
      <c r="TK12" s="182">
        <v>34.6</v>
      </c>
      <c r="TL12" s="182">
        <v>34.6</v>
      </c>
      <c r="TM12" s="182">
        <v>34.6</v>
      </c>
      <c r="TN12" s="182">
        <v>34.6</v>
      </c>
      <c r="TO12" s="182">
        <v>34.6</v>
      </c>
      <c r="TP12" s="182">
        <v>34.6</v>
      </c>
      <c r="TQ12" s="182">
        <v>34.6</v>
      </c>
      <c r="TR12" s="182">
        <v>34.6</v>
      </c>
      <c r="TS12" s="182">
        <v>34.6</v>
      </c>
      <c r="TT12" s="182">
        <v>34.6</v>
      </c>
      <c r="UO12" s="182">
        <v>34.6</v>
      </c>
      <c r="UP12" s="182">
        <v>34.6</v>
      </c>
      <c r="UQ12" s="182">
        <v>34.6</v>
      </c>
      <c r="UR12" s="182">
        <v>34.6</v>
      </c>
      <c r="US12" s="182">
        <v>34.6</v>
      </c>
      <c r="UT12" s="182">
        <v>34.6</v>
      </c>
      <c r="UU12" s="182">
        <v>34.6</v>
      </c>
      <c r="UV12" s="182">
        <v>34.6</v>
      </c>
      <c r="UW12" s="182">
        <v>34.6</v>
      </c>
      <c r="UX12" s="182">
        <v>34.6</v>
      </c>
      <c r="UY12" s="182">
        <v>34.6</v>
      </c>
      <c r="UZ12" s="182">
        <v>34.6</v>
      </c>
      <c r="VA12" s="182">
        <v>34.6</v>
      </c>
      <c r="VB12" s="182">
        <v>34.6</v>
      </c>
      <c r="VC12" s="182">
        <v>34.6</v>
      </c>
      <c r="VD12" s="182">
        <v>34.6</v>
      </c>
      <c r="VE12" s="182">
        <v>34.6</v>
      </c>
      <c r="VF12" s="182">
        <v>34.6</v>
      </c>
      <c r="VG12" s="182">
        <v>34.6</v>
      </c>
      <c r="VH12" s="182">
        <v>34.6</v>
      </c>
      <c r="VI12" s="182">
        <v>34.6</v>
      </c>
      <c r="VJ12" s="182">
        <v>34.6</v>
      </c>
      <c r="VK12" s="182">
        <v>34.6</v>
      </c>
      <c r="VL12" s="182">
        <v>34.6</v>
      </c>
      <c r="VM12" s="182">
        <v>34.6</v>
      </c>
      <c r="VN12" s="182">
        <v>34.6</v>
      </c>
      <c r="VO12" s="182">
        <v>34.6</v>
      </c>
      <c r="VP12" s="182">
        <v>34.6</v>
      </c>
      <c r="VQ12" s="182">
        <v>34.6</v>
      </c>
      <c r="VR12" s="182">
        <v>34.6</v>
      </c>
      <c r="VS12" s="182">
        <v>34.6</v>
      </c>
      <c r="VT12" s="182">
        <v>34.6</v>
      </c>
      <c r="VU12" s="182">
        <v>34.6</v>
      </c>
      <c r="VV12" s="182">
        <v>34.6</v>
      </c>
      <c r="VW12" s="182">
        <v>34.6</v>
      </c>
      <c r="VX12" s="182">
        <v>34.6</v>
      </c>
      <c r="VY12" s="182">
        <v>34.6</v>
      </c>
      <c r="VZ12" s="182">
        <v>34.6</v>
      </c>
      <c r="WA12" s="182">
        <v>34.6</v>
      </c>
      <c r="WB12" s="182">
        <v>34.6</v>
      </c>
      <c r="WC12" s="182">
        <v>34.6</v>
      </c>
      <c r="WD12" s="182">
        <v>34.6</v>
      </c>
      <c r="WE12" s="182">
        <v>34.6</v>
      </c>
      <c r="WF12" s="182">
        <v>34.6</v>
      </c>
      <c r="WG12" s="182">
        <v>34.6</v>
      </c>
      <c r="WH12" s="182">
        <v>34.6</v>
      </c>
      <c r="WI12" s="182">
        <v>34.6</v>
      </c>
      <c r="WJ12" s="182">
        <v>34.6</v>
      </c>
      <c r="WK12" s="182">
        <v>34.6</v>
      </c>
      <c r="WL12" s="182">
        <v>34.6</v>
      </c>
      <c r="WM12" s="182">
        <v>34.6</v>
      </c>
      <c r="WN12" s="182">
        <v>34.6</v>
      </c>
      <c r="WO12" s="182">
        <v>34.6</v>
      </c>
      <c r="WP12" s="182">
        <v>34.6</v>
      </c>
      <c r="WQ12" s="182">
        <v>34.6</v>
      </c>
      <c r="WR12" s="182">
        <v>34.6</v>
      </c>
      <c r="WS12" s="182">
        <v>34.6</v>
      </c>
      <c r="WT12" s="182">
        <v>34.6</v>
      </c>
      <c r="WU12" s="182">
        <v>34.6</v>
      </c>
      <c r="WV12" s="182">
        <v>34.6</v>
      </c>
      <c r="XQ12" s="182">
        <v>34.6</v>
      </c>
      <c r="XR12" s="182">
        <v>34.6</v>
      </c>
      <c r="XS12" s="182">
        <v>34.6</v>
      </c>
      <c r="XT12" s="182">
        <v>34.6</v>
      </c>
      <c r="XU12" s="182">
        <v>34.6</v>
      </c>
      <c r="XV12" s="182">
        <v>34.6</v>
      </c>
      <c r="XW12" s="182">
        <v>34.6</v>
      </c>
      <c r="XX12" s="182">
        <v>34.6</v>
      </c>
      <c r="XY12" s="182">
        <v>34.6</v>
      </c>
      <c r="XZ12" s="182">
        <v>34.6</v>
      </c>
      <c r="YA12" s="182">
        <v>34.6</v>
      </c>
      <c r="YB12" s="182">
        <v>34.6</v>
      </c>
      <c r="YC12" s="182">
        <v>34.6</v>
      </c>
      <c r="YD12" s="182">
        <v>34.6</v>
      </c>
      <c r="YE12" s="182">
        <v>34.6</v>
      </c>
      <c r="YF12" s="182">
        <v>34.6</v>
      </c>
      <c r="YG12" s="182">
        <v>34.6</v>
      </c>
      <c r="YH12" s="182">
        <v>34.6</v>
      </c>
      <c r="YI12" s="182">
        <v>34.6</v>
      </c>
      <c r="YJ12" s="182">
        <v>34.6</v>
      </c>
      <c r="YK12" s="182">
        <v>34.6</v>
      </c>
      <c r="YL12" s="182">
        <v>34.6</v>
      </c>
      <c r="YM12" s="182">
        <v>34.6</v>
      </c>
      <c r="YN12" s="182">
        <v>34.6</v>
      </c>
      <c r="YO12" s="182">
        <v>34.6</v>
      </c>
      <c r="YP12" s="182">
        <v>34.6</v>
      </c>
      <c r="YQ12" s="182">
        <v>34.6</v>
      </c>
      <c r="YR12" s="182">
        <v>34.6</v>
      </c>
      <c r="YS12" s="182">
        <v>34.6</v>
      </c>
      <c r="YT12" s="182">
        <v>34.6</v>
      </c>
      <c r="YU12" s="182">
        <v>34.6</v>
      </c>
      <c r="YV12" s="182">
        <v>34.6</v>
      </c>
      <c r="YW12" s="182">
        <v>34.6</v>
      </c>
      <c r="YX12" s="182">
        <v>34.6</v>
      </c>
      <c r="YY12" s="182">
        <v>34.6</v>
      </c>
      <c r="YZ12" s="182">
        <v>34.6</v>
      </c>
      <c r="ZA12" s="182">
        <v>34.6</v>
      </c>
      <c r="ZB12" s="182">
        <v>34.6</v>
      </c>
      <c r="ZC12" s="182">
        <v>34.6</v>
      </c>
      <c r="ZD12" s="182">
        <v>34.6</v>
      </c>
      <c r="ZE12" s="182">
        <v>34.6</v>
      </c>
      <c r="ZF12" s="182">
        <v>34.6</v>
      </c>
      <c r="ZG12" s="182">
        <v>34.6</v>
      </c>
      <c r="ZH12" s="182">
        <v>34.6</v>
      </c>
      <c r="ZI12" s="182">
        <v>34.6</v>
      </c>
      <c r="ZJ12" s="182">
        <v>34.6</v>
      </c>
      <c r="ZK12" s="182">
        <v>34.6</v>
      </c>
      <c r="ZL12" s="182">
        <v>34.6</v>
      </c>
      <c r="ZM12" s="182">
        <v>34.6</v>
      </c>
      <c r="ZN12" s="182">
        <v>34.6</v>
      </c>
      <c r="ZO12" s="182">
        <v>34.6</v>
      </c>
      <c r="ZP12" s="182">
        <v>34.6</v>
      </c>
      <c r="ZQ12" s="182">
        <v>34.6</v>
      </c>
      <c r="ZR12" s="182">
        <v>34.6</v>
      </c>
      <c r="ZS12" s="182">
        <v>34.6</v>
      </c>
      <c r="ZT12" s="182">
        <v>34.6</v>
      </c>
      <c r="ZU12" s="182">
        <v>34.6</v>
      </c>
      <c r="ZV12" s="182">
        <v>34.6</v>
      </c>
      <c r="ZW12" s="182">
        <v>34.6</v>
      </c>
      <c r="ZX12" s="182">
        <v>34.6</v>
      </c>
      <c r="AAS12" s="182">
        <v>34.6</v>
      </c>
      <c r="AAT12" s="182">
        <v>34.6</v>
      </c>
      <c r="AAU12" s="182">
        <v>34.6</v>
      </c>
      <c r="AAV12" s="182">
        <v>34.6</v>
      </c>
      <c r="AAW12" s="182">
        <v>34.6</v>
      </c>
      <c r="AAX12" s="182">
        <v>34.6</v>
      </c>
      <c r="AAY12" s="182">
        <v>34.6</v>
      </c>
      <c r="AAZ12" s="182">
        <v>34.6</v>
      </c>
      <c r="ABA12" s="182">
        <v>34.6</v>
      </c>
      <c r="ABB12" s="182">
        <v>34.6</v>
      </c>
      <c r="ABC12" s="182">
        <v>34.6</v>
      </c>
      <c r="ABD12" s="182">
        <v>34.6</v>
      </c>
      <c r="ABE12" s="182">
        <v>34.6</v>
      </c>
      <c r="ABF12" s="182">
        <v>34.6</v>
      </c>
      <c r="ABG12" s="182">
        <v>34.6</v>
      </c>
      <c r="ABH12" s="182">
        <v>34.6</v>
      </c>
      <c r="ABI12" s="182">
        <v>34.6</v>
      </c>
      <c r="ABJ12" s="182">
        <v>34.6</v>
      </c>
      <c r="ABK12" s="182">
        <v>34.6</v>
      </c>
      <c r="ABL12" s="182">
        <v>34.6</v>
      </c>
      <c r="ABM12" s="182">
        <v>34.6</v>
      </c>
      <c r="ABN12" s="182">
        <v>34.6</v>
      </c>
      <c r="ABO12" s="182">
        <v>34.6</v>
      </c>
      <c r="ABP12" s="182">
        <v>34.6</v>
      </c>
      <c r="ABQ12" s="182">
        <v>34.6</v>
      </c>
      <c r="ABR12" s="182">
        <v>34.6</v>
      </c>
      <c r="ABS12" s="182">
        <v>34.6</v>
      </c>
      <c r="ABT12" s="182">
        <v>34.6</v>
      </c>
      <c r="ABU12" s="182">
        <v>34.6</v>
      </c>
      <c r="ABV12" s="182">
        <v>34.6</v>
      </c>
      <c r="ABW12" s="182">
        <v>34.6</v>
      </c>
      <c r="ABX12" s="182">
        <v>34.6</v>
      </c>
      <c r="ABY12" s="182">
        <v>34.6</v>
      </c>
      <c r="ABZ12" s="182">
        <v>34.6</v>
      </c>
      <c r="ACA12" s="182">
        <v>34.6</v>
      </c>
      <c r="ACB12" s="182">
        <v>34.6</v>
      </c>
      <c r="ACC12" s="182">
        <v>34.6</v>
      </c>
      <c r="ACD12" s="182">
        <v>34.6</v>
      </c>
      <c r="ACE12" s="182">
        <v>34.6</v>
      </c>
      <c r="ACF12" s="182">
        <v>34.6</v>
      </c>
      <c r="ACG12" s="182">
        <v>34.6</v>
      </c>
      <c r="ACH12" s="182">
        <v>34.6</v>
      </c>
      <c r="ACI12" s="182">
        <v>34.6</v>
      </c>
      <c r="ACJ12" s="182">
        <v>34.6</v>
      </c>
      <c r="ACK12" s="182">
        <v>34.6</v>
      </c>
      <c r="ACL12" s="182">
        <v>34.6</v>
      </c>
      <c r="ACM12" s="182">
        <v>34.6</v>
      </c>
      <c r="ACN12" s="182">
        <v>34.6</v>
      </c>
      <c r="ACO12" s="182">
        <v>34.6</v>
      </c>
      <c r="ACP12" s="182">
        <v>34.6</v>
      </c>
      <c r="ACQ12" s="182">
        <v>34.6</v>
      </c>
      <c r="ACR12" s="182">
        <v>34.6</v>
      </c>
      <c r="ACS12" s="182">
        <v>34.6</v>
      </c>
      <c r="ACT12" s="182">
        <v>34.6</v>
      </c>
      <c r="ACU12" s="182">
        <v>34.6</v>
      </c>
      <c r="ACV12" s="182">
        <v>34.6</v>
      </c>
      <c r="ACW12" s="182">
        <v>34.6</v>
      </c>
      <c r="ACX12" s="182">
        <v>34.6</v>
      </c>
      <c r="ACY12" s="182">
        <v>34.6</v>
      </c>
      <c r="ADU12" s="182">
        <v>34.6</v>
      </c>
      <c r="ADV12" s="182">
        <v>34.6</v>
      </c>
      <c r="ADW12" s="182">
        <v>34.6</v>
      </c>
      <c r="ADX12" s="182">
        <v>34.6</v>
      </c>
      <c r="ADY12" s="182">
        <v>34.6</v>
      </c>
      <c r="ADZ12" s="182">
        <v>34.6</v>
      </c>
      <c r="AEA12" s="182">
        <v>34.6</v>
      </c>
      <c r="AEB12" s="182">
        <v>34.6</v>
      </c>
      <c r="AEC12" s="182">
        <v>34.6</v>
      </c>
      <c r="AED12" s="182">
        <v>34.6</v>
      </c>
      <c r="AEE12" s="182">
        <v>34.6</v>
      </c>
      <c r="AEF12" s="182">
        <v>34.6</v>
      </c>
      <c r="AEG12" s="182">
        <v>34.6</v>
      </c>
      <c r="AEH12" s="182">
        <v>34.6</v>
      </c>
      <c r="AEI12" s="182">
        <v>34.6</v>
      </c>
      <c r="AEJ12" s="182">
        <v>34.6</v>
      </c>
      <c r="AEK12" s="182">
        <v>34.6</v>
      </c>
      <c r="AEL12" s="182">
        <v>34.6</v>
      </c>
      <c r="AEM12" s="182">
        <v>34.6</v>
      </c>
      <c r="AEN12" s="182">
        <v>34.6</v>
      </c>
      <c r="AEO12" s="182">
        <v>34.6</v>
      </c>
      <c r="AEP12" s="182">
        <v>34.6</v>
      </c>
      <c r="AEQ12" s="182">
        <v>34.6</v>
      </c>
      <c r="AER12" s="182">
        <v>34.6</v>
      </c>
      <c r="AES12" s="182">
        <v>34.6</v>
      </c>
      <c r="AET12" s="182">
        <v>34.6</v>
      </c>
      <c r="AEU12" s="182">
        <v>34.6</v>
      </c>
      <c r="AEV12" s="182">
        <v>34.6</v>
      </c>
      <c r="AEW12" s="182">
        <v>34.6</v>
      </c>
      <c r="AEX12" s="182">
        <v>34.6</v>
      </c>
      <c r="AEY12" s="182">
        <v>34.6</v>
      </c>
      <c r="AEZ12" s="182">
        <v>34.6</v>
      </c>
      <c r="AFA12" s="182">
        <v>34.6</v>
      </c>
      <c r="AFB12" s="182">
        <v>34.6</v>
      </c>
      <c r="AFC12" s="182">
        <v>34.6</v>
      </c>
      <c r="AFD12" s="182">
        <v>34.6</v>
      </c>
      <c r="AFE12" s="182">
        <v>34.6</v>
      </c>
      <c r="AFF12" s="182">
        <v>34.6</v>
      </c>
      <c r="AFG12" s="182">
        <v>34.6</v>
      </c>
      <c r="AFH12" s="182">
        <v>34.6</v>
      </c>
      <c r="AFI12" s="182">
        <v>34.6</v>
      </c>
      <c r="AFJ12" s="182">
        <v>34.6</v>
      </c>
      <c r="AFK12" s="182">
        <v>34.6</v>
      </c>
      <c r="AFL12" s="182">
        <v>34.6</v>
      </c>
      <c r="AFM12" s="182">
        <v>34.6</v>
      </c>
      <c r="AFN12" s="182">
        <v>34.6</v>
      </c>
      <c r="AFO12" s="182">
        <v>34.6</v>
      </c>
      <c r="AFP12" s="182">
        <v>34.6</v>
      </c>
      <c r="AFQ12" s="182">
        <v>34.6</v>
      </c>
      <c r="AFR12" s="182">
        <v>34.6</v>
      </c>
      <c r="AFS12" s="182">
        <v>34.6</v>
      </c>
      <c r="AFT12" s="182">
        <v>34.6</v>
      </c>
      <c r="AFU12" s="182">
        <v>34.6</v>
      </c>
      <c r="AFV12" s="182">
        <v>34.6</v>
      </c>
      <c r="AFW12" s="182">
        <v>34.6</v>
      </c>
      <c r="AFX12" s="182">
        <v>34.6</v>
      </c>
      <c r="AFY12" s="182">
        <v>34.6</v>
      </c>
      <c r="AFZ12" s="182">
        <v>34.6</v>
      </c>
      <c r="AGA12" s="182">
        <v>34.6</v>
      </c>
      <c r="AGW12" s="182">
        <v>34.6</v>
      </c>
      <c r="AGX12" s="182">
        <v>34.6</v>
      </c>
      <c r="AGY12" s="182">
        <v>34.6</v>
      </c>
      <c r="AGZ12" s="182">
        <v>34.6</v>
      </c>
      <c r="AHA12" s="182">
        <v>34.6</v>
      </c>
      <c r="AHB12" s="182">
        <v>34.6</v>
      </c>
      <c r="AHC12" s="182">
        <v>34.6</v>
      </c>
      <c r="AHD12" s="182">
        <v>34.6</v>
      </c>
      <c r="AHE12" s="182">
        <v>34.6</v>
      </c>
      <c r="AHF12" s="182">
        <v>34.6</v>
      </c>
      <c r="AHG12" s="182">
        <v>34.6</v>
      </c>
      <c r="AHH12" s="182">
        <v>34.6</v>
      </c>
      <c r="AHI12" s="182">
        <v>34.6</v>
      </c>
      <c r="AHJ12" s="182">
        <v>34.6</v>
      </c>
      <c r="AHK12" s="182">
        <v>34.6</v>
      </c>
      <c r="AHL12" s="182">
        <v>34.6</v>
      </c>
      <c r="AHM12" s="182">
        <v>34.6</v>
      </c>
      <c r="AHN12" s="182">
        <v>34.6</v>
      </c>
      <c r="AHO12" s="182">
        <v>34.6</v>
      </c>
      <c r="AHP12" s="182">
        <v>34.6</v>
      </c>
      <c r="AHQ12" s="182">
        <v>34.6</v>
      </c>
      <c r="AHR12" s="182">
        <v>34.6</v>
      </c>
      <c r="AHS12" s="182">
        <v>34.6</v>
      </c>
      <c r="AHT12" s="182">
        <v>34.6</v>
      </c>
      <c r="AHU12" s="182">
        <v>34.6</v>
      </c>
      <c r="AHV12" s="182">
        <v>34.6</v>
      </c>
      <c r="AHW12" s="182">
        <v>34.6</v>
      </c>
      <c r="AHX12" s="182">
        <v>34.6</v>
      </c>
      <c r="AHY12" s="182">
        <v>34.6</v>
      </c>
      <c r="AHZ12" s="182">
        <v>34.6</v>
      </c>
      <c r="AIA12" s="182">
        <v>34.6</v>
      </c>
      <c r="AIB12" s="182">
        <v>34.6</v>
      </c>
      <c r="AIC12" s="182">
        <v>34.6</v>
      </c>
      <c r="AID12" s="182">
        <v>34.6</v>
      </c>
      <c r="AIE12" s="182">
        <v>34.6</v>
      </c>
      <c r="AIF12" s="182">
        <v>34.6</v>
      </c>
      <c r="AIG12" s="182">
        <v>34.6</v>
      </c>
      <c r="AIH12" s="182">
        <v>34.6</v>
      </c>
      <c r="AII12" s="182">
        <v>34.6</v>
      </c>
      <c r="AIJ12" s="182">
        <v>34.6</v>
      </c>
      <c r="AIK12" s="182">
        <v>34.6</v>
      </c>
      <c r="AIL12" s="182">
        <v>34.6</v>
      </c>
      <c r="AIM12" s="182">
        <v>34.6</v>
      </c>
      <c r="AIN12" s="182">
        <v>34.6</v>
      </c>
      <c r="AIO12" s="182">
        <v>34.6</v>
      </c>
      <c r="AIP12" s="182">
        <v>34.6</v>
      </c>
      <c r="AIQ12" s="182">
        <v>34.6</v>
      </c>
      <c r="AIR12" s="182">
        <v>34.6</v>
      </c>
      <c r="AIS12" s="182">
        <v>34.6</v>
      </c>
      <c r="AIT12" s="182">
        <v>34.6</v>
      </c>
      <c r="AIU12" s="182">
        <v>34.6</v>
      </c>
      <c r="AIV12" s="182">
        <v>34.6</v>
      </c>
      <c r="AIW12" s="182">
        <v>34.6</v>
      </c>
      <c r="AIX12" s="182">
        <v>34.6</v>
      </c>
      <c r="AIY12" s="182">
        <v>34.6</v>
      </c>
      <c r="AIZ12" s="182">
        <v>34.6</v>
      </c>
      <c r="AJA12" s="182">
        <v>34.6</v>
      </c>
      <c r="AJB12" s="182">
        <v>34.6</v>
      </c>
      <c r="AJC12" s="182">
        <v>34.6</v>
      </c>
    </row>
    <row r="13" spans="1:939">
      <c r="A13" s="182">
        <v>32.01</v>
      </c>
      <c r="B13" s="182">
        <v>32.01</v>
      </c>
      <c r="C13" s="182">
        <v>32.01</v>
      </c>
      <c r="D13" s="182">
        <v>32.01</v>
      </c>
      <c r="E13" s="182">
        <v>32.01</v>
      </c>
      <c r="F13" s="182">
        <v>32.01</v>
      </c>
      <c r="G13" s="182">
        <v>32.01</v>
      </c>
      <c r="H13" s="182">
        <v>32.01</v>
      </c>
      <c r="I13" s="182">
        <v>32.01</v>
      </c>
      <c r="J13" s="182">
        <v>32.01</v>
      </c>
      <c r="K13" s="182">
        <v>32.01</v>
      </c>
      <c r="L13" s="182">
        <v>32.01</v>
      </c>
      <c r="M13" s="182">
        <v>32.01</v>
      </c>
      <c r="N13" s="182">
        <v>32.01</v>
      </c>
      <c r="O13" s="182">
        <v>32.01</v>
      </c>
      <c r="P13" s="182">
        <v>32.01</v>
      </c>
      <c r="Q13" s="182">
        <v>32.01</v>
      </c>
      <c r="R13" s="182">
        <v>32.01</v>
      </c>
      <c r="S13" s="182">
        <v>32.01</v>
      </c>
      <c r="T13" s="182">
        <v>32.01</v>
      </c>
      <c r="U13" s="182">
        <v>32.01</v>
      </c>
      <c r="V13" s="182">
        <v>32.01</v>
      </c>
      <c r="W13" s="182">
        <v>32.01</v>
      </c>
      <c r="X13" s="182">
        <v>32.01</v>
      </c>
      <c r="Y13" s="182">
        <v>32.01</v>
      </c>
      <c r="Z13" s="182">
        <v>32.01</v>
      </c>
      <c r="AA13" s="182">
        <v>32.01</v>
      </c>
      <c r="AB13" s="182">
        <v>32.01</v>
      </c>
      <c r="AC13" s="182">
        <v>32.01</v>
      </c>
      <c r="AD13" s="182">
        <v>32.01</v>
      </c>
      <c r="AE13" s="182">
        <v>32.01</v>
      </c>
      <c r="AF13" s="182">
        <v>32.01</v>
      </c>
      <c r="AG13" s="182">
        <v>32.01</v>
      </c>
      <c r="AH13" s="182">
        <v>32.01</v>
      </c>
      <c r="AI13" s="182">
        <v>32.01</v>
      </c>
      <c r="AJ13" s="182">
        <v>32.01</v>
      </c>
      <c r="AK13" s="182">
        <v>32.01</v>
      </c>
      <c r="AL13" s="182">
        <v>32.01</v>
      </c>
      <c r="AM13" s="182">
        <v>32.01</v>
      </c>
      <c r="AN13" s="182">
        <v>32.01</v>
      </c>
      <c r="AO13" s="182">
        <v>32.01</v>
      </c>
      <c r="AP13" s="182">
        <v>32.01</v>
      </c>
      <c r="AQ13" s="182">
        <v>32.01</v>
      </c>
      <c r="AR13" s="182">
        <v>32.01</v>
      </c>
      <c r="AS13" s="182">
        <v>32.01</v>
      </c>
      <c r="AT13" s="182">
        <v>32.01</v>
      </c>
      <c r="AU13" s="182">
        <v>32.01</v>
      </c>
      <c r="AV13" s="182">
        <v>32.01</v>
      </c>
      <c r="AW13" s="182">
        <v>32.01</v>
      </c>
      <c r="AX13" s="182">
        <v>32.01</v>
      </c>
      <c r="AY13" s="182">
        <v>32.01</v>
      </c>
      <c r="AZ13" s="182">
        <v>32.01</v>
      </c>
      <c r="CC13" s="182">
        <v>32.01</v>
      </c>
      <c r="CD13" s="182">
        <v>32.01</v>
      </c>
      <c r="CE13" s="182">
        <v>32.01</v>
      </c>
      <c r="CF13" s="182">
        <v>32.01</v>
      </c>
      <c r="CG13" s="182">
        <v>32.01</v>
      </c>
      <c r="CH13" s="182">
        <v>32.01</v>
      </c>
      <c r="CI13" s="182">
        <v>32.01</v>
      </c>
      <c r="CJ13" s="182">
        <v>32.01</v>
      </c>
      <c r="CK13" s="182">
        <v>32.01</v>
      </c>
      <c r="CL13" s="182">
        <v>32.01</v>
      </c>
      <c r="CM13" s="182">
        <v>32.01</v>
      </c>
      <c r="CN13" s="182">
        <v>32.01</v>
      </c>
      <c r="CO13" s="182">
        <v>32.01</v>
      </c>
      <c r="CP13" s="182">
        <v>32.01</v>
      </c>
      <c r="CQ13" s="182">
        <v>32.01</v>
      </c>
      <c r="CR13" s="182">
        <v>32.01</v>
      </c>
      <c r="CS13" s="182">
        <v>32.01</v>
      </c>
      <c r="CT13" s="182">
        <v>32.01</v>
      </c>
      <c r="CU13" s="182">
        <v>32.01</v>
      </c>
      <c r="CV13" s="182">
        <v>32.01</v>
      </c>
      <c r="CW13" s="182">
        <v>32.01</v>
      </c>
      <c r="CX13" s="182">
        <v>32.01</v>
      </c>
      <c r="CY13" s="182">
        <v>32.01</v>
      </c>
      <c r="CZ13" s="182">
        <v>32.01</v>
      </c>
      <c r="DA13" s="182">
        <v>32.01</v>
      </c>
      <c r="DB13" s="182">
        <v>32.01</v>
      </c>
      <c r="DC13" s="182">
        <v>32.01</v>
      </c>
      <c r="DD13" s="182">
        <v>32.01</v>
      </c>
      <c r="DE13" s="182">
        <v>32.01</v>
      </c>
      <c r="DF13" s="182">
        <v>32.01</v>
      </c>
      <c r="DG13" s="182">
        <v>32.01</v>
      </c>
      <c r="DH13" s="182">
        <v>32.01</v>
      </c>
      <c r="DI13" s="182">
        <v>32.01</v>
      </c>
      <c r="DJ13" s="182">
        <v>32.01</v>
      </c>
      <c r="DK13" s="182">
        <v>32.01</v>
      </c>
      <c r="DL13" s="182">
        <v>32.01</v>
      </c>
      <c r="DM13" s="182">
        <v>32.01</v>
      </c>
      <c r="DN13" s="182">
        <v>32.01</v>
      </c>
      <c r="DO13" s="182">
        <v>32.01</v>
      </c>
      <c r="DP13" s="182">
        <v>32.01</v>
      </c>
      <c r="DQ13" s="182">
        <v>32.01</v>
      </c>
      <c r="DR13" s="182">
        <v>32.01</v>
      </c>
      <c r="DS13" s="182">
        <v>32.01</v>
      </c>
      <c r="DT13" s="182">
        <v>32.01</v>
      </c>
      <c r="DU13" s="182">
        <v>32.01</v>
      </c>
      <c r="DV13" s="182">
        <v>32.01</v>
      </c>
      <c r="DW13" s="182">
        <v>32.01</v>
      </c>
      <c r="DX13" s="182">
        <v>32.01</v>
      </c>
      <c r="DY13" s="182">
        <v>32.01</v>
      </c>
      <c r="DZ13" s="182">
        <v>32.01</v>
      </c>
      <c r="EA13" s="182">
        <v>32.01</v>
      </c>
      <c r="EB13" s="182">
        <v>32.01</v>
      </c>
      <c r="EC13" s="182">
        <v>32.01</v>
      </c>
      <c r="ED13" s="182">
        <v>32.01</v>
      </c>
      <c r="EE13" s="182">
        <v>32.01</v>
      </c>
      <c r="EF13" s="182">
        <v>32.01</v>
      </c>
      <c r="EG13" s="182">
        <v>32.01</v>
      </c>
      <c r="EH13" s="182">
        <v>32.01</v>
      </c>
      <c r="FE13" s="182">
        <v>32.01</v>
      </c>
      <c r="FF13" s="182">
        <v>32.01</v>
      </c>
      <c r="FG13" s="182">
        <v>32.01</v>
      </c>
      <c r="FH13" s="182">
        <v>32.01</v>
      </c>
      <c r="FI13" s="182">
        <v>32.01</v>
      </c>
      <c r="FJ13" s="182">
        <v>32.01</v>
      </c>
      <c r="FK13" s="182">
        <v>32.01</v>
      </c>
      <c r="FL13" s="182">
        <v>32.01</v>
      </c>
      <c r="FM13" s="182">
        <v>32.01</v>
      </c>
      <c r="FN13" s="182">
        <v>32.01</v>
      </c>
      <c r="FO13" s="182">
        <v>32.01</v>
      </c>
      <c r="FP13" s="182">
        <v>32.01</v>
      </c>
      <c r="FQ13" s="182">
        <v>32.01</v>
      </c>
      <c r="FR13" s="182">
        <v>32.01</v>
      </c>
      <c r="FS13" s="182">
        <v>32.01</v>
      </c>
      <c r="FT13" s="182">
        <v>32.01</v>
      </c>
      <c r="FU13" s="182">
        <v>32.01</v>
      </c>
      <c r="FV13" s="182">
        <v>32.01</v>
      </c>
      <c r="FW13" s="182">
        <v>32.01</v>
      </c>
      <c r="FX13" s="182">
        <v>32.01</v>
      </c>
      <c r="FY13" s="182">
        <v>32.01</v>
      </c>
      <c r="FZ13" s="182">
        <v>32.01</v>
      </c>
      <c r="GA13" s="182">
        <v>32.01</v>
      </c>
      <c r="GB13" s="182">
        <v>32.01</v>
      </c>
      <c r="GC13" s="182">
        <v>32.01</v>
      </c>
      <c r="GD13" s="182">
        <v>32.01</v>
      </c>
      <c r="GE13" s="182">
        <v>32.01</v>
      </c>
      <c r="GF13" s="182">
        <v>32.01</v>
      </c>
      <c r="GG13" s="182">
        <v>32.01</v>
      </c>
      <c r="GH13" s="182">
        <v>32.01</v>
      </c>
      <c r="GI13" s="182">
        <v>32.01</v>
      </c>
      <c r="GJ13" s="182">
        <v>32.01</v>
      </c>
      <c r="GK13" s="182">
        <v>32.01</v>
      </c>
      <c r="GL13" s="182">
        <v>32.01</v>
      </c>
      <c r="GM13" s="182">
        <v>32.01</v>
      </c>
      <c r="GN13" s="182">
        <v>32.01</v>
      </c>
      <c r="GO13" s="182">
        <v>32.01</v>
      </c>
      <c r="GP13" s="182">
        <v>32.01</v>
      </c>
      <c r="GQ13" s="182">
        <v>32.01</v>
      </c>
      <c r="GR13" s="182">
        <v>32.01</v>
      </c>
      <c r="GS13" s="182">
        <v>32.01</v>
      </c>
      <c r="GT13" s="182">
        <v>32.01</v>
      </c>
      <c r="GU13" s="182">
        <v>32.01</v>
      </c>
      <c r="GV13" s="182">
        <v>32.01</v>
      </c>
      <c r="GW13" s="182">
        <v>32.01</v>
      </c>
      <c r="GX13" s="182">
        <v>32.01</v>
      </c>
      <c r="GY13" s="182">
        <v>32.01</v>
      </c>
      <c r="GZ13" s="182">
        <v>32.01</v>
      </c>
      <c r="HA13" s="182">
        <v>32.01</v>
      </c>
      <c r="HB13" s="182">
        <v>32.01</v>
      </c>
      <c r="HC13" s="182">
        <v>32.01</v>
      </c>
      <c r="HD13" s="182">
        <v>32.01</v>
      </c>
      <c r="HE13" s="182">
        <v>32.01</v>
      </c>
      <c r="HF13" s="182">
        <v>32.01</v>
      </c>
      <c r="HG13" s="182">
        <v>32.01</v>
      </c>
      <c r="HH13" s="182">
        <v>32.01</v>
      </c>
      <c r="HI13" s="182">
        <v>32.01</v>
      </c>
      <c r="HJ13" s="182">
        <v>32.01</v>
      </c>
      <c r="HK13" s="182">
        <v>32.01</v>
      </c>
      <c r="IG13" s="182">
        <v>32.01</v>
      </c>
      <c r="IH13" s="182">
        <v>32.01</v>
      </c>
      <c r="II13" s="182">
        <v>32.01</v>
      </c>
      <c r="IJ13" s="182">
        <v>32.01</v>
      </c>
      <c r="IK13" s="182">
        <v>32.01</v>
      </c>
      <c r="IL13" s="182">
        <v>32.01</v>
      </c>
      <c r="IM13" s="182">
        <v>32.01</v>
      </c>
      <c r="IN13" s="182">
        <v>32.01</v>
      </c>
      <c r="IO13" s="182">
        <v>32.01</v>
      </c>
      <c r="IP13" s="182">
        <v>32.01</v>
      </c>
      <c r="IQ13" s="182">
        <v>32.01</v>
      </c>
      <c r="IR13" s="182">
        <v>32.01</v>
      </c>
      <c r="IS13" s="182">
        <v>32.01</v>
      </c>
      <c r="IT13" s="182">
        <v>32.01</v>
      </c>
      <c r="IU13" s="182">
        <v>32.01</v>
      </c>
      <c r="IV13" s="182">
        <v>32.01</v>
      </c>
      <c r="IW13" s="182">
        <v>32.01</v>
      </c>
      <c r="IX13" s="182">
        <v>32.01</v>
      </c>
      <c r="IY13" s="182">
        <v>32.01</v>
      </c>
      <c r="IZ13" s="182">
        <v>32.01</v>
      </c>
      <c r="JA13" s="182">
        <v>32.01</v>
      </c>
      <c r="JB13" s="182">
        <v>32.01</v>
      </c>
      <c r="JC13" s="182">
        <v>32.01</v>
      </c>
      <c r="JD13" s="182">
        <v>32.01</v>
      </c>
      <c r="JE13" s="182">
        <v>32.01</v>
      </c>
      <c r="JF13" s="182">
        <v>32.01</v>
      </c>
      <c r="JG13" s="182">
        <v>32.01</v>
      </c>
      <c r="JH13" s="182">
        <v>32.01</v>
      </c>
      <c r="JI13" s="182">
        <v>32.01</v>
      </c>
      <c r="JJ13" s="182">
        <v>32.01</v>
      </c>
      <c r="JK13" s="182">
        <v>32.01</v>
      </c>
      <c r="JL13" s="182">
        <v>32.01</v>
      </c>
      <c r="JM13" s="182">
        <v>32.01</v>
      </c>
      <c r="JN13" s="182">
        <v>32.01</v>
      </c>
      <c r="JO13" s="182">
        <v>32.01</v>
      </c>
      <c r="JP13" s="182">
        <v>32.01</v>
      </c>
      <c r="JQ13" s="182">
        <v>32.01</v>
      </c>
      <c r="JR13" s="182">
        <v>32.01</v>
      </c>
      <c r="JS13" s="182">
        <v>32.01</v>
      </c>
      <c r="JT13" s="182">
        <v>32.01</v>
      </c>
      <c r="JU13" s="182">
        <v>32.01</v>
      </c>
      <c r="JV13" s="182">
        <v>32.01</v>
      </c>
      <c r="JW13" s="182">
        <v>32.01</v>
      </c>
      <c r="JX13" s="182">
        <v>32.01</v>
      </c>
      <c r="JY13" s="182">
        <v>32.01</v>
      </c>
      <c r="JZ13" s="182">
        <v>32.01</v>
      </c>
      <c r="KA13" s="182">
        <v>32.01</v>
      </c>
      <c r="KB13" s="182">
        <v>32.01</v>
      </c>
      <c r="KC13" s="182">
        <v>32.01</v>
      </c>
      <c r="KD13" s="182">
        <v>32.01</v>
      </c>
      <c r="KE13" s="182">
        <v>32.01</v>
      </c>
      <c r="KF13" s="182">
        <v>32.01</v>
      </c>
      <c r="KG13" s="182">
        <v>32.01</v>
      </c>
      <c r="KH13" s="182">
        <v>32.01</v>
      </c>
      <c r="KI13" s="182">
        <v>32.01</v>
      </c>
      <c r="KJ13" s="182">
        <v>32.01</v>
      </c>
      <c r="KK13" s="182">
        <v>32.01</v>
      </c>
      <c r="KL13" s="182">
        <v>32.01</v>
      </c>
      <c r="LI13" s="182">
        <v>32.01</v>
      </c>
      <c r="LJ13" s="182">
        <v>32.01</v>
      </c>
      <c r="LK13" s="182">
        <v>32.01</v>
      </c>
      <c r="LL13" s="182">
        <v>32.01</v>
      </c>
      <c r="LM13" s="182">
        <v>32.01</v>
      </c>
      <c r="LN13" s="182">
        <v>32.01</v>
      </c>
      <c r="LO13" s="182">
        <v>32.01</v>
      </c>
      <c r="LP13" s="182">
        <v>32.01</v>
      </c>
      <c r="LQ13" s="182">
        <v>32.01</v>
      </c>
      <c r="LR13" s="182">
        <v>32.01</v>
      </c>
      <c r="LS13" s="182">
        <v>32.01</v>
      </c>
      <c r="LT13" s="182">
        <v>32.01</v>
      </c>
      <c r="LU13" s="182">
        <v>32.01</v>
      </c>
      <c r="LV13" s="182">
        <v>32.01</v>
      </c>
      <c r="LW13" s="182">
        <v>32.01</v>
      </c>
      <c r="LX13" s="182">
        <v>32.01</v>
      </c>
      <c r="LY13" s="182">
        <v>32.01</v>
      </c>
      <c r="LZ13" s="182">
        <v>32.01</v>
      </c>
      <c r="MA13" s="182">
        <v>32.01</v>
      </c>
      <c r="MB13" s="182">
        <v>32.01</v>
      </c>
      <c r="MC13" s="182">
        <v>32.01</v>
      </c>
      <c r="MD13" s="182">
        <v>32.01</v>
      </c>
      <c r="ME13" s="182">
        <v>32.01</v>
      </c>
      <c r="MF13" s="182">
        <v>32.01</v>
      </c>
      <c r="MG13" s="182">
        <v>32.01</v>
      </c>
      <c r="MH13" s="182">
        <v>32.01</v>
      </c>
      <c r="MI13" s="182">
        <v>32.01</v>
      </c>
      <c r="MJ13" s="182">
        <v>32.01</v>
      </c>
      <c r="MK13" s="182">
        <v>32.01</v>
      </c>
      <c r="ML13" s="182">
        <v>32.01</v>
      </c>
      <c r="MM13" s="182">
        <v>32.01</v>
      </c>
      <c r="MN13" s="182">
        <v>32.01</v>
      </c>
      <c r="MO13" s="182">
        <v>32.01</v>
      </c>
      <c r="MP13" s="182">
        <v>32.01</v>
      </c>
      <c r="MQ13" s="182">
        <v>32.01</v>
      </c>
      <c r="MR13" s="182">
        <v>32.01</v>
      </c>
      <c r="MS13" s="182">
        <v>32.01</v>
      </c>
      <c r="MT13" s="182">
        <v>32.01</v>
      </c>
      <c r="MU13" s="182">
        <v>32.01</v>
      </c>
      <c r="MV13" s="182">
        <v>32.01</v>
      </c>
      <c r="MW13" s="182">
        <v>32.01</v>
      </c>
      <c r="MX13" s="182">
        <v>32.01</v>
      </c>
      <c r="MY13" s="182">
        <v>32.01</v>
      </c>
      <c r="MZ13" s="182">
        <v>32.01</v>
      </c>
      <c r="NA13" s="182">
        <v>32.01</v>
      </c>
      <c r="NB13" s="182">
        <v>32.01</v>
      </c>
      <c r="NC13" s="182">
        <v>32.01</v>
      </c>
      <c r="ND13" s="182">
        <v>32.01</v>
      </c>
      <c r="NE13" s="182">
        <v>32.01</v>
      </c>
      <c r="NF13" s="182">
        <v>32.01</v>
      </c>
      <c r="NG13" s="182">
        <v>32.01</v>
      </c>
      <c r="NH13" s="182">
        <v>32.01</v>
      </c>
      <c r="NI13" s="182">
        <v>32.01</v>
      </c>
      <c r="NJ13" s="182">
        <v>32.01</v>
      </c>
      <c r="NK13" s="182">
        <v>32.01</v>
      </c>
      <c r="NL13" s="182">
        <v>32.01</v>
      </c>
      <c r="NM13" s="182">
        <v>32.01</v>
      </c>
      <c r="NN13" s="182">
        <v>32.01</v>
      </c>
      <c r="NO13" s="182">
        <v>32.01</v>
      </c>
      <c r="NP13" s="182">
        <v>32.01</v>
      </c>
      <c r="NQ13" s="182">
        <v>32.01</v>
      </c>
      <c r="OK13" s="182">
        <v>32.01</v>
      </c>
      <c r="OL13" s="182">
        <v>32.01</v>
      </c>
      <c r="OM13" s="182">
        <v>32.01</v>
      </c>
      <c r="ON13" s="182">
        <v>32.01</v>
      </c>
      <c r="OO13" s="182">
        <v>32.01</v>
      </c>
      <c r="OP13" s="182">
        <v>32.01</v>
      </c>
      <c r="OQ13" s="182">
        <v>32.01</v>
      </c>
      <c r="OR13" s="182">
        <v>32.01</v>
      </c>
      <c r="OS13" s="182">
        <v>32.01</v>
      </c>
      <c r="OT13" s="182">
        <v>32.01</v>
      </c>
      <c r="OU13" s="182">
        <v>32.01</v>
      </c>
      <c r="OV13" s="182">
        <v>32.01</v>
      </c>
      <c r="OW13" s="182">
        <v>32.01</v>
      </c>
      <c r="OX13" s="182">
        <v>32.01</v>
      </c>
      <c r="OY13" s="182">
        <v>32.01</v>
      </c>
      <c r="OZ13" s="182">
        <v>32.01</v>
      </c>
      <c r="PA13" s="182">
        <v>32.01</v>
      </c>
      <c r="PB13" s="182">
        <v>32.01</v>
      </c>
      <c r="PC13" s="182">
        <v>32.01</v>
      </c>
      <c r="PD13" s="182">
        <v>32.01</v>
      </c>
      <c r="PE13" s="182">
        <v>32.01</v>
      </c>
      <c r="PF13" s="182">
        <v>32.01</v>
      </c>
      <c r="PG13" s="182">
        <v>32.01</v>
      </c>
      <c r="PH13" s="182">
        <v>32.01</v>
      </c>
      <c r="PI13" s="182">
        <v>32.01</v>
      </c>
      <c r="PJ13" s="182">
        <v>32.01</v>
      </c>
      <c r="PK13" s="182">
        <v>32.01</v>
      </c>
      <c r="PL13" s="182">
        <v>32.01</v>
      </c>
      <c r="PM13" s="182">
        <v>32.01</v>
      </c>
      <c r="PN13" s="182">
        <v>32.01</v>
      </c>
      <c r="PO13" s="182">
        <v>32.01</v>
      </c>
      <c r="PP13" s="182">
        <v>32.01</v>
      </c>
      <c r="PQ13" s="182">
        <v>32.01</v>
      </c>
      <c r="PR13" s="182">
        <v>32.01</v>
      </c>
      <c r="PS13" s="182">
        <v>32.01</v>
      </c>
      <c r="PT13" s="182">
        <v>32.01</v>
      </c>
      <c r="PU13" s="182">
        <v>32.01</v>
      </c>
      <c r="PV13" s="182">
        <v>32.01</v>
      </c>
      <c r="PW13" s="182">
        <v>32.01</v>
      </c>
      <c r="PX13" s="182">
        <v>32.01</v>
      </c>
      <c r="PY13" s="182">
        <v>32.01</v>
      </c>
      <c r="PZ13" s="182">
        <v>32.01</v>
      </c>
      <c r="QA13" s="182">
        <v>32.01</v>
      </c>
      <c r="QB13" s="182">
        <v>32.01</v>
      </c>
      <c r="QC13" s="182">
        <v>32.01</v>
      </c>
      <c r="QD13" s="182">
        <v>32.01</v>
      </c>
      <c r="QE13" s="182">
        <v>32.01</v>
      </c>
      <c r="QF13" s="182">
        <v>32.01</v>
      </c>
      <c r="QG13" s="182">
        <v>32.01</v>
      </c>
      <c r="QH13" s="182">
        <v>32.01</v>
      </c>
      <c r="QI13" s="182">
        <v>32.01</v>
      </c>
      <c r="QJ13" s="182">
        <v>32.01</v>
      </c>
      <c r="QK13" s="182">
        <v>32.01</v>
      </c>
      <c r="QL13" s="182">
        <v>32.01</v>
      </c>
      <c r="QM13" s="182">
        <v>32.01</v>
      </c>
      <c r="QN13" s="182">
        <v>32.01</v>
      </c>
      <c r="QO13" s="182">
        <v>32.01</v>
      </c>
      <c r="QP13" s="182">
        <v>32.01</v>
      </c>
      <c r="QQ13" s="182">
        <v>32.01</v>
      </c>
      <c r="QR13" s="182">
        <v>32.01</v>
      </c>
      <c r="RM13" s="182">
        <v>32.01</v>
      </c>
      <c r="RN13" s="182">
        <v>32.01</v>
      </c>
      <c r="RO13" s="182">
        <v>32.01</v>
      </c>
      <c r="RP13" s="182">
        <v>32.01</v>
      </c>
      <c r="RQ13" s="182">
        <v>32.01</v>
      </c>
      <c r="RR13" s="182">
        <v>32.01</v>
      </c>
      <c r="RS13" s="182">
        <v>32.01</v>
      </c>
      <c r="RT13" s="182">
        <v>32.01</v>
      </c>
      <c r="RU13" s="182">
        <v>32.01</v>
      </c>
      <c r="RV13" s="182">
        <v>32.01</v>
      </c>
      <c r="RW13" s="182">
        <v>32.01</v>
      </c>
      <c r="RX13" s="182">
        <v>32.01</v>
      </c>
      <c r="RY13" s="182">
        <v>32.01</v>
      </c>
      <c r="RZ13" s="182">
        <v>32.01</v>
      </c>
      <c r="SA13" s="182">
        <v>32.01</v>
      </c>
      <c r="SB13" s="182">
        <v>32.01</v>
      </c>
      <c r="SC13" s="182">
        <v>32.01</v>
      </c>
      <c r="SD13" s="182">
        <v>32.01</v>
      </c>
      <c r="SE13" s="182">
        <v>32.01</v>
      </c>
      <c r="SF13" s="182">
        <v>32.01</v>
      </c>
      <c r="SG13" s="182">
        <v>32.01</v>
      </c>
      <c r="SH13" s="182">
        <v>32.01</v>
      </c>
      <c r="SI13" s="182">
        <v>32.01</v>
      </c>
      <c r="SJ13" s="182">
        <v>32.01</v>
      </c>
      <c r="SK13" s="182">
        <v>32.01</v>
      </c>
      <c r="SL13" s="182">
        <v>32.01</v>
      </c>
      <c r="SM13" s="182">
        <v>32.01</v>
      </c>
      <c r="SN13" s="182">
        <v>32.01</v>
      </c>
      <c r="SO13" s="182">
        <v>32.01</v>
      </c>
      <c r="SP13" s="182">
        <v>32.01</v>
      </c>
      <c r="SQ13" s="182">
        <v>32.01</v>
      </c>
      <c r="SR13" s="182">
        <v>32.01</v>
      </c>
      <c r="SS13" s="182">
        <v>32.01</v>
      </c>
      <c r="ST13" s="182">
        <v>32.01</v>
      </c>
      <c r="SU13" s="182">
        <v>32.01</v>
      </c>
      <c r="SV13" s="182">
        <v>32.01</v>
      </c>
      <c r="SW13" s="182">
        <v>32.01</v>
      </c>
      <c r="SX13" s="182">
        <v>32.01</v>
      </c>
      <c r="SY13" s="182">
        <v>32.01</v>
      </c>
      <c r="SZ13" s="182">
        <v>32.01</v>
      </c>
      <c r="TA13" s="182">
        <v>32.01</v>
      </c>
      <c r="TB13" s="182">
        <v>32.01</v>
      </c>
      <c r="TC13" s="182">
        <v>32.01</v>
      </c>
      <c r="TD13" s="182">
        <v>32.01</v>
      </c>
      <c r="TE13" s="182">
        <v>32.01</v>
      </c>
      <c r="TF13" s="182">
        <v>32.01</v>
      </c>
      <c r="TG13" s="182">
        <v>32.01</v>
      </c>
      <c r="TH13" s="182">
        <v>32.01</v>
      </c>
      <c r="TI13" s="182">
        <v>32.01</v>
      </c>
      <c r="TJ13" s="182">
        <v>32.01</v>
      </c>
      <c r="TK13" s="182">
        <v>32.01</v>
      </c>
      <c r="TL13" s="182">
        <v>32.01</v>
      </c>
      <c r="TM13" s="182">
        <v>32.01</v>
      </c>
      <c r="TN13" s="182">
        <v>32.01</v>
      </c>
      <c r="TO13" s="182">
        <v>32.01</v>
      </c>
      <c r="TP13" s="182">
        <v>32.01</v>
      </c>
      <c r="TQ13" s="182">
        <v>32.01</v>
      </c>
      <c r="TR13" s="182">
        <v>32.01</v>
      </c>
      <c r="TS13" s="182">
        <v>32.01</v>
      </c>
      <c r="TT13" s="182">
        <v>32.01</v>
      </c>
      <c r="UO13" s="182">
        <v>32.01</v>
      </c>
      <c r="UP13" s="182">
        <v>32.01</v>
      </c>
      <c r="UQ13" s="182">
        <v>32.01</v>
      </c>
      <c r="UR13" s="182">
        <v>32.01</v>
      </c>
      <c r="US13" s="182">
        <v>32.01</v>
      </c>
      <c r="UT13" s="182">
        <v>32.01</v>
      </c>
      <c r="UU13" s="182">
        <v>32.01</v>
      </c>
      <c r="UV13" s="182">
        <v>32.01</v>
      </c>
      <c r="UW13" s="182">
        <v>32.01</v>
      </c>
      <c r="UX13" s="182">
        <v>32.01</v>
      </c>
      <c r="UY13" s="182">
        <v>32.01</v>
      </c>
      <c r="UZ13" s="182">
        <v>32.01</v>
      </c>
      <c r="VA13" s="182">
        <v>32.01</v>
      </c>
      <c r="VB13" s="182">
        <v>32.01</v>
      </c>
      <c r="VC13" s="182">
        <v>32.01</v>
      </c>
      <c r="VD13" s="182">
        <v>32.01</v>
      </c>
      <c r="VE13" s="182">
        <v>32.01</v>
      </c>
      <c r="VF13" s="182">
        <v>32.01</v>
      </c>
      <c r="VG13" s="182">
        <v>32.01</v>
      </c>
      <c r="VH13" s="182">
        <v>32.01</v>
      </c>
      <c r="VI13" s="182">
        <v>32.01</v>
      </c>
      <c r="VJ13" s="182">
        <v>32.01</v>
      </c>
      <c r="VK13" s="182">
        <v>32.01</v>
      </c>
      <c r="VL13" s="182">
        <v>32.01</v>
      </c>
      <c r="VM13" s="182">
        <v>32.01</v>
      </c>
      <c r="VN13" s="182">
        <v>32.01</v>
      </c>
      <c r="VO13" s="182">
        <v>32.01</v>
      </c>
      <c r="VP13" s="182">
        <v>32.01</v>
      </c>
      <c r="VQ13" s="182">
        <v>32.01</v>
      </c>
      <c r="VR13" s="182">
        <v>32.01</v>
      </c>
      <c r="VS13" s="182">
        <v>32.01</v>
      </c>
      <c r="VT13" s="182">
        <v>32.01</v>
      </c>
      <c r="VU13" s="182">
        <v>32.01</v>
      </c>
      <c r="VV13" s="182">
        <v>32.01</v>
      </c>
      <c r="VW13" s="182">
        <v>32.01</v>
      </c>
      <c r="VX13" s="182">
        <v>32.01</v>
      </c>
      <c r="VY13" s="182">
        <v>32.01</v>
      </c>
      <c r="VZ13" s="182">
        <v>32.01</v>
      </c>
      <c r="WA13" s="182">
        <v>32.01</v>
      </c>
      <c r="WB13" s="182">
        <v>32.01</v>
      </c>
      <c r="WC13" s="182">
        <v>32.01</v>
      </c>
      <c r="WD13" s="182">
        <v>32.01</v>
      </c>
      <c r="WE13" s="182">
        <v>32.01</v>
      </c>
      <c r="WF13" s="182">
        <v>32.01</v>
      </c>
      <c r="WG13" s="182">
        <v>32.01</v>
      </c>
      <c r="WH13" s="182">
        <v>32.01</v>
      </c>
      <c r="WI13" s="182">
        <v>32.01</v>
      </c>
      <c r="WJ13" s="182">
        <v>32.01</v>
      </c>
      <c r="WK13" s="182">
        <v>32.01</v>
      </c>
      <c r="WL13" s="182">
        <v>32.01</v>
      </c>
      <c r="WM13" s="182">
        <v>32.01</v>
      </c>
      <c r="WN13" s="182">
        <v>32.01</v>
      </c>
      <c r="WO13" s="182">
        <v>32.01</v>
      </c>
      <c r="WP13" s="182">
        <v>32.01</v>
      </c>
      <c r="WQ13" s="182">
        <v>32.01</v>
      </c>
      <c r="WR13" s="182">
        <v>32.01</v>
      </c>
      <c r="WS13" s="182">
        <v>32.01</v>
      </c>
      <c r="WT13" s="182">
        <v>32.01</v>
      </c>
      <c r="WU13" s="182">
        <v>32.01</v>
      </c>
      <c r="WV13" s="182">
        <v>32.01</v>
      </c>
      <c r="XQ13" s="182">
        <v>32.01</v>
      </c>
      <c r="XR13" s="182">
        <v>32.01</v>
      </c>
      <c r="XS13" s="182">
        <v>32.01</v>
      </c>
      <c r="XT13" s="182">
        <v>32.01</v>
      </c>
      <c r="XU13" s="182">
        <v>32.01</v>
      </c>
      <c r="XV13" s="182">
        <v>32.01</v>
      </c>
      <c r="XW13" s="182">
        <v>32.01</v>
      </c>
      <c r="XX13" s="182">
        <v>32.01</v>
      </c>
      <c r="XY13" s="182">
        <v>32.01</v>
      </c>
      <c r="XZ13" s="182">
        <v>32.01</v>
      </c>
      <c r="YA13" s="182">
        <v>32.01</v>
      </c>
      <c r="YB13" s="182">
        <v>32.01</v>
      </c>
      <c r="YC13" s="182">
        <v>32.01</v>
      </c>
      <c r="YD13" s="182">
        <v>32.01</v>
      </c>
      <c r="YE13" s="182">
        <v>32.01</v>
      </c>
      <c r="YF13" s="182">
        <v>32.01</v>
      </c>
      <c r="YG13" s="182">
        <v>32.01</v>
      </c>
      <c r="YH13" s="182">
        <v>32.01</v>
      </c>
      <c r="YI13" s="182">
        <v>32.01</v>
      </c>
      <c r="YJ13" s="182">
        <v>32.01</v>
      </c>
      <c r="YK13" s="182">
        <v>32.01</v>
      </c>
      <c r="YL13" s="182">
        <v>32.01</v>
      </c>
      <c r="YM13" s="182">
        <v>32.01</v>
      </c>
      <c r="YN13" s="182">
        <v>32.01</v>
      </c>
      <c r="YO13" s="182">
        <v>32.01</v>
      </c>
      <c r="YP13" s="182">
        <v>32.01</v>
      </c>
      <c r="YQ13" s="182">
        <v>32.01</v>
      </c>
      <c r="YR13" s="182">
        <v>32.01</v>
      </c>
      <c r="YS13" s="182">
        <v>32.01</v>
      </c>
      <c r="YT13" s="182">
        <v>32.01</v>
      </c>
      <c r="YU13" s="182">
        <v>32.01</v>
      </c>
      <c r="YV13" s="182">
        <v>32.01</v>
      </c>
      <c r="YW13" s="182">
        <v>32.01</v>
      </c>
      <c r="YX13" s="182">
        <v>32.01</v>
      </c>
      <c r="YY13" s="182">
        <v>32.01</v>
      </c>
      <c r="YZ13" s="182">
        <v>32.01</v>
      </c>
      <c r="ZA13" s="182">
        <v>32.01</v>
      </c>
      <c r="ZB13" s="182">
        <v>32.01</v>
      </c>
      <c r="ZC13" s="182">
        <v>32.01</v>
      </c>
      <c r="ZD13" s="182">
        <v>32.01</v>
      </c>
      <c r="ZE13" s="182">
        <v>32.01</v>
      </c>
      <c r="ZF13" s="182">
        <v>32.01</v>
      </c>
      <c r="ZG13" s="182">
        <v>32.01</v>
      </c>
      <c r="ZH13" s="182">
        <v>32.01</v>
      </c>
      <c r="ZI13" s="182">
        <v>32.01</v>
      </c>
      <c r="ZJ13" s="182">
        <v>32.01</v>
      </c>
      <c r="ZK13" s="182">
        <v>32.01</v>
      </c>
      <c r="ZL13" s="182">
        <v>32.01</v>
      </c>
      <c r="ZM13" s="182">
        <v>32.01</v>
      </c>
      <c r="ZN13" s="182">
        <v>32.01</v>
      </c>
      <c r="ZO13" s="182">
        <v>32.01</v>
      </c>
      <c r="ZP13" s="182">
        <v>32.01</v>
      </c>
      <c r="ZQ13" s="182">
        <v>32.01</v>
      </c>
      <c r="ZR13" s="182">
        <v>32.01</v>
      </c>
      <c r="ZS13" s="182">
        <v>32.01</v>
      </c>
      <c r="ZT13" s="182">
        <v>32.01</v>
      </c>
      <c r="ZU13" s="182">
        <v>32.01</v>
      </c>
      <c r="ZV13" s="182">
        <v>32.01</v>
      </c>
      <c r="ZW13" s="182">
        <v>32.01</v>
      </c>
      <c r="ZX13" s="182">
        <v>32.01</v>
      </c>
      <c r="AAS13" s="182">
        <v>32.01</v>
      </c>
      <c r="AAT13" s="182">
        <v>32.01</v>
      </c>
      <c r="AAU13" s="182">
        <v>32.01</v>
      </c>
      <c r="AAV13" s="182">
        <v>32.01</v>
      </c>
      <c r="AAW13" s="182">
        <v>32.01</v>
      </c>
      <c r="AAX13" s="182">
        <v>32.01</v>
      </c>
      <c r="AAY13" s="182">
        <v>32.01</v>
      </c>
      <c r="AAZ13" s="182">
        <v>32.01</v>
      </c>
      <c r="ABA13" s="182">
        <v>32.01</v>
      </c>
      <c r="ABB13" s="182">
        <v>32.01</v>
      </c>
      <c r="ABC13" s="182">
        <v>32.01</v>
      </c>
      <c r="ABD13" s="182">
        <v>32.01</v>
      </c>
      <c r="ABE13" s="182">
        <v>32.01</v>
      </c>
      <c r="ABF13" s="182">
        <v>32.01</v>
      </c>
      <c r="ABG13" s="182">
        <v>32.01</v>
      </c>
      <c r="ABH13" s="182">
        <v>32.01</v>
      </c>
      <c r="ABI13" s="182">
        <v>32.01</v>
      </c>
      <c r="ABJ13" s="182">
        <v>32.01</v>
      </c>
      <c r="ABK13" s="182">
        <v>32.01</v>
      </c>
      <c r="ABL13" s="182">
        <v>32.01</v>
      </c>
      <c r="ABM13" s="182">
        <v>32.01</v>
      </c>
      <c r="ABN13" s="182">
        <v>32.01</v>
      </c>
      <c r="ABO13" s="182">
        <v>32.01</v>
      </c>
      <c r="ABP13" s="182">
        <v>32.01</v>
      </c>
      <c r="ABQ13" s="182">
        <v>32.01</v>
      </c>
      <c r="ABR13" s="182">
        <v>32.01</v>
      </c>
      <c r="ABS13" s="182">
        <v>32.01</v>
      </c>
      <c r="ABT13" s="182">
        <v>32.01</v>
      </c>
      <c r="ABU13" s="182">
        <v>32.01</v>
      </c>
      <c r="ABV13" s="182">
        <v>32.01</v>
      </c>
      <c r="ABW13" s="182">
        <v>32.01</v>
      </c>
      <c r="ABX13" s="182">
        <v>32.01</v>
      </c>
      <c r="ABY13" s="182">
        <v>32.01</v>
      </c>
      <c r="ABZ13" s="182">
        <v>32.01</v>
      </c>
      <c r="ACA13" s="182">
        <v>32.01</v>
      </c>
      <c r="ACB13" s="182">
        <v>32.01</v>
      </c>
      <c r="ACC13" s="182">
        <v>32.01</v>
      </c>
      <c r="ACD13" s="182">
        <v>32.01</v>
      </c>
      <c r="ACE13" s="182">
        <v>32.01</v>
      </c>
      <c r="ACF13" s="182">
        <v>32.01</v>
      </c>
      <c r="ACG13" s="182">
        <v>32.01</v>
      </c>
      <c r="ACH13" s="182">
        <v>32.01</v>
      </c>
      <c r="ACI13" s="182">
        <v>32.01</v>
      </c>
      <c r="ACJ13" s="182">
        <v>32.01</v>
      </c>
      <c r="ACK13" s="182">
        <v>32.01</v>
      </c>
      <c r="ACL13" s="182">
        <v>32.01</v>
      </c>
      <c r="ACM13" s="182">
        <v>32.01</v>
      </c>
      <c r="ACN13" s="182">
        <v>32.01</v>
      </c>
      <c r="ACO13" s="182">
        <v>32.01</v>
      </c>
      <c r="ACP13" s="182">
        <v>32.01</v>
      </c>
      <c r="ACQ13" s="182">
        <v>32.01</v>
      </c>
      <c r="ACR13" s="182">
        <v>32.01</v>
      </c>
      <c r="ACS13" s="182">
        <v>32.01</v>
      </c>
      <c r="ACT13" s="182">
        <v>32.01</v>
      </c>
      <c r="ACU13" s="182">
        <v>32.01</v>
      </c>
      <c r="ACV13" s="182">
        <v>32.01</v>
      </c>
      <c r="ACW13" s="182">
        <v>32.01</v>
      </c>
      <c r="ACX13" s="182">
        <v>32.01</v>
      </c>
      <c r="ACY13" s="182">
        <v>32.01</v>
      </c>
      <c r="ADU13" s="182">
        <v>32.01</v>
      </c>
      <c r="ADV13" s="182">
        <v>32.01</v>
      </c>
      <c r="ADW13" s="182">
        <v>32.01</v>
      </c>
      <c r="ADX13" s="182">
        <v>32.01</v>
      </c>
      <c r="ADY13" s="182">
        <v>32.01</v>
      </c>
      <c r="ADZ13" s="182">
        <v>32.01</v>
      </c>
      <c r="AEA13" s="182">
        <v>32.01</v>
      </c>
      <c r="AEB13" s="182">
        <v>32.01</v>
      </c>
      <c r="AEC13" s="182">
        <v>32.01</v>
      </c>
      <c r="AED13" s="182">
        <v>32.01</v>
      </c>
      <c r="AEE13" s="182">
        <v>32.01</v>
      </c>
      <c r="AEF13" s="182">
        <v>32.01</v>
      </c>
      <c r="AEG13" s="182">
        <v>32.01</v>
      </c>
      <c r="AEH13" s="182">
        <v>32.01</v>
      </c>
      <c r="AEI13" s="182">
        <v>32.01</v>
      </c>
      <c r="AEJ13" s="182">
        <v>32.01</v>
      </c>
      <c r="AEK13" s="182">
        <v>32.01</v>
      </c>
      <c r="AEL13" s="182">
        <v>32.01</v>
      </c>
      <c r="AEM13" s="182">
        <v>32.01</v>
      </c>
      <c r="AEN13" s="182">
        <v>32.01</v>
      </c>
      <c r="AEO13" s="182">
        <v>32.01</v>
      </c>
      <c r="AEP13" s="182">
        <v>32.01</v>
      </c>
      <c r="AEQ13" s="182">
        <v>32.01</v>
      </c>
      <c r="AER13" s="182">
        <v>32.01</v>
      </c>
      <c r="AES13" s="182">
        <v>32.01</v>
      </c>
      <c r="AET13" s="182">
        <v>32.01</v>
      </c>
      <c r="AEU13" s="182">
        <v>32.01</v>
      </c>
      <c r="AEV13" s="182">
        <v>32.01</v>
      </c>
      <c r="AEW13" s="182">
        <v>32.01</v>
      </c>
      <c r="AEX13" s="182">
        <v>32.01</v>
      </c>
      <c r="AEY13" s="182">
        <v>32.01</v>
      </c>
      <c r="AEZ13" s="182">
        <v>32.01</v>
      </c>
      <c r="AFA13" s="182">
        <v>32.01</v>
      </c>
      <c r="AFB13" s="182">
        <v>32.01</v>
      </c>
      <c r="AFC13" s="182">
        <v>32.01</v>
      </c>
      <c r="AFD13" s="182">
        <v>32.01</v>
      </c>
      <c r="AFE13" s="182">
        <v>32.01</v>
      </c>
      <c r="AFF13" s="182">
        <v>32.01</v>
      </c>
      <c r="AFG13" s="182">
        <v>32.01</v>
      </c>
      <c r="AFH13" s="182">
        <v>32.01</v>
      </c>
      <c r="AFI13" s="182">
        <v>32.01</v>
      </c>
      <c r="AFJ13" s="182">
        <v>32.01</v>
      </c>
      <c r="AFK13" s="182">
        <v>32.01</v>
      </c>
      <c r="AFL13" s="182">
        <v>32.01</v>
      </c>
      <c r="AFM13" s="182">
        <v>32.01</v>
      </c>
      <c r="AFN13" s="182">
        <v>32.01</v>
      </c>
      <c r="AFO13" s="182">
        <v>32.01</v>
      </c>
      <c r="AFP13" s="182">
        <v>32.01</v>
      </c>
      <c r="AFQ13" s="182">
        <v>32.01</v>
      </c>
      <c r="AFR13" s="182">
        <v>32.01</v>
      </c>
      <c r="AFS13" s="182">
        <v>32.01</v>
      </c>
      <c r="AFT13" s="182">
        <v>32.01</v>
      </c>
      <c r="AFU13" s="182">
        <v>32.01</v>
      </c>
      <c r="AFV13" s="182">
        <v>32.01</v>
      </c>
      <c r="AFW13" s="182">
        <v>32.01</v>
      </c>
      <c r="AFX13" s="182">
        <v>32.01</v>
      </c>
      <c r="AFY13" s="182">
        <v>32.01</v>
      </c>
      <c r="AFZ13" s="182">
        <v>32.01</v>
      </c>
      <c r="AGA13" s="182">
        <v>32.01</v>
      </c>
      <c r="AGW13" s="182">
        <v>32.01</v>
      </c>
      <c r="AGX13" s="182">
        <v>32.01</v>
      </c>
      <c r="AGY13" s="182">
        <v>32.01</v>
      </c>
      <c r="AGZ13" s="182">
        <v>32.01</v>
      </c>
      <c r="AHA13" s="182">
        <v>32.01</v>
      </c>
      <c r="AHB13" s="182">
        <v>32.01</v>
      </c>
      <c r="AHC13" s="182">
        <v>32.01</v>
      </c>
      <c r="AHD13" s="182">
        <v>32.01</v>
      </c>
      <c r="AHE13" s="182">
        <v>32.01</v>
      </c>
      <c r="AHF13" s="182">
        <v>32.01</v>
      </c>
      <c r="AHG13" s="182">
        <v>32.01</v>
      </c>
      <c r="AHH13" s="182">
        <v>32.01</v>
      </c>
      <c r="AHI13" s="182">
        <v>32.01</v>
      </c>
      <c r="AHJ13" s="182">
        <v>32.01</v>
      </c>
      <c r="AHK13" s="182">
        <v>32.01</v>
      </c>
      <c r="AHL13" s="182">
        <v>32.01</v>
      </c>
      <c r="AHM13" s="182">
        <v>32.01</v>
      </c>
      <c r="AHN13" s="182">
        <v>32.01</v>
      </c>
      <c r="AHO13" s="182">
        <v>32.01</v>
      </c>
      <c r="AHP13" s="182">
        <v>32.01</v>
      </c>
      <c r="AHQ13" s="182">
        <v>32.01</v>
      </c>
      <c r="AHR13" s="182">
        <v>32.01</v>
      </c>
      <c r="AHS13" s="182">
        <v>32.01</v>
      </c>
      <c r="AHT13" s="182">
        <v>32.01</v>
      </c>
      <c r="AHU13" s="182">
        <v>32.01</v>
      </c>
      <c r="AHV13" s="182">
        <v>32.01</v>
      </c>
      <c r="AHW13" s="182">
        <v>32.01</v>
      </c>
      <c r="AHX13" s="182">
        <v>32.01</v>
      </c>
      <c r="AHY13" s="182">
        <v>32.01</v>
      </c>
      <c r="AHZ13" s="182">
        <v>32.01</v>
      </c>
      <c r="AIA13" s="182">
        <v>32.01</v>
      </c>
      <c r="AIB13" s="182">
        <v>32.01</v>
      </c>
      <c r="AIC13" s="182">
        <v>32.01</v>
      </c>
      <c r="AID13" s="182">
        <v>32.01</v>
      </c>
      <c r="AIE13" s="182">
        <v>32.01</v>
      </c>
      <c r="AIF13" s="182">
        <v>32.01</v>
      </c>
      <c r="AIG13" s="182">
        <v>32.01</v>
      </c>
      <c r="AIH13" s="182">
        <v>32.01</v>
      </c>
      <c r="AII13" s="182">
        <v>32.01</v>
      </c>
      <c r="AIJ13" s="182">
        <v>32.01</v>
      </c>
      <c r="AIK13" s="182">
        <v>32.01</v>
      </c>
      <c r="AIL13" s="182">
        <v>32.01</v>
      </c>
      <c r="AIM13" s="182">
        <v>32.01</v>
      </c>
      <c r="AIN13" s="182">
        <v>32.01</v>
      </c>
      <c r="AIO13" s="182">
        <v>32.01</v>
      </c>
      <c r="AIP13" s="182">
        <v>32.01</v>
      </c>
      <c r="AIQ13" s="182">
        <v>32.01</v>
      </c>
      <c r="AIR13" s="182">
        <v>32.01</v>
      </c>
      <c r="AIS13" s="182">
        <v>32.01</v>
      </c>
      <c r="AIT13" s="182">
        <v>32.01</v>
      </c>
      <c r="AIU13" s="182">
        <v>32.01</v>
      </c>
      <c r="AIV13" s="182">
        <v>32.01</v>
      </c>
      <c r="AIW13" s="182">
        <v>32.01</v>
      </c>
      <c r="AIX13" s="182">
        <v>32.01</v>
      </c>
      <c r="AIY13" s="182">
        <v>32.01</v>
      </c>
      <c r="AIZ13" s="182">
        <v>32.01</v>
      </c>
      <c r="AJA13" s="182">
        <v>32.01</v>
      </c>
      <c r="AJB13" s="182">
        <v>32.01</v>
      </c>
      <c r="AJC13" s="182">
        <v>32.01</v>
      </c>
    </row>
  </sheetData>
  <sheetProtection algorithmName="SHA-512" hashValue="pkkEIAUg3saK830nxSPjMlw+mu8rybVpK1EFbMTLRiUT9yOOvLBSG+04W+f87YiMcjEdu4MmMxMReOK4/bVFcg==" saltValue="TZ7OAQHSrt8DBQO1ZF6pGg==" spinCount="100000" sheet="1" objects="1" scenarios="1"/>
  <pageMargins left="0.7" right="0.7" top="0.78740157499999996" bottom="0.78740157499999996"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6D455-93AC-F74E-8620-89590BC67570}">
  <sheetPr codeName="Tabelle22"/>
  <dimension ref="A1:E1"/>
  <sheetViews>
    <sheetView workbookViewId="0"/>
  </sheetViews>
  <sheetFormatPr baseColWidth="10" defaultRowHeight="15"/>
  <sheetData>
    <row r="1" spans="1:5">
      <c r="A1" t="s">
        <v>373</v>
      </c>
      <c r="B1" t="s">
        <v>374</v>
      </c>
      <c r="C1" t="s">
        <v>375</v>
      </c>
      <c r="D1" t="s">
        <v>376</v>
      </c>
      <c r="E1" t="s">
        <v>377</v>
      </c>
    </row>
  </sheetData>
  <sheetProtection algorithmName="SHA-512" hashValue="UlIGYSWLyc29eyb0PPPHCy/WWU66qD1RTBDd+kuBUvEJYX1wQCElO/MIr4wx1GgV9+3uW8gIkvNic+JnOR4UTQ==" saltValue="VGqrSjVu6Ffpz3WB945DNA==" spinCount="100000" sheet="1" objects="1" scenarios="1" sort="0" autoFilter="0"/>
  <pageMargins left="0.7" right="0.7" top="0.78740157499999996" bottom="0.78740157499999996"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B6EB2C-0C12-6E47-9899-BDF82CBE42E8}">
  <sheetPr codeName="Tabelle23"/>
  <dimension ref="A1:E9"/>
  <sheetViews>
    <sheetView workbookViewId="0"/>
  </sheetViews>
  <sheetFormatPr baseColWidth="10" defaultRowHeight="15"/>
  <cols>
    <col min="1" max="1" width="40.83203125" customWidth="1"/>
    <col min="2" max="2" width="12.83203125" customWidth="1"/>
    <col min="3" max="3" width="58.83203125" customWidth="1"/>
    <col min="4" max="4" width="22.83203125" customWidth="1"/>
    <col min="5" max="5" width="70.83203125" customWidth="1"/>
  </cols>
  <sheetData>
    <row r="1" spans="1:5">
      <c r="A1" s="198" t="s">
        <v>378</v>
      </c>
      <c r="B1" s="198" t="s">
        <v>328</v>
      </c>
      <c r="C1" s="198" t="s">
        <v>379</v>
      </c>
      <c r="D1" s="198" t="s">
        <v>380</v>
      </c>
      <c r="E1" s="198" t="s">
        <v>381</v>
      </c>
    </row>
    <row r="2" spans="1:5" ht="32">
      <c r="A2" s="199" t="s">
        <v>382</v>
      </c>
      <c r="B2" s="200" t="s">
        <v>383</v>
      </c>
      <c r="C2" s="202" t="s">
        <v>384</v>
      </c>
      <c r="D2" s="203">
        <v>46162.581770833334</v>
      </c>
      <c r="E2" s="202" t="s">
        <v>385</v>
      </c>
    </row>
    <row r="3" spans="1:5" ht="32">
      <c r="A3" s="199" t="s">
        <v>386</v>
      </c>
      <c r="B3" s="200" t="s">
        <v>383</v>
      </c>
      <c r="C3" s="202" t="s">
        <v>387</v>
      </c>
      <c r="D3" s="203">
        <v>46162.581770833334</v>
      </c>
      <c r="E3" s="202" t="s">
        <v>388</v>
      </c>
    </row>
    <row r="4" spans="1:5" ht="32">
      <c r="A4" s="199" t="s">
        <v>389</v>
      </c>
      <c r="B4" s="200" t="s">
        <v>383</v>
      </c>
      <c r="C4" s="202" t="s">
        <v>390</v>
      </c>
      <c r="D4" s="203">
        <v>46162.581770833334</v>
      </c>
      <c r="E4" s="202" t="s">
        <v>391</v>
      </c>
    </row>
    <row r="5" spans="1:5" ht="32">
      <c r="A5" s="199" t="s">
        <v>392</v>
      </c>
      <c r="B5" s="200" t="s">
        <v>383</v>
      </c>
      <c r="C5" s="202" t="s">
        <v>393</v>
      </c>
      <c r="D5" s="203">
        <v>46162.581770833334</v>
      </c>
      <c r="E5" s="202" t="s">
        <v>394</v>
      </c>
    </row>
    <row r="6" spans="1:5" ht="32">
      <c r="A6" s="199" t="s">
        <v>395</v>
      </c>
      <c r="B6" s="200" t="s">
        <v>383</v>
      </c>
      <c r="C6" s="202" t="s">
        <v>396</v>
      </c>
      <c r="D6" s="203">
        <v>46162.581770833334</v>
      </c>
      <c r="E6" s="202" t="s">
        <v>397</v>
      </c>
    </row>
    <row r="7" spans="1:5" ht="32">
      <c r="A7" s="199" t="s">
        <v>398</v>
      </c>
      <c r="B7" s="200" t="s">
        <v>383</v>
      </c>
      <c r="C7" s="202" t="s">
        <v>399</v>
      </c>
      <c r="D7" s="203">
        <v>46162.581770833334</v>
      </c>
      <c r="E7" s="202" t="s">
        <v>400</v>
      </c>
    </row>
    <row r="8" spans="1:5" ht="16">
      <c r="A8" s="199" t="s">
        <v>401</v>
      </c>
      <c r="B8" s="201" t="s">
        <v>402</v>
      </c>
      <c r="C8" s="202" t="s">
        <v>403</v>
      </c>
      <c r="D8" s="203">
        <v>46162.581782407404</v>
      </c>
      <c r="E8" s="202" t="s">
        <v>404</v>
      </c>
    </row>
    <row r="9" spans="1:5" ht="16">
      <c r="A9" s="199" t="s">
        <v>405</v>
      </c>
      <c r="B9" s="201" t="s">
        <v>402</v>
      </c>
      <c r="C9" s="202" t="s">
        <v>406</v>
      </c>
      <c r="D9" s="203">
        <v>46162.581782407404</v>
      </c>
      <c r="E9" s="202" t="s">
        <v>404</v>
      </c>
    </row>
  </sheetData>
  <sheetProtection algorithmName="SHA-512" hashValue="a2QKBfo/c97/GC9CPFqeIVP/7eX3W2kcwHRRrzvkUMUfwyt/0/vb1zBPRNzhRIrnP/p+0bu7ov2ToZYrsFCI+A==" saltValue="ALEUKGwbwQnrB9VSOYEIpQ==" spinCount="100000" sheet="1" objects="1" scenarios="1" sort="0" autoFilter="0"/>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Arbeitsblätter</vt:lpstr>
      </vt:variant>
      <vt:variant>
        <vt:i4>18</vt:i4>
      </vt:variant>
      <vt:variant>
        <vt:lpstr>Benannte Bereiche</vt:lpstr>
      </vt:variant>
      <vt:variant>
        <vt:i4>717</vt:i4>
      </vt:variant>
    </vt:vector>
  </HeadingPairs>
  <TitlesOfParts>
    <vt:vector size="735" baseType="lpstr">
      <vt:lpstr>LOHNTABELLE</vt:lpstr>
      <vt:lpstr>LOHNTABELLE_TEST</vt:lpstr>
      <vt:lpstr>EINSTELLUNG</vt:lpstr>
      <vt:lpstr>Januar</vt:lpstr>
      <vt:lpstr>Februar</vt:lpstr>
      <vt:lpstr>Marz</vt:lpstr>
      <vt:lpstr>April</vt:lpstr>
      <vt:lpstr>Mai</vt:lpstr>
      <vt:lpstr>Juni</vt:lpstr>
      <vt:lpstr>Juli</vt:lpstr>
      <vt:lpstr>August</vt:lpstr>
      <vt:lpstr>September</vt:lpstr>
      <vt:lpstr>Oktober</vt:lpstr>
      <vt:lpstr>November</vt:lpstr>
      <vt:lpstr>Dezember</vt:lpstr>
      <vt:lpstr>UBERSICHT</vt:lpstr>
      <vt:lpstr>Fluktuation</vt:lpstr>
      <vt:lpstr>SYSTEM_CHECK</vt:lpstr>
      <vt:lpstr>BG1_10_Hours</vt:lpstr>
      <vt:lpstr>BG1_10_Wages</vt:lpstr>
      <vt:lpstr>BG1_15_Hours</vt:lpstr>
      <vt:lpstr>BG1_15_Wages</vt:lpstr>
      <vt:lpstr>BG1_5_Hours</vt:lpstr>
      <vt:lpstr>BG1_5_Wages</vt:lpstr>
      <vt:lpstr>BG1_Hours</vt:lpstr>
      <vt:lpstr>BG1_Wages</vt:lpstr>
      <vt:lpstr>BG2_10_Hours</vt:lpstr>
      <vt:lpstr>BG2_15_Hours</vt:lpstr>
      <vt:lpstr>BG2_5_Hours</vt:lpstr>
      <vt:lpstr>BG2_Hours</vt:lpstr>
      <vt:lpstr>KV_DD_APRIL_10</vt:lpstr>
      <vt:lpstr>KV_DD_APRIL_11</vt:lpstr>
      <vt:lpstr>KV_DD_APRIL_12</vt:lpstr>
      <vt:lpstr>KV_DD_APRIL_13</vt:lpstr>
      <vt:lpstr>KV_DD_APRIL_14</vt:lpstr>
      <vt:lpstr>KV_DD_APRIL_15</vt:lpstr>
      <vt:lpstr>KV_DD_APRIL_16</vt:lpstr>
      <vt:lpstr>KV_DD_APRIL_17</vt:lpstr>
      <vt:lpstr>KV_DD_APRIL_18</vt:lpstr>
      <vt:lpstr>KV_DD_APRIL_19</vt:lpstr>
      <vt:lpstr>KV_DD_APRIL_20</vt:lpstr>
      <vt:lpstr>KV_DD_APRIL_21</vt:lpstr>
      <vt:lpstr>KV_DD_APRIL_22</vt:lpstr>
      <vt:lpstr>KV_DD_APRIL_23</vt:lpstr>
      <vt:lpstr>KV_DD_APRIL_24</vt:lpstr>
      <vt:lpstr>KV_DD_APRIL_25</vt:lpstr>
      <vt:lpstr>KV_DD_APRIL_26</vt:lpstr>
      <vt:lpstr>KV_DD_APRIL_27</vt:lpstr>
      <vt:lpstr>KV_DD_APRIL_28</vt:lpstr>
      <vt:lpstr>KV_DD_APRIL_29</vt:lpstr>
      <vt:lpstr>KV_DD_APRIL_3</vt:lpstr>
      <vt:lpstr>KV_DD_APRIL_30</vt:lpstr>
      <vt:lpstr>KV_DD_APRIL_31</vt:lpstr>
      <vt:lpstr>KV_DD_APRIL_32</vt:lpstr>
      <vt:lpstr>KV_DD_APRIL_33</vt:lpstr>
      <vt:lpstr>KV_DD_APRIL_34</vt:lpstr>
      <vt:lpstr>KV_DD_APRIL_35</vt:lpstr>
      <vt:lpstr>KV_DD_APRIL_36</vt:lpstr>
      <vt:lpstr>KV_DD_APRIL_37</vt:lpstr>
      <vt:lpstr>KV_DD_APRIL_38</vt:lpstr>
      <vt:lpstr>KV_DD_APRIL_39</vt:lpstr>
      <vt:lpstr>KV_DD_APRIL_4</vt:lpstr>
      <vt:lpstr>KV_DD_APRIL_40</vt:lpstr>
      <vt:lpstr>KV_DD_APRIL_41</vt:lpstr>
      <vt:lpstr>KV_DD_APRIL_42</vt:lpstr>
      <vt:lpstr>KV_DD_APRIL_43</vt:lpstr>
      <vt:lpstr>KV_DD_APRIL_44</vt:lpstr>
      <vt:lpstr>KV_DD_APRIL_45</vt:lpstr>
      <vt:lpstr>KV_DD_APRIL_46</vt:lpstr>
      <vt:lpstr>KV_DD_APRIL_47</vt:lpstr>
      <vt:lpstr>KV_DD_APRIL_48</vt:lpstr>
      <vt:lpstr>KV_DD_APRIL_49</vt:lpstr>
      <vt:lpstr>KV_DD_APRIL_5</vt:lpstr>
      <vt:lpstr>KV_DD_APRIL_50</vt:lpstr>
      <vt:lpstr>KV_DD_APRIL_51</vt:lpstr>
      <vt:lpstr>KV_DD_APRIL_52</vt:lpstr>
      <vt:lpstr>KV_DD_APRIL_53</vt:lpstr>
      <vt:lpstr>KV_DD_APRIL_54</vt:lpstr>
      <vt:lpstr>KV_DD_APRIL_55</vt:lpstr>
      <vt:lpstr>KV_DD_APRIL_56</vt:lpstr>
      <vt:lpstr>KV_DD_APRIL_57</vt:lpstr>
      <vt:lpstr>KV_DD_APRIL_58</vt:lpstr>
      <vt:lpstr>KV_DD_APRIL_59</vt:lpstr>
      <vt:lpstr>KV_DD_APRIL_6</vt:lpstr>
      <vt:lpstr>KV_DD_APRIL_60</vt:lpstr>
      <vt:lpstr>KV_DD_APRIL_7</vt:lpstr>
      <vt:lpstr>KV_DD_APRIL_8</vt:lpstr>
      <vt:lpstr>KV_DD_APRIL_9</vt:lpstr>
      <vt:lpstr>KV_DD_AUGUST_10</vt:lpstr>
      <vt:lpstr>KV_DD_AUGUST_11</vt:lpstr>
      <vt:lpstr>KV_DD_AUGUST_12</vt:lpstr>
      <vt:lpstr>KV_DD_AUGUST_13</vt:lpstr>
      <vt:lpstr>KV_DD_AUGUST_14</vt:lpstr>
      <vt:lpstr>KV_DD_AUGUST_15</vt:lpstr>
      <vt:lpstr>KV_DD_AUGUST_16</vt:lpstr>
      <vt:lpstr>KV_DD_AUGUST_17</vt:lpstr>
      <vt:lpstr>KV_DD_AUGUST_18</vt:lpstr>
      <vt:lpstr>KV_DD_AUGUST_19</vt:lpstr>
      <vt:lpstr>KV_DD_AUGUST_20</vt:lpstr>
      <vt:lpstr>KV_DD_AUGUST_21</vt:lpstr>
      <vt:lpstr>KV_DD_AUGUST_22</vt:lpstr>
      <vt:lpstr>KV_DD_AUGUST_23</vt:lpstr>
      <vt:lpstr>KV_DD_AUGUST_24</vt:lpstr>
      <vt:lpstr>KV_DD_AUGUST_25</vt:lpstr>
      <vt:lpstr>KV_DD_AUGUST_26</vt:lpstr>
      <vt:lpstr>KV_DD_AUGUST_27</vt:lpstr>
      <vt:lpstr>KV_DD_AUGUST_28</vt:lpstr>
      <vt:lpstr>KV_DD_AUGUST_29</vt:lpstr>
      <vt:lpstr>KV_DD_AUGUST_3</vt:lpstr>
      <vt:lpstr>KV_DD_AUGUST_30</vt:lpstr>
      <vt:lpstr>KV_DD_AUGUST_31</vt:lpstr>
      <vt:lpstr>KV_DD_AUGUST_32</vt:lpstr>
      <vt:lpstr>KV_DD_AUGUST_33</vt:lpstr>
      <vt:lpstr>KV_DD_AUGUST_34</vt:lpstr>
      <vt:lpstr>KV_DD_AUGUST_35</vt:lpstr>
      <vt:lpstr>KV_DD_AUGUST_36</vt:lpstr>
      <vt:lpstr>KV_DD_AUGUST_37</vt:lpstr>
      <vt:lpstr>KV_DD_AUGUST_38</vt:lpstr>
      <vt:lpstr>KV_DD_AUGUST_39</vt:lpstr>
      <vt:lpstr>KV_DD_AUGUST_4</vt:lpstr>
      <vt:lpstr>KV_DD_AUGUST_40</vt:lpstr>
      <vt:lpstr>KV_DD_AUGUST_41</vt:lpstr>
      <vt:lpstr>KV_DD_AUGUST_42</vt:lpstr>
      <vt:lpstr>KV_DD_AUGUST_43</vt:lpstr>
      <vt:lpstr>KV_DD_AUGUST_44</vt:lpstr>
      <vt:lpstr>KV_DD_AUGUST_45</vt:lpstr>
      <vt:lpstr>KV_DD_AUGUST_46</vt:lpstr>
      <vt:lpstr>KV_DD_AUGUST_47</vt:lpstr>
      <vt:lpstr>KV_DD_AUGUST_48</vt:lpstr>
      <vt:lpstr>KV_DD_AUGUST_49</vt:lpstr>
      <vt:lpstr>KV_DD_AUGUST_5</vt:lpstr>
      <vt:lpstr>KV_DD_AUGUST_50</vt:lpstr>
      <vt:lpstr>KV_DD_AUGUST_51</vt:lpstr>
      <vt:lpstr>KV_DD_AUGUST_52</vt:lpstr>
      <vt:lpstr>KV_DD_AUGUST_53</vt:lpstr>
      <vt:lpstr>KV_DD_AUGUST_54</vt:lpstr>
      <vt:lpstr>KV_DD_AUGUST_55</vt:lpstr>
      <vt:lpstr>KV_DD_AUGUST_56</vt:lpstr>
      <vt:lpstr>KV_DD_AUGUST_57</vt:lpstr>
      <vt:lpstr>KV_DD_AUGUST_58</vt:lpstr>
      <vt:lpstr>KV_DD_AUGUST_59</vt:lpstr>
      <vt:lpstr>KV_DD_AUGUST_6</vt:lpstr>
      <vt:lpstr>KV_DD_AUGUST_60</vt:lpstr>
      <vt:lpstr>KV_DD_AUGUST_61</vt:lpstr>
      <vt:lpstr>KV_DD_AUGUST_62</vt:lpstr>
      <vt:lpstr>KV_DD_AUGUST_7</vt:lpstr>
      <vt:lpstr>KV_DD_AUGUST_8</vt:lpstr>
      <vt:lpstr>KV_DD_AUGUST_9</vt:lpstr>
      <vt:lpstr>KV_DD_DEZEMBER_10</vt:lpstr>
      <vt:lpstr>KV_DD_DEZEMBER_11</vt:lpstr>
      <vt:lpstr>KV_DD_DEZEMBER_12</vt:lpstr>
      <vt:lpstr>KV_DD_DEZEMBER_13</vt:lpstr>
      <vt:lpstr>KV_DD_DEZEMBER_14</vt:lpstr>
      <vt:lpstr>KV_DD_DEZEMBER_15</vt:lpstr>
      <vt:lpstr>KV_DD_DEZEMBER_16</vt:lpstr>
      <vt:lpstr>KV_DD_DEZEMBER_17</vt:lpstr>
      <vt:lpstr>KV_DD_DEZEMBER_18</vt:lpstr>
      <vt:lpstr>KV_DD_DEZEMBER_19</vt:lpstr>
      <vt:lpstr>KV_DD_DEZEMBER_20</vt:lpstr>
      <vt:lpstr>KV_DD_DEZEMBER_21</vt:lpstr>
      <vt:lpstr>KV_DD_DEZEMBER_22</vt:lpstr>
      <vt:lpstr>KV_DD_DEZEMBER_23</vt:lpstr>
      <vt:lpstr>KV_DD_DEZEMBER_24</vt:lpstr>
      <vt:lpstr>KV_DD_DEZEMBER_25</vt:lpstr>
      <vt:lpstr>KV_DD_DEZEMBER_26</vt:lpstr>
      <vt:lpstr>KV_DD_DEZEMBER_27</vt:lpstr>
      <vt:lpstr>KV_DD_DEZEMBER_28</vt:lpstr>
      <vt:lpstr>KV_DD_DEZEMBER_29</vt:lpstr>
      <vt:lpstr>KV_DD_DEZEMBER_3</vt:lpstr>
      <vt:lpstr>KV_DD_DEZEMBER_30</vt:lpstr>
      <vt:lpstr>KV_DD_DEZEMBER_31</vt:lpstr>
      <vt:lpstr>KV_DD_DEZEMBER_32</vt:lpstr>
      <vt:lpstr>KV_DD_DEZEMBER_33</vt:lpstr>
      <vt:lpstr>KV_DD_DEZEMBER_34</vt:lpstr>
      <vt:lpstr>KV_DD_DEZEMBER_35</vt:lpstr>
      <vt:lpstr>KV_DD_DEZEMBER_36</vt:lpstr>
      <vt:lpstr>KV_DD_DEZEMBER_37</vt:lpstr>
      <vt:lpstr>KV_DD_DEZEMBER_38</vt:lpstr>
      <vt:lpstr>KV_DD_DEZEMBER_39</vt:lpstr>
      <vt:lpstr>KV_DD_DEZEMBER_4</vt:lpstr>
      <vt:lpstr>KV_DD_DEZEMBER_40</vt:lpstr>
      <vt:lpstr>KV_DD_DEZEMBER_41</vt:lpstr>
      <vt:lpstr>KV_DD_DEZEMBER_42</vt:lpstr>
      <vt:lpstr>KV_DD_DEZEMBER_43</vt:lpstr>
      <vt:lpstr>KV_DD_DEZEMBER_44</vt:lpstr>
      <vt:lpstr>KV_DD_DEZEMBER_45</vt:lpstr>
      <vt:lpstr>KV_DD_DEZEMBER_46</vt:lpstr>
      <vt:lpstr>KV_DD_DEZEMBER_47</vt:lpstr>
      <vt:lpstr>KV_DD_DEZEMBER_48</vt:lpstr>
      <vt:lpstr>KV_DD_DEZEMBER_49</vt:lpstr>
      <vt:lpstr>KV_DD_DEZEMBER_5</vt:lpstr>
      <vt:lpstr>KV_DD_DEZEMBER_50</vt:lpstr>
      <vt:lpstr>KV_DD_DEZEMBER_51</vt:lpstr>
      <vt:lpstr>KV_DD_DEZEMBER_52</vt:lpstr>
      <vt:lpstr>KV_DD_DEZEMBER_53</vt:lpstr>
      <vt:lpstr>KV_DD_DEZEMBER_54</vt:lpstr>
      <vt:lpstr>KV_DD_DEZEMBER_55</vt:lpstr>
      <vt:lpstr>KV_DD_DEZEMBER_56</vt:lpstr>
      <vt:lpstr>KV_DD_DEZEMBER_57</vt:lpstr>
      <vt:lpstr>KV_DD_DEZEMBER_58</vt:lpstr>
      <vt:lpstr>KV_DD_DEZEMBER_59</vt:lpstr>
      <vt:lpstr>KV_DD_DEZEMBER_6</vt:lpstr>
      <vt:lpstr>KV_DD_DEZEMBER_60</vt:lpstr>
      <vt:lpstr>KV_DD_DEZEMBER_61</vt:lpstr>
      <vt:lpstr>KV_DD_DEZEMBER_7</vt:lpstr>
      <vt:lpstr>KV_DD_DEZEMBER_8</vt:lpstr>
      <vt:lpstr>KV_DD_DEZEMBER_9</vt:lpstr>
      <vt:lpstr>KV_DD_FEBRUAR_10</vt:lpstr>
      <vt:lpstr>KV_DD_FEBRUAR_11</vt:lpstr>
      <vt:lpstr>KV_DD_FEBRUAR_12</vt:lpstr>
      <vt:lpstr>KV_DD_FEBRUAR_13</vt:lpstr>
      <vt:lpstr>KV_DD_FEBRUAR_14</vt:lpstr>
      <vt:lpstr>KV_DD_FEBRUAR_15</vt:lpstr>
      <vt:lpstr>KV_DD_FEBRUAR_16</vt:lpstr>
      <vt:lpstr>KV_DD_FEBRUAR_17</vt:lpstr>
      <vt:lpstr>KV_DD_FEBRUAR_18</vt:lpstr>
      <vt:lpstr>KV_DD_FEBRUAR_19</vt:lpstr>
      <vt:lpstr>KV_DD_FEBRUAR_20</vt:lpstr>
      <vt:lpstr>KV_DD_FEBRUAR_21</vt:lpstr>
      <vt:lpstr>KV_DD_FEBRUAR_22</vt:lpstr>
      <vt:lpstr>KV_DD_FEBRUAR_23</vt:lpstr>
      <vt:lpstr>KV_DD_FEBRUAR_24</vt:lpstr>
      <vt:lpstr>KV_DD_FEBRUAR_25</vt:lpstr>
      <vt:lpstr>KV_DD_FEBRUAR_26</vt:lpstr>
      <vt:lpstr>KV_DD_FEBRUAR_27</vt:lpstr>
      <vt:lpstr>KV_DD_FEBRUAR_28</vt:lpstr>
      <vt:lpstr>KV_DD_FEBRUAR_29</vt:lpstr>
      <vt:lpstr>KV_DD_FEBRUAR_3</vt:lpstr>
      <vt:lpstr>KV_DD_FEBRUAR_30</vt:lpstr>
      <vt:lpstr>KV_DD_FEBRUAR_31</vt:lpstr>
      <vt:lpstr>KV_DD_FEBRUAR_32</vt:lpstr>
      <vt:lpstr>KV_DD_FEBRUAR_33</vt:lpstr>
      <vt:lpstr>KV_DD_FEBRUAR_34</vt:lpstr>
      <vt:lpstr>KV_DD_FEBRUAR_35</vt:lpstr>
      <vt:lpstr>KV_DD_FEBRUAR_36</vt:lpstr>
      <vt:lpstr>KV_DD_FEBRUAR_37</vt:lpstr>
      <vt:lpstr>KV_DD_FEBRUAR_38</vt:lpstr>
      <vt:lpstr>KV_DD_FEBRUAR_39</vt:lpstr>
      <vt:lpstr>KV_DD_FEBRUAR_4</vt:lpstr>
      <vt:lpstr>KV_DD_FEBRUAR_40</vt:lpstr>
      <vt:lpstr>KV_DD_FEBRUAR_41</vt:lpstr>
      <vt:lpstr>KV_DD_FEBRUAR_42</vt:lpstr>
      <vt:lpstr>KV_DD_FEBRUAR_43</vt:lpstr>
      <vt:lpstr>KV_DD_FEBRUAR_44</vt:lpstr>
      <vt:lpstr>KV_DD_FEBRUAR_45</vt:lpstr>
      <vt:lpstr>KV_DD_FEBRUAR_46</vt:lpstr>
      <vt:lpstr>KV_DD_FEBRUAR_47</vt:lpstr>
      <vt:lpstr>KV_DD_FEBRUAR_48</vt:lpstr>
      <vt:lpstr>KV_DD_FEBRUAR_49</vt:lpstr>
      <vt:lpstr>KV_DD_FEBRUAR_5</vt:lpstr>
      <vt:lpstr>KV_DD_FEBRUAR_50</vt:lpstr>
      <vt:lpstr>KV_DD_FEBRUAR_51</vt:lpstr>
      <vt:lpstr>KV_DD_FEBRUAR_52</vt:lpstr>
      <vt:lpstr>KV_DD_FEBRUAR_53</vt:lpstr>
      <vt:lpstr>KV_DD_FEBRUAR_54</vt:lpstr>
      <vt:lpstr>KV_DD_FEBRUAR_55</vt:lpstr>
      <vt:lpstr>KV_DD_FEBRUAR_56</vt:lpstr>
      <vt:lpstr>KV_DD_FEBRUAR_57</vt:lpstr>
      <vt:lpstr>KV_DD_FEBRUAR_58</vt:lpstr>
      <vt:lpstr>KV_DD_FEBRUAR_59</vt:lpstr>
      <vt:lpstr>KV_DD_FEBRUAR_6</vt:lpstr>
      <vt:lpstr>KV_DD_FEBRUAR_60</vt:lpstr>
      <vt:lpstr>KV_DD_FEBRUAR_7</vt:lpstr>
      <vt:lpstr>KV_DD_FEBRUAR_8</vt:lpstr>
      <vt:lpstr>KV_DD_FEBRUAR_9</vt:lpstr>
      <vt:lpstr>KV_DD_JANUAR_10</vt:lpstr>
      <vt:lpstr>KV_DD_JANUAR_11</vt:lpstr>
      <vt:lpstr>KV_DD_JANUAR_12</vt:lpstr>
      <vt:lpstr>KV_DD_JANUAR_13</vt:lpstr>
      <vt:lpstr>KV_DD_JANUAR_14</vt:lpstr>
      <vt:lpstr>KV_DD_JANUAR_15</vt:lpstr>
      <vt:lpstr>KV_DD_JANUAR_16</vt:lpstr>
      <vt:lpstr>KV_DD_JANUAR_17</vt:lpstr>
      <vt:lpstr>KV_DD_JANUAR_18</vt:lpstr>
      <vt:lpstr>KV_DD_JANUAR_19</vt:lpstr>
      <vt:lpstr>KV_DD_JANUAR_20</vt:lpstr>
      <vt:lpstr>KV_DD_JANUAR_21</vt:lpstr>
      <vt:lpstr>KV_DD_JANUAR_22</vt:lpstr>
      <vt:lpstr>KV_DD_JANUAR_23</vt:lpstr>
      <vt:lpstr>KV_DD_JANUAR_24</vt:lpstr>
      <vt:lpstr>KV_DD_JANUAR_25</vt:lpstr>
      <vt:lpstr>KV_DD_JANUAR_26</vt:lpstr>
      <vt:lpstr>KV_DD_JANUAR_27</vt:lpstr>
      <vt:lpstr>KV_DD_JANUAR_28</vt:lpstr>
      <vt:lpstr>KV_DD_JANUAR_29</vt:lpstr>
      <vt:lpstr>KV_DD_JANUAR_3</vt:lpstr>
      <vt:lpstr>KV_DD_JANUAR_30</vt:lpstr>
      <vt:lpstr>KV_DD_JANUAR_31</vt:lpstr>
      <vt:lpstr>KV_DD_JANUAR_32</vt:lpstr>
      <vt:lpstr>KV_DD_JANUAR_33</vt:lpstr>
      <vt:lpstr>KV_DD_JANUAR_34</vt:lpstr>
      <vt:lpstr>KV_DD_JANUAR_35</vt:lpstr>
      <vt:lpstr>KV_DD_JANUAR_36</vt:lpstr>
      <vt:lpstr>KV_DD_JANUAR_37</vt:lpstr>
      <vt:lpstr>KV_DD_JANUAR_38</vt:lpstr>
      <vt:lpstr>KV_DD_JANUAR_39</vt:lpstr>
      <vt:lpstr>KV_DD_JANUAR_4</vt:lpstr>
      <vt:lpstr>KV_DD_JANUAR_40</vt:lpstr>
      <vt:lpstr>KV_DD_JANUAR_41</vt:lpstr>
      <vt:lpstr>KV_DD_JANUAR_42</vt:lpstr>
      <vt:lpstr>KV_DD_JANUAR_43</vt:lpstr>
      <vt:lpstr>KV_DD_JANUAR_44</vt:lpstr>
      <vt:lpstr>KV_DD_JANUAR_45</vt:lpstr>
      <vt:lpstr>KV_DD_JANUAR_46</vt:lpstr>
      <vt:lpstr>KV_DD_JANUAR_47</vt:lpstr>
      <vt:lpstr>KV_DD_JANUAR_48</vt:lpstr>
      <vt:lpstr>KV_DD_JANUAR_49</vt:lpstr>
      <vt:lpstr>KV_DD_JANUAR_5</vt:lpstr>
      <vt:lpstr>KV_DD_JANUAR_50</vt:lpstr>
      <vt:lpstr>KV_DD_JANUAR_51</vt:lpstr>
      <vt:lpstr>KV_DD_JANUAR_52</vt:lpstr>
      <vt:lpstr>KV_DD_JANUAR_53</vt:lpstr>
      <vt:lpstr>KV_DD_JANUAR_54</vt:lpstr>
      <vt:lpstr>KV_DD_JANUAR_6</vt:lpstr>
      <vt:lpstr>KV_DD_JANUAR_7</vt:lpstr>
      <vt:lpstr>KV_DD_JANUAR_8</vt:lpstr>
      <vt:lpstr>KV_DD_JANUAR_9</vt:lpstr>
      <vt:lpstr>KV_DD_JULI_10</vt:lpstr>
      <vt:lpstr>KV_DD_JULI_11</vt:lpstr>
      <vt:lpstr>KV_DD_JULI_12</vt:lpstr>
      <vt:lpstr>KV_DD_JULI_13</vt:lpstr>
      <vt:lpstr>KV_DD_JULI_14</vt:lpstr>
      <vt:lpstr>KV_DD_JULI_15</vt:lpstr>
      <vt:lpstr>KV_DD_JULI_16</vt:lpstr>
      <vt:lpstr>KV_DD_JULI_17</vt:lpstr>
      <vt:lpstr>KV_DD_JULI_18</vt:lpstr>
      <vt:lpstr>KV_DD_JULI_19</vt:lpstr>
      <vt:lpstr>KV_DD_JULI_20</vt:lpstr>
      <vt:lpstr>KV_DD_JULI_21</vt:lpstr>
      <vt:lpstr>KV_DD_JULI_22</vt:lpstr>
      <vt:lpstr>KV_DD_JULI_23</vt:lpstr>
      <vt:lpstr>KV_DD_JULI_24</vt:lpstr>
      <vt:lpstr>KV_DD_JULI_25</vt:lpstr>
      <vt:lpstr>KV_DD_JULI_26</vt:lpstr>
      <vt:lpstr>KV_DD_JULI_27</vt:lpstr>
      <vt:lpstr>KV_DD_JULI_28</vt:lpstr>
      <vt:lpstr>KV_DD_JULI_29</vt:lpstr>
      <vt:lpstr>KV_DD_JULI_3</vt:lpstr>
      <vt:lpstr>KV_DD_JULI_30</vt:lpstr>
      <vt:lpstr>KV_DD_JULI_31</vt:lpstr>
      <vt:lpstr>KV_DD_JULI_32</vt:lpstr>
      <vt:lpstr>KV_DD_JULI_33</vt:lpstr>
      <vt:lpstr>KV_DD_JULI_34</vt:lpstr>
      <vt:lpstr>KV_DD_JULI_35</vt:lpstr>
      <vt:lpstr>KV_DD_JULI_36</vt:lpstr>
      <vt:lpstr>KV_DD_JULI_37</vt:lpstr>
      <vt:lpstr>KV_DD_JULI_38</vt:lpstr>
      <vt:lpstr>KV_DD_JULI_39</vt:lpstr>
      <vt:lpstr>KV_DD_JULI_4</vt:lpstr>
      <vt:lpstr>KV_DD_JULI_40</vt:lpstr>
      <vt:lpstr>KV_DD_JULI_41</vt:lpstr>
      <vt:lpstr>KV_DD_JULI_42</vt:lpstr>
      <vt:lpstr>KV_DD_JULI_43</vt:lpstr>
      <vt:lpstr>KV_DD_JULI_44</vt:lpstr>
      <vt:lpstr>KV_DD_JULI_45</vt:lpstr>
      <vt:lpstr>KV_DD_JULI_46</vt:lpstr>
      <vt:lpstr>KV_DD_JULI_47</vt:lpstr>
      <vt:lpstr>KV_DD_JULI_48</vt:lpstr>
      <vt:lpstr>KV_DD_JULI_49</vt:lpstr>
      <vt:lpstr>KV_DD_JULI_5</vt:lpstr>
      <vt:lpstr>KV_DD_JULI_50</vt:lpstr>
      <vt:lpstr>KV_DD_JULI_51</vt:lpstr>
      <vt:lpstr>KV_DD_JULI_52</vt:lpstr>
      <vt:lpstr>KV_DD_JULI_53</vt:lpstr>
      <vt:lpstr>KV_DD_JULI_54</vt:lpstr>
      <vt:lpstr>KV_DD_JULI_55</vt:lpstr>
      <vt:lpstr>KV_DD_JULI_56</vt:lpstr>
      <vt:lpstr>KV_DD_JULI_57</vt:lpstr>
      <vt:lpstr>KV_DD_JULI_58</vt:lpstr>
      <vt:lpstr>KV_DD_JULI_59</vt:lpstr>
      <vt:lpstr>KV_DD_JULI_6</vt:lpstr>
      <vt:lpstr>KV_DD_JULI_60</vt:lpstr>
      <vt:lpstr>KV_DD_JULI_61</vt:lpstr>
      <vt:lpstr>KV_DD_JULI_62</vt:lpstr>
      <vt:lpstr>KV_DD_JULI_7</vt:lpstr>
      <vt:lpstr>KV_DD_JULI_8</vt:lpstr>
      <vt:lpstr>KV_DD_JULI_9</vt:lpstr>
      <vt:lpstr>KV_DD_JUNI_10</vt:lpstr>
      <vt:lpstr>KV_DD_JUNI_11</vt:lpstr>
      <vt:lpstr>KV_DD_JUNI_12</vt:lpstr>
      <vt:lpstr>KV_DD_JUNI_13</vt:lpstr>
      <vt:lpstr>KV_DD_JUNI_14</vt:lpstr>
      <vt:lpstr>KV_DD_JUNI_15</vt:lpstr>
      <vt:lpstr>KV_DD_JUNI_16</vt:lpstr>
      <vt:lpstr>KV_DD_JUNI_17</vt:lpstr>
      <vt:lpstr>KV_DD_JUNI_18</vt:lpstr>
      <vt:lpstr>KV_DD_JUNI_19</vt:lpstr>
      <vt:lpstr>KV_DD_JUNI_20</vt:lpstr>
      <vt:lpstr>KV_DD_JUNI_21</vt:lpstr>
      <vt:lpstr>KV_DD_JUNI_22</vt:lpstr>
      <vt:lpstr>KV_DD_JUNI_23</vt:lpstr>
      <vt:lpstr>KV_DD_JUNI_24</vt:lpstr>
      <vt:lpstr>KV_DD_JUNI_25</vt:lpstr>
      <vt:lpstr>KV_DD_JUNI_26</vt:lpstr>
      <vt:lpstr>KV_DD_JUNI_27</vt:lpstr>
      <vt:lpstr>KV_DD_JUNI_28</vt:lpstr>
      <vt:lpstr>KV_DD_JUNI_29</vt:lpstr>
      <vt:lpstr>KV_DD_JUNI_3</vt:lpstr>
      <vt:lpstr>KV_DD_JUNI_30</vt:lpstr>
      <vt:lpstr>KV_DD_JUNI_31</vt:lpstr>
      <vt:lpstr>KV_DD_JUNI_32</vt:lpstr>
      <vt:lpstr>KV_DD_JUNI_33</vt:lpstr>
      <vt:lpstr>KV_DD_JUNI_34</vt:lpstr>
      <vt:lpstr>KV_DD_JUNI_35</vt:lpstr>
      <vt:lpstr>KV_DD_JUNI_36</vt:lpstr>
      <vt:lpstr>KV_DD_JUNI_37</vt:lpstr>
      <vt:lpstr>KV_DD_JUNI_38</vt:lpstr>
      <vt:lpstr>KV_DD_JUNI_39</vt:lpstr>
      <vt:lpstr>KV_DD_JUNI_4</vt:lpstr>
      <vt:lpstr>KV_DD_JUNI_40</vt:lpstr>
      <vt:lpstr>KV_DD_JUNI_41</vt:lpstr>
      <vt:lpstr>KV_DD_JUNI_42</vt:lpstr>
      <vt:lpstr>KV_DD_JUNI_43</vt:lpstr>
      <vt:lpstr>KV_DD_JUNI_44</vt:lpstr>
      <vt:lpstr>KV_DD_JUNI_45</vt:lpstr>
      <vt:lpstr>KV_DD_JUNI_46</vt:lpstr>
      <vt:lpstr>KV_DD_JUNI_47</vt:lpstr>
      <vt:lpstr>KV_DD_JUNI_48</vt:lpstr>
      <vt:lpstr>KV_DD_JUNI_49</vt:lpstr>
      <vt:lpstr>KV_DD_JUNI_5</vt:lpstr>
      <vt:lpstr>KV_DD_JUNI_50</vt:lpstr>
      <vt:lpstr>KV_DD_JUNI_51</vt:lpstr>
      <vt:lpstr>KV_DD_JUNI_52</vt:lpstr>
      <vt:lpstr>KV_DD_JUNI_53</vt:lpstr>
      <vt:lpstr>KV_DD_JUNI_54</vt:lpstr>
      <vt:lpstr>KV_DD_JUNI_55</vt:lpstr>
      <vt:lpstr>KV_DD_JUNI_56</vt:lpstr>
      <vt:lpstr>KV_DD_JUNI_57</vt:lpstr>
      <vt:lpstr>KV_DD_JUNI_58</vt:lpstr>
      <vt:lpstr>KV_DD_JUNI_59</vt:lpstr>
      <vt:lpstr>KV_DD_JUNI_6</vt:lpstr>
      <vt:lpstr>KV_DD_JUNI_60</vt:lpstr>
      <vt:lpstr>KV_DD_JUNI_61</vt:lpstr>
      <vt:lpstr>KV_DD_JUNI_62</vt:lpstr>
      <vt:lpstr>KV_DD_JUNI_7</vt:lpstr>
      <vt:lpstr>KV_DD_JUNI_8</vt:lpstr>
      <vt:lpstr>KV_DD_JUNI_9</vt:lpstr>
      <vt:lpstr>KV_DD_MAI_10</vt:lpstr>
      <vt:lpstr>KV_DD_MAI_11</vt:lpstr>
      <vt:lpstr>KV_DD_MAI_12</vt:lpstr>
      <vt:lpstr>KV_DD_MAI_13</vt:lpstr>
      <vt:lpstr>KV_DD_MAI_14</vt:lpstr>
      <vt:lpstr>KV_DD_MAI_15</vt:lpstr>
      <vt:lpstr>KV_DD_MAI_16</vt:lpstr>
      <vt:lpstr>KV_DD_MAI_17</vt:lpstr>
      <vt:lpstr>KV_DD_MAI_18</vt:lpstr>
      <vt:lpstr>KV_DD_MAI_19</vt:lpstr>
      <vt:lpstr>KV_DD_MAI_20</vt:lpstr>
      <vt:lpstr>KV_DD_MAI_21</vt:lpstr>
      <vt:lpstr>KV_DD_MAI_22</vt:lpstr>
      <vt:lpstr>KV_DD_MAI_23</vt:lpstr>
      <vt:lpstr>KV_DD_MAI_24</vt:lpstr>
      <vt:lpstr>KV_DD_MAI_25</vt:lpstr>
      <vt:lpstr>KV_DD_MAI_26</vt:lpstr>
      <vt:lpstr>KV_DD_MAI_27</vt:lpstr>
      <vt:lpstr>KV_DD_MAI_28</vt:lpstr>
      <vt:lpstr>KV_DD_MAI_29</vt:lpstr>
      <vt:lpstr>KV_DD_MAI_3</vt:lpstr>
      <vt:lpstr>KV_DD_MAI_30</vt:lpstr>
      <vt:lpstr>KV_DD_MAI_31</vt:lpstr>
      <vt:lpstr>KV_DD_MAI_32</vt:lpstr>
      <vt:lpstr>KV_DD_MAI_33</vt:lpstr>
      <vt:lpstr>KV_DD_MAI_34</vt:lpstr>
      <vt:lpstr>KV_DD_MAI_35</vt:lpstr>
      <vt:lpstr>KV_DD_MAI_36</vt:lpstr>
      <vt:lpstr>KV_DD_MAI_37</vt:lpstr>
      <vt:lpstr>KV_DD_MAI_38</vt:lpstr>
      <vt:lpstr>KV_DD_MAI_39</vt:lpstr>
      <vt:lpstr>KV_DD_MAI_4</vt:lpstr>
      <vt:lpstr>KV_DD_MAI_40</vt:lpstr>
      <vt:lpstr>KV_DD_MAI_41</vt:lpstr>
      <vt:lpstr>KV_DD_MAI_42</vt:lpstr>
      <vt:lpstr>KV_DD_MAI_43</vt:lpstr>
      <vt:lpstr>KV_DD_MAI_44</vt:lpstr>
      <vt:lpstr>KV_DD_MAI_45</vt:lpstr>
      <vt:lpstr>KV_DD_MAI_46</vt:lpstr>
      <vt:lpstr>KV_DD_MAI_47</vt:lpstr>
      <vt:lpstr>KV_DD_MAI_48</vt:lpstr>
      <vt:lpstr>KV_DD_MAI_49</vt:lpstr>
      <vt:lpstr>KV_DD_MAI_5</vt:lpstr>
      <vt:lpstr>KV_DD_MAI_50</vt:lpstr>
      <vt:lpstr>KV_DD_MAI_51</vt:lpstr>
      <vt:lpstr>KV_DD_MAI_52</vt:lpstr>
      <vt:lpstr>KV_DD_MAI_53</vt:lpstr>
      <vt:lpstr>KV_DD_MAI_54</vt:lpstr>
      <vt:lpstr>KV_DD_MAI_55</vt:lpstr>
      <vt:lpstr>KV_DD_MAI_56</vt:lpstr>
      <vt:lpstr>KV_DD_MAI_57</vt:lpstr>
      <vt:lpstr>KV_DD_MAI_58</vt:lpstr>
      <vt:lpstr>KV_DD_MAI_59</vt:lpstr>
      <vt:lpstr>KV_DD_MAI_6</vt:lpstr>
      <vt:lpstr>KV_DD_MAI_60</vt:lpstr>
      <vt:lpstr>KV_DD_MAI_61</vt:lpstr>
      <vt:lpstr>KV_DD_MAI_62</vt:lpstr>
      <vt:lpstr>KV_DD_MAI_63</vt:lpstr>
      <vt:lpstr>KV_DD_MAI_7</vt:lpstr>
      <vt:lpstr>KV_DD_MAI_8</vt:lpstr>
      <vt:lpstr>KV_DD_MAI_9</vt:lpstr>
      <vt:lpstr>KV_DD_MARZ_10</vt:lpstr>
      <vt:lpstr>KV_DD_MARZ_11</vt:lpstr>
      <vt:lpstr>KV_DD_MARZ_12</vt:lpstr>
      <vt:lpstr>KV_DD_MARZ_13</vt:lpstr>
      <vt:lpstr>KV_DD_MARZ_14</vt:lpstr>
      <vt:lpstr>KV_DD_MARZ_15</vt:lpstr>
      <vt:lpstr>KV_DD_MARZ_16</vt:lpstr>
      <vt:lpstr>KV_DD_MARZ_17</vt:lpstr>
      <vt:lpstr>KV_DD_MARZ_18</vt:lpstr>
      <vt:lpstr>KV_DD_MARZ_19</vt:lpstr>
      <vt:lpstr>KV_DD_MARZ_20</vt:lpstr>
      <vt:lpstr>KV_DD_MARZ_21</vt:lpstr>
      <vt:lpstr>KV_DD_MARZ_22</vt:lpstr>
      <vt:lpstr>KV_DD_MARZ_23</vt:lpstr>
      <vt:lpstr>KV_DD_MARZ_24</vt:lpstr>
      <vt:lpstr>KV_DD_MARZ_25</vt:lpstr>
      <vt:lpstr>KV_DD_MARZ_26</vt:lpstr>
      <vt:lpstr>KV_DD_MARZ_27</vt:lpstr>
      <vt:lpstr>KV_DD_MARZ_28</vt:lpstr>
      <vt:lpstr>KV_DD_MARZ_29</vt:lpstr>
      <vt:lpstr>KV_DD_MARZ_3</vt:lpstr>
      <vt:lpstr>KV_DD_MARZ_30</vt:lpstr>
      <vt:lpstr>KV_DD_MARZ_31</vt:lpstr>
      <vt:lpstr>KV_DD_MARZ_32</vt:lpstr>
      <vt:lpstr>KV_DD_MARZ_33</vt:lpstr>
      <vt:lpstr>KV_DD_MARZ_34</vt:lpstr>
      <vt:lpstr>KV_DD_MARZ_35</vt:lpstr>
      <vt:lpstr>KV_DD_MARZ_36</vt:lpstr>
      <vt:lpstr>KV_DD_MARZ_37</vt:lpstr>
      <vt:lpstr>KV_DD_MARZ_38</vt:lpstr>
      <vt:lpstr>KV_DD_MARZ_39</vt:lpstr>
      <vt:lpstr>KV_DD_MARZ_4</vt:lpstr>
      <vt:lpstr>KV_DD_MARZ_40</vt:lpstr>
      <vt:lpstr>KV_DD_MARZ_41</vt:lpstr>
      <vt:lpstr>KV_DD_MARZ_42</vt:lpstr>
      <vt:lpstr>KV_DD_MARZ_43</vt:lpstr>
      <vt:lpstr>KV_DD_MARZ_44</vt:lpstr>
      <vt:lpstr>KV_DD_MARZ_45</vt:lpstr>
      <vt:lpstr>KV_DD_MARZ_46</vt:lpstr>
      <vt:lpstr>KV_DD_MARZ_47</vt:lpstr>
      <vt:lpstr>KV_DD_MARZ_48</vt:lpstr>
      <vt:lpstr>KV_DD_MARZ_49</vt:lpstr>
      <vt:lpstr>KV_DD_MARZ_5</vt:lpstr>
      <vt:lpstr>KV_DD_MARZ_50</vt:lpstr>
      <vt:lpstr>KV_DD_MARZ_51</vt:lpstr>
      <vt:lpstr>KV_DD_MARZ_52</vt:lpstr>
      <vt:lpstr>KV_DD_MARZ_53</vt:lpstr>
      <vt:lpstr>KV_DD_MARZ_54</vt:lpstr>
      <vt:lpstr>KV_DD_MARZ_55</vt:lpstr>
      <vt:lpstr>KV_DD_MARZ_56</vt:lpstr>
      <vt:lpstr>KV_DD_MARZ_57</vt:lpstr>
      <vt:lpstr>KV_DD_MARZ_58</vt:lpstr>
      <vt:lpstr>KV_DD_MARZ_59</vt:lpstr>
      <vt:lpstr>KV_DD_MARZ_6</vt:lpstr>
      <vt:lpstr>KV_DD_MARZ_60</vt:lpstr>
      <vt:lpstr>KV_DD_MARZ_61</vt:lpstr>
      <vt:lpstr>KV_DD_MARZ_7</vt:lpstr>
      <vt:lpstr>KV_DD_MARZ_8</vt:lpstr>
      <vt:lpstr>KV_DD_MARZ_9</vt:lpstr>
      <vt:lpstr>KV_DD_NOVEMBER_10</vt:lpstr>
      <vt:lpstr>KV_DD_NOVEMBER_11</vt:lpstr>
      <vt:lpstr>KV_DD_NOVEMBER_12</vt:lpstr>
      <vt:lpstr>KV_DD_NOVEMBER_13</vt:lpstr>
      <vt:lpstr>KV_DD_NOVEMBER_14</vt:lpstr>
      <vt:lpstr>KV_DD_NOVEMBER_15</vt:lpstr>
      <vt:lpstr>KV_DD_NOVEMBER_16</vt:lpstr>
      <vt:lpstr>KV_DD_NOVEMBER_17</vt:lpstr>
      <vt:lpstr>KV_DD_NOVEMBER_18</vt:lpstr>
      <vt:lpstr>KV_DD_NOVEMBER_19</vt:lpstr>
      <vt:lpstr>KV_DD_NOVEMBER_20</vt:lpstr>
      <vt:lpstr>KV_DD_NOVEMBER_21</vt:lpstr>
      <vt:lpstr>KV_DD_NOVEMBER_22</vt:lpstr>
      <vt:lpstr>KV_DD_NOVEMBER_23</vt:lpstr>
      <vt:lpstr>KV_DD_NOVEMBER_24</vt:lpstr>
      <vt:lpstr>KV_DD_NOVEMBER_25</vt:lpstr>
      <vt:lpstr>KV_DD_NOVEMBER_26</vt:lpstr>
      <vt:lpstr>KV_DD_NOVEMBER_27</vt:lpstr>
      <vt:lpstr>KV_DD_NOVEMBER_28</vt:lpstr>
      <vt:lpstr>KV_DD_NOVEMBER_29</vt:lpstr>
      <vt:lpstr>KV_DD_NOVEMBER_3</vt:lpstr>
      <vt:lpstr>KV_DD_NOVEMBER_30</vt:lpstr>
      <vt:lpstr>KV_DD_NOVEMBER_31</vt:lpstr>
      <vt:lpstr>KV_DD_NOVEMBER_32</vt:lpstr>
      <vt:lpstr>KV_DD_NOVEMBER_33</vt:lpstr>
      <vt:lpstr>KV_DD_NOVEMBER_34</vt:lpstr>
      <vt:lpstr>KV_DD_NOVEMBER_35</vt:lpstr>
      <vt:lpstr>KV_DD_NOVEMBER_36</vt:lpstr>
      <vt:lpstr>KV_DD_NOVEMBER_37</vt:lpstr>
      <vt:lpstr>KV_DD_NOVEMBER_38</vt:lpstr>
      <vt:lpstr>KV_DD_NOVEMBER_39</vt:lpstr>
      <vt:lpstr>KV_DD_NOVEMBER_4</vt:lpstr>
      <vt:lpstr>KV_DD_NOVEMBER_40</vt:lpstr>
      <vt:lpstr>KV_DD_NOVEMBER_41</vt:lpstr>
      <vt:lpstr>KV_DD_NOVEMBER_42</vt:lpstr>
      <vt:lpstr>KV_DD_NOVEMBER_43</vt:lpstr>
      <vt:lpstr>KV_DD_NOVEMBER_44</vt:lpstr>
      <vt:lpstr>KV_DD_NOVEMBER_45</vt:lpstr>
      <vt:lpstr>KV_DD_NOVEMBER_46</vt:lpstr>
      <vt:lpstr>KV_DD_NOVEMBER_47</vt:lpstr>
      <vt:lpstr>KV_DD_NOVEMBER_48</vt:lpstr>
      <vt:lpstr>KV_DD_NOVEMBER_49</vt:lpstr>
      <vt:lpstr>KV_DD_NOVEMBER_5</vt:lpstr>
      <vt:lpstr>KV_DD_NOVEMBER_50</vt:lpstr>
      <vt:lpstr>KV_DD_NOVEMBER_51</vt:lpstr>
      <vt:lpstr>KV_DD_NOVEMBER_52</vt:lpstr>
      <vt:lpstr>KV_DD_NOVEMBER_53</vt:lpstr>
      <vt:lpstr>KV_DD_NOVEMBER_54</vt:lpstr>
      <vt:lpstr>KV_DD_NOVEMBER_55</vt:lpstr>
      <vt:lpstr>KV_DD_NOVEMBER_56</vt:lpstr>
      <vt:lpstr>KV_DD_NOVEMBER_57</vt:lpstr>
      <vt:lpstr>KV_DD_NOVEMBER_58</vt:lpstr>
      <vt:lpstr>KV_DD_NOVEMBER_59</vt:lpstr>
      <vt:lpstr>KV_DD_NOVEMBER_6</vt:lpstr>
      <vt:lpstr>KV_DD_NOVEMBER_60</vt:lpstr>
      <vt:lpstr>KV_DD_NOVEMBER_61</vt:lpstr>
      <vt:lpstr>KV_DD_NOVEMBER_7</vt:lpstr>
      <vt:lpstr>KV_DD_NOVEMBER_8</vt:lpstr>
      <vt:lpstr>KV_DD_NOVEMBER_9</vt:lpstr>
      <vt:lpstr>KV_DD_OKTOBER_10</vt:lpstr>
      <vt:lpstr>KV_DD_OKTOBER_11</vt:lpstr>
      <vt:lpstr>KV_DD_OKTOBER_12</vt:lpstr>
      <vt:lpstr>KV_DD_OKTOBER_13</vt:lpstr>
      <vt:lpstr>KV_DD_OKTOBER_14</vt:lpstr>
      <vt:lpstr>KV_DD_OKTOBER_15</vt:lpstr>
      <vt:lpstr>KV_DD_OKTOBER_16</vt:lpstr>
      <vt:lpstr>KV_DD_OKTOBER_17</vt:lpstr>
      <vt:lpstr>KV_DD_OKTOBER_18</vt:lpstr>
      <vt:lpstr>KV_DD_OKTOBER_19</vt:lpstr>
      <vt:lpstr>KV_DD_OKTOBER_20</vt:lpstr>
      <vt:lpstr>KV_DD_OKTOBER_21</vt:lpstr>
      <vt:lpstr>KV_DD_OKTOBER_22</vt:lpstr>
      <vt:lpstr>KV_DD_OKTOBER_23</vt:lpstr>
      <vt:lpstr>KV_DD_OKTOBER_24</vt:lpstr>
      <vt:lpstr>KV_DD_OKTOBER_25</vt:lpstr>
      <vt:lpstr>KV_DD_OKTOBER_26</vt:lpstr>
      <vt:lpstr>KV_DD_OKTOBER_27</vt:lpstr>
      <vt:lpstr>KV_DD_OKTOBER_28</vt:lpstr>
      <vt:lpstr>KV_DD_OKTOBER_29</vt:lpstr>
      <vt:lpstr>KV_DD_OKTOBER_3</vt:lpstr>
      <vt:lpstr>KV_DD_OKTOBER_30</vt:lpstr>
      <vt:lpstr>KV_DD_OKTOBER_31</vt:lpstr>
      <vt:lpstr>KV_DD_OKTOBER_32</vt:lpstr>
      <vt:lpstr>KV_DD_OKTOBER_33</vt:lpstr>
      <vt:lpstr>KV_DD_OKTOBER_34</vt:lpstr>
      <vt:lpstr>KV_DD_OKTOBER_35</vt:lpstr>
      <vt:lpstr>KV_DD_OKTOBER_36</vt:lpstr>
      <vt:lpstr>KV_DD_OKTOBER_37</vt:lpstr>
      <vt:lpstr>KV_DD_OKTOBER_38</vt:lpstr>
      <vt:lpstr>KV_DD_OKTOBER_39</vt:lpstr>
      <vt:lpstr>KV_DD_OKTOBER_4</vt:lpstr>
      <vt:lpstr>KV_DD_OKTOBER_40</vt:lpstr>
      <vt:lpstr>KV_DD_OKTOBER_41</vt:lpstr>
      <vt:lpstr>KV_DD_OKTOBER_42</vt:lpstr>
      <vt:lpstr>KV_DD_OKTOBER_43</vt:lpstr>
      <vt:lpstr>KV_DD_OKTOBER_44</vt:lpstr>
      <vt:lpstr>KV_DD_OKTOBER_45</vt:lpstr>
      <vt:lpstr>KV_DD_OKTOBER_46</vt:lpstr>
      <vt:lpstr>KV_DD_OKTOBER_47</vt:lpstr>
      <vt:lpstr>KV_DD_OKTOBER_48</vt:lpstr>
      <vt:lpstr>KV_DD_OKTOBER_49</vt:lpstr>
      <vt:lpstr>KV_DD_OKTOBER_5</vt:lpstr>
      <vt:lpstr>KV_DD_OKTOBER_50</vt:lpstr>
      <vt:lpstr>KV_DD_OKTOBER_51</vt:lpstr>
      <vt:lpstr>KV_DD_OKTOBER_52</vt:lpstr>
      <vt:lpstr>KV_DD_OKTOBER_53</vt:lpstr>
      <vt:lpstr>KV_DD_OKTOBER_54</vt:lpstr>
      <vt:lpstr>KV_DD_OKTOBER_55</vt:lpstr>
      <vt:lpstr>KV_DD_OKTOBER_56</vt:lpstr>
      <vt:lpstr>KV_DD_OKTOBER_57</vt:lpstr>
      <vt:lpstr>KV_DD_OKTOBER_58</vt:lpstr>
      <vt:lpstr>KV_DD_OKTOBER_59</vt:lpstr>
      <vt:lpstr>KV_DD_OKTOBER_6</vt:lpstr>
      <vt:lpstr>KV_DD_OKTOBER_60</vt:lpstr>
      <vt:lpstr>KV_DD_OKTOBER_61</vt:lpstr>
      <vt:lpstr>KV_DD_OKTOBER_7</vt:lpstr>
      <vt:lpstr>KV_DD_OKTOBER_8</vt:lpstr>
      <vt:lpstr>KV_DD_OKTOBER_9</vt:lpstr>
      <vt:lpstr>KV_DD_SEPTEMBER_10</vt:lpstr>
      <vt:lpstr>KV_DD_SEPTEMBER_11</vt:lpstr>
      <vt:lpstr>KV_DD_SEPTEMBER_12</vt:lpstr>
      <vt:lpstr>KV_DD_SEPTEMBER_13</vt:lpstr>
      <vt:lpstr>KV_DD_SEPTEMBER_14</vt:lpstr>
      <vt:lpstr>KV_DD_SEPTEMBER_15</vt:lpstr>
      <vt:lpstr>KV_DD_SEPTEMBER_16</vt:lpstr>
      <vt:lpstr>KV_DD_SEPTEMBER_17</vt:lpstr>
      <vt:lpstr>KV_DD_SEPTEMBER_18</vt:lpstr>
      <vt:lpstr>KV_DD_SEPTEMBER_19</vt:lpstr>
      <vt:lpstr>KV_DD_SEPTEMBER_20</vt:lpstr>
      <vt:lpstr>KV_DD_SEPTEMBER_21</vt:lpstr>
      <vt:lpstr>KV_DD_SEPTEMBER_22</vt:lpstr>
      <vt:lpstr>KV_DD_SEPTEMBER_23</vt:lpstr>
      <vt:lpstr>KV_DD_SEPTEMBER_24</vt:lpstr>
      <vt:lpstr>KV_DD_SEPTEMBER_25</vt:lpstr>
      <vt:lpstr>KV_DD_SEPTEMBER_26</vt:lpstr>
      <vt:lpstr>KV_DD_SEPTEMBER_27</vt:lpstr>
      <vt:lpstr>KV_DD_SEPTEMBER_28</vt:lpstr>
      <vt:lpstr>KV_DD_SEPTEMBER_29</vt:lpstr>
      <vt:lpstr>KV_DD_SEPTEMBER_3</vt:lpstr>
      <vt:lpstr>KV_DD_SEPTEMBER_30</vt:lpstr>
      <vt:lpstr>KV_DD_SEPTEMBER_31</vt:lpstr>
      <vt:lpstr>KV_DD_SEPTEMBER_32</vt:lpstr>
      <vt:lpstr>KV_DD_SEPTEMBER_33</vt:lpstr>
      <vt:lpstr>KV_DD_SEPTEMBER_34</vt:lpstr>
      <vt:lpstr>KV_DD_SEPTEMBER_35</vt:lpstr>
      <vt:lpstr>KV_DD_SEPTEMBER_36</vt:lpstr>
      <vt:lpstr>KV_DD_SEPTEMBER_37</vt:lpstr>
      <vt:lpstr>KV_DD_SEPTEMBER_38</vt:lpstr>
      <vt:lpstr>KV_DD_SEPTEMBER_39</vt:lpstr>
      <vt:lpstr>KV_DD_SEPTEMBER_4</vt:lpstr>
      <vt:lpstr>KV_DD_SEPTEMBER_40</vt:lpstr>
      <vt:lpstr>KV_DD_SEPTEMBER_41</vt:lpstr>
      <vt:lpstr>KV_DD_SEPTEMBER_42</vt:lpstr>
      <vt:lpstr>KV_DD_SEPTEMBER_43</vt:lpstr>
      <vt:lpstr>KV_DD_SEPTEMBER_44</vt:lpstr>
      <vt:lpstr>KV_DD_SEPTEMBER_45</vt:lpstr>
      <vt:lpstr>KV_DD_SEPTEMBER_46</vt:lpstr>
      <vt:lpstr>KV_DD_SEPTEMBER_47</vt:lpstr>
      <vt:lpstr>KV_DD_SEPTEMBER_48</vt:lpstr>
      <vt:lpstr>KV_DD_SEPTEMBER_49</vt:lpstr>
      <vt:lpstr>KV_DD_SEPTEMBER_5</vt:lpstr>
      <vt:lpstr>KV_DD_SEPTEMBER_50</vt:lpstr>
      <vt:lpstr>KV_DD_SEPTEMBER_51</vt:lpstr>
      <vt:lpstr>KV_DD_SEPTEMBER_52</vt:lpstr>
      <vt:lpstr>KV_DD_SEPTEMBER_53</vt:lpstr>
      <vt:lpstr>KV_DD_SEPTEMBER_54</vt:lpstr>
      <vt:lpstr>KV_DD_SEPTEMBER_55</vt:lpstr>
      <vt:lpstr>KV_DD_SEPTEMBER_56</vt:lpstr>
      <vt:lpstr>KV_DD_SEPTEMBER_57</vt:lpstr>
      <vt:lpstr>KV_DD_SEPTEMBER_58</vt:lpstr>
      <vt:lpstr>KV_DD_SEPTEMBER_59</vt:lpstr>
      <vt:lpstr>KV_DD_SEPTEMBER_6</vt:lpstr>
      <vt:lpstr>KV_DD_SEPTEMBER_60</vt:lpstr>
      <vt:lpstr>KV_DD_SEPTEMBER_61</vt:lpstr>
      <vt:lpstr>KV_DD_SEPTEMBER_62</vt:lpstr>
      <vt:lpstr>KV_DD_SEPTEMBER_7</vt:lpstr>
      <vt:lpstr>KV_DD_SEPTEMBER_8</vt:lpstr>
      <vt:lpstr>KV_DD_SEPTEMBER_9</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Nagy Adam</cp:lastModifiedBy>
  <cp:revision/>
  <dcterms:created xsi:type="dcterms:W3CDTF">2024-07-06T11:11:20Z</dcterms:created>
  <dcterms:modified xsi:type="dcterms:W3CDTF">2026-05-20T12:03:35Z</dcterms:modified>
  <cp:category/>
  <cp:contentStatus/>
</cp:coreProperties>
</file>
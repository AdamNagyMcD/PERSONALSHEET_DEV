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9E4F7D09-F4EE-1A45-93F2-124A1B433D90}" xr6:coauthVersionLast="47" xr6:coauthVersionMax="47" xr10:uidLastSave="{00000000-0000-0000-0000-000000000000}"/>
  <bookViews>
    <workbookView xWindow="80" yWindow="780" windowWidth="34040" windowHeight="19900" tabRatio="677" firstSheet="1" activeTab="11"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6">KV_DROPDOWN_HELPER!$UR$1:$UR$13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6">KV_DROPDOWN_HELPER!$RP$1:$RP$13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6">KV_DROPDOWN_HELPER!$ON$1:$ON$13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6">KV_DROPDOWN_HELPER!$NJ$1:$NJ$13</definedName>
    <definedName name="KV_DD_MAI_6">KV_DROPDOWN_HELPER!$LL$1:$LL$13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12" i="36"/>
  <c r="L13" i="36"/>
  <c r="L20" i="36"/>
  <c r="L28" i="36"/>
  <c r="L29" i="36"/>
  <c r="L36" i="36"/>
  <c r="L44" i="36"/>
  <c r="L45" i="36"/>
  <c r="L52" i="36"/>
  <c r="L60" i="36"/>
  <c r="L61" i="36"/>
  <c r="L68" i="36"/>
  <c r="L76" i="36"/>
  <c r="L77" i="36"/>
  <c r="K3" i="36"/>
  <c r="L3" i="36" s="1"/>
  <c r="K4" i="36"/>
  <c r="L4" i="36" s="1"/>
  <c r="K5" i="36"/>
  <c r="L5" i="36" s="1"/>
  <c r="K6" i="36"/>
  <c r="L6" i="36" s="1"/>
  <c r="K7" i="36"/>
  <c r="L7" i="36" s="1"/>
  <c r="K8" i="36"/>
  <c r="L8" i="36" s="1"/>
  <c r="K9" i="36"/>
  <c r="L9" i="36" s="1"/>
  <c r="K10" i="36"/>
  <c r="L10" i="36" s="1"/>
  <c r="K11" i="36"/>
  <c r="L11" i="36" s="1"/>
  <c r="K12" i="36"/>
  <c r="K13" i="36"/>
  <c r="K14" i="36"/>
  <c r="L14" i="36" s="1"/>
  <c r="K15" i="36"/>
  <c r="L15" i="36" s="1"/>
  <c r="K16" i="36"/>
  <c r="L16" i="36" s="1"/>
  <c r="K17" i="36"/>
  <c r="L17" i="36" s="1"/>
  <c r="K18" i="36"/>
  <c r="L18" i="36" s="1"/>
  <c r="K19" i="36"/>
  <c r="L19" i="36" s="1"/>
  <c r="K20" i="36"/>
  <c r="K21" i="36"/>
  <c r="L21" i="36" s="1"/>
  <c r="K22" i="36"/>
  <c r="L22" i="36" s="1"/>
  <c r="K23" i="36"/>
  <c r="L23" i="36" s="1"/>
  <c r="K24" i="36"/>
  <c r="L24" i="36" s="1"/>
  <c r="K25" i="36"/>
  <c r="L25" i="36" s="1"/>
  <c r="K26" i="36"/>
  <c r="L26" i="36" s="1"/>
  <c r="K27" i="36"/>
  <c r="L27" i="36" s="1"/>
  <c r="K28" i="36"/>
  <c r="K29" i="36"/>
  <c r="K30" i="36"/>
  <c r="L30" i="36" s="1"/>
  <c r="K31" i="36"/>
  <c r="L31" i="36" s="1"/>
  <c r="K32" i="36"/>
  <c r="L32" i="36" s="1"/>
  <c r="K33" i="36"/>
  <c r="L33" i="36" s="1"/>
  <c r="K34" i="36"/>
  <c r="L34" i="36" s="1"/>
  <c r="K35" i="36"/>
  <c r="L35" i="36" s="1"/>
  <c r="K36" i="36"/>
  <c r="K37" i="36"/>
  <c r="L37" i="36" s="1"/>
  <c r="K38" i="36"/>
  <c r="L38" i="36" s="1"/>
  <c r="K39" i="36"/>
  <c r="L39" i="36" s="1"/>
  <c r="K40" i="36"/>
  <c r="L40" i="36" s="1"/>
  <c r="K41" i="36"/>
  <c r="L41" i="36" s="1"/>
  <c r="K42" i="36"/>
  <c r="L42" i="36" s="1"/>
  <c r="K43" i="36"/>
  <c r="L43" i="36" s="1"/>
  <c r="K44" i="36"/>
  <c r="K45" i="36"/>
  <c r="K46" i="36"/>
  <c r="L46" i="36" s="1"/>
  <c r="K47" i="36"/>
  <c r="L47" i="36" s="1"/>
  <c r="K48" i="36"/>
  <c r="L48" i="36" s="1"/>
  <c r="K49" i="36"/>
  <c r="L49" i="36" s="1"/>
  <c r="K50" i="36"/>
  <c r="L50" i="36" s="1"/>
  <c r="K51" i="36"/>
  <c r="L51" i="36" s="1"/>
  <c r="K52" i="36"/>
  <c r="K53" i="36"/>
  <c r="L53" i="36" s="1"/>
  <c r="K54" i="36"/>
  <c r="L54" i="36" s="1"/>
  <c r="K55" i="36"/>
  <c r="L55" i="36" s="1"/>
  <c r="K56" i="36"/>
  <c r="L56" i="36" s="1"/>
  <c r="K57" i="36"/>
  <c r="L57" i="36" s="1"/>
  <c r="K58" i="36"/>
  <c r="L58" i="36" s="1"/>
  <c r="K59" i="36"/>
  <c r="L59" i="36" s="1"/>
  <c r="K60" i="36"/>
  <c r="K61" i="36"/>
  <c r="K62" i="36"/>
  <c r="L62" i="36" s="1"/>
  <c r="K63" i="36"/>
  <c r="L63" i="36" s="1"/>
  <c r="K64" i="36"/>
  <c r="L64" i="36" s="1"/>
  <c r="K65" i="36"/>
  <c r="L65" i="36" s="1"/>
  <c r="K66" i="36"/>
  <c r="L66" i="36" s="1"/>
  <c r="K67" i="36"/>
  <c r="L67" i="36" s="1"/>
  <c r="K68" i="36"/>
  <c r="K69" i="36"/>
  <c r="L69" i="36" s="1"/>
  <c r="K70" i="36"/>
  <c r="L70" i="36" s="1"/>
  <c r="K71" i="36"/>
  <c r="L71" i="36" s="1"/>
  <c r="K72" i="36"/>
  <c r="L72" i="36" s="1"/>
  <c r="K73" i="36"/>
  <c r="L73" i="36" s="1"/>
  <c r="K74" i="36"/>
  <c r="L74" i="36" s="1"/>
  <c r="K75" i="36"/>
  <c r="L75" i="36" s="1"/>
  <c r="K76" i="36"/>
  <c r="K77" i="36"/>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4" i="33"/>
  <c r="L12" i="33"/>
  <c r="L13" i="33"/>
  <c r="L28" i="33"/>
  <c r="L29" i="33"/>
  <c r="L44" i="33"/>
  <c r="L45" i="33"/>
  <c r="L60" i="33"/>
  <c r="L61" i="33"/>
  <c r="L76" i="33"/>
  <c r="L77" i="33"/>
  <c r="K3" i="33"/>
  <c r="L3" i="33" s="1"/>
  <c r="K4" i="33"/>
  <c r="K5" i="33"/>
  <c r="L5" i="33" s="1"/>
  <c r="K6" i="33"/>
  <c r="L6" i="33" s="1"/>
  <c r="K7" i="33"/>
  <c r="L7" i="33" s="1"/>
  <c r="K8" i="33"/>
  <c r="L8" i="33" s="1"/>
  <c r="K9" i="33"/>
  <c r="L9" i="33" s="1"/>
  <c r="K10" i="33"/>
  <c r="L10" i="33" s="1"/>
  <c r="K11" i="33"/>
  <c r="L11" i="33" s="1"/>
  <c r="K12" i="33"/>
  <c r="K13" i="33"/>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K29" i="33"/>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K45" i="33"/>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K61" i="33"/>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K77" i="33"/>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12" i="32"/>
  <c r="L13" i="32"/>
  <c r="L28" i="32"/>
  <c r="L29" i="32"/>
  <c r="L44" i="32"/>
  <c r="L45" i="32"/>
  <c r="L60" i="32"/>
  <c r="L61" i="32"/>
  <c r="L76" i="32"/>
  <c r="L77" i="32"/>
  <c r="K3" i="32"/>
  <c r="L3" i="32" s="1"/>
  <c r="K4" i="32"/>
  <c r="L4" i="32" s="1"/>
  <c r="K5" i="32"/>
  <c r="L5" i="32" s="1"/>
  <c r="K6" i="32"/>
  <c r="L6" i="32" s="1"/>
  <c r="K7" i="32"/>
  <c r="L7" i="32" s="1"/>
  <c r="K8" i="32"/>
  <c r="L8" i="32" s="1"/>
  <c r="K9" i="32"/>
  <c r="L9" i="32" s="1"/>
  <c r="K10" i="32"/>
  <c r="L10" i="32" s="1"/>
  <c r="K11" i="32"/>
  <c r="L11" i="32" s="1"/>
  <c r="K12" i="32"/>
  <c r="K13" i="32"/>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K29" i="32"/>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K45" i="32"/>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K61" i="32"/>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K77" i="32"/>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2" i="31"/>
  <c r="L13" i="31"/>
  <c r="L28" i="31"/>
  <c r="L29" i="31"/>
  <c r="L44" i="31"/>
  <c r="L45" i="31"/>
  <c r="L60" i="31"/>
  <c r="L61" i="31"/>
  <c r="L76" i="31"/>
  <c r="L77" i="31"/>
  <c r="K3" i="31"/>
  <c r="L3" i="31" s="1"/>
  <c r="K4" i="31"/>
  <c r="L4" i="31" s="1"/>
  <c r="K5" i="31"/>
  <c r="L5" i="31" s="1"/>
  <c r="K6" i="31"/>
  <c r="L6" i="31" s="1"/>
  <c r="K7" i="31"/>
  <c r="L7" i="31" s="1"/>
  <c r="K8" i="31"/>
  <c r="L8" i="31" s="1"/>
  <c r="K9" i="31"/>
  <c r="L9" i="31" s="1"/>
  <c r="K10" i="31"/>
  <c r="L10" i="31" s="1"/>
  <c r="K11" i="31"/>
  <c r="L11" i="31" s="1"/>
  <c r="K12" i="31"/>
  <c r="K13" i="3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K29" i="3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K45" i="3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K61" i="3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K77" i="3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12" i="30"/>
  <c r="L13" i="30"/>
  <c r="L28" i="30"/>
  <c r="L29" i="30"/>
  <c r="L44" i="30"/>
  <c r="L45" i="30"/>
  <c r="L60" i="30"/>
  <c r="L61" i="30"/>
  <c r="L76" i="30"/>
  <c r="L77" i="30"/>
  <c r="K3" i="30"/>
  <c r="L3" i="30" s="1"/>
  <c r="K4" i="30"/>
  <c r="L4" i="30" s="1"/>
  <c r="K5" i="30"/>
  <c r="L5" i="30" s="1"/>
  <c r="K6" i="30"/>
  <c r="L6" i="30" s="1"/>
  <c r="K7" i="30"/>
  <c r="L7" i="30" s="1"/>
  <c r="K8" i="30"/>
  <c r="L8" i="30" s="1"/>
  <c r="K9" i="30"/>
  <c r="L9" i="30" s="1"/>
  <c r="K10" i="30"/>
  <c r="L10" i="30" s="1"/>
  <c r="K11" i="30"/>
  <c r="L11" i="30" s="1"/>
  <c r="K12" i="30"/>
  <c r="K13" i="30"/>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K29" i="30"/>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K45" i="30"/>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K61" i="30"/>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K77" i="30"/>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2" i="37"/>
  <c r="L13" i="37"/>
  <c r="L28" i="37"/>
  <c r="L29" i="37"/>
  <c r="L44" i="37"/>
  <c r="L45" i="37"/>
  <c r="L50" i="37"/>
  <c r="L60" i="37"/>
  <c r="L61" i="37"/>
  <c r="L66" i="37"/>
  <c r="L76" i="37"/>
  <c r="L77" i="37"/>
  <c r="K3" i="37"/>
  <c r="L3" i="37" s="1"/>
  <c r="K4" i="37"/>
  <c r="L4" i="37" s="1"/>
  <c r="K5" i="37"/>
  <c r="L5" i="37" s="1"/>
  <c r="K6" i="37"/>
  <c r="L6" i="37" s="1"/>
  <c r="K7" i="37"/>
  <c r="L7" i="37" s="1"/>
  <c r="K8" i="37"/>
  <c r="L8" i="37" s="1"/>
  <c r="K9" i="37"/>
  <c r="L9" i="37" s="1"/>
  <c r="K10" i="37"/>
  <c r="L10" i="37" s="1"/>
  <c r="K11" i="37"/>
  <c r="L11" i="37" s="1"/>
  <c r="K12" i="37"/>
  <c r="K13" i="37"/>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L25" i="37" s="1"/>
  <c r="K26" i="37"/>
  <c r="L26" i="37" s="1"/>
  <c r="K27" i="37"/>
  <c r="L27" i="37" s="1"/>
  <c r="K28" i="37"/>
  <c r="K29" i="37"/>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L41" i="37" s="1"/>
  <c r="K42" i="37"/>
  <c r="L42" i="37" s="1"/>
  <c r="K43" i="37"/>
  <c r="L43" i="37" s="1"/>
  <c r="K44" i="37"/>
  <c r="K45" i="37"/>
  <c r="K46" i="37"/>
  <c r="L46" i="37" s="1"/>
  <c r="K47" i="37"/>
  <c r="L47" i="37" s="1"/>
  <c r="K48" i="37"/>
  <c r="L48" i="37" s="1"/>
  <c r="K49" i="37"/>
  <c r="L49" i="37" s="1"/>
  <c r="K50" i="37"/>
  <c r="K51" i="37"/>
  <c r="L51" i="37" s="1"/>
  <c r="K52" i="37"/>
  <c r="L52" i="37" s="1"/>
  <c r="K53" i="37"/>
  <c r="L53" i="37" s="1"/>
  <c r="K54" i="37"/>
  <c r="L54" i="37" s="1"/>
  <c r="K55" i="37"/>
  <c r="L55" i="37" s="1"/>
  <c r="K56" i="37"/>
  <c r="L56" i="37" s="1"/>
  <c r="K57" i="37"/>
  <c r="L57" i="37" s="1"/>
  <c r="K58" i="37"/>
  <c r="L58" i="37" s="1"/>
  <c r="K59" i="37"/>
  <c r="L59" i="37" s="1"/>
  <c r="K60" i="37"/>
  <c r="K61" i="37"/>
  <c r="K62" i="37"/>
  <c r="L62" i="37" s="1"/>
  <c r="K63" i="37"/>
  <c r="L63" i="37" s="1"/>
  <c r="K64" i="37"/>
  <c r="L64" i="37" s="1"/>
  <c r="K65" i="37"/>
  <c r="L65" i="37" s="1"/>
  <c r="K66" i="37"/>
  <c r="K67" i="37"/>
  <c r="L67" i="37" s="1"/>
  <c r="K68" i="37"/>
  <c r="L68" i="37" s="1"/>
  <c r="K69" i="37"/>
  <c r="L69" i="37" s="1"/>
  <c r="K70" i="37"/>
  <c r="L70" i="37" s="1"/>
  <c r="K71" i="37"/>
  <c r="L71" i="37" s="1"/>
  <c r="K72" i="37"/>
  <c r="L72" i="37" s="1"/>
  <c r="K73" i="37"/>
  <c r="L73" i="37" s="1"/>
  <c r="K74" i="37"/>
  <c r="L74" i="37" s="1"/>
  <c r="K75" i="37"/>
  <c r="L75" i="37" s="1"/>
  <c r="K76" i="37"/>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12" i="28"/>
  <c r="L13" i="28"/>
  <c r="L18" i="28"/>
  <c r="L28" i="28"/>
  <c r="L29" i="28"/>
  <c r="L33" i="28"/>
  <c r="L34" i="28"/>
  <c r="L44" i="28"/>
  <c r="L45" i="28"/>
  <c r="L60" i="28"/>
  <c r="L61" i="28"/>
  <c r="L76" i="28"/>
  <c r="L77" i="28"/>
  <c r="L81" i="28"/>
  <c r="K3" i="28"/>
  <c r="L3" i="28" s="1"/>
  <c r="K4" i="28"/>
  <c r="L4" i="28" s="1"/>
  <c r="K5" i="28"/>
  <c r="L5" i="28" s="1"/>
  <c r="K6" i="28"/>
  <c r="L6" i="28" s="1"/>
  <c r="K7" i="28"/>
  <c r="L7" i="28" s="1"/>
  <c r="K8" i="28"/>
  <c r="L8" i="28" s="1"/>
  <c r="K9" i="28"/>
  <c r="L9" i="28" s="1"/>
  <c r="K10" i="28"/>
  <c r="L10" i="28" s="1"/>
  <c r="K11" i="28"/>
  <c r="L11" i="28" s="1"/>
  <c r="K12" i="28"/>
  <c r="K13" i="28"/>
  <c r="K14" i="28"/>
  <c r="L14" i="28" s="1"/>
  <c r="K15" i="28"/>
  <c r="L15" i="28" s="1"/>
  <c r="K16" i="28"/>
  <c r="L16" i="28" s="1"/>
  <c r="K17" i="28"/>
  <c r="L17" i="28" s="1"/>
  <c r="K18" i="28"/>
  <c r="K19" i="28"/>
  <c r="L19" i="28" s="1"/>
  <c r="K20" i="28"/>
  <c r="L20" i="28" s="1"/>
  <c r="K21" i="28"/>
  <c r="L21" i="28" s="1"/>
  <c r="K22" i="28"/>
  <c r="L22" i="28" s="1"/>
  <c r="K23" i="28"/>
  <c r="L23" i="28" s="1"/>
  <c r="K24" i="28"/>
  <c r="L24" i="28" s="1"/>
  <c r="K25" i="28"/>
  <c r="L25" i="28" s="1"/>
  <c r="K26" i="28"/>
  <c r="L26" i="28" s="1"/>
  <c r="K27" i="28"/>
  <c r="L27" i="28" s="1"/>
  <c r="K28" i="28"/>
  <c r="K29" i="28"/>
  <c r="K30" i="28"/>
  <c r="L30" i="28" s="1"/>
  <c r="K31" i="28"/>
  <c r="L31" i="28" s="1"/>
  <c r="K32" i="28"/>
  <c r="L32" i="28" s="1"/>
  <c r="K33" i="28"/>
  <c r="K34" i="28"/>
  <c r="K35" i="28"/>
  <c r="L35" i="28" s="1"/>
  <c r="K36" i="28"/>
  <c r="L36" i="28" s="1"/>
  <c r="K37" i="28"/>
  <c r="L37" i="28" s="1"/>
  <c r="K38" i="28"/>
  <c r="L38" i="28" s="1"/>
  <c r="K39" i="28"/>
  <c r="L39" i="28" s="1"/>
  <c r="K40" i="28"/>
  <c r="L40" i="28" s="1"/>
  <c r="K41" i="28"/>
  <c r="L41" i="28" s="1"/>
  <c r="K42" i="28"/>
  <c r="L42" i="28" s="1"/>
  <c r="K43" i="28"/>
  <c r="L43" i="28" s="1"/>
  <c r="K44" i="28"/>
  <c r="K45" i="28"/>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L57" i="28" s="1"/>
  <c r="K58" i="28"/>
  <c r="L58" i="28" s="1"/>
  <c r="K59" i="28"/>
  <c r="L59" i="28" s="1"/>
  <c r="K60" i="28"/>
  <c r="K61" i="28"/>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K77" i="28"/>
  <c r="K78" i="28"/>
  <c r="L78" i="28" s="1"/>
  <c r="K79" i="28"/>
  <c r="L79" i="28" s="1"/>
  <c r="K80" i="28"/>
  <c r="L80" i="28" s="1"/>
  <c r="K81" i="28"/>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6" i="27"/>
  <c r="L17" i="27"/>
  <c r="L18" i="27"/>
  <c r="L22" i="27"/>
  <c r="L25" i="27"/>
  <c r="L30" i="27"/>
  <c r="L33" i="27"/>
  <c r="L34" i="27"/>
  <c r="L35" i="27"/>
  <c r="L38" i="27"/>
  <c r="K3" i="27"/>
  <c r="L3" i="27" s="1"/>
  <c r="K4" i="27"/>
  <c r="L4" i="27" s="1"/>
  <c r="K5" i="27"/>
  <c r="L5" i="27" s="1"/>
  <c r="K6" i="27"/>
  <c r="K7" i="27"/>
  <c r="L7" i="27" s="1"/>
  <c r="K8" i="27"/>
  <c r="L8" i="27" s="1"/>
  <c r="K9" i="27"/>
  <c r="L9" i="27" s="1"/>
  <c r="K10" i="27"/>
  <c r="L10" i="27" s="1"/>
  <c r="K11" i="27"/>
  <c r="L11" i="27" s="1"/>
  <c r="K12" i="27"/>
  <c r="L12" i="27" s="1"/>
  <c r="K13" i="27"/>
  <c r="L13" i="27" s="1"/>
  <c r="K14" i="27"/>
  <c r="L14" i="27" s="1"/>
  <c r="K15" i="27"/>
  <c r="L15" i="27" s="1"/>
  <c r="K16" i="27"/>
  <c r="L16" i="27" s="1"/>
  <c r="K17" i="27"/>
  <c r="K18" i="27"/>
  <c r="K19" i="27"/>
  <c r="L19" i="27" s="1"/>
  <c r="K20" i="27"/>
  <c r="L20" i="27" s="1"/>
  <c r="K21" i="27"/>
  <c r="L21" i="27" s="1"/>
  <c r="K22" i="27"/>
  <c r="K23" i="27"/>
  <c r="L23" i="27" s="1"/>
  <c r="K24" i="27"/>
  <c r="L24" i="27" s="1"/>
  <c r="K25" i="27"/>
  <c r="K26" i="27"/>
  <c r="L26" i="27" s="1"/>
  <c r="K27" i="27"/>
  <c r="L27" i="27" s="1"/>
  <c r="K28" i="27"/>
  <c r="L28" i="27" s="1"/>
  <c r="K29" i="27"/>
  <c r="L29" i="27" s="1"/>
  <c r="K30" i="27"/>
  <c r="K31" i="27"/>
  <c r="L31" i="27" s="1"/>
  <c r="K32" i="27"/>
  <c r="L32" i="27" s="1"/>
  <c r="K33" i="27"/>
  <c r="K34" i="27"/>
  <c r="K35" i="27"/>
  <c r="K36" i="27"/>
  <c r="L36" i="27" s="1"/>
  <c r="K37" i="27"/>
  <c r="L37" i="27" s="1"/>
  <c r="K38" i="27"/>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4" i="26"/>
  <c r="L20" i="26"/>
  <c r="K3" i="26"/>
  <c r="L3" i="26" s="1"/>
  <c r="K4" i="26"/>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54"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5" a="1"/>
  <c r="S36" i="26" a="1"/>
  <c r="S36" i="27"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5" a="1"/>
  <c r="S36" i="36" a="1"/>
  <c r="S36" i="33" a="1"/>
  <c r="S36" i="31" a="1"/>
  <c r="S36" i="30" a="1"/>
  <c r="S36" i="32" a="1"/>
  <c r="S36" i="28"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<sst xmlns="http://schemas.openxmlformats.org/spreadsheetml/2006/main" count="5657" uniqueCount="381">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</sst>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10" fontId="5" fillId="4" borderId="1"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30" fillId="0" borderId="36" xfId="0" applyFont="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21"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1" fillId="0" borderId="76" xfId="0" applyFont="1" applyBorder="1" applyAlignment="1">
      <alignment horizontal="left" vertical="center" wrapText="1"/>
    </xf>
    <xf numFmtId="0" fontId="54" fillId="0" borderId="0" xfId="0" applyFont="1" applyAlignment="1">
      <alignment horizontal="center" vertical="center"/>
    </xf>
    <xf numFmtId="0" fontId="53"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5" t="s">
        <v>0</v>
      </c>
      <c r="B1" s="307" t="s">
        <v>1</v>
      </c>
      <c r="C1" s="309" t="s">
        <v>2</v>
      </c>
      <c r="D1" s="309"/>
      <c r="I1" s="18" t="s">
        <v>3</v>
      </c>
      <c r="J1" s="312"/>
      <c r="K1" s="312"/>
      <c r="L1" s="312"/>
      <c r="M1" s="312"/>
      <c r="O1" s="177" t="s">
        <v>208</v>
      </c>
      <c r="P1" s="177" t="s">
        <v>212</v>
      </c>
    </row>
    <row r="2" spans="1:18" ht="22" thickBot="1">
      <c r="A2" s="306"/>
      <c r="B2" s="308"/>
      <c r="C2" s="54" t="str">
        <f>G3-1&amp;"/"&amp;G3</f>
        <v>2025/2026</v>
      </c>
      <c r="D2" s="54" t="str">
        <f>G3 &amp; "/" &amp; G3+1</f>
        <v>2026/2027</v>
      </c>
      <c r="I2" s="14"/>
      <c r="J2" s="313" t="s">
        <v>204</v>
      </c>
      <c r="K2" s="313"/>
      <c r="L2" s="313"/>
      <c r="M2" s="313"/>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10" t="s">
        <v>202</v>
      </c>
      <c r="J17" s="311"/>
      <c r="K17" s="311"/>
      <c r="L17" s="311"/>
      <c r="M17" s="311"/>
      <c r="N17" s="124"/>
      <c r="O17" s="176" t="s">
        <v>224</v>
      </c>
      <c r="P17" s="175">
        <v>0.3</v>
      </c>
      <c r="Q17" s="13" t="s">
        <v>24</v>
      </c>
      <c r="R17" s="13"/>
    </row>
    <row r="18" spans="1:18" ht="17">
      <c r="A18" s="21" t="s">
        <v>8</v>
      </c>
      <c r="B18" s="22">
        <v>138.4</v>
      </c>
      <c r="C18" s="103">
        <v>1665.6</v>
      </c>
      <c r="D18" s="104">
        <v>1665.6</v>
      </c>
      <c r="I18" s="310"/>
      <c r="J18" s="311"/>
      <c r="K18" s="311"/>
      <c r="L18" s="311"/>
      <c r="M18" s="311"/>
      <c r="N18" s="124"/>
      <c r="O18" s="176" t="s">
        <v>225</v>
      </c>
      <c r="P18" s="175">
        <v>0.5</v>
      </c>
      <c r="Q18" s="13"/>
      <c r="R18" s="13"/>
    </row>
    <row r="19" spans="1:18" ht="17">
      <c r="A19" s="21" t="s">
        <v>8</v>
      </c>
      <c r="B19" s="22">
        <v>129.75</v>
      </c>
      <c r="C19" s="103">
        <v>1561.5</v>
      </c>
      <c r="D19" s="104">
        <v>1561.5</v>
      </c>
      <c r="I19" s="310"/>
      <c r="J19" s="311"/>
      <c r="K19" s="311"/>
      <c r="L19" s="311"/>
      <c r="M19" s="311"/>
      <c r="N19" s="124"/>
      <c r="O19" s="176" t="s">
        <v>226</v>
      </c>
      <c r="P19" s="175">
        <v>0.75</v>
      </c>
      <c r="Q19" s="13"/>
      <c r="R19" s="13"/>
    </row>
    <row r="20" spans="1:18" ht="17">
      <c r="A20" s="21" t="s">
        <v>8</v>
      </c>
      <c r="B20" s="22">
        <v>108.13</v>
      </c>
      <c r="C20" s="103">
        <v>1301.25</v>
      </c>
      <c r="D20" s="104">
        <v>1301.25</v>
      </c>
      <c r="I20" s="310"/>
      <c r="J20" s="311"/>
      <c r="K20" s="311"/>
      <c r="L20" s="311"/>
      <c r="M20" s="311"/>
      <c r="N20" s="124"/>
      <c r="O20" s="176" t="s">
        <v>227</v>
      </c>
      <c r="P20" s="175">
        <v>1</v>
      </c>
    </row>
    <row r="21" spans="1:18" ht="17">
      <c r="A21" s="21" t="s">
        <v>8</v>
      </c>
      <c r="B21" s="22">
        <v>103.8</v>
      </c>
      <c r="C21" s="103">
        <v>1249.2</v>
      </c>
      <c r="D21" s="104">
        <v>1249.2</v>
      </c>
      <c r="I21" s="310"/>
      <c r="J21" s="311"/>
      <c r="K21" s="311"/>
      <c r="L21" s="311"/>
      <c r="M21" s="311"/>
      <c r="N21" s="124"/>
      <c r="O21" s="176" t="s">
        <v>228</v>
      </c>
      <c r="P21" s="175">
        <v>1.25</v>
      </c>
    </row>
    <row r="22" spans="1:18" ht="17">
      <c r="A22" s="21" t="s">
        <v>8</v>
      </c>
      <c r="B22" s="22">
        <v>86.5</v>
      </c>
      <c r="C22" s="103">
        <v>1041.2</v>
      </c>
      <c r="D22" s="104">
        <v>1041.2</v>
      </c>
      <c r="I22" s="310"/>
      <c r="J22" s="311"/>
      <c r="K22" s="311"/>
      <c r="L22" s="311"/>
      <c r="M22" s="311"/>
      <c r="N22" s="124"/>
      <c r="O22" s="176" t="s">
        <v>229</v>
      </c>
      <c r="P22" s="175">
        <v>1.5</v>
      </c>
    </row>
    <row r="23" spans="1:18" ht="17">
      <c r="A23" s="21" t="s">
        <v>8</v>
      </c>
      <c r="B23" s="22">
        <v>69.2</v>
      </c>
      <c r="C23" s="103">
        <v>832.8</v>
      </c>
      <c r="D23" s="104">
        <v>832.8</v>
      </c>
      <c r="I23" s="310"/>
      <c r="J23" s="311"/>
      <c r="K23" s="311"/>
      <c r="L23" s="311"/>
      <c r="M23" s="311"/>
      <c r="N23" s="124"/>
      <c r="O23" s="176" t="s">
        <v>230</v>
      </c>
      <c r="P23" s="175">
        <v>2</v>
      </c>
    </row>
    <row r="24" spans="1:18">
      <c r="A24" s="21" t="s">
        <v>8</v>
      </c>
      <c r="B24" s="22">
        <v>51.9</v>
      </c>
      <c r="C24" s="103">
        <v>624.6</v>
      </c>
      <c r="D24" s="104">
        <v>624.6</v>
      </c>
      <c r="I24" s="310"/>
      <c r="J24" s="311"/>
      <c r="K24" s="311"/>
      <c r="L24" s="311"/>
      <c r="M24" s="311"/>
      <c r="N24" s="124"/>
      <c r="O24" s="124"/>
    </row>
    <row r="25" spans="1:18">
      <c r="A25" s="21" t="s">
        <v>8</v>
      </c>
      <c r="B25" s="22">
        <v>47.58</v>
      </c>
      <c r="C25" s="103">
        <v>575.54999999999995</v>
      </c>
      <c r="D25" s="104">
        <v>575.54999999999995</v>
      </c>
      <c r="I25" s="310"/>
      <c r="J25" s="311"/>
      <c r="K25" s="311"/>
      <c r="L25" s="311"/>
      <c r="M25" s="31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H322" sqref="H322"/>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8" t="s">
        <v>320</v>
      </c>
      <c r="B1" s="319"/>
      <c r="C1" s="319"/>
      <c r="D1" s="319"/>
      <c r="E1" s="319"/>
      <c r="F1" s="319"/>
      <c r="G1" s="319"/>
      <c r="H1" s="319"/>
      <c r="I1" s="319"/>
      <c r="J1" s="319"/>
    </row>
    <row r="2" spans="1:10" ht="36" customHeight="1">
      <c r="A2" s="320" t="s">
        <v>336</v>
      </c>
      <c r="B2" s="320"/>
      <c r="C2" s="320"/>
      <c r="D2" s="320"/>
      <c r="E2" s="320"/>
      <c r="F2" s="320"/>
      <c r="G2" s="320"/>
      <c r="H2" s="320"/>
      <c r="I2" s="320"/>
      <c r="J2" s="320"/>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4" t="s">
        <v>341</v>
      </c>
      <c r="B4" s="315"/>
      <c r="C4" s="315"/>
      <c r="D4" s="314"/>
      <c r="E4" s="314"/>
      <c r="F4" s="314"/>
      <c r="G4" s="316"/>
      <c r="H4" s="317"/>
      <c r="I4" s="314"/>
      <c r="J4" s="314"/>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4" t="s">
        <v>344</v>
      </c>
      <c r="B162" s="315"/>
      <c r="C162" s="315"/>
      <c r="D162" s="314"/>
      <c r="E162" s="314"/>
      <c r="F162" s="314"/>
      <c r="G162" s="316"/>
      <c r="H162" s="317"/>
      <c r="I162" s="314"/>
      <c r="J162" s="314"/>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4" t="s">
        <v>345</v>
      </c>
      <c r="B319" s="315"/>
      <c r="C319" s="315"/>
      <c r="D319" s="314"/>
      <c r="E319" s="314"/>
      <c r="F319" s="314"/>
      <c r="G319" s="316"/>
      <c r="H319" s="317"/>
      <c r="I319" s="314"/>
      <c r="J319" s="314"/>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4" t="s">
        <v>346</v>
      </c>
      <c r="B476" s="315"/>
      <c r="C476" s="315"/>
      <c r="D476" s="314"/>
      <c r="E476" s="314"/>
      <c r="F476" s="314"/>
      <c r="G476" s="316"/>
      <c r="H476" s="317"/>
      <c r="I476" s="314"/>
      <c r="J476" s="314"/>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1" t="s">
        <v>25</v>
      </c>
      <c r="C1" s="321"/>
      <c r="D1" s="321"/>
      <c r="E1" s="321"/>
      <c r="F1" s="321"/>
      <c r="G1" s="321"/>
      <c r="H1" s="321"/>
      <c r="I1" s="321"/>
      <c r="J1" s="321"/>
      <c r="K1" s="321"/>
      <c r="L1" s="321"/>
      <c r="M1" s="321"/>
      <c r="N1" s="321"/>
      <c r="O1" s="321"/>
    </row>
    <row r="2" spans="2:15" ht="17.25" customHeight="1">
      <c r="B2" s="321"/>
      <c r="C2" s="321"/>
      <c r="D2" s="321"/>
      <c r="E2" s="321"/>
      <c r="F2" s="321"/>
      <c r="G2" s="321"/>
      <c r="H2" s="321"/>
      <c r="I2" s="321"/>
      <c r="J2" s="321"/>
      <c r="K2" s="321"/>
      <c r="L2" s="321"/>
      <c r="M2" s="321"/>
      <c r="N2" s="321"/>
      <c r="O2" s="321"/>
    </row>
    <row r="3" spans="2:15" ht="18" customHeight="1">
      <c r="B3" s="326" t="s">
        <v>26</v>
      </c>
      <c r="C3" s="326"/>
      <c r="D3" s="326"/>
      <c r="E3" s="326"/>
      <c r="F3" s="326"/>
      <c r="H3" s="323" t="s">
        <v>27</v>
      </c>
      <c r="I3" s="323"/>
      <c r="K3" s="325" t="s">
        <v>28</v>
      </c>
      <c r="L3" s="325"/>
      <c r="N3" s="323" t="s">
        <v>29</v>
      </c>
      <c r="O3" s="323"/>
    </row>
    <row r="4" spans="2:15" ht="15" customHeight="1">
      <c r="B4" s="326"/>
      <c r="C4" s="326"/>
      <c r="D4" s="326"/>
      <c r="E4" s="326"/>
      <c r="F4" s="326"/>
      <c r="H4" s="323"/>
      <c r="I4" s="323"/>
      <c r="K4" s="325"/>
      <c r="L4" s="325"/>
      <c r="N4" s="323"/>
      <c r="O4" s="323"/>
    </row>
    <row r="5" spans="2:15">
      <c r="B5" s="56"/>
      <c r="C5" s="56" t="s">
        <v>30</v>
      </c>
      <c r="D5" s="56" t="s">
        <v>31</v>
      </c>
      <c r="E5" s="56" t="s">
        <v>32</v>
      </c>
      <c r="F5" s="56" t="s">
        <v>33</v>
      </c>
      <c r="H5" s="324" t="s">
        <v>34</v>
      </c>
      <c r="I5" s="324"/>
      <c r="K5" s="324" t="s">
        <v>34</v>
      </c>
      <c r="L5" s="324"/>
      <c r="N5" s="324" t="s">
        <v>35</v>
      </c>
      <c r="O5" s="324"/>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2" t="s">
        <v>49</v>
      </c>
      <c r="C19" s="322"/>
      <c r="D19" s="322"/>
      <c r="E19" s="322"/>
      <c r="F19" s="322"/>
      <c r="H19" s="323" t="s">
        <v>50</v>
      </c>
      <c r="I19" s="323"/>
      <c r="K19" s="325" t="s">
        <v>51</v>
      </c>
      <c r="L19" s="325"/>
      <c r="N19" s="327" t="s">
        <v>203</v>
      </c>
      <c r="O19" s="327"/>
      <c r="P19" s="327"/>
      <c r="Q19" s="327"/>
      <c r="R19" s="327"/>
      <c r="S19" s="327"/>
      <c r="T19" s="327"/>
      <c r="U19" s="327"/>
    </row>
    <row r="20" spans="2:21">
      <c r="B20" s="322"/>
      <c r="C20" s="322"/>
      <c r="D20" s="322"/>
      <c r="E20" s="322"/>
      <c r="F20" s="322"/>
      <c r="H20" s="323"/>
      <c r="I20" s="323"/>
      <c r="K20" s="325"/>
      <c r="L20" s="325"/>
      <c r="N20" s="327"/>
      <c r="O20" s="327"/>
      <c r="P20" s="327"/>
      <c r="Q20" s="327"/>
      <c r="R20" s="327"/>
      <c r="S20" s="327"/>
      <c r="T20" s="327"/>
      <c r="U20" s="327"/>
    </row>
    <row r="21" spans="2:21">
      <c r="B21" s="56"/>
      <c r="C21" s="56" t="s">
        <v>30</v>
      </c>
      <c r="D21" s="56" t="s">
        <v>31</v>
      </c>
      <c r="E21" s="56" t="s">
        <v>32</v>
      </c>
      <c r="F21" s="56" t="s">
        <v>33</v>
      </c>
      <c r="H21" s="324" t="s">
        <v>34</v>
      </c>
      <c r="I21" s="324"/>
      <c r="K21" s="324" t="s">
        <v>34</v>
      </c>
      <c r="L21" s="324"/>
      <c r="N21" s="327"/>
      <c r="O21" s="327"/>
      <c r="P21" s="327"/>
      <c r="Q21" s="327"/>
      <c r="R21" s="327"/>
      <c r="S21" s="327"/>
      <c r="T21" s="327"/>
      <c r="U21" s="327"/>
    </row>
    <row r="22" spans="2:21">
      <c r="B22" s="57" t="s">
        <v>36</v>
      </c>
      <c r="C22" s="3">
        <v>1</v>
      </c>
      <c r="D22" s="87">
        <f>UBERSICHT!G7</f>
        <v>0</v>
      </c>
      <c r="E22" s="58">
        <f>Januar!$S$37</f>
        <v>0</v>
      </c>
      <c r="F22" s="50">
        <v>1</v>
      </c>
      <c r="H22" s="59" t="s">
        <v>36</v>
      </c>
      <c r="I22" s="51">
        <v>1</v>
      </c>
      <c r="K22" s="59" t="s">
        <v>36</v>
      </c>
      <c r="L22" s="51">
        <v>1</v>
      </c>
      <c r="N22" s="327"/>
      <c r="O22" s="327"/>
      <c r="P22" s="327"/>
      <c r="Q22" s="327"/>
      <c r="R22" s="327"/>
      <c r="S22" s="327"/>
      <c r="T22" s="327"/>
      <c r="U22" s="327"/>
    </row>
    <row r="23" spans="2:21">
      <c r="B23" s="57" t="s">
        <v>37</v>
      </c>
      <c r="C23" s="3">
        <v>2</v>
      </c>
      <c r="D23" s="87">
        <f>UBERSICHT!G8</f>
        <v>94403</v>
      </c>
      <c r="E23" s="58">
        <f>Februar!$S$37</f>
        <v>47201.5</v>
      </c>
      <c r="F23" s="50">
        <v>2</v>
      </c>
      <c r="H23" s="59" t="s">
        <v>38</v>
      </c>
      <c r="I23" s="51">
        <v>2</v>
      </c>
      <c r="K23" s="59" t="s">
        <v>38</v>
      </c>
      <c r="L23" s="51">
        <v>2</v>
      </c>
      <c r="N23" s="327"/>
      <c r="O23" s="327"/>
      <c r="P23" s="327"/>
      <c r="Q23" s="327"/>
      <c r="R23" s="327"/>
      <c r="S23" s="327"/>
      <c r="T23" s="327"/>
      <c r="U23" s="327"/>
    </row>
    <row r="24" spans="2:21">
      <c r="B24" s="57" t="s">
        <v>39</v>
      </c>
      <c r="C24" s="3">
        <v>3</v>
      </c>
      <c r="D24" s="87">
        <f>UBERSICHT!G9</f>
        <v>96164.2258</v>
      </c>
      <c r="E24" s="58">
        <f>Marz!$S$37</f>
        <v>32054.741933333335</v>
      </c>
      <c r="F24" s="50">
        <v>3</v>
      </c>
      <c r="H24" s="59" t="s">
        <v>39</v>
      </c>
      <c r="I24" s="51">
        <v>3</v>
      </c>
      <c r="K24" s="59" t="s">
        <v>39</v>
      </c>
      <c r="L24" s="51">
        <v>3</v>
      </c>
      <c r="N24" s="327"/>
      <c r="O24" s="327"/>
      <c r="P24" s="327"/>
      <c r="Q24" s="327"/>
      <c r="R24" s="327"/>
      <c r="S24" s="327"/>
      <c r="T24" s="327"/>
      <c r="U24" s="327"/>
    </row>
    <row r="25" spans="2:21">
      <c r="B25" s="57" t="s">
        <v>40</v>
      </c>
      <c r="C25" s="3">
        <v>4</v>
      </c>
      <c r="D25" s="87">
        <f>UBERSICHT!G11</f>
        <v>96830.2</v>
      </c>
      <c r="E25" s="58">
        <f>April!$S$37</f>
        <v>24207.55</v>
      </c>
      <c r="F25" s="50">
        <v>4</v>
      </c>
      <c r="H25" s="59" t="s">
        <v>40</v>
      </c>
      <c r="I25" s="51">
        <v>4</v>
      </c>
      <c r="K25" s="59" t="s">
        <v>40</v>
      </c>
      <c r="L25" s="51">
        <v>4</v>
      </c>
      <c r="N25" s="327"/>
      <c r="O25" s="327"/>
      <c r="P25" s="327"/>
      <c r="Q25" s="327"/>
      <c r="R25" s="327"/>
      <c r="S25" s="327"/>
      <c r="T25" s="327"/>
      <c r="U25" s="327"/>
    </row>
    <row r="26" spans="2:21">
      <c r="B26" s="57" t="s">
        <v>41</v>
      </c>
      <c r="C26" s="3">
        <v>5</v>
      </c>
      <c r="D26" s="87">
        <f>UBERSICHT!G12</f>
        <v>133565.88709999999</v>
      </c>
      <c r="E26" s="58">
        <f>Mai!$S$37</f>
        <v>26713.17742</v>
      </c>
      <c r="F26" s="50">
        <v>5</v>
      </c>
      <c r="H26" s="59" t="s">
        <v>41</v>
      </c>
      <c r="I26" s="51">
        <v>5</v>
      </c>
      <c r="K26" s="59" t="s">
        <v>41</v>
      </c>
      <c r="L26" s="51">
        <v>5</v>
      </c>
      <c r="M26" s="77"/>
      <c r="N26" s="327"/>
      <c r="O26" s="327"/>
      <c r="P26" s="327"/>
      <c r="Q26" s="327"/>
      <c r="R26" s="327"/>
      <c r="S26" s="327"/>
      <c r="T26" s="327"/>
      <c r="U26" s="327"/>
    </row>
    <row r="27" spans="2:21">
      <c r="B27" s="57" t="s">
        <v>42</v>
      </c>
      <c r="C27" s="3">
        <v>6</v>
      </c>
      <c r="D27" s="87">
        <f>UBERSICHT!G13</f>
        <v>134018.5</v>
      </c>
      <c r="E27" s="58">
        <f>Juni!$S$37</f>
        <v>22336.416666666668</v>
      </c>
      <c r="F27" s="50">
        <v>6</v>
      </c>
      <c r="H27" s="59" t="s">
        <v>42</v>
      </c>
      <c r="I27" s="51">
        <v>6</v>
      </c>
      <c r="K27" s="59" t="s">
        <v>42</v>
      </c>
      <c r="L27" s="51">
        <v>6</v>
      </c>
      <c r="M27" s="77"/>
      <c r="N27" s="327"/>
      <c r="O27" s="327"/>
      <c r="P27" s="327"/>
      <c r="Q27" s="327"/>
      <c r="R27" s="327"/>
      <c r="S27" s="327"/>
      <c r="T27" s="327"/>
      <c r="U27" s="327"/>
    </row>
    <row r="28" spans="2:21">
      <c r="B28" s="57" t="s">
        <v>43</v>
      </c>
      <c r="C28" s="3">
        <v>7</v>
      </c>
      <c r="D28" s="87">
        <f>UBERSICHT!G15</f>
        <v>127763.6</v>
      </c>
      <c r="E28" s="58">
        <f>Juli!$S$37</f>
        <v>18251.942857142858</v>
      </c>
      <c r="F28" s="50">
        <v>7</v>
      </c>
      <c r="H28" s="59" t="s">
        <v>43</v>
      </c>
      <c r="I28" s="51">
        <v>7</v>
      </c>
      <c r="K28" s="59" t="s">
        <v>43</v>
      </c>
      <c r="L28" s="51">
        <v>7</v>
      </c>
      <c r="M28" s="77"/>
      <c r="N28" s="327"/>
      <c r="O28" s="327"/>
      <c r="P28" s="327"/>
      <c r="Q28" s="327"/>
      <c r="R28" s="327"/>
      <c r="S28" s="327"/>
      <c r="T28" s="327"/>
      <c r="U28" s="327"/>
    </row>
    <row r="29" spans="2:21">
      <c r="B29" s="57" t="s">
        <v>44</v>
      </c>
      <c r="C29" s="3">
        <v>8</v>
      </c>
      <c r="D29" s="87">
        <f>UBERSICHT!G16</f>
        <v>126889.38159999999</v>
      </c>
      <c r="E29" s="58">
        <f>August!$S$37</f>
        <v>15861.172699999999</v>
      </c>
      <c r="F29" s="50">
        <v>8</v>
      </c>
      <c r="H29" s="59" t="s">
        <v>44</v>
      </c>
      <c r="I29" s="51">
        <v>8</v>
      </c>
      <c r="K29" s="59" t="s">
        <v>44</v>
      </c>
      <c r="L29" s="51">
        <v>8</v>
      </c>
      <c r="M29" s="77"/>
      <c r="N29" s="327"/>
      <c r="O29" s="327"/>
      <c r="P29" s="327"/>
      <c r="Q29" s="327"/>
      <c r="R29" s="327"/>
      <c r="S29" s="327"/>
      <c r="T29" s="327"/>
      <c r="U29" s="327"/>
    </row>
    <row r="30" spans="2:21">
      <c r="B30" s="57" t="s">
        <v>45</v>
      </c>
      <c r="C30" s="3">
        <v>9</v>
      </c>
      <c r="D30" s="87">
        <f>UBERSICHT!G17</f>
        <v>126401.43</v>
      </c>
      <c r="E30" s="58">
        <f>September!$S$37</f>
        <v>14044.603333333333</v>
      </c>
      <c r="F30" s="50">
        <v>9</v>
      </c>
      <c r="H30" s="59" t="s">
        <v>45</v>
      </c>
      <c r="I30" s="51">
        <v>9</v>
      </c>
      <c r="K30" s="59" t="s">
        <v>45</v>
      </c>
      <c r="L30" s="51">
        <v>9</v>
      </c>
      <c r="N30" s="327"/>
      <c r="O30" s="327"/>
      <c r="P30" s="327"/>
      <c r="Q30" s="327"/>
      <c r="R30" s="327"/>
      <c r="S30" s="327"/>
      <c r="T30" s="327"/>
      <c r="U30" s="327"/>
    </row>
    <row r="31" spans="2:21">
      <c r="B31" s="57" t="s">
        <v>46</v>
      </c>
      <c r="C31" s="3">
        <v>10</v>
      </c>
      <c r="D31" s="87">
        <f>UBERSICHT!G19</f>
        <v>126402.43</v>
      </c>
      <c r="E31" s="58">
        <f>Oktober!$S$37</f>
        <v>12640.242999999999</v>
      </c>
      <c r="F31" s="50">
        <v>10</v>
      </c>
      <c r="H31" s="59" t="s">
        <v>46</v>
      </c>
      <c r="I31" s="51">
        <v>10</v>
      </c>
      <c r="K31" s="59" t="s">
        <v>46</v>
      </c>
      <c r="L31" s="51">
        <v>10</v>
      </c>
      <c r="N31" s="327"/>
      <c r="O31" s="327"/>
      <c r="P31" s="327"/>
      <c r="Q31" s="327"/>
      <c r="R31" s="327"/>
      <c r="S31" s="327"/>
      <c r="T31" s="327"/>
      <c r="U31" s="327"/>
    </row>
    <row r="32" spans="2:21">
      <c r="B32" s="57" t="s">
        <v>47</v>
      </c>
      <c r="C32" s="3">
        <v>11</v>
      </c>
      <c r="D32" s="87">
        <f>UBERSICHT!G20</f>
        <v>126403.43</v>
      </c>
      <c r="E32" s="58">
        <f>November!$S$37</f>
        <v>11491.220909090909</v>
      </c>
      <c r="F32" s="50">
        <v>11</v>
      </c>
      <c r="H32" s="59" t="s">
        <v>47</v>
      </c>
      <c r="I32" s="51">
        <v>11</v>
      </c>
      <c r="K32" s="59" t="s">
        <v>47</v>
      </c>
      <c r="L32" s="51">
        <v>11</v>
      </c>
      <c r="N32" s="327"/>
      <c r="O32" s="327"/>
      <c r="P32" s="327"/>
      <c r="Q32" s="327"/>
      <c r="R32" s="327"/>
      <c r="S32" s="327"/>
      <c r="T32" s="327"/>
      <c r="U32" s="327"/>
    </row>
    <row r="33" spans="2:21">
      <c r="B33" s="57" t="s">
        <v>48</v>
      </c>
      <c r="C33" s="3">
        <v>12</v>
      </c>
      <c r="D33" s="87">
        <f>UBERSICHT!G21</f>
        <v>126404.43</v>
      </c>
      <c r="E33" s="58">
        <f>Dezember!$S$37</f>
        <v>10533.702499999999</v>
      </c>
      <c r="F33" s="50">
        <v>12</v>
      </c>
      <c r="H33" s="59" t="s">
        <v>48</v>
      </c>
      <c r="I33" s="51">
        <v>12</v>
      </c>
      <c r="K33" s="59" t="s">
        <v>48</v>
      </c>
      <c r="L33" s="51">
        <v>12</v>
      </c>
      <c r="N33" s="327"/>
      <c r="O33" s="327"/>
      <c r="P33" s="327"/>
      <c r="Q33" s="327"/>
      <c r="R33" s="327"/>
      <c r="S33" s="327"/>
      <c r="T33" s="327"/>
      <c r="U33" s="327"/>
    </row>
    <row r="34" spans="2:21">
      <c r="N34" s="327"/>
      <c r="O34" s="327"/>
      <c r="P34" s="327"/>
      <c r="Q34" s="327"/>
      <c r="R34" s="327"/>
      <c r="S34" s="327"/>
      <c r="T34" s="327"/>
      <c r="U34" s="327"/>
    </row>
    <row r="35" spans="2:21" ht="14.5" customHeight="1">
      <c r="B35" s="313" t="s">
        <v>204</v>
      </c>
      <c r="C35" s="313"/>
      <c r="D35" s="313"/>
      <c r="E35" s="126"/>
      <c r="N35" s="327"/>
      <c r="O35" s="327"/>
      <c r="P35" s="327"/>
      <c r="Q35" s="327"/>
      <c r="R35" s="327"/>
      <c r="S35" s="327"/>
      <c r="T35" s="327"/>
      <c r="U35" s="327"/>
    </row>
    <row r="36" spans="2:21">
      <c r="B36" s="313"/>
      <c r="C36" s="313"/>
      <c r="D36" s="313"/>
      <c r="N36" s="327"/>
      <c r="O36" s="327"/>
      <c r="P36" s="327"/>
      <c r="Q36" s="327"/>
      <c r="R36" s="327"/>
      <c r="S36" s="327"/>
      <c r="T36" s="327"/>
      <c r="U36" s="327"/>
    </row>
    <row r="37" spans="2:21">
      <c r="N37" s="327"/>
      <c r="O37" s="327"/>
      <c r="P37" s="327"/>
      <c r="Q37" s="327"/>
      <c r="R37" s="327"/>
      <c r="S37" s="327"/>
      <c r="T37" s="327"/>
      <c r="U37" s="327"/>
    </row>
    <row r="38" spans="2:21">
      <c r="N38" s="327"/>
      <c r="O38" s="327"/>
      <c r="P38" s="327"/>
      <c r="Q38" s="327"/>
      <c r="R38" s="327"/>
      <c r="S38" s="327"/>
      <c r="T38" s="327"/>
      <c r="U38" s="327"/>
    </row>
    <row r="39" spans="2:21">
      <c r="N39" s="327"/>
      <c r="O39" s="327"/>
      <c r="P39" s="327"/>
      <c r="Q39" s="327"/>
      <c r="R39" s="327"/>
      <c r="S39" s="327"/>
      <c r="T39" s="327"/>
      <c r="U39" s="327"/>
    </row>
    <row r="40" spans="2:21">
      <c r="N40" s="327"/>
      <c r="O40" s="327"/>
      <c r="P40" s="327"/>
      <c r="Q40" s="327"/>
      <c r="R40" s="327"/>
      <c r="S40" s="327"/>
      <c r="T40" s="327"/>
      <c r="U40" s="327"/>
    </row>
    <row r="41" spans="2:21">
      <c r="N41" s="327"/>
      <c r="O41" s="327"/>
      <c r="P41" s="327"/>
      <c r="Q41" s="327"/>
      <c r="R41" s="327"/>
      <c r="S41" s="327"/>
      <c r="T41" s="327"/>
      <c r="U41" s="327"/>
    </row>
    <row r="42" spans="2:21">
      <c r="N42" s="327"/>
      <c r="O42" s="327"/>
      <c r="P42" s="327"/>
      <c r="Q42" s="327"/>
      <c r="R42" s="327"/>
      <c r="S42" s="327"/>
      <c r="T42" s="327"/>
      <c r="U42" s="327"/>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46023</v>
      </c>
    </row>
    <row r="2" spans="1:28" ht="16" customHeight="1" thickBot="1">
      <c r="A2" s="129"/>
      <c r="B2" s="288"/>
      <c r="C2" s="293"/>
      <c r="D2" s="295"/>
      <c r="E2" s="295"/>
      <c r="F2" s="295"/>
      <c r="G2" s="297"/>
      <c r="H2" s="291"/>
      <c r="I2" s="275"/>
      <c r="J2" s="277"/>
      <c r="K2" s="279"/>
      <c r="L2" s="281"/>
      <c r="M2" s="283"/>
      <c r="N2" s="289"/>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7494.8</v>
      </c>
      <c r="R8" s="269"/>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EINSTELLUNG!L22</f>
        <v>1</v>
      </c>
      <c r="R9" s="269"/>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EINSTELLUNG!I22</f>
        <v>1</v>
      </c>
      <c r="R10" s="269"/>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v>
      </c>
      <c r="R11" s="269"/>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c r="R12" s="337"/>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7" t="s">
        <v>80</v>
      </c>
      <c r="P13" s="268"/>
      <c r="Q13" s="269">
        <f>Q8-Q9-Q10-Q11-Q12</f>
        <v>7491.8</v>
      </c>
      <c r="R13" s="269"/>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7" t="s">
        <v>82</v>
      </c>
      <c r="P14" s="268"/>
      <c r="Q14" s="269">
        <f>EINSTELLUNG!L6</f>
        <v>1</v>
      </c>
      <c r="R14" s="269"/>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7" t="s">
        <v>84</v>
      </c>
      <c r="P15" s="268"/>
      <c r="Q15" s="269">
        <f>Q13-Q14</f>
        <v>7490.8</v>
      </c>
      <c r="R15" s="269"/>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90106.82881720431</v>
      </c>
      <c r="R17" s="273"/>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39"/>
      <c r="P18" s="240"/>
      <c r="Q18" s="248"/>
      <c r="R18" s="24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39"/>
      <c r="P19" s="240"/>
      <c r="Q19" s="248"/>
      <c r="R19" s="24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9"/>
      <c r="P20" s="240"/>
      <c r="Q20" s="248"/>
      <c r="R20" s="24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39" t="s">
        <v>370</v>
      </c>
      <c r="P21" s="240"/>
      <c r="Q21" s="248">
        <v>5000</v>
      </c>
      <c r="R21" s="24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39"/>
      <c r="P22" s="240"/>
      <c r="Q22" s="248"/>
      <c r="R22" s="24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9"/>
      <c r="P23" s="240"/>
      <c r="Q23" s="248"/>
      <c r="R23" s="24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39"/>
      <c r="P24" s="240"/>
      <c r="Q24" s="248"/>
      <c r="R24" s="24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0"/>
      <c r="P25" s="341"/>
      <c r="Q25" s="261"/>
      <c r="R25" s="261"/>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39"/>
      <c r="P27" s="240"/>
      <c r="Q27" s="248"/>
      <c r="R27" s="266"/>
      <c r="S27" s="230" t="s">
        <v>99</v>
      </c>
      <c r="T27" s="231"/>
      <c r="U27" s="231"/>
      <c r="V27" s="231"/>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EINSTELLUNG!O6</f>
        <v>1</v>
      </c>
      <c r="R29" s="246"/>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1.9607843137254902E-2</v>
      </c>
      <c r="R31" s="25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329" t="s">
        <v>108</v>
      </c>
      <c r="R33" s="330"/>
      <c r="S33" s="333" t="s">
        <v>109</v>
      </c>
      <c r="T33" s="334"/>
      <c r="U33" s="333" t="s">
        <v>110</v>
      </c>
      <c r="V33" s="334"/>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331"/>
      <c r="R34" s="332"/>
      <c r="S34" s="335"/>
      <c r="T34" s="336"/>
      <c r="U34" s="335"/>
      <c r="V34" s="336"/>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2" t="s">
        <v>113</v>
      </c>
      <c r="P35" s="233"/>
      <c r="Q35" s="223">
        <f>EINSTELLUNG!C6</f>
        <v>1</v>
      </c>
      <c r="R35" s="223"/>
      <c r="S35" s="223">
        <f>EINSTELLUNG!C22</f>
        <v>1</v>
      </c>
      <c r="T35" s="223"/>
      <c r="U35" s="224">
        <f>S35-Q35</f>
        <v>0</v>
      </c>
      <c r="V35" s="224"/>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EINSTELLUNG!D6</f>
        <v>1</v>
      </c>
      <c r="R36" s="223"/>
      <c r="S36" s="223" cm="1">
        <f t="array" ref="S36">SumMergedCells(Q17:R29)</f>
        <v>0</v>
      </c>
      <c r="T36" s="223"/>
      <c r="U36" s="224">
        <f t="shared" ref="U36:U41" si="2">S36-Q36</f>
        <v>-1</v>
      </c>
      <c r="V36" s="224"/>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0</v>
      </c>
      <c r="T37" s="234"/>
      <c r="U37" s="237">
        <f t="shared" si="2"/>
        <v>-1</v>
      </c>
      <c r="V37" s="237"/>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EINSTELLUNG!F6</f>
        <v>1</v>
      </c>
      <c r="R38" s="225"/>
      <c r="S38" s="225">
        <f>EINSTELLUNG!F22</f>
        <v>1</v>
      </c>
      <c r="T38" s="225"/>
      <c r="U38" s="226">
        <f t="shared" si="2"/>
        <v>0</v>
      </c>
      <c r="V38" s="22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1.3347927066926506E-4</v>
      </c>
      <c r="R40" s="223"/>
      <c r="S40" s="223">
        <f>IF(Q13=0, 0, S35/Q13)</f>
        <v>1.3347927066926506E-4</v>
      </c>
      <c r="T40" s="223"/>
      <c r="U40" s="224">
        <f t="shared" si="2"/>
        <v>0</v>
      </c>
      <c r="V40" s="224"/>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1.3347927066926506E-4</v>
      </c>
      <c r="R41" s="225"/>
      <c r="S41" s="225">
        <f>IF(Q13=0, 0, S38/Q13)</f>
        <v>1.3347927066926506E-4</v>
      </c>
      <c r="T41" s="225"/>
      <c r="U41" s="226">
        <f t="shared" si="2"/>
        <v>0</v>
      </c>
      <c r="V41" s="22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12.022579497412114</v>
      </c>
      <c r="R42" s="228"/>
      <c r="S42" s="228"/>
      <c r="T42" s="228"/>
      <c r="U42" s="228"/>
      <c r="V42" s="229"/>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42"/>
      <c r="L114" s="342"/>
      <c r="M114" s="342"/>
      <c r="N114" s="127"/>
    </row>
    <row r="115" spans="11:14" ht="16" customHeight="1">
      <c r="K115" s="342"/>
      <c r="L115" s="342"/>
      <c r="M115" s="342"/>
      <c r="N115" s="127"/>
    </row>
    <row r="116" spans="11:14" ht="16" customHeight="1">
      <c r="K116" s="338"/>
      <c r="L116" s="338"/>
      <c r="M116" s="78"/>
      <c r="N116" s="78"/>
    </row>
    <row r="117" spans="11:14" ht="16" customHeight="1">
      <c r="K117" s="338"/>
      <c r="L117" s="338"/>
      <c r="M117" s="78"/>
      <c r="N117" s="78"/>
    </row>
    <row r="118" spans="11:14" ht="16" customHeight="1">
      <c r="K118" s="343"/>
      <c r="L118" s="343"/>
      <c r="M118" s="79"/>
      <c r="N118" s="79"/>
    </row>
    <row r="119" spans="11:14" ht="16" customHeight="1">
      <c r="K119" s="339"/>
      <c r="L119" s="339"/>
      <c r="M119" s="80"/>
      <c r="N119" s="80"/>
    </row>
    <row r="120" spans="11:14" ht="16" customHeight="1">
      <c r="K120" s="338"/>
      <c r="L120" s="338"/>
      <c r="M120" s="78"/>
      <c r="N120" s="78"/>
    </row>
    <row r="121" spans="11:14" ht="16" customHeight="1">
      <c r="K121" s="338"/>
      <c r="L121" s="338"/>
      <c r="M121" s="78"/>
      <c r="N121" s="78"/>
    </row>
    <row r="122" spans="11:14" ht="16" customHeight="1">
      <c r="K122" s="339"/>
      <c r="L122" s="339"/>
      <c r="M122" s="80"/>
      <c r="N122" s="80"/>
    </row>
    <row r="123" spans="11:14" ht="16" customHeight="1">
      <c r="K123" s="81"/>
      <c r="L123" s="81"/>
      <c r="M123" s="81"/>
      <c r="N123" s="81"/>
    </row>
  </sheetData>
  <sheetProtection algorithmName="SHA-512" hashValue="Mi4cMe5xJqSr0X8tdCW7gLrh+VJ7bqVNdlFIM50olf22YPK2HXNrHME/kH33ld2yCoZr3VITh5pSIZeu7f9icg==" saltValue="4TGY5uDOgRFbcZeC03Ce4A=="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46054</v>
      </c>
    </row>
    <row r="2" spans="1:28" ht="16" customHeight="1" thickBot="1">
      <c r="A2" s="129"/>
      <c r="B2" s="288"/>
      <c r="C2" s="293"/>
      <c r="D2" s="295"/>
      <c r="E2" s="295"/>
      <c r="F2" s="295"/>
      <c r="G2" s="297"/>
      <c r="H2" s="291"/>
      <c r="I2" s="275"/>
      <c r="J2" s="277"/>
      <c r="K2" s="279"/>
      <c r="L2" s="281"/>
      <c r="M2" s="283"/>
      <c r="N2" s="289"/>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717.87562795652207</v>
      </c>
      <c r="P5" s="49">
        <f>EINSTELLUNG!I7</f>
        <v>2</v>
      </c>
      <c r="Q5" s="48">
        <f>P5-O5</f>
        <v>-715.87562795652207</v>
      </c>
      <c r="R5" s="52">
        <f>IFERROR(Q5*Q42, 0)</f>
        <v>-8603.3064948166466</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9" t="str">
        <f>IF(Q5&lt;0, "Schlecht! Zu wenig Urlaub abgebaut.", IF(Q5&gt;0, "Gut! Mehr Urlaub abgebaut als aufgebaut.", ""))</f>
        <v>Schlecht! Zu wenig Urlaub abgebaut.</v>
      </c>
      <c r="P6" s="379"/>
      <c r="Q6" s="379"/>
      <c r="R6" s="379"/>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7" t="s">
        <v>70</v>
      </c>
      <c r="P8" s="267"/>
      <c r="Q8" s="375">
        <f>SUM(H3:H82)</f>
        <v>7439</v>
      </c>
      <c r="R8" s="376"/>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7" t="s">
        <v>72</v>
      </c>
      <c r="P9" s="267"/>
      <c r="Q9" s="375">
        <f>EINSTELLUNG!L23</f>
        <v>2</v>
      </c>
      <c r="R9" s="376"/>
      <c r="S9" s="53">
        <f>IFERROR(Q9/Q8, 0)</f>
        <v>2.6885334050275576E-4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7" t="s">
        <v>74</v>
      </c>
      <c r="P10" s="267"/>
      <c r="Q10" s="375">
        <f>EINSTELLUNG!I23</f>
        <v>2</v>
      </c>
      <c r="R10" s="376"/>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7" t="s">
        <v>76</v>
      </c>
      <c r="P11" s="267"/>
      <c r="Q11" s="375">
        <f>P5</f>
        <v>2</v>
      </c>
      <c r="R11" s="376"/>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7" t="s">
        <v>80</v>
      </c>
      <c r="P12" s="267"/>
      <c r="Q12" s="375">
        <f>Q8-Q9-Q10-Q11</f>
        <v>7433</v>
      </c>
      <c r="R12" s="37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7" t="s">
        <v>82</v>
      </c>
      <c r="P13" s="267"/>
      <c r="Q13" s="375">
        <f>EINSTELLUNG!L7</f>
        <v>2</v>
      </c>
      <c r="R13" s="376"/>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7" t="s">
        <v>84</v>
      </c>
      <c r="P14" s="267"/>
      <c r="Q14" s="375">
        <f>Q12-Q13</f>
        <v>7431</v>
      </c>
      <c r="R14" s="376"/>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8" t="str">
        <f>IF(Q14&lt;0, "Schlecht! Zu wenig Stunden für Dienstplan.", IF(Q14&gt;0, "Du hast mehr als genug Stunden für Dienstplan.", ""))</f>
        <v>Du hast mehr als genug Stunden für Dienstplan.</v>
      </c>
      <c r="P15" s="378"/>
      <c r="Q15" s="378"/>
      <c r="R15" s="378"/>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2" t="s">
        <v>87</v>
      </c>
      <c r="P17" s="271"/>
      <c r="Q17" s="373">
        <f>SUM(L3:L82)</f>
        <v>89401</v>
      </c>
      <c r="R17" s="3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2"/>
      <c r="P18" s="256"/>
      <c r="Q18" s="353"/>
      <c r="R18" s="354"/>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2"/>
      <c r="P19" s="256"/>
      <c r="Q19" s="353"/>
      <c r="R19" s="354"/>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2"/>
      <c r="P20" s="256"/>
      <c r="Q20" s="353"/>
      <c r="R20" s="354"/>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2" t="s">
        <v>370</v>
      </c>
      <c r="P21" s="256"/>
      <c r="Q21" s="353">
        <v>5000</v>
      </c>
      <c r="R21" s="354"/>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2"/>
      <c r="P22" s="256"/>
      <c r="Q22" s="353"/>
      <c r="R22" s="354"/>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2"/>
      <c r="P23" s="256"/>
      <c r="Q23" s="353"/>
      <c r="R23" s="354"/>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2"/>
      <c r="P24" s="256"/>
      <c r="Q24" s="353"/>
      <c r="R24" s="354"/>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6"/>
      <c r="P25" s="258"/>
      <c r="Q25" s="367"/>
      <c r="R25" s="368"/>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9"/>
      <c r="P26" s="262"/>
      <c r="Q26" s="370"/>
      <c r="R26" s="371"/>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2"/>
      <c r="P27" s="239"/>
      <c r="Q27" s="363"/>
      <c r="R27" s="364"/>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5"/>
      <c r="P28" s="286"/>
      <c r="Q28" s="346"/>
      <c r="R28" s="347"/>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8" t="s">
        <v>102</v>
      </c>
      <c r="P29" s="243"/>
      <c r="Q29" s="349">
        <f>EINSTELLUNG!O7</f>
        <v>2</v>
      </c>
      <c r="R29" s="350"/>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5">
        <v>0</v>
      </c>
      <c r="P31" s="356"/>
      <c r="Q31" s="357">
        <v>0</v>
      </c>
      <c r="R31" s="249"/>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8"/>
      <c r="P33" s="359"/>
      <c r="Q33" s="329" t="s">
        <v>108</v>
      </c>
      <c r="R33" s="330"/>
      <c r="S33" s="333" t="s">
        <v>109</v>
      </c>
      <c r="T33" s="334"/>
      <c r="U33" s="333" t="s">
        <v>110</v>
      </c>
      <c r="V33" s="33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0"/>
      <c r="P34" s="361"/>
      <c r="Q34" s="331"/>
      <c r="R34" s="332"/>
      <c r="S34" s="335"/>
      <c r="T34" s="336"/>
      <c r="U34" s="335"/>
      <c r="V34" s="336"/>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51" t="s">
        <v>113</v>
      </c>
      <c r="P35" s="232"/>
      <c r="Q35" s="227">
        <f>EINSTELLUNG!C7</f>
        <v>2</v>
      </c>
      <c r="R35" s="229"/>
      <c r="S35" s="227">
        <f>EINSTELLUNG!C23</f>
        <v>2</v>
      </c>
      <c r="T35" s="229"/>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51" t="s">
        <v>115</v>
      </c>
      <c r="P36" s="232"/>
      <c r="Q36" s="227">
        <f>EINSTELLUNG!D7</f>
        <v>2</v>
      </c>
      <c r="R36" s="229"/>
      <c r="S36" s="223" cm="1">
        <f t="array" ref="S36">SumMergedCells(Q17:R29)</f>
        <v>94403</v>
      </c>
      <c r="T36" s="223"/>
      <c r="U36" s="224">
        <f t="shared" ref="U36:U41" si="2">S36-Q36</f>
        <v>94401</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51" t="s">
        <v>117</v>
      </c>
      <c r="P37" s="232"/>
      <c r="Q37" s="235">
        <f>IF(ISERROR(Q36/Q35), 0, Q36/Q35)</f>
        <v>1</v>
      </c>
      <c r="R37" s="236"/>
      <c r="S37" s="235">
        <f>IF(ISERROR(S36/S35), 0, S36/S35)</f>
        <v>47201.5</v>
      </c>
      <c r="T37" s="236"/>
      <c r="U37" s="237">
        <f t="shared" si="2"/>
        <v>47200.5</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51" t="s">
        <v>119</v>
      </c>
      <c r="P38" s="232"/>
      <c r="Q38" s="344">
        <f>EINSTELLUNG!F7</f>
        <v>2</v>
      </c>
      <c r="R38" s="345"/>
      <c r="S38" s="344">
        <f>EINSTELLUNG!F23</f>
        <v>2</v>
      </c>
      <c r="T38" s="34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51" t="s">
        <v>121</v>
      </c>
      <c r="P39" s="232"/>
      <c r="Q39" s="227">
        <f>IF(Q38=0, 0, Q35/Q38)</f>
        <v>1</v>
      </c>
      <c r="R39" s="229"/>
      <c r="S39" s="227">
        <f>IF(S38=0, 0, S35/S38)</f>
        <v>1</v>
      </c>
      <c r="T39" s="229"/>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2.6907036189963677E-4</v>
      </c>
      <c r="R40" s="223"/>
      <c r="S40" s="223">
        <f>IF(Q12=0, 0, S35/Q12)</f>
        <v>2.6907036189963677E-4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2.6907036189963677E-4</v>
      </c>
      <c r="R41" s="225"/>
      <c r="S41" s="225">
        <f>IF(Q12=0, 0, S38/Q12)</f>
        <v>2.6907036189963677E-4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12.017878747143433</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c r="C54" s="137"/>
      <c r="D54" s="203"/>
      <c r="E54" s="134"/>
      <c r="F54" s="136"/>
      <c r="G54" s="192"/>
      <c r="H54" s="158" t="str">
        <f>IF(AND(ISNUMBER(D54), ISNUMBER(F54)),
    ROUNDDOWN(
        MIN(
            IF(OR(ISBLANK(I54), I54=""),
                EOMONTH(DATE(LOHNTABELLE!$G$3, $A$1, 1), 0), I54)
            - MAX(D54, DATE(LOHNTABELLE!$G$3, $A$1, 1)) + 1)
        / DAY(EOMONTH(DATE(LOHNTABELLE!$G$3, $A$1, 1), 0)) * F54,
        2
    ),
    ""
)</f>
        <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BYzmpFiKeplrDpFWWqbXie6/pNF4MqfCQR/tD0xzvfqrkIeuk0rpBTPNqLbZvhmFs19UBNhErFxvd0RiJwF6BA==" saltValue="aMR66S6OMObKofhZD0f8hw=="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53">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46082</v>
      </c>
    </row>
    <row r="2" spans="1:28" ht="16" customHeight="1" thickBot="1">
      <c r="A2" s="129"/>
      <c r="B2" s="288"/>
      <c r="C2" s="293"/>
      <c r="D2" s="295"/>
      <c r="E2" s="295"/>
      <c r="F2" s="295"/>
      <c r="G2" s="297"/>
      <c r="H2" s="291"/>
      <c r="I2" s="275"/>
      <c r="J2" s="277"/>
      <c r="K2" s="279"/>
      <c r="L2" s="281"/>
      <c r="M2" s="283"/>
      <c r="N2" s="289"/>
      <c r="AB2" s="41">
        <f>EOMONTH(DATE(LOHNTABELLE!$G$3, $A$1, 1), 0)</f>
        <v>46112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EINSTELLUNG!I8</f>
        <v>3</v>
      </c>
      <c r="Q5" s="48">
        <f>P5-O5</f>
        <v>-731.57041000202264</v>
      </c>
      <c r="R5" s="52">
        <f>IFERROR(Q5*Q42, 0)</f>
        <v>-8812.9735428535441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7567.35</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EINSTELLUNG!L24</f>
        <v>3</v>
      </c>
      <c r="R9" s="269"/>
      <c r="S9" s="53">
        <f>IFERROR(Q9/Q8, 0)</f>
        <v>3.9643996907768242E-4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EINSTELLUNG!I24</f>
        <v>3</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3</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-445</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8003.35</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EINSTELLUNG!L8</f>
        <v>3</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8000.35</v>
      </c>
      <c r="R15" s="269"/>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91161.225806451606</v>
      </c>
      <c r="R17" s="273"/>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56"/>
      <c r="P20" s="257"/>
      <c r="Q20" s="247"/>
      <c r="R20" s="24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58"/>
      <c r="P25" s="259"/>
      <c r="Q25" s="260"/>
      <c r="R25" s="261"/>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EINSTELLUNG!O8</f>
        <v>3</v>
      </c>
      <c r="R29" s="246"/>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1.9607843137254902E-2</v>
      </c>
      <c r="R31" s="252"/>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EINSTELLUNG!C8</f>
        <v>3</v>
      </c>
      <c r="R35" s="223"/>
      <c r="S35" s="223">
        <f>EINSTELLUNG!C24</f>
        <v>3</v>
      </c>
      <c r="T35" s="223"/>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EINSTELLUNG!D8</f>
        <v>3</v>
      </c>
      <c r="R36" s="223"/>
      <c r="S36" s="223" cm="1">
        <f t="array" ref="S36">SumMergedCells(Q17:R29)</f>
        <v>96164.2258</v>
      </c>
      <c r="T36" s="223"/>
      <c r="U36" s="224">
        <f t="shared" ref="U36:U41" si="2">S36-Q36</f>
        <v>96161.2258</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32054.741933333335</v>
      </c>
      <c r="T37" s="234"/>
      <c r="U37" s="237">
        <f t="shared" si="2"/>
        <v>32053.741933333335</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EINSTELLUNG!F8</f>
        <v>3</v>
      </c>
      <c r="R38" s="225"/>
      <c r="S38" s="225">
        <f>EINSTELLUNG!F24</f>
        <v>3</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3.748430344793118E-4</v>
      </c>
      <c r="R40" s="223"/>
      <c r="S40" s="223">
        <f>IF(Q13=0, 0, S35/Q13)</f>
        <v>3.748430344793118E-4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3.748430344793118E-4</v>
      </c>
      <c r="R41" s="225"/>
      <c r="S41" s="225">
        <f>IF(Q13=0, 0, S38/Q13)</f>
        <v>3.748430344793118E-4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12.046651179931098</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41.85</v>
      </c>
      <c r="I53" s="206">
        <v>46096</v>
      </c>
      <c r="J53" s="135">
        <v>8</v>
      </c>
      <c r="K53" s="161">
        <f t="shared" si="1"/>
        <v>260.77419354838707</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749.72580645161281</v>
      </c>
      <c r="M53" s="164"/>
      <c r="N53" s="147" t="s">
        <v>219</v>
      </c>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2020.9999999999998</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dlKESB5YXXZ8VtUUBFmHfJ/gmUy4n7GnlidX56F0Xg8G2ZlQwt5XKbHxKeXv0GwiqnRsYvIrG4EOvUSTcRl5Mw==" saltValue="aBuVygDNyLuPzOxlDWTIzA=="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4">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46113</v>
      </c>
    </row>
    <row r="2" spans="1:28" ht="16" customHeight="1" thickBot="1">
      <c r="A2" s="129"/>
      <c r="B2" s="288"/>
      <c r="C2" s="293"/>
      <c r="D2" s="295"/>
      <c r="E2" s="295"/>
      <c r="F2" s="295"/>
      <c r="G2" s="297"/>
      <c r="H2" s="291"/>
      <c r="I2" s="275"/>
      <c r="J2" s="277"/>
      <c r="K2" s="279"/>
      <c r="L2" s="281"/>
      <c r="M2" s="283"/>
      <c r="N2" s="289"/>
      <c r="AB2" s="41">
        <f>EOMONTH(DATE(LOHNTABELLE!$G$3, $A$1, 1), 0)</f>
        <v>46142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742.91780102477298</v>
      </c>
      <c r="P5" s="49">
        <f>EINSTELLUNG!I9</f>
        <v>4</v>
      </c>
      <c r="Q5" s="48">
        <f>P5-O5</f>
        <v>-738.91780102477298</v>
      </c>
      <c r="R5" s="52">
        <f>IFERROR(Q5*Q42, 0)</f>
        <v>-8873.4880574975814</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7646.6</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EINSTELLUNG!L25</f>
        <v>4</v>
      </c>
      <c r="R9" s="269"/>
      <c r="S9" s="53">
        <f>IFERROR(Q9/Q8, 0)</f>
        <v>5.2310830957549761E-4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EINSTELLUNG!I25</f>
        <v>4</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4</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-255</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7889.6</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EINSTELLUNG!L9</f>
        <v>4</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7885.6</v>
      </c>
      <c r="R15" s="269"/>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91826.2</v>
      </c>
      <c r="R17" s="273"/>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56"/>
      <c r="P20" s="257"/>
      <c r="Q20" s="247"/>
      <c r="R20" s="24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58"/>
      <c r="P25" s="259"/>
      <c r="Q25" s="260"/>
      <c r="R25" s="261"/>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EINSTELLUNG!O9</f>
        <v>4</v>
      </c>
      <c r="R29" s="246"/>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0</v>
      </c>
      <c r="R31" s="252"/>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EINSTELLUNG!C9</f>
        <v>4</v>
      </c>
      <c r="R35" s="223"/>
      <c r="S35" s="223">
        <f>EINSTELLUNG!C25</f>
        <v>4</v>
      </c>
      <c r="T35" s="223"/>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EINSTELLUNG!D9</f>
        <v>4</v>
      </c>
      <c r="R36" s="223"/>
      <c r="S36" s="223" cm="1">
        <f t="array" ref="S36">SumMergedCells(Q17:R29)</f>
        <v>96830.2</v>
      </c>
      <c r="T36" s="223"/>
      <c r="U36" s="224">
        <f t="shared" ref="U36:U41" si="2">S36-Q36</f>
        <v>96826.2</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24207.55</v>
      </c>
      <c r="T37" s="234"/>
      <c r="U37" s="237">
        <f t="shared" si="2"/>
        <v>24206.55</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EINSTELLUNG!F9</f>
        <v>4</v>
      </c>
      <c r="R38" s="225"/>
      <c r="S38" s="225">
        <f>EINSTELLUNG!F25</f>
        <v>4</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5.0699655242344348E-4</v>
      </c>
      <c r="R40" s="223"/>
      <c r="S40" s="223">
        <f>IF(Q13=0, 0, S35/Q13)</f>
        <v>5.0699655242344348E-4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5.0699655242344348E-4</v>
      </c>
      <c r="R41" s="225"/>
      <c r="S41" s="225">
        <f>IF(Q13=0, 0, S38/Q13)</f>
        <v>5.0699655242344348E-4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12.008762064185388</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2021</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402004</v>
      </c>
      <c r="C54" s="137" t="s">
        <v>379</v>
      </c>
      <c r="D54" s="203">
        <v>46122</v>
      </c>
      <c r="E54" s="134" t="s">
        <v>4</v>
      </c>
      <c r="F54" s="136">
        <v>173</v>
      </c>
      <c r="G54" s="192">
        <v>2021</v>
      </c>
      <c r="H54" s="158">
        <f>IF(AND(ISNUMBER(D54), ISNUMBER(F54)),
    ROUNDDOWN(
        MIN(
            IF(OR(ISBLANK(I54), I54=""),
                EOMONTH(DATE(LOHNTABELLE!$G$3, $A$1, 1), 0), I54)
            - MAX(D54, DATE(LOHNTABELLE!$G$3, $A$1, 1)) + 1)
        / DAY(EOMONTH(DATE(LOHNTABELLE!$G$3, $A$1, 1), 0)) * F54,
        2
    ),
    ""
)</f>
        <v>121.1</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1414.6999999999998</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arpKWDItVkmvBZjgXlH5O4aoTDGi8xqyKq07oJeXUqMYI3EpeWn7Pl+L7YQ62drnM7fqTgbu1pRHqFXKIc2Yg==" saltValue="Urcc6KfO9TzvDK45Q7dex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4">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16"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46143</v>
      </c>
    </row>
    <row r="2" spans="1:28" ht="16" customHeight="1" thickBot="1">
      <c r="A2" s="129"/>
      <c r="B2" s="288"/>
      <c r="C2" s="293"/>
      <c r="D2" s="295"/>
      <c r="E2" s="295"/>
      <c r="F2" s="295"/>
      <c r="G2" s="297"/>
      <c r="H2" s="291"/>
      <c r="I2" s="275"/>
      <c r="J2" s="277"/>
      <c r="K2" s="279"/>
      <c r="L2" s="281"/>
      <c r="M2" s="283"/>
      <c r="N2" s="289"/>
      <c r="AB2" s="41">
        <f>EOMONTH(DATE(LOHNTABELLE!$G$3, $A$1, 1), 0)</f>
        <v>46173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776.30736511577413</v>
      </c>
      <c r="P5" s="49">
        <f>EINSTELLUNG!I10</f>
        <v>5</v>
      </c>
      <c r="Q5" s="48">
        <f>P5-O5</f>
        <v>-771.30736511577413</v>
      </c>
      <c r="R5" s="52">
        <f>IFERROR(Q5*Q42, 0)</f>
        <v>-12360.740184209437</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8022.17</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EINSTELLUNG!L26</f>
        <v>5</v>
      </c>
      <c r="R9" s="269"/>
      <c r="S9" s="53">
        <f>IFERROR(Q9/Q8, 0)</f>
        <v>6.2327275537666239E-4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EINSTELLUNG!I26</f>
        <v>5</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5</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8007.17</v>
      </c>
      <c r="R12" s="269"/>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EINSTELLUNG!L10</f>
        <v>5</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8002.17</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128560.8870967742</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EINSTELLUNG!O10</f>
        <v>5</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EINSTELLUNG!C10</f>
        <v>5</v>
      </c>
      <c r="R35" s="223"/>
      <c r="S35" s="223">
        <f>EINSTELLUNG!C26</f>
        <v>5</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EINSTELLUNG!D10</f>
        <v>5</v>
      </c>
      <c r="R36" s="223"/>
      <c r="S36" s="223" cm="1">
        <f t="array" ref="S36">SumMergedCells(Q17:R29)</f>
        <v>133565.88709999999</v>
      </c>
      <c r="T36" s="223"/>
      <c r="U36" s="224">
        <f t="shared" ref="U36:U41" si="2">S36-Q36</f>
        <v>133560.88709999999</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26713.17742</v>
      </c>
      <c r="T37" s="234"/>
      <c r="U37" s="237">
        <f t="shared" si="2"/>
        <v>26712.17742</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EINSTELLUNG!F10</f>
        <v>5</v>
      </c>
      <c r="R38" s="225"/>
      <c r="S38" s="225">
        <f>EINSTELLUNG!F26</f>
        <v>5</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6.2444034534048861E-4</v>
      </c>
      <c r="R40" s="223"/>
      <c r="S40" s="223">
        <f>IF(Q12=0, 0, S35/Q12)</f>
        <v>6.2444034534048861E-4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6.2444034534048861E-4</v>
      </c>
      <c r="R41" s="225"/>
      <c r="S41" s="225">
        <f>IF(Q12=0, 0, S38/Q12)</f>
        <v>6.2444034534048861E-4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16.025699666894891</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502000</v>
      </c>
      <c r="C56" s="137" t="s">
        <v>380</v>
      </c>
      <c r="D56" s="203">
        <v>46147</v>
      </c>
      <c r="E56" s="134" t="s">
        <v>4</v>
      </c>
      <c r="F56" s="136">
        <v>173</v>
      </c>
      <c r="G56" s="192">
        <v>3500</v>
      </c>
      <c r="H56" s="158">
        <f>IF(AND(ISNUMBER(D56), ISNUMBER(F56)),
    ROUNDDOWN(
        MIN(
            IF(OR(ISBLANK(I56), I56=""),
                EOMONTH(DATE(LOHNTABELLE!$G$3, $A$1, 1), 0), I56)
            - MAX(D56, DATE(LOHNTABELLE!$G$3, $A$1, 1)) + 1)
        / DAY(EOMONTH(DATE(LOHNTABELLE!$G$3, $A$1, 1), 0)) * F56,
        2
    ),
    ""
)</f>
        <v>150.66999999999999</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3048.3870967741937</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UnmM2M09klvyjL/7Ty1jAr0SZYtKJ0mw3/dk+2iyRAg+69wykqSJ/eib8Fhu1Is2jXZssHcxrVF1GhBDV4sPLw==" saltValue="0TQLh3p78/Y8pTtK40gWG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55">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1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46174</v>
      </c>
    </row>
    <row r="2" spans="1:28" ht="16" customHeight="1" thickBot="1">
      <c r="A2" s="129"/>
      <c r="B2" s="288"/>
      <c r="C2" s="293"/>
      <c r="D2" s="295"/>
      <c r="E2" s="295"/>
      <c r="F2" s="295"/>
      <c r="G2" s="297"/>
      <c r="H2" s="291"/>
      <c r="I2" s="275"/>
      <c r="J2" s="277"/>
      <c r="K2" s="279"/>
      <c r="L2" s="281"/>
      <c r="M2" s="283"/>
      <c r="N2" s="289"/>
      <c r="AB2" s="41">
        <f>EOMONTH(DATE(LOHNTABELLE!$G$3, $A$1, 1), 0)</f>
        <v>46203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776.30736511577413</v>
      </c>
      <c r="P5" s="49">
        <f>EINSTELLUNG!I11</f>
        <v>6</v>
      </c>
      <c r="Q5" s="48">
        <f>P5-O5</f>
        <v>-770.30736511577413</v>
      </c>
      <c r="R5" s="52">
        <f>IFERROR(Q5*Q42, 0)</f>
        <v>-12353.692453477383</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8044.5</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EINSTELLUNG!L27</f>
        <v>6</v>
      </c>
      <c r="R9" s="269"/>
      <c r="S9" s="53">
        <f>IFERROR(Q9/Q8, 0)</f>
        <v>7.4585120268506433E-4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EINSTELLUNG!I27</f>
        <v>6</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6</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442</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7584.5</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EINSTELLUNG!L11</f>
        <v>6</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7578.5</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129012.5</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EINSTELLUNG!O11</f>
        <v>6</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EINSTELLUNG!C11</f>
        <v>6</v>
      </c>
      <c r="R35" s="223"/>
      <c r="S35" s="223">
        <f>EINSTELLUNG!C27</f>
        <v>6</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EINSTELLUNG!D11</f>
        <v>6</v>
      </c>
      <c r="R36" s="223"/>
      <c r="S36" s="223" cm="1">
        <f t="array" ref="S36">SumMergedCells(Q17:R29)</f>
        <v>134018.5</v>
      </c>
      <c r="T36" s="223"/>
      <c r="U36" s="224">
        <f t="shared" ref="U36:U41" si="2">S36-Q36</f>
        <v>134012.5</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22336.416666666668</v>
      </c>
      <c r="T37" s="234"/>
      <c r="U37" s="237">
        <f t="shared" si="2"/>
        <v>22335.416666666668</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EINSTELLUNG!F11</f>
        <v>6</v>
      </c>
      <c r="R38" s="225"/>
      <c r="S38" s="225">
        <f>EINSTELLUNG!F27</f>
        <v>6</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1.3574660633484163E-2</v>
      </c>
      <c r="R40" s="223"/>
      <c r="S40" s="223">
        <f>IF(Q12=0, 0, S35/Q12)</f>
        <v>1.3574660633484163E-2</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1.3574660633484163E-2</v>
      </c>
      <c r="R41" s="225"/>
      <c r="S41" s="225">
        <f>IF(Q12=0, 0, S38/Q12)</f>
        <v>1.3574660633484163E-2</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16.037354714401143</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502000</v>
      </c>
      <c r="C56" s="137" t="s">
        <v>380</v>
      </c>
      <c r="D56" s="203">
        <v>46147</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cVlv/5kgRIAv+K46jS6yDy6OBYMH1Io0qqVyft2urJfyZWkyePlsCarQaPngl39K5veLLrv6s4bpnfODbo8LSA==" saltValue="MvTEpa4V4fXEq2ALm8vUig=="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56">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18"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46204</v>
      </c>
    </row>
    <row r="2" spans="1:28" ht="16" customHeight="1" thickBot="1">
      <c r="A2" s="129"/>
      <c r="B2" s="288"/>
      <c r="C2" s="293"/>
      <c r="D2" s="295"/>
      <c r="E2" s="295"/>
      <c r="F2" s="295"/>
      <c r="G2" s="297"/>
      <c r="H2" s="291"/>
      <c r="I2" s="275"/>
      <c r="J2" s="277"/>
      <c r="K2" s="279"/>
      <c r="L2" s="281"/>
      <c r="M2" s="283"/>
      <c r="N2" s="289"/>
      <c r="AB2" s="41">
        <f>EOMONTH(DATE(LOHNTABELLE!$G$3, $A$1, 1), 0)</f>
        <v>46234</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761.28206127482338</v>
      </c>
      <c r="P5" s="49">
        <f>EINSTELLUNG!I12</f>
        <v>7</v>
      </c>
      <c r="Q5" s="48">
        <f>P5-O5</f>
        <v>-754.28206127482338</v>
      </c>
      <c r="R5" s="52">
        <f>IFERROR(Q5*Q42, 0)</f>
        <v>-11737.285934880971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7888.7999999999993</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EINSTELLUNG!L28</f>
        <v>7</v>
      </c>
      <c r="R9" s="269"/>
      <c r="S9" s="53">
        <f>IFERROR(Q9/Q8, 0)</f>
        <v>8.8733394179089345E-4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EINSTELLUNG!I28</f>
        <v>7</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7</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39</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7828.7999999999993</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EINSTELLUNG!L12</f>
        <v>7</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7821.7999999999993</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122756.6</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9"/>
      <c r="P26" s="262"/>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EINSTELLUNG!O12</f>
        <v>7</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EINSTELLUNG!C12</f>
        <v>7</v>
      </c>
      <c r="R35" s="223"/>
      <c r="S35" s="223">
        <f>EINSTELLUNG!C28</f>
        <v>7</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EINSTELLUNG!D12</f>
        <v>7</v>
      </c>
      <c r="R36" s="223"/>
      <c r="S36" s="227" cm="1">
        <f t="array" ref="S36">SumMergedCells(Q17:R29)</f>
        <v>127763.6</v>
      </c>
      <c r="T36" s="229"/>
      <c r="U36" s="224">
        <f t="shared" ref="U36:U41" si="2">S36-Q36</f>
        <v>127756.6</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18251.942857142858</v>
      </c>
      <c r="T37" s="234"/>
      <c r="U37" s="237">
        <f t="shared" si="2"/>
        <v>18250.942857142858</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EINSTELLUNG!F12</f>
        <v>7</v>
      </c>
      <c r="R38" s="225"/>
      <c r="S38" s="225">
        <f>EINSTELLUNG!F28</f>
        <v>7</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8.9413447782546506E-4</v>
      </c>
      <c r="R40" s="223"/>
      <c r="S40" s="223">
        <f>IF(Q13=0, 0, S35/Q13)</f>
        <v>8.9413447782546506E-4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8.9413447782546506E-4</v>
      </c>
      <c r="R41" s="225"/>
      <c r="S41" s="225">
        <f>IF(Q13=0, 0, S38/Q13)</f>
        <v>8.9413447782546506E-4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15.560871108406857</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v>502000</v>
      </c>
      <c r="C56" s="137" t="s">
        <v>380</v>
      </c>
      <c r="D56" s="203">
        <v>46147</v>
      </c>
      <c r="E56" s="134" t="s">
        <v>4</v>
      </c>
      <c r="F56" s="136">
        <v>138.4</v>
      </c>
      <c r="G56" s="192">
        <v>1616.8</v>
      </c>
      <c r="H56" s="158">
        <f>IF(AND(ISNUMBER(D56), ISNUMBER(F56)),
    ROUNDDOWN(
        MIN(
            IF(OR(ISBLANK(I56), I56=""),
                EOMONTH(DATE(LOHNTABELLE!$G$3, $A$1, 1), 0), I56)
            - MAX(D56, DATE(LOHNTABELLE!$G$3, $A$1, 1)) + 1)
        / DAY(EOMONTH(DATE(LOHNTABELLE!$G$3, $A$1, 1), 0)) * F56,
        2
    ),
    ""
)</f>
        <v>138.4</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1616.8</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rv7t7WZl9S4GAi5q0TvlV5rCwMCf8MReWWBpozDv9w4HBTHcy1qzmCfNLPM4g7Qq6WfUXAMyEp/dd/e6jt5Z3w==" saltValue="LqyT4SM83b+5mMp0dgBI5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tabSelected="1" zoomScaleNormal="100" workbookViewId="0">
      <pane ySplit="2" topLeftCell="A18"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46235</v>
      </c>
    </row>
    <row r="2" spans="1:28" ht="16" customHeight="1" thickBot="1">
      <c r="A2" s="129"/>
      <c r="B2" s="288"/>
      <c r="C2" s="293"/>
      <c r="D2" s="295"/>
      <c r="E2" s="295"/>
      <c r="F2" s="295"/>
      <c r="G2" s="297"/>
      <c r="H2" s="291"/>
      <c r="I2" s="275"/>
      <c r="J2" s="277"/>
      <c r="K2" s="279"/>
      <c r="L2" s="281"/>
      <c r="M2" s="283"/>
      <c r="N2" s="289"/>
      <c r="AB2" s="41">
        <f>EOMONTH(DATE(LOHNTABELLE!$G$3, $A$1, 1), 0)</f>
        <v>46265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758.36095692501249</v>
      </c>
      <c r="P5" s="49">
        <f>EINSTELLUNG!I13</f>
        <v>8</v>
      </c>
      <c r="Q5" s="48">
        <f>P5-O5</f>
        <v>-750.36095692501249</v>
      </c>
      <c r="R5" s="52">
        <f>IFERROR(Q5*Q42, 0)</f>
        <v>-11704.176431990341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7813.88</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EINSTELLUNG!L29</f>
        <v>8</v>
      </c>
      <c r="R9" s="269"/>
      <c r="S9" s="53">
        <f>IFERROR(Q9/Q8, 0)</f>
        <v>1.0238191525848875E-3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EINSTELLUNG!I29</f>
        <v>8</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8</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7789.88</v>
      </c>
      <c r="R12" s="269"/>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EINSTELLUNG!L13</f>
        <v>8</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7781.88</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121881.38161290323</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EINSTELLUNG!O13</f>
        <v>8</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1.8867924528301886E-2</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9"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EINSTELLUNG!C13</f>
        <v>8</v>
      </c>
      <c r="R35" s="223"/>
      <c r="S35" s="223">
        <f>EINSTELLUNG!C29</f>
        <v>8</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EINSTELLUNG!D13</f>
        <v>8</v>
      </c>
      <c r="R36" s="223"/>
      <c r="S36" s="227" cm="1">
        <f t="array" ref="S36">SumMergedCells(Q17:R29)</f>
        <v>126889.38159999999</v>
      </c>
      <c r="T36" s="229"/>
      <c r="U36" s="224">
        <f t="shared" ref="U36:U41" si="2">S36-Q36</f>
        <v>126881.38159999999</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5">
        <f>IF(ISERROR(S36/S35), 0, S36/S35)</f>
        <v>15861.172699999999</v>
      </c>
      <c r="T37" s="236"/>
      <c r="U37" s="237">
        <f t="shared" si="2"/>
        <v>15860.172699999999</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EINSTELLUNG!F13</f>
        <v>8</v>
      </c>
      <c r="R38" s="225"/>
      <c r="S38" s="225">
        <f>EINSTELLUNG!F29</f>
        <v>8</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1.0269734578709814E-3</v>
      </c>
      <c r="R40" s="223"/>
      <c r="S40" s="223">
        <f>IF(Q12=0, 0, S35/Q12)</f>
        <v>1.0269734578709814E-3</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1.0269734578709814E-3</v>
      </c>
      <c r="R41" s="225"/>
      <c r="S41" s="225">
        <f>IF(Q12=0, 0, S38/Q12)</f>
        <v>1.0269734578709814E-3</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15.598061604849732</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41.85</v>
      </c>
      <c r="I48" s="206">
        <v>46249</v>
      </c>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488.95161290322574</v>
      </c>
      <c r="M48" s="164"/>
      <c r="N48" s="147" t="s">
        <v>219</v>
      </c>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108.13</v>
      </c>
      <c r="G54" s="192">
        <v>1263.1300000000001</v>
      </c>
      <c r="H54" s="158">
        <f>IF(AND(ISNUMBER(D54), ISNUMBER(F54)),
    ROUNDDOWN(
        MIN(
            IF(OR(ISBLANK(I54), I54=""),
                EOMONTH(DATE(LOHNTABELLE!$G$3, $A$1, 1), 0), I54)
            - MAX(D54, DATE(LOHNTABELLE!$G$3, $A$1, 1)) + 1)
        / DAY(EOMONTH(DATE(LOHNTABELLE!$G$3, $A$1, 1), 0)) * F54,
        2
    ),
    ""
)</f>
        <v>108.13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1263.1300000000001</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v>502000</v>
      </c>
      <c r="C56" s="137" t="s">
        <v>380</v>
      </c>
      <c r="D56" s="203">
        <v>46147</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3BmdXvyLWHPzdl8VhwN8DHCrveFmdMGdInQgANZFPJsdsQKaXMm38vrguHX2Qq5WgRVSW+u+jPT0uKFk83mX9A==" saltValue="hrAqh2j4kMVBQeA9Q8pOD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1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46266</v>
      </c>
    </row>
    <row r="2" spans="1:28" ht="16" customHeight="1" thickBot="1">
      <c r="A2" s="129"/>
      <c r="B2" s="288"/>
      <c r="C2" s="293"/>
      <c r="D2" s="295"/>
      <c r="E2" s="295"/>
      <c r="F2" s="295"/>
      <c r="G2" s="297"/>
      <c r="H2" s="291"/>
      <c r="I2" s="275"/>
      <c r="J2" s="277"/>
      <c r="K2" s="279"/>
      <c r="L2" s="281"/>
      <c r="M2" s="283"/>
      <c r="N2" s="289"/>
      <c r="AB2" s="41">
        <f>EOMONTH(DATE(LOHNTABELLE!$G$3, $A$1, 1), 0)</f>
        <v>46295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750.01356590226226</v>
      </c>
      <c r="P5" s="49">
        <f>EINSTELLUNG!I14</f>
        <v>9</v>
      </c>
      <c r="Q5" s="48">
        <f>P5-O5</f>
        <v>-741.01356590226226</v>
      </c>
      <c r="R5" s="52">
        <f>IFERROR(Q5*Q42, 0)</f>
        <v>-11573.995137414648</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7772.03</v>
      </c>
      <c r="R8" s="269"/>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EINSTELLUNG!L30</f>
        <v>9</v>
      </c>
      <c r="R9" s="269"/>
      <c r="S9" s="53">
        <f>IFERROR(Q9/Q8, 0)</f>
        <v>1.1579986181216491E-3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EINSTELLUNG!I30</f>
        <v>9</v>
      </c>
      <c r="R10" s="269"/>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9</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167</v>
      </c>
      <c r="R12" s="337"/>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7578.03</v>
      </c>
      <c r="R13" s="269"/>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EINSTELLUNG!L14</f>
        <v>9</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7569.03</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121392.43000000001</v>
      </c>
      <c r="R17" s="273"/>
      <c r="W17" s="45"/>
    </row>
    <row r="18" spans="1:29" ht="16" customHeight="1">
      <c r="A18" s="130" t="s">
        <v>88</v>
      </c>
      <c r="B18" s="170">
        <v>401476</v>
      </c>
      <c r="C18" s="139"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EINSTELLUNG!O14</f>
        <v>9</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EINSTELLUNG!C14</f>
        <v>9</v>
      </c>
      <c r="R35" s="223"/>
      <c r="S35" s="223">
        <f>EINSTELLUNG!C30</f>
        <v>9</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EINSTELLUNG!D14</f>
        <v>9</v>
      </c>
      <c r="R36" s="223"/>
      <c r="S36" s="227" cm="1">
        <f t="array" ref="S36">SumMergedCells(Q17:R29)</f>
        <v>126401.43</v>
      </c>
      <c r="T36" s="229"/>
      <c r="U36" s="224">
        <f t="shared" ref="U36:U41" si="2">S36-Q36</f>
        <v>126392.43</v>
      </c>
      <c r="V36" s="224"/>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14044.603333333333</v>
      </c>
      <c r="T37" s="234"/>
      <c r="U37" s="237">
        <f t="shared" si="2"/>
        <v>14043.603333333333</v>
      </c>
      <c r="V37" s="237"/>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EINSTELLUNG!F14</f>
        <v>9</v>
      </c>
      <c r="R38" s="225"/>
      <c r="S38" s="225">
        <f>EINSTELLUNG!F30</f>
        <v>9</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1.1876437543794365E-3</v>
      </c>
      <c r="R40" s="223"/>
      <c r="S40" s="223">
        <f>IF(Q13=0, 0, S35/Q13)</f>
        <v>1.1876437543794365E-3</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1.1876437543794365E-3</v>
      </c>
      <c r="R41" s="225"/>
      <c r="S41" s="225">
        <f>IF(Q13=0, 0, S38/Q13)</f>
        <v>1.1876437543794365E-3</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15.619140687825448</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68"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502000</v>
      </c>
      <c r="C55" s="137" t="s">
        <v>380</v>
      </c>
      <c r="D55" s="203">
        <v>46147</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mXkq6B4vuF7P+NeFk2d9DVvu9nfs1eFPLIsJKrXrig60nogVuMufweTOhfoKkUroE6Vs9usUPUZA4ogdkjdbug==" saltValue="7453RwWN5xvHo+A5lTx0K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46296</v>
      </c>
    </row>
    <row r="2" spans="1:28" ht="16" customHeight="1" thickBot="1">
      <c r="A2" s="129"/>
      <c r="B2" s="288"/>
      <c r="C2" s="293"/>
      <c r="D2" s="295"/>
      <c r="E2" s="295"/>
      <c r="F2" s="295"/>
      <c r="G2" s="297"/>
      <c r="H2" s="291"/>
      <c r="I2" s="275"/>
      <c r="J2" s="277"/>
      <c r="K2" s="279"/>
      <c r="L2" s="281"/>
      <c r="M2" s="283"/>
      <c r="N2" s="289"/>
      <c r="AB2" s="41">
        <f>EOMONTH(DATE(LOHNTABELLE!$G$3, $A$1, 1), 0)</f>
        <v>46326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750.01356590226226</v>
      </c>
      <c r="P5" s="49">
        <f>EINSTELLUNG!I15</f>
        <v>10</v>
      </c>
      <c r="Q5" s="48">
        <f>P5-O5</f>
        <v>-740.01356590226226</v>
      </c>
      <c r="R5" s="52">
        <f>IFERROR(Q5*Q42, 0)</f>
        <v>-11558.375996726823</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7772.03</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EINSTELLUNG!L31</f>
        <v>10</v>
      </c>
      <c r="R9" s="269"/>
      <c r="S9" s="53">
        <f>IFERROR(Q9/Q8, 0)</f>
        <v>1.2866651312462769E-3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EINSTELLUNG!I31</f>
        <v>10</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10</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-121</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7863.03</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EINSTELLUNG!L15</f>
        <v>10</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7853.03</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121392.43000000001</v>
      </c>
      <c r="R17" s="273"/>
      <c r="W17" s="45"/>
    </row>
    <row r="18" spans="1:29" ht="16" customHeight="1">
      <c r="A18" s="130" t="s">
        <v>88</v>
      </c>
      <c r="B18" s="170">
        <v>401476</v>
      </c>
      <c r="C18" s="139"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EINSTELLUNG!O15</f>
        <v>10</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EINSTELLUNG!C15</f>
        <v>10</v>
      </c>
      <c r="R35" s="223"/>
      <c r="S35" s="223">
        <f>EINSTELLUNG!C31</f>
        <v>10</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EINSTELLUNG!D15</f>
        <v>10</v>
      </c>
      <c r="R36" s="223"/>
      <c r="S36" s="227" cm="1">
        <f t="array" ref="S36">SumMergedCells(Q17:R29)</f>
        <v>126402.43</v>
      </c>
      <c r="T36" s="229"/>
      <c r="U36" s="224">
        <f t="shared" ref="U36:U41" si="2">S36-Q36</f>
        <v>126392.43</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12640.242999999999</v>
      </c>
      <c r="T37" s="234"/>
      <c r="U37" s="237">
        <f t="shared" si="2"/>
        <v>12639.242999999999</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EINSTELLUNG!F15</f>
        <v>10</v>
      </c>
      <c r="R38" s="225"/>
      <c r="S38" s="225">
        <f>EINSTELLUNG!F31</f>
        <v>10</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1.2717743668789259E-3</v>
      </c>
      <c r="R40" s="223"/>
      <c r="S40" s="223">
        <f>IF(Q13=0, 0, S35/Q13)</f>
        <v>1.2717743668789259E-3</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1.2717743668789259E-3</v>
      </c>
      <c r="R41" s="225"/>
      <c r="S41" s="225">
        <f>IF(Q13=0, 0, S38/Q13)</f>
        <v>1.2717743668789259E-3</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15.619140687825448</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502000</v>
      </c>
      <c r="C55" s="137" t="s">
        <v>380</v>
      </c>
      <c r="D55" s="203">
        <v>46147</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PqQgkdWap+GrlrHukRETaoqHfdhbpi+TDHNPBrafPvdhec+GnJyboN3tvCWWXjCFolU+HQ+WzRZqrxAeZyuzJQ==" saltValue="BJ0Gv06GaooGfca4AJHiD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46327</v>
      </c>
    </row>
    <row r="2" spans="1:28" ht="16" customHeight="1" thickBot="1">
      <c r="A2" s="129"/>
      <c r="B2" s="288"/>
      <c r="C2" s="293"/>
      <c r="D2" s="295"/>
      <c r="E2" s="295"/>
      <c r="F2" s="295"/>
      <c r="G2" s="297"/>
      <c r="H2" s="291"/>
      <c r="I2" s="275"/>
      <c r="J2" s="277"/>
      <c r="K2" s="279"/>
      <c r="L2" s="281"/>
      <c r="M2" s="283"/>
      <c r="N2" s="289"/>
      <c r="AB2" s="41">
        <f>EOMONTH(DATE(LOHNTABELLE!$G$3, $A$1, 1), 0)</f>
        <v>46356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750.01356590226226</v>
      </c>
      <c r="P5" s="49">
        <f>EINSTELLUNG!I16</f>
        <v>11</v>
      </c>
      <c r="Q5" s="48">
        <f>P5-O5</f>
        <v>-739.01356590226226</v>
      </c>
      <c r="R5" s="52">
        <f>IFERROR(Q5*Q42, 0)</f>
        <v>-11542.756856038997</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7772.03</v>
      </c>
      <c r="R8" s="269"/>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EINSTELLUNG!L32</f>
        <v>11</v>
      </c>
      <c r="R9" s="269"/>
      <c r="S9" s="53">
        <f>IFERROR(Q9/Q8, 0)</f>
        <v>1.4153316443709044E-3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EINSTELLUNG!I32</f>
        <v>11</v>
      </c>
      <c r="R10" s="269"/>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11</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7739.03</v>
      </c>
      <c r="R12" s="269"/>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EINSTELLUNG!L16</f>
        <v>11</v>
      </c>
      <c r="R13" s="269"/>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7728.03</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121392.43000000001</v>
      </c>
      <c r="R17" s="273"/>
      <c r="W17" s="45"/>
    </row>
    <row r="18" spans="1:29" ht="16" customHeight="1">
      <c r="A18" s="130" t="s">
        <v>88</v>
      </c>
      <c r="B18" s="170">
        <v>401476</v>
      </c>
      <c r="C18" s="139"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1"/>
      <c r="R28" s="242"/>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43" t="s">
        <v>102</v>
      </c>
      <c r="P29" s="244"/>
      <c r="Q29" s="245">
        <f>EINSTELLUNG!O16</f>
        <v>11</v>
      </c>
      <c r="R29" s="246"/>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EINSTELLUNG!C16</f>
        <v>11</v>
      </c>
      <c r="R35" s="223"/>
      <c r="S35" s="223">
        <f>EINSTELLUNG!C32</f>
        <v>11</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EINSTELLUNG!D16</f>
        <v>11</v>
      </c>
      <c r="R36" s="223"/>
      <c r="S36" s="227" cm="1">
        <f t="array" ref="S36">SumMergedCells(Q17:R29)</f>
        <v>126403.43</v>
      </c>
      <c r="T36" s="229"/>
      <c r="U36" s="224">
        <f t="shared" ref="U36:U41" si="2">S36-Q36</f>
        <v>126392.43</v>
      </c>
      <c r="V36" s="224"/>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11491.220909090909</v>
      </c>
      <c r="T37" s="234"/>
      <c r="U37" s="237">
        <f t="shared" si="2"/>
        <v>11490.220909090909</v>
      </c>
      <c r="V37" s="237"/>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EINSTELLUNG!F16</f>
        <v>11</v>
      </c>
      <c r="R38" s="225"/>
      <c r="S38" s="225">
        <f>EINSTELLUNG!F32</f>
        <v>11</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1.4213667604338011E-3</v>
      </c>
      <c r="R40" s="223"/>
      <c r="S40" s="223">
        <f>IF(Q12=0, 0, S35/Q12)</f>
        <v>1.4213667604338011E-3</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1.4213667604338011E-3</v>
      </c>
      <c r="R41" s="225"/>
      <c r="S41" s="225">
        <f>IF(Q12=0, 0, S38/Q12)</f>
        <v>1.4213667604338011E-3</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15.619140687825448</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502000</v>
      </c>
      <c r="C55" s="137" t="s">
        <v>380</v>
      </c>
      <c r="D55" s="203">
        <v>46147</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X+nKtFDbmm3H019sHIeKDQlA2I5QIhAA1/O+un5jHVXAiy3zqNSodEuMBDb8mH4zq3xMQJfGJiNHSYi0fWQd+g==" saltValue="RDgZ1oOsK4reGyoewmKV3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46357</v>
      </c>
    </row>
    <row r="2" spans="1:28" ht="16" customHeight="1" thickBot="1">
      <c r="A2" s="129"/>
      <c r="B2" s="288"/>
      <c r="C2" s="293"/>
      <c r="D2" s="295"/>
      <c r="E2" s="295"/>
      <c r="F2" s="295"/>
      <c r="G2" s="297"/>
      <c r="H2" s="291"/>
      <c r="I2" s="275"/>
      <c r="J2" s="277"/>
      <c r="K2" s="279"/>
      <c r="L2" s="281"/>
      <c r="M2" s="283"/>
      <c r="N2" s="289"/>
      <c r="AB2" s="41">
        <f>EOMONTH(DATE(LOHNTABELLE!$G$3, $A$1, 1), 0)</f>
        <v>46387</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750.01356590226226</v>
      </c>
      <c r="P5" s="49">
        <f>EINSTELLUNG!I17</f>
        <v>12</v>
      </c>
      <c r="Q5" s="48">
        <f>P5-O5</f>
        <v>-738.01356590226226</v>
      </c>
      <c r="R5" s="52">
        <f>IFERROR(Q5*Q42, 0)</f>
        <v>-11527.137715351171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67" t="s">
        <v>70</v>
      </c>
      <c r="P8" s="268"/>
      <c r="Q8" s="269">
        <f>SUM(H3:H82)</f>
        <v>7772.03</v>
      </c>
      <c r="R8" s="269"/>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67" t="s">
        <v>72</v>
      </c>
      <c r="P9" s="268"/>
      <c r="Q9" s="269">
        <f>EINSTELLUNG!L33</f>
        <v>12</v>
      </c>
      <c r="R9" s="269"/>
      <c r="S9" s="53">
        <f>IFERROR(Q9/Q8, 0)</f>
        <v>1.543998157495532E-3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EINSTELLUNG!I33</f>
        <v>12</v>
      </c>
      <c r="R10" s="269"/>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12</v>
      </c>
      <c r="R11" s="269"/>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-303</v>
      </c>
      <c r="R12" s="337"/>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8039.03</v>
      </c>
      <c r="R13" s="269"/>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EINSTELLUNG!L17</f>
        <v>12</v>
      </c>
      <c r="R14" s="269"/>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67" t="s">
        <v>84</v>
      </c>
      <c r="P15" s="268"/>
      <c r="Q15" s="269">
        <f>Q13-Q14</f>
        <v>8027.03</v>
      </c>
      <c r="R15" s="26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121392.43000000001</v>
      </c>
      <c r="R17" s="273"/>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56"/>
      <c r="P19" s="257"/>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56"/>
      <c r="P20" s="257"/>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6"/>
      <c r="P23" s="257"/>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8"/>
      <c r="P25" s="259"/>
      <c r="Q25" s="260"/>
      <c r="R25" s="261"/>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row>
    <row r="28" spans="1:29" ht="16" customHeigh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39"/>
      <c r="P28" s="240"/>
      <c r="Q28" s="248"/>
      <c r="R28" s="266"/>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380" t="s">
        <v>102</v>
      </c>
      <c r="P29" s="381"/>
      <c r="Q29" s="382">
        <f>EINSTELLUNG!O17</f>
        <v>12</v>
      </c>
      <c r="R29" s="383"/>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EINSTELLUNG!C17</f>
        <v>12</v>
      </c>
      <c r="R35" s="223"/>
      <c r="S35" s="223">
        <f>EINSTELLUNG!C33</f>
        <v>12</v>
      </c>
      <c r="T35" s="223"/>
      <c r="U35" s="224">
        <f>S35-Q35</f>
        <v>0</v>
      </c>
      <c r="V35" s="224"/>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EINSTELLUNG!D17</f>
        <v>12</v>
      </c>
      <c r="R36" s="223"/>
      <c r="S36" s="227" cm="1">
        <f t="array" ref="S36">SumMergedCells(Q17:R29)</f>
        <v>126404.43</v>
      </c>
      <c r="T36" s="229"/>
      <c r="U36" s="224">
        <f t="shared" ref="U36:U41" si="2">S36-Q36</f>
        <v>126392.43</v>
      </c>
      <c r="V36" s="224"/>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10533.702499999999</v>
      </c>
      <c r="T37" s="234"/>
      <c r="U37" s="237">
        <f t="shared" si="2"/>
        <v>10532.702499999999</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2" t="s">
        <v>119</v>
      </c>
      <c r="P38" s="233"/>
      <c r="Q38" s="225">
        <f>EINSTELLUNG!F17</f>
        <v>12</v>
      </c>
      <c r="R38" s="225"/>
      <c r="S38" s="225">
        <f>EINSTELLUNG!F33</f>
        <v>12</v>
      </c>
      <c r="T38" s="22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1.4927174049605488E-3</v>
      </c>
      <c r="R40" s="223"/>
      <c r="S40" s="223">
        <f>IF(Q13=0, 0, S35/Q13)</f>
        <v>1.4927174049605488E-3</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1.4927174049605488E-3</v>
      </c>
      <c r="R41" s="225"/>
      <c r="S41" s="225">
        <f>IF(Q13=0, 0, S38/Q13)</f>
        <v>1.4927174049605488E-3</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15.619140687825448</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502000</v>
      </c>
      <c r="C55" s="137" t="s">
        <v>380</v>
      </c>
      <c r="D55" s="203">
        <v>46147</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d1HG1FlLSBTJ7U0y1oHKeiXgN1nJbou4WPdSPdDCBTECL0eZ58nUyZPtIY593IGhxUK6GELc/MNYXhsmhybHyw==" saltValue="4PcNTeYObcum/ntZGzLG5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0</v>
      </c>
      <c r="H7" s="83">
        <f>G7-F7</f>
        <v>-1</v>
      </c>
      <c r="I7" s="66">
        <f>EINSTELLUNG!E6</f>
        <v>1</v>
      </c>
      <c r="J7" s="66">
        <f>EINSTELLUNG!E22</f>
        <v>0</v>
      </c>
      <c r="K7" s="67">
        <f>J7-I7</f>
        <v>-1</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94403</v>
      </c>
      <c r="H8" s="83">
        <f>G8-F8</f>
        <v>94401</v>
      </c>
      <c r="I8" s="66">
        <f>EINSTELLUNG!E7</f>
        <v>1</v>
      </c>
      <c r="J8" s="66">
        <f>EINSTELLUNG!E23</f>
        <v>47201.5</v>
      </c>
      <c r="K8" s="67">
        <f t="shared" ref="K8:K22" si="0">J8-I8</f>
        <v>47200.5</v>
      </c>
      <c r="L8" s="65">
        <f>Februar!S40</f>
        <v>2.6907036189963677E-4</v>
      </c>
      <c r="M8" s="62">
        <f>Februar!S41</f>
        <v>2.6907036189963677E-4</v>
      </c>
      <c r="N8" s="62">
        <f>Februar!O5</f>
        <v>717.87562795652207</v>
      </c>
      <c r="O8" s="62">
        <f>Februar!P5</f>
        <v>2</v>
      </c>
      <c r="P8" s="85">
        <f t="shared" ref="P8:P23" si="1">O8-N8</f>
        <v>-715.87562795652207</v>
      </c>
      <c r="Q8" s="66">
        <f>Februar!Q31</f>
        <v>0</v>
      </c>
    </row>
    <row r="9" spans="2:18" ht="30" customHeight="1">
      <c r="B9" s="63" t="s">
        <v>188</v>
      </c>
      <c r="C9" s="65">
        <f>EINSTELLUNG!C8</f>
        <v>3</v>
      </c>
      <c r="D9" s="65">
        <f>EINSTELLUNG!C24</f>
        <v>3</v>
      </c>
      <c r="E9" s="83">
        <f>D9-C9</f>
        <v>0</v>
      </c>
      <c r="F9" s="65">
        <f>EINSTELLUNG!D8</f>
        <v>3</v>
      </c>
      <c r="G9" s="65">
        <f>Marz!$S$36</f>
        <v>96164.2258</v>
      </c>
      <c r="H9" s="83">
        <f>G9-F9</f>
        <v>96161.2258</v>
      </c>
      <c r="I9" s="66">
        <f>EINSTELLUNG!E8</f>
        <v>1</v>
      </c>
      <c r="J9" s="66">
        <f>EINSTELLUNG!E24</f>
        <v>32054.741933333335</v>
      </c>
      <c r="K9" s="67">
        <f>J9-I9</f>
        <v>32053.741933333335</v>
      </c>
      <c r="L9" s="65">
        <f>Marz!S40</f>
        <v>3.748430344793118E-4</v>
      </c>
      <c r="M9" s="62">
        <f>Marz!S41</f>
        <v>3.748430344793118E-4</v>
      </c>
      <c r="N9" s="62">
        <f>Marz!O5</f>
        <v>734.57041000202264</v>
      </c>
      <c r="O9" s="62">
        <f>Marz!P5</f>
        <v>3</v>
      </c>
      <c r="P9" s="85">
        <f t="shared" si="1"/>
        <v>-731.57041000202264</v>
      </c>
      <c r="Q9" s="66">
        <f>Marz!Q31</f>
        <v>1.9607843137254902E-2</v>
      </c>
    </row>
    <row r="10" spans="2:18" ht="30" customHeight="1">
      <c r="B10" s="68" t="s">
        <v>189</v>
      </c>
      <c r="C10" s="69">
        <f>SUM(C7:C9)</f>
        <v>6</v>
      </c>
      <c r="D10" s="69">
        <f>SUM(D7:D9)</f>
        <v>6</v>
      </c>
      <c r="E10" s="84">
        <f>D10-C10</f>
        <v>0</v>
      </c>
      <c r="F10" s="69">
        <f>SUM(F7:F9)</f>
        <v>6</v>
      </c>
      <c r="G10" s="69">
        <f>SUM(G7:G9)</f>
        <v>190567.22580000001</v>
      </c>
      <c r="H10" s="84">
        <f>G10-F10</f>
        <v>190561.22580000001</v>
      </c>
      <c r="I10" s="70">
        <f>AVERAGE(I7:I9)</f>
        <v>1</v>
      </c>
      <c r="J10" s="70">
        <f>AVERAGE(J7:J9)</f>
        <v>26418.747311111114</v>
      </c>
      <c r="K10" s="71">
        <f>J10-I10</f>
        <v>26417.747311111114</v>
      </c>
      <c r="L10" s="69">
        <f>AVERAGE(L7:L9)</f>
        <v>2.591308890160712E-4</v>
      </c>
      <c r="M10" s="64">
        <f>AVERAGE(M7:M9)</f>
        <v>2.591308890160712E-4</v>
      </c>
      <c r="N10" s="64">
        <f>SUM(N7:N9)</f>
        <v>2176.9995787332668</v>
      </c>
      <c r="O10" s="64">
        <f>SUM(O7:O9)</f>
        <v>6</v>
      </c>
      <c r="P10" s="86">
        <f t="shared" si="1"/>
        <v>-2170.9995787332668</v>
      </c>
      <c r="Q10" s="70">
        <f>AVERAGE(Q7:Q9)</f>
        <v>1.3071895424836602E-2</v>
      </c>
    </row>
    <row r="11" spans="2:18" ht="30" customHeight="1">
      <c r="B11" s="63" t="s">
        <v>190</v>
      </c>
      <c r="C11" s="65">
        <f>EINSTELLUNG!C9</f>
        <v>4</v>
      </c>
      <c r="D11" s="65">
        <f>EINSTELLUNG!C25</f>
        <v>4</v>
      </c>
      <c r="E11" s="83">
        <f t="shared" ref="E11:E21" si="2">D11-C11</f>
        <v>0</v>
      </c>
      <c r="F11" s="65">
        <f>EINSTELLUNG!D9</f>
        <v>4</v>
      </c>
      <c r="G11" s="65">
        <f>April!$S$36</f>
        <v>96830.2</v>
      </c>
      <c r="H11" s="83">
        <f>G11-F11</f>
        <v>96826.2</v>
      </c>
      <c r="I11" s="66">
        <f>EINSTELLUNG!E9</f>
        <v>1</v>
      </c>
      <c r="J11" s="66">
        <f>EINSTELLUNG!E25</f>
        <v>24207.55</v>
      </c>
      <c r="K11" s="67">
        <f t="shared" si="0"/>
        <v>24206.55</v>
      </c>
      <c r="L11" s="65">
        <f>April!S40</f>
        <v>5.0699655242344348E-4</v>
      </c>
      <c r="M11" s="62">
        <f>April!S41</f>
        <v>5.0699655242344348E-4</v>
      </c>
      <c r="N11" s="62">
        <f>April!O5</f>
        <v>742.91780102477298</v>
      </c>
      <c r="O11" s="62">
        <f>April!P5</f>
        <v>4</v>
      </c>
      <c r="P11" s="85">
        <f t="shared" si="1"/>
        <v>-738.91780102477298</v>
      </c>
      <c r="Q11" s="66">
        <f>April!Q31</f>
        <v>0</v>
      </c>
    </row>
    <row r="12" spans="2:18" ht="30" customHeight="1">
      <c r="B12" s="63" t="s">
        <v>191</v>
      </c>
      <c r="C12" s="65">
        <f>EINSTELLUNG!C10</f>
        <v>5</v>
      </c>
      <c r="D12" s="65">
        <f>EINSTELLUNG!C26</f>
        <v>5</v>
      </c>
      <c r="E12" s="83">
        <f t="shared" si="2"/>
        <v>0</v>
      </c>
      <c r="F12" s="65">
        <f>EINSTELLUNG!D10</f>
        <v>5</v>
      </c>
      <c r="G12" s="65">
        <f>Mai!$S$36</f>
        <v>133565.88709999999</v>
      </c>
      <c r="H12" s="83">
        <f t="shared" ref="H12:H23" si="3">G12-F12</f>
        <v>133560.88709999999</v>
      </c>
      <c r="I12" s="66">
        <f>EINSTELLUNG!E10</f>
        <v>1</v>
      </c>
      <c r="J12" s="66">
        <f>EINSTELLUNG!E26</f>
        <v>26713.17742</v>
      </c>
      <c r="K12" s="67">
        <f t="shared" si="0"/>
        <v>26712.17742</v>
      </c>
      <c r="L12" s="65">
        <f>Mai!S40</f>
        <v>6.2444034534048861E-4</v>
      </c>
      <c r="M12" s="62">
        <f>Mai!S41</f>
        <v>6.2444034534048861E-4</v>
      </c>
      <c r="N12" s="62">
        <f>Mai!O5</f>
        <v>776.30736511577413</v>
      </c>
      <c r="O12" s="62">
        <f>Mai!P5</f>
        <v>5</v>
      </c>
      <c r="P12" s="85">
        <f t="shared" si="1"/>
        <v>-771.30736511577413</v>
      </c>
      <c r="Q12" s="66">
        <f>Mai!Q31</f>
        <v>0</v>
      </c>
    </row>
    <row r="13" spans="2:18" ht="30" customHeight="1">
      <c r="B13" s="63" t="s">
        <v>192</v>
      </c>
      <c r="C13" s="65">
        <f>EINSTELLUNG!C11</f>
        <v>6</v>
      </c>
      <c r="D13" s="65">
        <f>EINSTELLUNG!C27</f>
        <v>6</v>
      </c>
      <c r="E13" s="83">
        <f t="shared" si="2"/>
        <v>0</v>
      </c>
      <c r="F13" s="65">
        <f>EINSTELLUNG!D11</f>
        <v>6</v>
      </c>
      <c r="G13" s="65">
        <f>Juni!$S$36</f>
        <v>134018.5</v>
      </c>
      <c r="H13" s="83">
        <f t="shared" si="3"/>
        <v>134012.5</v>
      </c>
      <c r="I13" s="66">
        <f>EINSTELLUNG!E11</f>
        <v>1</v>
      </c>
      <c r="J13" s="66">
        <f>EINSTELLUNG!E27</f>
        <v>22336.416666666668</v>
      </c>
      <c r="K13" s="67">
        <f t="shared" si="0"/>
        <v>22335.416666666668</v>
      </c>
      <c r="L13" s="65">
        <f>Juni!S40</f>
        <v>1.3574660633484163E-2</v>
      </c>
      <c r="M13" s="62">
        <f>Juni!S41</f>
        <v>1.3574660633484163E-2</v>
      </c>
      <c r="N13" s="62">
        <f>Juni!O5</f>
        <v>776.30736511577413</v>
      </c>
      <c r="O13" s="62">
        <f>Juni!P5</f>
        <v>6</v>
      </c>
      <c r="P13" s="85">
        <f t="shared" si="1"/>
        <v>-770.30736511577413</v>
      </c>
      <c r="Q13" s="66">
        <f>Juni!Q31</f>
        <v>0</v>
      </c>
    </row>
    <row r="14" spans="2:18" ht="30" customHeight="1">
      <c r="B14" s="68" t="s">
        <v>193</v>
      </c>
      <c r="C14" s="69">
        <f>SUM(C11:C13)</f>
        <v>15</v>
      </c>
      <c r="D14" s="69">
        <f>SUM(D11:D13)</f>
        <v>15</v>
      </c>
      <c r="E14" s="84">
        <f t="shared" si="2"/>
        <v>0</v>
      </c>
      <c r="F14" s="69">
        <f>SUM(F11:F13)</f>
        <v>15</v>
      </c>
      <c r="G14" s="69">
        <f>SUM(G11:G13)</f>
        <v>364414.5871</v>
      </c>
      <c r="H14" s="84">
        <f t="shared" si="3"/>
        <v>364399.5871</v>
      </c>
      <c r="I14" s="70">
        <f>AVERAGE(I11:I13)</f>
        <v>1</v>
      </c>
      <c r="J14" s="70">
        <f>AVERAGE(J11:J13)</f>
        <v>24419.04802888889</v>
      </c>
      <c r="K14" s="71">
        <f t="shared" si="0"/>
        <v>24418.04802888889</v>
      </c>
      <c r="L14" s="69">
        <f>AVERAGE(L11:L13)</f>
        <v>4.9020325104160321E-3</v>
      </c>
      <c r="M14" s="64">
        <f>AVERAGE(M11:M13)</f>
        <v>4.9020325104160321E-3</v>
      </c>
      <c r="N14" s="64">
        <f>SUM(N11:N13)</f>
        <v>2295.5325312563214</v>
      </c>
      <c r="O14" s="64">
        <f>SUM(O11:O13)</f>
        <v>15</v>
      </c>
      <c r="P14" s="86">
        <f t="shared" si="1"/>
        <v>-2280.5325312563214</v>
      </c>
      <c r="Q14" s="70">
        <f>AVERAGE(Q11:Q13)</f>
        <v>0</v>
      </c>
    </row>
    <row r="15" spans="2:18" ht="30" customHeight="1">
      <c r="B15" s="63" t="s">
        <v>194</v>
      </c>
      <c r="C15" s="65">
        <f>EINSTELLUNG!C12</f>
        <v>7</v>
      </c>
      <c r="D15" s="65">
        <f>EINSTELLUNG!C28</f>
        <v>7</v>
      </c>
      <c r="E15" s="83">
        <f t="shared" si="2"/>
        <v>0</v>
      </c>
      <c r="F15" s="65">
        <f>EINSTELLUNG!D12</f>
        <v>7</v>
      </c>
      <c r="G15" s="65">
        <f>Juli!$S$36</f>
        <v>127763.6</v>
      </c>
      <c r="H15" s="83">
        <f t="shared" si="3"/>
        <v>127756.6</v>
      </c>
      <c r="I15" s="66">
        <f>EINSTELLUNG!E12</f>
        <v>1</v>
      </c>
      <c r="J15" s="66">
        <f>EINSTELLUNG!E28</f>
        <v>18251.942857142858</v>
      </c>
      <c r="K15" s="67">
        <f t="shared" si="0"/>
        <v>18250.942857142858</v>
      </c>
      <c r="L15" s="65">
        <f>Juli!S40</f>
        <v>8.9413447782546506E-4</v>
      </c>
      <c r="M15" s="62">
        <f>Juli!S41</f>
        <v>8.9413447782546506E-4</v>
      </c>
      <c r="N15" s="62">
        <f>Juli!O5</f>
        <v>761.28206127482338</v>
      </c>
      <c r="O15" s="62">
        <f>Juli!P5</f>
        <v>7</v>
      </c>
      <c r="P15" s="85">
        <f t="shared" si="1"/>
        <v>-754.28206127482338</v>
      </c>
      <c r="Q15" s="66">
        <f>Juli!Q31</f>
        <v>0</v>
      </c>
    </row>
    <row r="16" spans="2:18" ht="30" customHeight="1">
      <c r="B16" s="63" t="s">
        <v>195</v>
      </c>
      <c r="C16" s="65">
        <f>EINSTELLUNG!C13</f>
        <v>8</v>
      </c>
      <c r="D16" s="65">
        <f>EINSTELLUNG!C29</f>
        <v>8</v>
      </c>
      <c r="E16" s="83">
        <f t="shared" si="2"/>
        <v>0</v>
      </c>
      <c r="F16" s="65">
        <f>EINSTELLUNG!D13</f>
        <v>8</v>
      </c>
      <c r="G16" s="65">
        <f>August!$S$36</f>
        <v>126889.38159999999</v>
      </c>
      <c r="H16" s="83">
        <f t="shared" si="3"/>
        <v>126881.38159999999</v>
      </c>
      <c r="I16" s="66">
        <f>EINSTELLUNG!E13</f>
        <v>1</v>
      </c>
      <c r="J16" s="66">
        <f>EINSTELLUNG!E29</f>
        <v>15861.172699999999</v>
      </c>
      <c r="K16" s="67">
        <f t="shared" si="0"/>
        <v>15860.172699999999</v>
      </c>
      <c r="L16" s="65">
        <f>August!S40</f>
        <v>1.0269734578709814E-3</v>
      </c>
      <c r="M16" s="62">
        <f>August!S41</f>
        <v>1.0269734578709814E-3</v>
      </c>
      <c r="N16" s="62">
        <f>August!O5</f>
        <v>758.36095692501249</v>
      </c>
      <c r="O16" s="62">
        <f>August!P5</f>
        <v>8</v>
      </c>
      <c r="P16" s="85">
        <f t="shared" si="1"/>
        <v>-750.36095692501249</v>
      </c>
      <c r="Q16" s="66">
        <f>August!Q31</f>
        <v>1.8867924528301886E-2</v>
      </c>
    </row>
    <row r="17" spans="2:17" ht="30" customHeight="1">
      <c r="B17" s="63" t="s">
        <v>196</v>
      </c>
      <c r="C17" s="65">
        <f>EINSTELLUNG!C14</f>
        <v>9</v>
      </c>
      <c r="D17" s="65">
        <f>EINSTELLUNG!C30</f>
        <v>9</v>
      </c>
      <c r="E17" s="83">
        <f t="shared" si="2"/>
        <v>0</v>
      </c>
      <c r="F17" s="65">
        <f>EINSTELLUNG!D14</f>
        <v>9</v>
      </c>
      <c r="G17" s="65">
        <f>September!$S$36</f>
        <v>126401.43</v>
      </c>
      <c r="H17" s="83">
        <f t="shared" si="3"/>
        <v>126392.43</v>
      </c>
      <c r="I17" s="66">
        <f>EINSTELLUNG!E14</f>
        <v>1</v>
      </c>
      <c r="J17" s="66">
        <f>EINSTELLUNG!E30</f>
        <v>14044.603333333333</v>
      </c>
      <c r="K17" s="67">
        <f t="shared" si="0"/>
        <v>14043.603333333333</v>
      </c>
      <c r="L17" s="65">
        <f>September!S40</f>
        <v>1.1876437543794365E-3</v>
      </c>
      <c r="M17" s="62">
        <f>September!S41</f>
        <v>1.1876437543794365E-3</v>
      </c>
      <c r="N17" s="62">
        <f>September!O5</f>
        <v>750.01356590226226</v>
      </c>
      <c r="O17" s="62">
        <f>September!P5</f>
        <v>9</v>
      </c>
      <c r="P17" s="85">
        <f t="shared" si="1"/>
        <v>-741.01356590226226</v>
      </c>
      <c r="Q17" s="66">
        <f>September!Q31</f>
        <v>0</v>
      </c>
    </row>
    <row r="18" spans="2:17" ht="30" customHeight="1">
      <c r="B18" s="68" t="s">
        <v>197</v>
      </c>
      <c r="C18" s="69">
        <f>SUM(C15:C17)</f>
        <v>24</v>
      </c>
      <c r="D18" s="69">
        <f>SUM(D15:D17)</f>
        <v>24</v>
      </c>
      <c r="E18" s="84">
        <f>D18-C18</f>
        <v>0</v>
      </c>
      <c r="F18" s="69">
        <f>SUM(F15:F17)</f>
        <v>24</v>
      </c>
      <c r="G18" s="69">
        <f>SUM(G15:G17)</f>
        <v>381054.41159999999</v>
      </c>
      <c r="H18" s="84">
        <f t="shared" si="3"/>
        <v>381030.41159999999</v>
      </c>
      <c r="I18" s="70">
        <f>AVERAGE(I15:I17)</f>
        <v>1</v>
      </c>
      <c r="J18" s="70">
        <f>AVERAGE(J15:J17)</f>
        <v>16052.572963492063</v>
      </c>
      <c r="K18" s="71">
        <f t="shared" si="0"/>
        <v>16051.572963492063</v>
      </c>
      <c r="L18" s="69">
        <f>AVERAGE(L15:L17)</f>
        <v>1.0362505633586276E-3</v>
      </c>
      <c r="M18" s="64">
        <f>AVERAGE(M15:M17)</f>
        <v>1.0362505633586276E-3</v>
      </c>
      <c r="N18" s="64">
        <f>SUM(N15:N17)</f>
        <v>2269.6565841020979</v>
      </c>
      <c r="O18" s="64">
        <f>SUM(O15:O17)</f>
        <v>24</v>
      </c>
      <c r="P18" s="86">
        <f t="shared" si="1"/>
        <v>-2245.6565841020979</v>
      </c>
      <c r="Q18" s="70">
        <f>AVERAGE(Q15:Q17)</f>
        <v>6.2893081761006284E-3</v>
      </c>
    </row>
    <row r="19" spans="2:17" ht="30" customHeight="1">
      <c r="B19" s="63" t="s">
        <v>198</v>
      </c>
      <c r="C19" s="65">
        <f>EINSTELLUNG!C15</f>
        <v>10</v>
      </c>
      <c r="D19" s="65">
        <f>EINSTELLUNG!C31</f>
        <v>10</v>
      </c>
      <c r="E19" s="83">
        <f>D19-C19</f>
        <v>0</v>
      </c>
      <c r="F19" s="65">
        <f>EINSTELLUNG!D15</f>
        <v>10</v>
      </c>
      <c r="G19" s="65">
        <f>Oktober!$S$36</f>
        <v>126402.43</v>
      </c>
      <c r="H19" s="83">
        <f t="shared" si="3"/>
        <v>126392.43</v>
      </c>
      <c r="I19" s="66">
        <f>EINSTELLUNG!E15</f>
        <v>1</v>
      </c>
      <c r="J19" s="66">
        <f>EINSTELLUNG!E31</f>
        <v>12640.242999999999</v>
      </c>
      <c r="K19" s="67">
        <f t="shared" si="0"/>
        <v>12639.242999999999</v>
      </c>
      <c r="L19" s="65">
        <f>Oktober!S40</f>
        <v>1.2717743668789259E-3</v>
      </c>
      <c r="M19" s="62">
        <f>Oktober!S41</f>
        <v>1.2717743668789259E-3</v>
      </c>
      <c r="N19" s="62">
        <f>Oktober!O5</f>
        <v>750.01356590226226</v>
      </c>
      <c r="O19" s="62">
        <f>Oktober!P5</f>
        <v>10</v>
      </c>
      <c r="P19" s="85">
        <f t="shared" si="1"/>
        <v>-740.01356590226226</v>
      </c>
      <c r="Q19" s="66">
        <f>Oktober!Q31</f>
        <v>0</v>
      </c>
    </row>
    <row r="20" spans="2:17" ht="30" customHeight="1">
      <c r="B20" s="63" t="s">
        <v>199</v>
      </c>
      <c r="C20" s="65">
        <f>EINSTELLUNG!C16</f>
        <v>11</v>
      </c>
      <c r="D20" s="65">
        <f>EINSTELLUNG!C32</f>
        <v>11</v>
      </c>
      <c r="E20" s="83">
        <f>D20-C20</f>
        <v>0</v>
      </c>
      <c r="F20" s="65">
        <f>EINSTELLUNG!D16</f>
        <v>11</v>
      </c>
      <c r="G20" s="65">
        <f>November!$S$36</f>
        <v>126403.43</v>
      </c>
      <c r="H20" s="83">
        <f t="shared" si="3"/>
        <v>126392.43</v>
      </c>
      <c r="I20" s="66">
        <f>EINSTELLUNG!E16</f>
        <v>1</v>
      </c>
      <c r="J20" s="66">
        <f>EINSTELLUNG!E32</f>
        <v>11491.220909090909</v>
      </c>
      <c r="K20" s="67">
        <f t="shared" si="0"/>
        <v>11490.220909090909</v>
      </c>
      <c r="L20" s="65">
        <f>November!S40</f>
        <v>1.4213667604338011E-3</v>
      </c>
      <c r="M20" s="62">
        <f>November!S41</f>
        <v>1.4213667604338011E-3</v>
      </c>
      <c r="N20" s="62">
        <f>November!O5</f>
        <v>750.01356590226226</v>
      </c>
      <c r="O20" s="62">
        <f>November!P5</f>
        <v>11</v>
      </c>
      <c r="P20" s="85">
        <f t="shared" si="1"/>
        <v>-739.01356590226226</v>
      </c>
      <c r="Q20" s="66">
        <f>November!Q31</f>
        <v>0</v>
      </c>
    </row>
    <row r="21" spans="2:17" ht="30" customHeight="1">
      <c r="B21" s="63" t="s">
        <v>200</v>
      </c>
      <c r="C21" s="65">
        <f>EINSTELLUNG!C17</f>
        <v>12</v>
      </c>
      <c r="D21" s="65">
        <f>EINSTELLUNG!C33</f>
        <v>12</v>
      </c>
      <c r="E21" s="83">
        <f t="shared" si="2"/>
        <v>0</v>
      </c>
      <c r="F21" s="65">
        <f>EINSTELLUNG!D17</f>
        <v>12</v>
      </c>
      <c r="G21" s="65">
        <f>Dezember!$S$36</f>
        <v>126404.43</v>
      </c>
      <c r="H21" s="83">
        <f t="shared" si="3"/>
        <v>126392.43</v>
      </c>
      <c r="I21" s="66">
        <f>EINSTELLUNG!E17</f>
        <v>1</v>
      </c>
      <c r="J21" s="66">
        <f>EINSTELLUNG!E33</f>
        <v>10533.702499999999</v>
      </c>
      <c r="K21" s="67">
        <f t="shared" si="0"/>
        <v>10532.702499999999</v>
      </c>
      <c r="L21" s="65">
        <f>Dezember!S40</f>
        <v>1.4927174049605488E-3</v>
      </c>
      <c r="M21" s="62">
        <f>Dezember!S41</f>
        <v>1.4927174049605488E-3</v>
      </c>
      <c r="N21" s="62">
        <f>Dezember!O5</f>
        <v>750.01356590226226</v>
      </c>
      <c r="O21" s="72">
        <f>Dezember!P5</f>
        <v>12</v>
      </c>
      <c r="P21" s="85">
        <f t="shared" si="1"/>
        <v>-738.01356590226226</v>
      </c>
      <c r="Q21" s="66">
        <f>Dezember!Q31</f>
        <v>0</v>
      </c>
    </row>
    <row r="22" spans="2:17" ht="30" customHeight="1">
      <c r="B22" s="68" t="s">
        <v>201</v>
      </c>
      <c r="C22" s="69">
        <f>SUM(C19:C21)</f>
        <v>33</v>
      </c>
      <c r="D22" s="69">
        <f>SUM(D19:D21)</f>
        <v>33</v>
      </c>
      <c r="E22" s="84">
        <f>D22-C22</f>
        <v>0</v>
      </c>
      <c r="F22" s="69">
        <f>SUM(F19:F21)</f>
        <v>33</v>
      </c>
      <c r="G22" s="69">
        <f>SUM(G19:G21)</f>
        <v>379210.29</v>
      </c>
      <c r="H22" s="84">
        <f t="shared" si="3"/>
        <v>379177.29</v>
      </c>
      <c r="I22" s="70">
        <f>AVERAGE(I19:I21)</f>
        <v>1</v>
      </c>
      <c r="J22" s="70">
        <f>AVERAGE(J19:J21)</f>
        <v>11555.055469696968</v>
      </c>
      <c r="K22" s="71">
        <f t="shared" si="0"/>
        <v>11554.055469696968</v>
      </c>
      <c r="L22" s="69">
        <f>AVERAGE(L19:L21)</f>
        <v>1.3952861774244251E-3</v>
      </c>
      <c r="M22" s="64">
        <f>AVERAGE(M19:M21)</f>
        <v>1.3952861774244251E-3</v>
      </c>
      <c r="N22" s="64">
        <f>SUM(N19:N21)</f>
        <v>2250.0406977067869</v>
      </c>
      <c r="O22" s="64">
        <f>SUM(O19:O21)</f>
        <v>33</v>
      </c>
      <c r="P22" s="86">
        <f>O22-N22</f>
        <v>-2217.0406977067869</v>
      </c>
      <c r="Q22" s="70">
        <f>AVERAGE(Q19:Q21)</f>
        <v>0</v>
      </c>
    </row>
    <row r="23" spans="2:17" ht="30" customHeight="1">
      <c r="B23" s="73">
        <f>LOHNTABELLE!G3</f>
        <v>2026</v>
      </c>
      <c r="C23" s="74">
        <f>SUM(C10,C14,C18,C22)</f>
        <v>78</v>
      </c>
      <c r="D23" s="74">
        <f>SUM(D10,D14,D18,D22)</f>
        <v>78</v>
      </c>
      <c r="E23" s="84">
        <f>D23-C23</f>
        <v>0</v>
      </c>
      <c r="F23" s="74">
        <f>SUM(F10,F14,F18,F22)</f>
        <v>78</v>
      </c>
      <c r="G23" s="74">
        <f>SUM(G10,G14,G18,G22)</f>
        <v>1315246.5145</v>
      </c>
      <c r="H23" s="84">
        <f t="shared" si="3"/>
        <v>1315168.5145</v>
      </c>
      <c r="I23" s="75">
        <f>AVERAGE(I10,I14,I18,I22)</f>
        <v>1</v>
      </c>
      <c r="J23" s="75">
        <f>AVERAGE(J10,J14,J18,J22)</f>
        <v>19611.355943297258</v>
      </c>
      <c r="K23" s="71">
        <f>J23-I23</f>
        <v>19610.355943297258</v>
      </c>
      <c r="L23" s="74">
        <f>AVERAGE(L22,L18,L14,L10)</f>
        <v>1.8981750350537891E-3</v>
      </c>
      <c r="M23" s="76">
        <f>AVERAGE(M10,M14,M18,M22)</f>
        <v>1.8981750350537891E-3</v>
      </c>
      <c r="N23" s="76">
        <f>SUM(N10,N14,N18,N22)</f>
        <v>8992.2293917984734</v>
      </c>
      <c r="O23" s="76">
        <f>SUM(O10,O14,O18,O22)</f>
        <v>78</v>
      </c>
      <c r="P23" s="86">
        <f t="shared" si="1"/>
        <v>-8914.2293917984734</v>
      </c>
      <c r="Q23" s="75">
        <f>AVERAGE(Q22,Q18,Q14,Q10)</f>
        <v>4.8403009002343077E-3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2" t="s">
        <v>237</v>
      </c>
      <c r="B1" s="393"/>
      <c r="C1" s="393"/>
      <c r="D1" s="393"/>
      <c r="E1" s="393"/>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4" t="s">
        <v>246</v>
      </c>
      <c r="B4" s="395"/>
      <c r="C4" s="395"/>
      <c r="D4" s="395"/>
      <c r="E4" s="395"/>
      <c r="F4" s="219"/>
      <c r="G4" s="219"/>
      <c r="H4" s="219"/>
      <c r="I4" s="219"/>
      <c r="J4" s="219"/>
      <c r="K4" s="219"/>
      <c r="L4" s="219"/>
    </row>
    <row r="5" spans="1:12" ht="42" customHeight="1">
      <c r="A5" s="396" t="s">
        <v>349</v>
      </c>
      <c r="B5" s="396"/>
      <c r="C5" s="396"/>
      <c r="D5" s="396"/>
      <c r="E5" s="396"/>
      <c r="F5" s="219"/>
      <c r="G5" s="219"/>
      <c r="H5" s="219"/>
      <c r="I5" s="219"/>
      <c r="J5" s="219"/>
      <c r="K5" s="219"/>
      <c r="L5" s="219"/>
    </row>
    <row r="6" spans="1:12" ht="42" customHeight="1">
      <c r="A6" s="396"/>
      <c r="B6" s="396"/>
      <c r="C6" s="396"/>
      <c r="D6" s="396"/>
      <c r="E6" s="396"/>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7" t="s">
        <v>247</v>
      </c>
      <c r="D9" s="397"/>
      <c r="E9" s="397"/>
      <c r="F9" s="219"/>
      <c r="G9" s="219"/>
      <c r="H9" s="219"/>
      <c r="I9" s="219"/>
      <c r="J9" s="219"/>
      <c r="K9" s="219"/>
      <c r="L9" s="219"/>
    </row>
    <row r="10" spans="1:12" ht="15" customHeight="1">
      <c r="A10" s="222" t="s">
        <v>258</v>
      </c>
      <c r="B10" s="217">
        <v>3.8610038610038609E-2</v>
      </c>
      <c r="C10" s="397" t="s">
        <v>259</v>
      </c>
      <c r="D10" s="397"/>
      <c r="E10" s="397"/>
      <c r="F10" s="219"/>
      <c r="G10" s="219"/>
      <c r="H10" s="219"/>
      <c r="I10" s="219"/>
      <c r="J10" s="219"/>
      <c r="K10" s="219"/>
      <c r="L10" s="219"/>
    </row>
    <row r="11" spans="1:12" ht="15" customHeight="1">
      <c r="A11" s="222" t="s">
        <v>244</v>
      </c>
      <c r="B11" s="218">
        <v>2.125</v>
      </c>
      <c r="C11" s="397" t="s">
        <v>351</v>
      </c>
      <c r="D11" s="397"/>
      <c r="E11" s="397"/>
      <c r="F11" s="219"/>
      <c r="G11" s="219"/>
      <c r="H11" s="219"/>
      <c r="I11" s="219"/>
      <c r="J11" s="219"/>
      <c r="K11" s="219"/>
      <c r="L11" s="219"/>
    </row>
    <row r="12" spans="1:12" ht="15" customHeight="1">
      <c r="A12" s="222" t="s">
        <v>314</v>
      </c>
      <c r="B12" s="218">
        <v>0.70833333333333337</v>
      </c>
      <c r="C12" s="397" t="s">
        <v>248</v>
      </c>
      <c r="D12" s="397"/>
      <c r="E12" s="397"/>
      <c r="F12" s="219"/>
      <c r="G12" s="219"/>
      <c r="H12" s="219"/>
      <c r="I12" s="219"/>
      <c r="J12" s="219"/>
      <c r="K12" s="219"/>
      <c r="L12" s="219"/>
    </row>
    <row r="13" spans="1:12" ht="15" customHeight="1">
      <c r="A13" s="222" t="s">
        <v>249</v>
      </c>
      <c r="B13" s="210">
        <v>1</v>
      </c>
      <c r="C13" s="397" t="s">
        <v>250</v>
      </c>
      <c r="D13" s="397"/>
      <c r="E13" s="397"/>
      <c r="F13" s="219"/>
      <c r="G13" s="219"/>
      <c r="H13" s="219"/>
      <c r="I13" s="219"/>
      <c r="J13" s="219"/>
      <c r="K13" s="219"/>
      <c r="L13" s="219"/>
    </row>
    <row r="14" spans="1:12" ht="15" customHeight="1">
      <c r="A14" s="222" t="s">
        <v>245</v>
      </c>
      <c r="B14" s="210">
        <v>0</v>
      </c>
      <c r="C14" s="397" t="s">
        <v>251</v>
      </c>
      <c r="D14" s="397"/>
      <c r="E14" s="397"/>
      <c r="F14" s="219"/>
      <c r="G14" s="219"/>
      <c r="H14" s="219"/>
      <c r="I14" s="219"/>
      <c r="J14" s="219"/>
      <c r="K14" s="219"/>
      <c r="L14" s="219"/>
    </row>
    <row r="15" spans="1:12" ht="15" customHeight="1">
      <c r="A15" s="222" t="s">
        <v>252</v>
      </c>
      <c r="B15" s="210">
        <v>1</v>
      </c>
      <c r="C15" s="397" t="s">
        <v>352</v>
      </c>
      <c r="D15" s="397"/>
      <c r="E15" s="397"/>
      <c r="F15" s="219"/>
      <c r="G15" s="219"/>
      <c r="H15" s="219"/>
      <c r="I15" s="219"/>
      <c r="J15" s="219"/>
      <c r="K15" s="219"/>
      <c r="L15" s="219"/>
    </row>
    <row r="16" spans="1:12" ht="15" customHeight="1">
      <c r="A16" s="222" t="s">
        <v>242</v>
      </c>
      <c r="B16" s="210">
        <v>0</v>
      </c>
      <c r="C16" s="397" t="s">
        <v>353</v>
      </c>
      <c r="D16" s="397"/>
      <c r="E16" s="397"/>
      <c r="F16" s="219"/>
      <c r="G16" s="219"/>
      <c r="H16" s="219"/>
      <c r="I16" s="219"/>
      <c r="J16" s="219"/>
      <c r="K16" s="219"/>
      <c r="L16" s="219"/>
    </row>
    <row r="17" spans="1:12" ht="15" customHeight="1">
      <c r="A17" s="222" t="s">
        <v>354</v>
      </c>
      <c r="B17" s="210">
        <v>0</v>
      </c>
      <c r="C17" s="397" t="s">
        <v>315</v>
      </c>
      <c r="D17" s="397"/>
      <c r="E17" s="397"/>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89" t="s">
        <v>253</v>
      </c>
      <c r="B21" s="391" t="s">
        <v>368</v>
      </c>
      <c r="C21" s="391"/>
      <c r="D21" s="391"/>
      <c r="E21" s="391"/>
      <c r="F21" s="219"/>
      <c r="G21" s="219"/>
      <c r="H21" s="219"/>
      <c r="I21" s="219"/>
      <c r="J21" s="219"/>
      <c r="K21" s="219"/>
      <c r="L21" s="219"/>
    </row>
    <row r="22" spans="1:12" ht="48" customHeight="1">
      <c r="A22" s="390"/>
      <c r="B22" s="391"/>
      <c r="C22" s="391"/>
      <c r="D22" s="391"/>
      <c r="E22" s="391"/>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8" t="s">
        <v>356</v>
      </c>
      <c r="B25" s="393"/>
      <c r="C25" s="393"/>
      <c r="D25" s="393"/>
      <c r="E25" s="393"/>
      <c r="F25" s="393"/>
      <c r="G25" s="393"/>
      <c r="H25" s="393"/>
      <c r="I25" s="393"/>
      <c r="J25" s="393"/>
      <c r="K25" s="393"/>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7" t="s">
        <v>319</v>
      </c>
      <c r="J28" s="397"/>
      <c r="K28" s="397"/>
      <c r="L28" s="219"/>
    </row>
    <row r="29" spans="1:12" ht="42" customHeight="1">
      <c r="A29" s="214" t="s">
        <v>371</v>
      </c>
      <c r="B29" s="214">
        <v>1</v>
      </c>
      <c r="C29" s="215">
        <v>1.9607843137254902E-2</v>
      </c>
      <c r="D29" s="216">
        <v>0.5</v>
      </c>
      <c r="E29" s="216">
        <v>0.5</v>
      </c>
      <c r="F29" s="214">
        <v>1</v>
      </c>
      <c r="G29" s="214">
        <v>0</v>
      </c>
      <c r="H29" s="211" t="s">
        <v>374</v>
      </c>
      <c r="I29" s="397" t="s">
        <v>375</v>
      </c>
      <c r="J29" s="397"/>
      <c r="K29" s="397"/>
      <c r="L29" s="219"/>
    </row>
    <row r="30" spans="1:12" ht="42" customHeight="1">
      <c r="A30" s="214" t="s">
        <v>195</v>
      </c>
      <c r="B30" s="214">
        <v>1</v>
      </c>
      <c r="C30" s="215">
        <v>1.8867924528301886E-2</v>
      </c>
      <c r="D30" s="216">
        <v>1</v>
      </c>
      <c r="E30" s="216">
        <v>1</v>
      </c>
      <c r="F30" s="214">
        <v>0</v>
      </c>
      <c r="G30" s="214">
        <v>1</v>
      </c>
      <c r="H30" s="211" t="s">
        <v>374</v>
      </c>
      <c r="I30" s="397" t="s">
        <v>378</v>
      </c>
      <c r="J30" s="397"/>
      <c r="K30" s="397"/>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9" t="s">
        <v>359</v>
      </c>
      <c r="B34" s="390"/>
      <c r="C34" s="390"/>
      <c r="D34" s="390"/>
      <c r="E34" s="390"/>
      <c r="F34" s="219"/>
      <c r="G34" s="219"/>
      <c r="H34" s="219"/>
      <c r="I34" s="219"/>
      <c r="J34" s="219"/>
      <c r="K34" s="219"/>
      <c r="L34" s="219"/>
    </row>
    <row r="35" spans="1:12" ht="38" customHeight="1">
      <c r="A35" s="221" t="s">
        <v>258</v>
      </c>
      <c r="B35" s="391" t="s">
        <v>261</v>
      </c>
      <c r="C35" s="391"/>
      <c r="D35" s="391"/>
      <c r="E35" s="391"/>
      <c r="F35" s="219"/>
      <c r="G35" s="219"/>
      <c r="H35" s="219"/>
      <c r="I35" s="219"/>
      <c r="J35" s="219"/>
      <c r="K35" s="219"/>
      <c r="L35" s="219"/>
    </row>
    <row r="36" spans="1:12" ht="38" customHeight="1">
      <c r="A36" s="221" t="s">
        <v>244</v>
      </c>
      <c r="B36" s="391" t="s">
        <v>360</v>
      </c>
      <c r="C36" s="391"/>
      <c r="D36" s="391"/>
      <c r="E36" s="391"/>
      <c r="F36" s="219"/>
      <c r="G36" s="219"/>
      <c r="H36" s="219"/>
      <c r="I36" s="219"/>
      <c r="J36" s="219"/>
      <c r="K36" s="219"/>
      <c r="L36" s="219"/>
    </row>
    <row r="37" spans="1:12" ht="38" customHeight="1">
      <c r="A37" s="221" t="s">
        <v>314</v>
      </c>
      <c r="B37" s="391" t="s">
        <v>361</v>
      </c>
      <c r="C37" s="391"/>
      <c r="D37" s="391"/>
      <c r="E37" s="391"/>
      <c r="F37" s="219"/>
      <c r="G37" s="219"/>
      <c r="H37" s="219"/>
      <c r="I37" s="219"/>
      <c r="J37" s="219"/>
      <c r="K37" s="219"/>
      <c r="L37" s="219"/>
    </row>
    <row r="38" spans="1:12" ht="38" customHeight="1">
      <c r="A38" s="221" t="s">
        <v>256</v>
      </c>
      <c r="B38" s="391" t="s">
        <v>362</v>
      </c>
      <c r="C38" s="391"/>
      <c r="D38" s="391"/>
      <c r="E38" s="391"/>
      <c r="F38" s="219"/>
      <c r="G38" s="219"/>
      <c r="H38" s="219"/>
      <c r="I38" s="219"/>
      <c r="J38" s="219"/>
      <c r="K38" s="219"/>
      <c r="L38" s="219"/>
    </row>
    <row r="39" spans="1:12" ht="38" customHeight="1">
      <c r="A39" s="221" t="s">
        <v>245</v>
      </c>
      <c r="B39" s="391" t="s">
        <v>363</v>
      </c>
      <c r="C39" s="391"/>
      <c r="D39" s="391"/>
      <c r="E39" s="391"/>
      <c r="F39" s="219"/>
      <c r="G39" s="219"/>
      <c r="H39" s="219"/>
      <c r="I39" s="219"/>
      <c r="J39" s="219"/>
      <c r="K39" s="219"/>
      <c r="L39" s="219"/>
    </row>
    <row r="40" spans="1:12" ht="38" customHeight="1">
      <c r="A40" s="221" t="s">
        <v>257</v>
      </c>
      <c r="B40" s="391" t="s">
        <v>364</v>
      </c>
      <c r="C40" s="391"/>
      <c r="D40" s="391"/>
      <c r="E40" s="391"/>
      <c r="F40" s="219"/>
      <c r="G40" s="219"/>
      <c r="H40" s="219"/>
      <c r="I40" s="219"/>
      <c r="J40" s="219"/>
      <c r="K40" s="219"/>
      <c r="L40" s="219"/>
    </row>
    <row r="41" spans="1:12" ht="38" customHeight="1">
      <c r="A41" s="221" t="s">
        <v>254</v>
      </c>
      <c r="B41" s="391" t="s">
        <v>365</v>
      </c>
      <c r="C41" s="391"/>
      <c r="D41" s="391"/>
      <c r="E41" s="391"/>
      <c r="F41" s="219"/>
      <c r="G41" s="219"/>
      <c r="H41" s="219"/>
      <c r="I41" s="219"/>
      <c r="J41" s="219"/>
      <c r="K41" s="219"/>
      <c r="L41" s="219"/>
    </row>
    <row r="42" spans="1:12" ht="38" customHeight="1">
      <c r="A42" s="221" t="s">
        <v>366</v>
      </c>
      <c r="B42" s="391" t="s">
        <v>367</v>
      </c>
      <c r="C42" s="391"/>
      <c r="D42" s="391"/>
      <c r="E42" s="391"/>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B42:E42"/>
    <mergeCell ref="A25:K25"/>
    <mergeCell ref="A34:E34"/>
    <mergeCell ref="B41:E41"/>
    <mergeCell ref="I28:K28"/>
    <mergeCell ref="I29:K29"/>
    <mergeCell ref="I30:K30"/>
    <mergeCell ref="B39:E39"/>
    <mergeCell ref="B40:E40"/>
    <mergeCell ref="B37:E37"/>
    <mergeCell ref="B38:E38"/>
    <mergeCell ref="B35:E35"/>
    <mergeCell ref="B36:E36"/>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IX13"/>
  <sheetViews>
    <sheetView workbookViewId="0"/>
  </sheetViews>
  <sheetFormatPr baseColWidth="10" defaultRowHeight="15"/>
  <sheetData>
    <row r="1" spans="1:934">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J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row>
    <row r="2" spans="1:934">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J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row>
    <row r="3" spans="1:934">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J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row>
    <row r="4" spans="1:934">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J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row>
    <row r="5" spans="1:934">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J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row>
    <row r="6" spans="1:934">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J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row>
    <row r="7" spans="1:934">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J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row>
    <row r="8" spans="1:934">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J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row>
    <row r="9" spans="1:934">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J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row>
    <row r="10" spans="1:934">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J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row>
    <row r="11" spans="1:934">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J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row>
    <row r="12" spans="1:934">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J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row>
    <row r="13" spans="1:934">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J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row>
  </sheetData>
  <sheetProtection algorithmName="SHA-512" hashValue="V/IHqGRF4cipFZqiIVynNHH8qT7QDPNLMh2OzR6I2yKdtv3XBd0AtH7s+WKpflyvzHlcG2qVR3BIPz2hg7Wzvg==" saltValue="VxnxKOtz8Qhf7t9TyL9zAw=="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651</vt:i4>
      </vt:variant>
    </vt:vector>
  </HeadingPairs>
  <TitlesOfParts>
    <vt:vector size="668"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KV_DD_AUGUST_6</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KV_DD_JULI_6</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KV_DD_JUNI_6</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KV_DD_MAI_56</vt:lpstr>
      <vt:lpstr>KV_DD_MAI_6</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2026-05-20T07:46:10Z</dcterms:modified>
  <cp:category/>
  <cp:contentStatus/>
</cp:coreProperties>
</file>
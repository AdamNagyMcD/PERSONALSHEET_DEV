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C166B0C8-FD1F-424B-A432-DDD2D2BF0690}" xr6:coauthVersionLast="47" xr6:coauthVersionMax="47" xr10:uidLastSave="{00000000-0000-0000-0000-000000000000}"/>
  <bookViews>
    <workbookView xWindow="80" yWindow="780" windowWidth="34040" windowHeight="19900" tabRatio="677" firstSheet="2" activeTab="12"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34" i="37"/>
  <c r="L42" i="37"/>
  <c r="L58" i="37"/>
  <c r="L66" i="37"/>
  <c r="K3" i="37"/>
  <c r="L3" i="37" s="1"/>
  <c r="K4" i="37"/>
  <c r="L4" i="37" s="1"/>
  <c r="K5" i="37"/>
  <c r="L5" i="37" s="1"/>
  <c r="K6" i="37"/>
  <c r="L6" i="37" s="1"/>
  <c r="K7" i="37"/>
  <c r="L7" i="37" s="1"/>
  <c r="K8" i="37"/>
  <c r="L8" i="37" s="1"/>
  <c r="K9" i="37"/>
  <c r="L9" i="37" s="1"/>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L28" i="37" s="1"/>
  <c r="K29" i="37"/>
  <c r="L29" i="37" s="1"/>
  <c r="K30" i="37"/>
  <c r="L30" i="37" s="1"/>
  <c r="K31" i="37"/>
  <c r="L31" i="37" s="1"/>
  <c r="K32" i="37"/>
  <c r="L32" i="37" s="1"/>
  <c r="K33" i="37"/>
  <c r="L33" i="37" s="1"/>
  <c r="K34" i="37"/>
  <c r="K35" i="37"/>
  <c r="L35" i="37" s="1"/>
  <c r="K36" i="37"/>
  <c r="L36" i="37" s="1"/>
  <c r="K37" i="37"/>
  <c r="L37" i="37" s="1"/>
  <c r="K38" i="37"/>
  <c r="L38" i="37" s="1"/>
  <c r="K39" i="37"/>
  <c r="L39" i="37" s="1"/>
  <c r="K40" i="37"/>
  <c r="L40" i="37" s="1"/>
  <c r="K41" i="37"/>
  <c r="L41" i="37" s="1"/>
  <c r="K42" i="37"/>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K59" i="37"/>
  <c r="L59" i="37" s="1"/>
  <c r="K60" i="37"/>
  <c r="L60" i="37" s="1"/>
  <c r="K61" i="37"/>
  <c r="L61" i="37" s="1"/>
  <c r="K62" i="37"/>
  <c r="L62" i="37" s="1"/>
  <c r="K63" i="37"/>
  <c r="L63" i="37" s="1"/>
  <c r="K64" i="37"/>
  <c r="L64" i="37" s="1"/>
  <c r="K65" i="37"/>
  <c r="L65" i="37" s="1"/>
  <c r="K66" i="37"/>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26" i="28"/>
  <c r="L34" i="28"/>
  <c r="L42" i="28"/>
  <c r="L50" i="28"/>
  <c r="K3" i="28"/>
  <c r="L3" i="28" s="1"/>
  <c r="K4" i="28"/>
  <c r="L4" i="28" s="1"/>
  <c r="K5" i="28"/>
  <c r="L5" i="28" s="1"/>
  <c r="K6" i="28"/>
  <c r="L6" i="28" s="1"/>
  <c r="K7" i="28"/>
  <c r="L7" i="28" s="1"/>
  <c r="K8" i="28"/>
  <c r="L8" i="28" s="1"/>
  <c r="K9" i="28"/>
  <c r="L9" i="28" s="1"/>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K27" i="28"/>
  <c r="L27" i="28" s="1"/>
  <c r="K28" i="28"/>
  <c r="L28" i="28" s="1"/>
  <c r="K29" i="28"/>
  <c r="L29" i="28" s="1"/>
  <c r="K30" i="28"/>
  <c r="L30" i="28" s="1"/>
  <c r="K31" i="28"/>
  <c r="L31" i="28" s="1"/>
  <c r="K32" i="28"/>
  <c r="L32" i="28" s="1"/>
  <c r="K33" i="28"/>
  <c r="L33" i="28" s="1"/>
  <c r="K34" i="28"/>
  <c r="K35" i="28"/>
  <c r="L35" i="28" s="1"/>
  <c r="K36" i="28"/>
  <c r="L36" i="28" s="1"/>
  <c r="K37" i="28"/>
  <c r="L37" i="28" s="1"/>
  <c r="K38" i="28"/>
  <c r="L38" i="28" s="1"/>
  <c r="K39" i="28"/>
  <c r="L39" i="28" s="1"/>
  <c r="K40" i="28"/>
  <c r="L40" i="28" s="1"/>
  <c r="K41" i="28"/>
  <c r="L41" i="28" s="1"/>
  <c r="K42" i="28"/>
  <c r="K43" i="28"/>
  <c r="L43" i="28" s="1"/>
  <c r="K44" i="28"/>
  <c r="L44" i="28" s="1"/>
  <c r="K45" i="28"/>
  <c r="L45" i="28" s="1"/>
  <c r="K46" i="28"/>
  <c r="L46" i="28" s="1"/>
  <c r="K47" i="28"/>
  <c r="L47" i="28" s="1"/>
  <c r="K48" i="28"/>
  <c r="L48" i="28" s="1"/>
  <c r="K49" i="28"/>
  <c r="L49" i="28" s="1"/>
  <c r="K50" i="28"/>
  <c r="K51" i="28"/>
  <c r="L51" i="28" s="1"/>
  <c r="K52" i="28"/>
  <c r="L52" i="28" s="1"/>
  <c r="K53" i="28"/>
  <c r="L53" i="28" s="1"/>
  <c r="K54" i="28"/>
  <c r="L54" i="28" s="1"/>
  <c r="K55" i="28"/>
  <c r="L55" i="28" s="1"/>
  <c r="K56" i="28"/>
  <c r="L56" i="28" s="1"/>
  <c r="K57" i="28"/>
  <c r="L57" i="28" s="1"/>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0" i="27"/>
  <c r="K3" i="27"/>
  <c r="L3" i="27" s="1"/>
  <c r="K4" i="27"/>
  <c r="L4" i="27" s="1"/>
  <c r="K5" i="27"/>
  <c r="L5" i="27" s="1"/>
  <c r="K6" i="27"/>
  <c r="L6" i="27" s="1"/>
  <c r="K7" i="27"/>
  <c r="L7" i="27" s="1"/>
  <c r="K8" i="27"/>
  <c r="L8" i="27" s="1"/>
  <c r="K9" i="27"/>
  <c r="L9" i="27" s="1"/>
  <c r="K10" i="27"/>
  <c r="L10" i="27" s="1"/>
  <c r="K11" i="27"/>
  <c r="L11" i="27" s="1"/>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L23" i="27" s="1"/>
  <c r="K24" i="27"/>
  <c r="L24" i="27" s="1"/>
  <c r="K25" i="27"/>
  <c r="L25" i="27" s="1"/>
  <c r="K26" i="27"/>
  <c r="L26" i="27" s="1"/>
  <c r="K27" i="27"/>
  <c r="L27" i="27" s="1"/>
  <c r="K28" i="27"/>
  <c r="L28" i="27" s="1"/>
  <c r="K29" i="27"/>
  <c r="L29" i="27" s="1"/>
  <c r="K30" i="27"/>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47"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1" a="1"/>
  <c r="S36" i="28" a="1"/>
  <c r="S36" i="36" a="1"/>
  <c r="S36" i="30" a="1"/>
  <c r="S36" i="32" a="1"/>
  <c r="S36" i="35"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<sst xmlns="http://schemas.openxmlformats.org/spreadsheetml/2006/main" count="5679" uniqueCount="382">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</sst>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0</v>
      </c>
      <c r="E22" s="58">
        <f>Januar!$S$37</f>
        <v>0</v>
      </c>
      <c r="F22" s="50">
        <v>1</v>
      </c>
      <c r="H22" s="59" t="s">
        <v>36</v>
      </c>
      <c r="I22" s="51">
        <v>1</v>
      </c>
      <c r="K22" s="59" t="s">
        <v>36</v>
      </c>
      <c r="L22" s="51">
        <v>1</v>
      </c>
      <c r="N22" s="327"/>
      <c r="O22" s="327"/>
      <c r="P22" s="327"/>
      <c r="Q22" s="327"/>
      <c r="R22" s="327"/>
      <c r="S22" s="327"/>
      <c r="T22" s="327"/>
      <c r="U22" s="327"/>
    </row>
    <row r="23" spans="2:21">
      <c r="B23" s="57" t="s">
        <v>37</v>
      </c>
      <c r="C23" s="3">
        <v>2</v>
      </c>
      <c r="D23" s="87">
        <f>UBERSICHT!G8</f>
        <v>96424</v>
      </c>
      <c r="E23" s="58">
        <f>Februar!$S$37</f>
        <v>48212</v>
      </c>
      <c r="F23" s="50">
        <v>2</v>
      </c>
      <c r="H23" s="59" t="s">
        <v>38</v>
      </c>
      <c r="I23" s="51">
        <v>2</v>
      </c>
      <c r="K23" s="59" t="s">
        <v>38</v>
      </c>
      <c r="L23" s="51">
        <v>2</v>
      </c>
      <c r="N23" s="327"/>
      <c r="O23" s="327"/>
      <c r="P23" s="327"/>
      <c r="Q23" s="327"/>
      <c r="R23" s="327"/>
      <c r="S23" s="327"/>
      <c r="T23" s="327"/>
      <c r="U23" s="327"/>
    </row>
    <row r="24" spans="2:21">
      <c r="B24" s="57" t="s">
        <v>39</v>
      </c>
      <c r="C24" s="3">
        <v>3</v>
      </c>
      <c r="D24" s="87">
        <f>UBERSICHT!G9</f>
        <v>98185.2258</v>
      </c>
      <c r="E24" s="58">
        <f>Marz!$S$37</f>
        <v>32728.408599999999</v>
      </c>
      <c r="F24" s="50">
        <v>3</v>
      </c>
      <c r="H24" s="59" t="s">
        <v>39</v>
      </c>
      <c r="I24" s="51">
        <v>3</v>
      </c>
      <c r="K24" s="59" t="s">
        <v>39</v>
      </c>
      <c r="L24" s="51">
        <v>3</v>
      </c>
      <c r="N24" s="327"/>
      <c r="O24" s="327"/>
      <c r="P24" s="327"/>
      <c r="Q24" s="327"/>
      <c r="R24" s="327"/>
      <c r="S24" s="327"/>
      <c r="T24" s="327"/>
      <c r="U24" s="327"/>
    </row>
    <row r="25" spans="2:21">
      <c r="B25" s="57" t="s">
        <v>40</v>
      </c>
      <c r="C25" s="3">
        <v>4</v>
      </c>
      <c r="D25" s="87">
        <f>UBERSICHT!G11</f>
        <v>98345.95</v>
      </c>
      <c r="E25" s="58">
        <f>April!$S$37</f>
        <v>24586.487499999999</v>
      </c>
      <c r="F25" s="50">
        <v>4</v>
      </c>
      <c r="H25" s="59" t="s">
        <v>40</v>
      </c>
      <c r="I25" s="51">
        <v>4</v>
      </c>
      <c r="K25" s="59" t="s">
        <v>40</v>
      </c>
      <c r="L25" s="51">
        <v>4</v>
      </c>
      <c r="N25" s="327"/>
      <c r="O25" s="327"/>
      <c r="P25" s="327"/>
      <c r="Q25" s="327"/>
      <c r="R25" s="327"/>
      <c r="S25" s="327"/>
      <c r="T25" s="327"/>
      <c r="U25" s="327"/>
    </row>
    <row r="26" spans="2:21">
      <c r="B26" s="57" t="s">
        <v>41</v>
      </c>
      <c r="C26" s="3">
        <v>5</v>
      </c>
      <c r="D26" s="87">
        <f>UBERSICHT!G12</f>
        <v>135081.63709999999</v>
      </c>
      <c r="E26" s="58">
        <f>Mai!$S$37</f>
        <v>27016.327419999998</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135534.25</v>
      </c>
      <c r="E27" s="58">
        <f>Juni!$S$37</f>
        <v>22589.041666666668</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129279.35</v>
      </c>
      <c r="E28" s="58">
        <f>Juli!$S$37</f>
        <v>18468.478571428572</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126521.9316</v>
      </c>
      <c r="E29" s="58">
        <f>August!$S$37</f>
        <v>15815.24145</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126033.98</v>
      </c>
      <c r="E30" s="58">
        <f>September!$S$37</f>
        <v>14003.775555555556</v>
      </c>
      <c r="F30" s="50">
        <v>9</v>
      </c>
      <c r="H30" s="59" t="s">
        <v>45</v>
      </c>
      <c r="I30" s="51">
        <v>9</v>
      </c>
      <c r="K30" s="59" t="s">
        <v>45</v>
      </c>
      <c r="L30" s="51">
        <v>9</v>
      </c>
      <c r="N30" s="327"/>
      <c r="O30" s="327"/>
      <c r="P30" s="327"/>
      <c r="Q30" s="327"/>
      <c r="R30" s="327"/>
      <c r="S30" s="327"/>
      <c r="T30" s="327"/>
      <c r="U30" s="327"/>
    </row>
    <row r="31" spans="2:21">
      <c r="B31" s="57" t="s">
        <v>46</v>
      </c>
      <c r="C31" s="3">
        <v>10</v>
      </c>
      <c r="D31" s="87">
        <f>UBERSICHT!G19</f>
        <v>126034.98</v>
      </c>
      <c r="E31" s="58">
        <f>Oktober!$S$37</f>
        <v>12603.498</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126035.98</v>
      </c>
      <c r="E32" s="58">
        <f>November!$S$37</f>
        <v>11457.816363636362</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126036.98</v>
      </c>
      <c r="E33" s="58">
        <f>Dezember!$S$37</f>
        <v>10503.081666666667</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0</v>
      </c>
      <c r="T36" s="223"/>
      <c r="U36" s="224">
        <f t="shared" ref="U36:U41" si="2">S36-Q36</f>
        <v>-1</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0</v>
      </c>
      <c r="T37" s="234"/>
      <c r="U37" s="237">
        <f t="shared" si="2"/>
        <v>-1</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Mi4cMe5xJqSr0X8tdCW7gLrh+VJ7bqVNdlFIM50olf22YPK2HXNrHME/kH33ld2yCoZr3VITh5pSIZeu7f9icg==" saltValue="4TGY5uDOgRFbcZeC03Ce4A=="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6"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EINSTELLUNG!I7</f>
        <v>2</v>
      </c>
      <c r="Q5" s="48">
        <f>P5-O5</f>
        <v>-732.57041000202264</v>
      </c>
      <c r="R5" s="52">
        <f>IFERROR(Q5*Q42, 0)</f>
        <v>-8798.3515532323836</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7612</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2.6274303730951129E-4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7606</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7604</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91422</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96424</v>
      </c>
      <c r="T36" s="223"/>
      <c r="U36" s="224">
        <f t="shared" ref="U36:U41" si="2">S36-Q36</f>
        <v>96422</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48212</v>
      </c>
      <c r="T37" s="236"/>
      <c r="U37" s="237">
        <f t="shared" si="2"/>
        <v>48211</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2.6295030239284776E-4</v>
      </c>
      <c r="R40" s="223"/>
      <c r="S40" s="223">
        <f>IF(Q12=0, 0, S35/Q12)</f>
        <v>2.6295030239284776E-4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2.6295030239284776E-4</v>
      </c>
      <c r="R41" s="225"/>
      <c r="S41" s="225">
        <f>IF(Q12=0, 0, S38/Q12)</f>
        <v>2.6295030239284776E-4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12.01024697845507</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lygqreMULLJUSTdoUAHeAihlexEATgRhteOZi3MaIOU+3B8x04Yp3Io4YNo9TbL7lPMyDno8ru6IdstQHPz8Eg==" saltValue="wjqDAUrzC6/Zt6PQq1SPLQ=="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4">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751.26519204752321</v>
      </c>
      <c r="P5" s="49">
        <f>EINSTELLUNG!I8</f>
        <v>3</v>
      </c>
      <c r="Q5" s="48">
        <f>P5-O5</f>
        <v>-748.26519204752321</v>
      </c>
      <c r="R5" s="52">
        <f>IFERROR(Q5*Q42, 0)</f>
        <v>-9007.9926732615695</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7740.35</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EINSTELLUNG!L24</f>
        <v>3</v>
      </c>
      <c r="R9" s="269"/>
      <c r="S9" s="53">
        <f>IFERROR(Q9/Q8, 0)</f>
        <v>3.8757937302576754E-4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EINSTELLUNG!I24</f>
        <v>3</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8176.35</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8173.35</v>
      </c>
      <c r="R15" s="269"/>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93182.225806451606</v>
      </c>
      <c r="R17" s="273"/>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6"/>
      <c r="P20" s="257"/>
      <c r="Q20" s="247"/>
      <c r="R20" s="24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8"/>
      <c r="P25" s="259"/>
      <c r="Q25" s="260"/>
      <c r="R25" s="261"/>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EINSTELLUNG!O8</f>
        <v>3</v>
      </c>
      <c r="R29" s="246"/>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1.9230769230769232E-2</v>
      </c>
      <c r="R31" s="252"/>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98185.2258</v>
      </c>
      <c r="T36" s="223"/>
      <c r="U36" s="224">
        <f t="shared" ref="U36:U41" si="0">S36-Q36</f>
        <v>98182.2258</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32728.408599999999</v>
      </c>
      <c r="T37" s="234"/>
      <c r="U37" s="237">
        <f t="shared" si="0"/>
        <v>32727.408599999999</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EINSTELLUNG!F8</f>
        <v>3</v>
      </c>
      <c r="R38" s="225"/>
      <c r="S38" s="225">
        <f>EINSTELLUNG!F24</f>
        <v>3</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3.6691188611055053E-4</v>
      </c>
      <c r="R40" s="223"/>
      <c r="S40" s="223">
        <f>IF(Q13=0, 0, S35/Q13)</f>
        <v>3.6691188611055053E-4</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3.6691188611055053E-4</v>
      </c>
      <c r="R41" s="225"/>
      <c r="S41" s="225">
        <f>IF(Q13=0, 0, S38/Q13)</f>
        <v>3.6691188611055053E-4</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12.038502885070004</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41.85</v>
      </c>
      <c r="I53" s="206">
        <v>46096</v>
      </c>
      <c r="J53" s="135">
        <v>8</v>
      </c>
      <c r="K53" s="161">
        <f>IFERROR(IF(OR(MONTH(D53)=1, MONTH(D53)=3, MONTH(D53)=5, MONTH(D53)=7, MONTH(D53)=8, MONTH(D53)=10, MONTH(D53)=12), (G53/31)*J53, IF(OR(MONTH(D53)=4, MONTH(D53)=6, MONTH(D53)=9, MONTH(D53)=11), (G53/30)*J53, (G53/DAY(EOMONTH(D53,0)))*J53)), 0)</f>
        <v>260.77419354838707</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749.72580645161281</v>
      </c>
      <c r="M53" s="164"/>
      <c r="N53" s="147" t="s">
        <v>219</v>
      </c>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v>402405</v>
      </c>
      <c r="C55" s="137" t="s">
        <v>381</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yXNAb2Lvj+e1kKymiBfA0JbS4+uJGisryBO1xyGEuUfBB04Fzj0irQB38qkvyLLgbuxyAcPr2Wa4FiImJV0jNQ==" saltValue="x+SfikjY9JCt32bOsp5yXA=="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5">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755.43888755889839</v>
      </c>
      <c r="P5" s="49">
        <f>EINSTELLUNG!I9</f>
        <v>4</v>
      </c>
      <c r="Q5" s="48">
        <f>P5-O5</f>
        <v>-751.43888755889839</v>
      </c>
      <c r="R5" s="52">
        <f>IFERROR(Q5*Q42, 0)</f>
        <v>-9019.7549069394136</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7776.35</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EINSTELLUNG!L25</f>
        <v>4</v>
      </c>
      <c r="R9" s="269"/>
      <c r="S9" s="53">
        <f>IFERROR(Q9/Q8, 0)</f>
        <v>5.14380139782803E-4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EINSTELLUNG!I25</f>
        <v>4</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8019.35</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8015.35</v>
      </c>
      <c r="R15" s="269"/>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93341.95</v>
      </c>
      <c r="R17" s="273"/>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6"/>
      <c r="P20" s="257"/>
      <c r="Q20" s="247"/>
      <c r="R20" s="24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8"/>
      <c r="P25" s="259"/>
      <c r="Q25" s="260"/>
      <c r="R25" s="261"/>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EINSTELLUNG!O9</f>
        <v>4</v>
      </c>
      <c r="R29" s="246"/>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98345.95</v>
      </c>
      <c r="T36" s="223"/>
      <c r="U36" s="224">
        <f t="shared" ref="U36:U41" si="0">S36-Q36</f>
        <v>98341.95</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24586.487499999999</v>
      </c>
      <c r="T37" s="234"/>
      <c r="U37" s="237">
        <f t="shared" si="0"/>
        <v>24585.487499999999</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EINSTELLUNG!F9</f>
        <v>4</v>
      </c>
      <c r="R38" s="225"/>
      <c r="S38" s="225">
        <f>EINSTELLUNG!F25</f>
        <v>4</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4.9879354311758431E-4</v>
      </c>
      <c r="R40" s="223"/>
      <c r="S40" s="223">
        <f>IF(Q13=0, 0, S35/Q13)</f>
        <v>4.9879354311758431E-4</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4.9879354311758431E-4</v>
      </c>
      <c r="R41" s="225"/>
      <c r="S41" s="225">
        <f>IF(Q13=0, 0, S38/Q13)</f>
        <v>4.9879354311758431E-4</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12.00331132214985</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2021</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379</v>
      </c>
      <c r="D54" s="203">
        <v>46122</v>
      </c>
      <c r="E54" s="134" t="s">
        <v>4</v>
      </c>
      <c r="F54" s="136">
        <v>173</v>
      </c>
      <c r="G54" s="192">
        <v>2021</v>
      </c>
      <c r="H54" s="158">
        <f>IF(AND(ISNUMBER(D54), ISNUMBER(F54)),
    ROUNDDOWN(
        MIN(
            IF(OR(ISBLANK(I54), I54=""),
                EOMONTH(DATE(LOHNTABELLE!$G$3, $A$1, 1), 0), I54)
            - MAX(D54, DATE(LOHNTABELLE!$G$3, $A$1, 1)) + 1)
        / DAY(EOMONTH(DATE(LOHNTABELLE!$G$3, $A$1, 1), 0)) * F54,
        2
    ),
    ""
)</f>
        <v>121.1</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1414.6999999999998</v>
      </c>
      <c r="M54" s="164"/>
      <c r="N54" s="147"/>
    </row>
    <row r="55" spans="1:14" ht="16" customHeight="1">
      <c r="A55" s="130" t="s">
        <v>141</v>
      </c>
      <c r="B55" s="170">
        <v>402405</v>
      </c>
      <c r="C55" s="137" t="s">
        <v>381</v>
      </c>
      <c r="D55" s="203">
        <v>46054</v>
      </c>
      <c r="E55" s="134" t="s">
        <v>4</v>
      </c>
      <c r="F55" s="136">
        <v>129.75</v>
      </c>
      <c r="G55" s="192">
        <v>1515.75</v>
      </c>
      <c r="H55" s="158">
        <f>IF(AND(ISNUMBER(D55), ISNUMBER(F55)),
    ROUNDDOWN(
        MIN(
            IF(OR(ISBLANK(I55), I55=""),
                EOMONTH(DATE(LOHNTABELLE!$G$3, $A$1, 1), 0), I55)
            - MAX(D55, DATE(LOHNTABELLE!$G$3, $A$1, 1)) + 1)
        / DAY(EOMONTH(DATE(LOHNTABELLE!$G$3, $A$1, 1), 0)) * F55,
        2
    ),
    ""
)</f>
        <v>129.75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1515.75</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Mrdijf9zzarGbcpAU/n5BW2y/m8viBnYsBULUciBJXJ0W8uasvMQnlsDqYEWGR62UGLpWf7uAPG8OyC7bNLBeQ==" saltValue="JFMGNQeS+YS+v7Wut4ycO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5">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788.82845164989953</v>
      </c>
      <c r="P5" s="49">
        <f>EINSTELLUNG!I10</f>
        <v>5</v>
      </c>
      <c r="Q5" s="48">
        <f>P5-O5</f>
        <v>-783.82845164989953</v>
      </c>
      <c r="R5" s="52">
        <f>IFERROR(Q5*Q42, 0)</f>
        <v>-12507.209228180651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8151.92</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EINSTELLUNG!L26</f>
        <v>5</v>
      </c>
      <c r="R9" s="269"/>
      <c r="S9" s="53">
        <f>IFERROR(Q9/Q8, 0)</f>
        <v>6.1335243721724456E-4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EINSTELLUNG!I26</f>
        <v>5</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8136.92</v>
      </c>
      <c r="R12" s="269"/>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8131.92</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130076.6370967742</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EINSTELLUNG!O10</f>
        <v>5</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135081.63709999999</v>
      </c>
      <c r="T36" s="223"/>
      <c r="U36" s="224">
        <f t="shared" ref="U36:U41" si="0">S36-Q36</f>
        <v>135076.63709999999</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27016.327419999998</v>
      </c>
      <c r="T37" s="234"/>
      <c r="U37" s="237">
        <f t="shared" si="0"/>
        <v>27015.327419999998</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EINSTELLUNG!F10</f>
        <v>5</v>
      </c>
      <c r="R38" s="225"/>
      <c r="S38" s="225">
        <f>EINSTELLUNG!F26</f>
        <v>5</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6.1448312137762202E-4</v>
      </c>
      <c r="R40" s="223"/>
      <c r="S40" s="223">
        <f>IF(Q12=0, 0, S35/Q12)</f>
        <v>6.1448312137762202E-4</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6.1448312137762202E-4</v>
      </c>
      <c r="R41" s="225"/>
      <c r="S41" s="225">
        <f>IF(Q12=0, 0, S38/Q12)</f>
        <v>6.1448312137762202E-4</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15.9565644776659</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129.75</v>
      </c>
      <c r="G56" s="192">
        <v>1515.75</v>
      </c>
      <c r="H56" s="158">
        <f>IF(AND(ISNUMBER(D56), ISNUMBER(F56)),
    ROUNDDOWN(
        MIN(
            IF(OR(ISBLANK(I56), I56=""),
                EOMONTH(DATE(LOHNTABELLE!$G$3, $A$1, 1), 0), I56)
            - MAX(D56, DATE(LOHNTABELLE!$G$3, $A$1, 1)) + 1)
        / DAY(EOMONTH(DATE(LOHNTABELLE!$G$3, $A$1, 1), 0)) * F56,
        2
    ),
    ""
)</f>
        <v>129.75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1515.75</v>
      </c>
      <c r="M56" s="164"/>
      <c r="N56" s="147"/>
    </row>
    <row r="57" spans="1:14" ht="16" customHeight="1">
      <c r="A57" s="131" t="s">
        <v>143</v>
      </c>
      <c r="B57" s="170">
        <v>502000</v>
      </c>
      <c r="C57" s="137" t="s">
        <v>380</v>
      </c>
      <c r="D57" s="203">
        <v>46147</v>
      </c>
      <c r="E57" s="134" t="s">
        <v>4</v>
      </c>
      <c r="F57" s="136">
        <v>173</v>
      </c>
      <c r="G57" s="192">
        <v>3500</v>
      </c>
      <c r="H57" s="158">
        <f>IF(AND(ISNUMBER(D57), ISNUMBER(F57)),
    ROUNDDOWN(
        MIN(
            IF(OR(ISBLANK(I57), I57=""),
                EOMONTH(DATE(LOHNTABELLE!$G$3, $A$1, 1), 0), I57)
            - MAX(D57, DATE(LOHNTABELLE!$G$3, $A$1, 1)) + 1)
        / DAY(EOMONTH(DATE(LOHNTABELLE!$G$3, $A$1, 1), 0)) * F57,
        2
    ),
    ""
)</f>
        <v>150.66999999999999</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3048.3870967741937</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2uui7Px4wpR113k+TAtGs/NLxhFxb9L/Stu+6sMpHQ/tu1dhAJnIb15SxrWEZu894+0MEBygl5MHtFSxYrXOMw==" saltValue="Ot+JS+oXxlZJ4YCDfgHkR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57">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788.82845164989953</v>
      </c>
      <c r="P5" s="49">
        <f>EINSTELLUNG!I11</f>
        <v>6</v>
      </c>
      <c r="Q5" s="48">
        <f>P5-O5</f>
        <v>-782.82845164989953</v>
      </c>
      <c r="R5" s="52">
        <f>IFERROR(Q5*Q42, 0)</f>
        <v>-12500.379587616111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8174.25</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EINSTELLUNG!L27</f>
        <v>6</v>
      </c>
      <c r="R9" s="269"/>
      <c r="S9" s="53">
        <f>IFERROR(Q9/Q8, 0)</f>
        <v>7.3401229470593634E-4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EINSTELLUNG!I27</f>
        <v>6</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7714.25</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7708.25</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130528.25</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EINSTELLUNG!O11</f>
        <v>6</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135534.25</v>
      </c>
      <c r="T36" s="223"/>
      <c r="U36" s="224">
        <f t="shared" ref="U36:U41" si="0">S36-Q36</f>
        <v>135528.25</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22589.041666666668</v>
      </c>
      <c r="T37" s="234"/>
      <c r="U37" s="237">
        <f t="shared" si="0"/>
        <v>22588.041666666668</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EINSTELLUNG!F11</f>
        <v>6</v>
      </c>
      <c r="R38" s="225"/>
      <c r="S38" s="225">
        <f>EINSTELLUNG!F27</f>
        <v>6</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15.968223384408356</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129.75</v>
      </c>
      <c r="G56" s="192">
        <v>1515.75</v>
      </c>
      <c r="H56" s="158">
        <f>IF(AND(ISNUMBER(D56), ISNUMBER(F56)),
    ROUNDDOWN(
        MIN(
            IF(OR(ISBLANK(I56), I56=""),
                EOMONTH(DATE(LOHNTABELLE!$G$3, $A$1, 1), 0), I56)
            - MAX(D56, DATE(LOHNTABELLE!$G$3, $A$1, 1)) + 1)
        / DAY(EOMONTH(DATE(LOHNTABELLE!$G$3, $A$1, 1), 0)) * F56,
        2
    ),
    ""
)</f>
        <v>129.75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1515.75</v>
      </c>
      <c r="M56" s="164"/>
      <c r="N56" s="147"/>
    </row>
    <row r="57" spans="1:14" ht="16" customHeight="1">
      <c r="A57" s="131" t="s">
        <v>143</v>
      </c>
      <c r="B57" s="170">
        <v>502000</v>
      </c>
      <c r="C57" s="137" t="s">
        <v>380</v>
      </c>
      <c r="D57" s="203">
        <v>46147</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zNy+nUxgfAzTbpwIPYELD3AJbbf91A4dDYwtxBCD42ttSWyfWhpDZ6lxLprUOMvNRhnUSQOq70xYbhPyDds56w==" saltValue="Bs8x0LZBfi7vz+8v01cUCw=="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57">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20" activePane="bottomLeft" state="frozen"/>
      <selection activeCell="T24" sqref="T24"/>
      <selection pane="bottomLeft" activeCell="F56" sqref="F56"/>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773.80314780894878</v>
      </c>
      <c r="P5" s="49">
        <f>EINSTELLUNG!I12</f>
        <v>7</v>
      </c>
      <c r="Q5" s="48">
        <f>P5-O5</f>
        <v>-766.80314780894878</v>
      </c>
      <c r="R5" s="52">
        <f>IFERROR(Q5*Q42, 0)</f>
        <v>-11883.997626206163</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8018.5499999999993</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EINSTELLUNG!L28</f>
        <v>7</v>
      </c>
      <c r="R9" s="269"/>
      <c r="S9" s="53">
        <f>IFERROR(Q9/Q8, 0)</f>
        <v>8.7297578739298264E-4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EINSTELLUNG!I28</f>
        <v>7</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7958.5499999999993</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7951.5499999999993</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124272.35</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EINSTELLUNG!O12</f>
        <v>7</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129279.35</v>
      </c>
      <c r="T36" s="229"/>
      <c r="U36" s="224">
        <f t="shared" ref="U36:U41" si="0">S36-Q36</f>
        <v>129272.35</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18468.478571428572</v>
      </c>
      <c r="T37" s="234"/>
      <c r="U37" s="237">
        <f t="shared" si="0"/>
        <v>18467.478571428572</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EINSTELLUNG!F12</f>
        <v>7</v>
      </c>
      <c r="R38" s="225"/>
      <c r="S38" s="225">
        <f>EINSTELLUNG!F28</f>
        <v>7</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8.7955720577240833E-4</v>
      </c>
      <c r="R40" s="223"/>
      <c r="S40" s="223">
        <f>IF(Q13=0, 0, S35/Q13)</f>
        <v>8.7955720577240833E-4</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8.7955720577240833E-4</v>
      </c>
      <c r="R41" s="225"/>
      <c r="S41" s="225">
        <f>IF(Q13=0, 0, S38/Q13)</f>
        <v>8.7955720577240833E-4</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15.498107513203761</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402405</v>
      </c>
      <c r="C56" s="137" t="s">
        <v>381</v>
      </c>
      <c r="D56" s="203">
        <v>46054</v>
      </c>
      <c r="E56" s="134" t="s">
        <v>4</v>
      </c>
      <c r="F56" s="136">
        <v>129.75</v>
      </c>
      <c r="G56" s="192">
        <v>1515.75</v>
      </c>
      <c r="H56" s="158">
        <f>IF(AND(ISNUMBER(D56), ISNUMBER(F56)),
    ROUNDDOWN(
        MIN(
            IF(OR(ISBLANK(I56), I56=""),
                EOMONTH(DATE(LOHNTABELLE!$G$3, $A$1, 1), 0), I56)
            - MAX(D56, DATE(LOHNTABELLE!$G$3, $A$1, 1)) + 1)
        / DAY(EOMONTH(DATE(LOHNTABELLE!$G$3, $A$1, 1), 0)) * F56,
        2
    ),
    ""
)</f>
        <v>129.75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1515.75</v>
      </c>
      <c r="M56" s="164"/>
      <c r="N56" s="147"/>
    </row>
    <row r="57" spans="1:14" ht="16" customHeight="1">
      <c r="A57" s="131" t="s">
        <v>143</v>
      </c>
      <c r="B57" s="170">
        <v>502000</v>
      </c>
      <c r="C57" s="137" t="s">
        <v>380</v>
      </c>
      <c r="D57" s="203">
        <v>46147</v>
      </c>
      <c r="E57" s="134" t="s">
        <v>4</v>
      </c>
      <c r="F57" s="136">
        <v>138.4</v>
      </c>
      <c r="G57" s="192">
        <v>1616.8</v>
      </c>
      <c r="H57" s="158">
        <f>IF(AND(ISNUMBER(D57), ISNUMBER(F57)),
    ROUNDDOWN(
        MIN(
            IF(OR(ISBLANK(I57), I57=""),
                EOMONTH(DATE(LOHNTABELLE!$G$3, $A$1, 1), 0), I57)
            - MAX(D57, DATE(LOHNTABELLE!$G$3, $A$1, 1)) + 1)
        / DAY(EOMONTH(DATE(LOHNTABELLE!$G$3, $A$1, 1), 0)) * F57,
        2
    ),
    ""
)</f>
        <v>138.4</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1616.8</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7XiJelVXU0ph9AfYYUMI9bzLBvaWzuJMT/iAXMcMM6v4wpD6PXvS3BQQTxBUOOPJCwZbS4S7cN7nc2WtAEY40g==" saltValue="3VhKT0zTgDhKeqrN5fcyq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7">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25" activePane="bottomLeft" state="frozen"/>
      <selection activeCell="T24" sqref="T24"/>
      <selection pane="bottomLeft" activeCell="G56" sqref="G56"/>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767.54308705003768</v>
      </c>
      <c r="P5" s="49">
        <f>EINSTELLUNG!I13</f>
        <v>8</v>
      </c>
      <c r="Q5" s="48">
        <f>P5-O5</f>
        <v>-759.54308705003768</v>
      </c>
      <c r="R5" s="52">
        <f>IFERROR(Q5*Q42, 0)</f>
        <v>-11669.58106580095</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7909.03</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EINSTELLUNG!L29</f>
        <v>8</v>
      </c>
      <c r="R9" s="269"/>
      <c r="S9" s="53">
        <f>IFERROR(Q9/Q8, 0)</f>
        <v>1.0115020426019372E-3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EINSTELLUNG!I29</f>
        <v>8</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7885.03</v>
      </c>
      <c r="R12" s="269"/>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7877.03</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121513.93161290324</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EINSTELLUNG!O13</f>
        <v>8</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1.8518518518518517E-2</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9"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126521.9316</v>
      </c>
      <c r="T36" s="229"/>
      <c r="U36" s="224">
        <f t="shared" ref="U36:U41" si="0">S36-Q36</f>
        <v>126513.9316</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15815.24145</v>
      </c>
      <c r="T37" s="236"/>
      <c r="U37" s="237">
        <f t="shared" si="0"/>
        <v>15814.24145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EINSTELLUNG!F13</f>
        <v>8</v>
      </c>
      <c r="R38" s="225"/>
      <c r="S38" s="225">
        <f>EINSTELLUNG!F29</f>
        <v>8</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1.0145807942392104E-3</v>
      </c>
      <c r="R40" s="223"/>
      <c r="S40" s="223">
        <f>IF(Q12=0, 0, S35/Q12)</f>
        <v>1.0145807942392104E-3</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1.0145807942392104E-3</v>
      </c>
      <c r="R41" s="225"/>
      <c r="S41" s="225">
        <f>IF(Q12=0, 0, S38/Q12)</f>
        <v>1.0145807942392104E-3</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15.363948753880468</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41.85</v>
      </c>
      <c r="I48" s="206">
        <v>46249</v>
      </c>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488.95161290322574</v>
      </c>
      <c r="M48" s="164"/>
      <c r="N48" s="147" t="s">
        <v>219</v>
      </c>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402405</v>
      </c>
      <c r="C56" s="137" t="s">
        <v>381</v>
      </c>
      <c r="D56" s="203">
        <v>46054</v>
      </c>
      <c r="E56" s="134" t="s">
        <v>4</v>
      </c>
      <c r="F56" s="136">
        <v>129.75</v>
      </c>
      <c r="G56" s="192">
        <v>1515.75</v>
      </c>
      <c r="H56" s="158">
        <f>IF(AND(ISNUMBER(D56), ISNUMBER(F56)),
    ROUNDDOWN(
        MIN(
            IF(OR(ISBLANK(I56), I56=""),
                EOMONTH(DATE(LOHNTABELLE!$G$3, $A$1, 1), 0), I56)
            - MAX(D56, DATE(LOHNTABELLE!$G$3, $A$1, 1)) + 1)
        / DAY(EOMONTH(DATE(LOHNTABELLE!$G$3, $A$1, 1), 0)) * F56,
        2
    ),
    ""
)</f>
        <v>129.75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1515.75</v>
      </c>
      <c r="M56" s="164"/>
      <c r="N56" s="147"/>
    </row>
    <row r="57" spans="1:14" ht="16" customHeight="1">
      <c r="A57" s="131" t="s">
        <v>143</v>
      </c>
      <c r="B57" s="170">
        <v>502000</v>
      </c>
      <c r="C57" s="137" t="s">
        <v>380</v>
      </c>
      <c r="D57" s="203">
        <v>46147</v>
      </c>
      <c r="E57" s="134" t="s">
        <v>4</v>
      </c>
      <c r="F57" s="136">
        <v>138.4</v>
      </c>
      <c r="G57" s="192">
        <v>1616.8</v>
      </c>
      <c r="H57" s="158">
        <f>IF(AND(ISNUMBER(D57), ISNUMBER(F57)),
    ROUNDDOWN(
        MIN(
            IF(OR(ISBLANK(I57), I57=""),
                EOMONTH(DATE(LOHNTABELLE!$G$3, $A$1, 1), 0), I57)
            - MAX(D57, DATE(LOHNTABELLE!$G$3, $A$1, 1)) + 1)
        / DAY(EOMONTH(DATE(LOHNTABELLE!$G$3, $A$1, 1), 0)) * F57,
        2
    ),
    ""
)</f>
        <v>138.4</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1616.8</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rqdms5NoPMXnFnBDAYCWrzjxZjHjt6xKxzA9xgcTUPdEwY61cOIEmaryBxpWaBf8PQ50KG0c8FTycz/6YPm6w==" saltValue="UNPA4Knp7fs+H34m0Bpqj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7">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tabSelected="1" zoomScaleNormal="100" workbookViewId="0">
      <pane ySplit="2" topLeftCell="A16" activePane="bottomLeft" state="frozen"/>
      <selection activeCell="T24" sqref="T24"/>
      <selection pane="bottomLeft" activeCell="F55" sqref="F55"/>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759.19569602728745</v>
      </c>
      <c r="P5" s="49">
        <f>EINSTELLUNG!I14</f>
        <v>9</v>
      </c>
      <c r="Q5" s="48">
        <f>P5-O5</f>
        <v>-750.19569602728745</v>
      </c>
      <c r="R5" s="52">
        <f>IFERROR(Q5*Q42, 0)</f>
        <v>-11540.656131903497</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7867.1799999999994</v>
      </c>
      <c r="R8" s="269"/>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EINSTELLUNG!L30</f>
        <v>9</v>
      </c>
      <c r="R9" s="269"/>
      <c r="S9" s="53">
        <f>IFERROR(Q9/Q8, 0)</f>
        <v>1.1439931462099509E-3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EINSTELLUNG!I30</f>
        <v>9</v>
      </c>
      <c r="R10" s="269"/>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7673.1799999999994</v>
      </c>
      <c r="R13" s="269"/>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7664.1799999999994</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121024.98000000001</v>
      </c>
      <c r="R17" s="273"/>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EINSTELLUNG!O14</f>
        <v>9</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126033.98</v>
      </c>
      <c r="T36" s="229"/>
      <c r="U36" s="224">
        <f t="shared" ref="U36:U41" si="0">S36-Q36</f>
        <v>126024.98</v>
      </c>
      <c r="V36" s="224"/>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14003.775555555556</v>
      </c>
      <c r="T37" s="234"/>
      <c r="U37" s="237">
        <f t="shared" si="0"/>
        <v>14002.775555555556</v>
      </c>
      <c r="V37" s="237"/>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EINSTELLUNG!F14</f>
        <v>9</v>
      </c>
      <c r="R38" s="225"/>
      <c r="S38" s="225">
        <f>EINSTELLUNG!F30</f>
        <v>9</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1.1729165743537882E-3</v>
      </c>
      <c r="R40" s="223"/>
      <c r="S40" s="223">
        <f>IF(Q13=0, 0, S35/Q13)</f>
        <v>1.1729165743537882E-3</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1.1729165743537882E-3</v>
      </c>
      <c r="R41" s="225"/>
      <c r="S41" s="225">
        <f>IF(Q13=0, 0, S38/Q13)</f>
        <v>1.1729165743537882E-3</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15.383527515577375</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68"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402405</v>
      </c>
      <c r="C55" s="137" t="s">
        <v>381</v>
      </c>
      <c r="D55" s="203">
        <v>46054</v>
      </c>
      <c r="E55" s="134" t="s">
        <v>4</v>
      </c>
      <c r="F55" s="136">
        <v>129.75</v>
      </c>
      <c r="G55" s="192">
        <v>1515.75</v>
      </c>
      <c r="H55" s="158">
        <f>IF(AND(ISNUMBER(D55), ISNUMBER(F55)),
    ROUNDDOWN(
        MIN(
            IF(OR(ISBLANK(I55), I55=""),
                EOMONTH(DATE(LOHNTABELLE!$G$3, $A$1, 1), 0), I55)
            - MAX(D55, DATE(LOHNTABELLE!$G$3, $A$1, 1)) + 1)
        / DAY(EOMONTH(DATE(LOHNTABELLE!$G$3, $A$1, 1), 0)) * F55,
        2
    ),
    ""
)</f>
        <v>129.75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1515.75</v>
      </c>
      <c r="M55" s="164"/>
      <c r="N55" s="147"/>
    </row>
    <row r="56" spans="1:14" ht="16" customHeight="1">
      <c r="A56" s="131" t="s">
        <v>142</v>
      </c>
      <c r="B56" s="170">
        <v>502000</v>
      </c>
      <c r="C56" s="137" t="s">
        <v>380</v>
      </c>
      <c r="D56" s="203">
        <v>46147</v>
      </c>
      <c r="E56" s="134" t="s">
        <v>4</v>
      </c>
      <c r="F56" s="136">
        <v>138.4</v>
      </c>
      <c r="G56" s="192">
        <v>1616.8</v>
      </c>
      <c r="H56" s="158">
        <f>IF(AND(ISNUMBER(D56), ISNUMBER(F56)),
    ROUNDDOWN(
        MIN(
            IF(OR(ISBLANK(I56), I56=""),
                EOMONTH(DATE(LOHNTABELLE!$G$3, $A$1, 1), 0), I56)
            - MAX(D56, DATE(LOHNTABELLE!$G$3, $A$1, 1)) + 1)
        / DAY(EOMONTH(DATE(LOHNTABELLE!$G$3, $A$1, 1), 0)) * F56,
        2
    ),
    ""
)</f>
        <v>138.4</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1616.8</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6cweLIffPq3eZIUj23Uq/amiUxBYyzE8Zis98qsYoQMzHcGjrDwvVr9VmHZfYueZ4nG+Cx1lJvZMsQUkN+vleg==" saltValue="zb3iqTpeLWfkK4k6h9Ts6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19" activePane="bottomLeft" state="frozen"/>
      <selection activeCell="T24" sqref="T24"/>
      <selection pane="bottomLeft" activeCell="F55" sqref="F55"/>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759.19569602728745</v>
      </c>
      <c r="P5" s="49">
        <f>EINSTELLUNG!I15</f>
        <v>10</v>
      </c>
      <c r="Q5" s="48">
        <f>P5-O5</f>
        <v>-749.19569602728745</v>
      </c>
      <c r="R5" s="52">
        <f>IFERROR(Q5*Q42, 0)</f>
        <v>-11525.272604387919</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7867.1799999999994</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EINSTELLUNG!L31</f>
        <v>10</v>
      </c>
      <c r="R9" s="269"/>
      <c r="S9" s="53">
        <f>IFERROR(Q9/Q8, 0)</f>
        <v>1.2711034957888342E-3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EINSTELLUNG!I31</f>
        <v>10</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7958.1799999999994</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7948.1799999999994</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121024.98000000001</v>
      </c>
      <c r="R17" s="273"/>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EINSTELLUNG!O15</f>
        <v>10</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126034.98</v>
      </c>
      <c r="T36" s="229"/>
      <c r="U36" s="224">
        <f t="shared" ref="U36:U41" si="0">S36-Q36</f>
        <v>126024.98</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12603.498</v>
      </c>
      <c r="T37" s="234"/>
      <c r="U37" s="237">
        <f t="shared" si="0"/>
        <v>12602.498</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EINSTELLUNG!F15</f>
        <v>10</v>
      </c>
      <c r="R38" s="225"/>
      <c r="S38" s="225">
        <f>EINSTELLUNG!F31</f>
        <v>10</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1.2565687129469302E-3</v>
      </c>
      <c r="R40" s="223"/>
      <c r="S40" s="223">
        <f>IF(Q13=0, 0, S35/Q13)</f>
        <v>1.2565687129469302E-3</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1.2565687129469302E-3</v>
      </c>
      <c r="R41" s="225"/>
      <c r="S41" s="225">
        <f>IF(Q13=0, 0, S38/Q13)</f>
        <v>1.2565687129469302E-3</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15.383527515577375</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402405</v>
      </c>
      <c r="C55" s="137" t="s">
        <v>381</v>
      </c>
      <c r="D55" s="203">
        <v>46054</v>
      </c>
      <c r="E55" s="134" t="s">
        <v>4</v>
      </c>
      <c r="F55" s="136">
        <v>129.75</v>
      </c>
      <c r="G55" s="192">
        <v>1515.75</v>
      </c>
      <c r="H55" s="158">
        <f>IF(AND(ISNUMBER(D55), ISNUMBER(F55)),
    ROUNDDOWN(
        MIN(
            IF(OR(ISBLANK(I55), I55=""),
                EOMONTH(DATE(LOHNTABELLE!$G$3, $A$1, 1), 0), I55)
            - MAX(D55, DATE(LOHNTABELLE!$G$3, $A$1, 1)) + 1)
        / DAY(EOMONTH(DATE(LOHNTABELLE!$G$3, $A$1, 1), 0)) * F55,
        2
    ),
    ""
)</f>
        <v>129.75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1515.75</v>
      </c>
      <c r="M55" s="164"/>
      <c r="N55" s="147"/>
    </row>
    <row r="56" spans="1:14" ht="16" customHeight="1">
      <c r="A56" s="130" t="s">
        <v>142</v>
      </c>
      <c r="B56" s="170">
        <v>502000</v>
      </c>
      <c r="C56" s="137" t="s">
        <v>380</v>
      </c>
      <c r="D56" s="203">
        <v>46147</v>
      </c>
      <c r="E56" s="134" t="s">
        <v>4</v>
      </c>
      <c r="F56" s="136">
        <v>138.4</v>
      </c>
      <c r="G56" s="192">
        <v>1616.8</v>
      </c>
      <c r="H56" s="158">
        <f>IF(AND(ISNUMBER(D56), ISNUMBER(F56)),
    ROUNDDOWN(
        MIN(
            IF(OR(ISBLANK(I56), I56=""),
                EOMONTH(DATE(LOHNTABELLE!$G$3, $A$1, 1), 0), I56)
            - MAX(D56, DATE(LOHNTABELLE!$G$3, $A$1, 1)) + 1)
        / DAY(EOMONTH(DATE(LOHNTABELLE!$G$3, $A$1, 1), 0)) * F56,
        2
    ),
    ""
)</f>
        <v>138.4</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1616.8</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qzqN5OW8mAZeY016t/OB5VlG3N9krnAjcAiPkV7t5Wyex+xuWDtaDdEDm0bUFJaO4vEjfzbOFs6ow/cVYDlcWw==" saltValue="yrGrGH0IS0YBRjNW0CO2O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759.19569602728745</v>
      </c>
      <c r="P5" s="49">
        <f>EINSTELLUNG!I16</f>
        <v>11</v>
      </c>
      <c r="Q5" s="48">
        <f>P5-O5</f>
        <v>-748.19569602728745</v>
      </c>
      <c r="R5" s="52">
        <f>IFERROR(Q5*Q42, 0)</f>
        <v>-11509.889076872343</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7867.1799999999994</v>
      </c>
      <c r="R8" s="269"/>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EINSTELLUNG!L32</f>
        <v>11</v>
      </c>
      <c r="R9" s="269"/>
      <c r="S9" s="53">
        <f>IFERROR(Q9/Q8, 0)</f>
        <v>1.3982138453677176E-3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EINSTELLUNG!I32</f>
        <v>11</v>
      </c>
      <c r="R10" s="269"/>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7834.1799999999994</v>
      </c>
      <c r="R12" s="269"/>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7823.1799999999994</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121024.98000000001</v>
      </c>
      <c r="R17" s="273"/>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EINSTELLUNG!O16</f>
        <v>11</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126035.98</v>
      </c>
      <c r="T36" s="229"/>
      <c r="U36" s="224">
        <f t="shared" ref="U36:U41" si="0">S36-Q36</f>
        <v>126024.98</v>
      </c>
      <c r="V36" s="224"/>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11457.816363636362</v>
      </c>
      <c r="T37" s="234"/>
      <c r="U37" s="237">
        <f t="shared" si="0"/>
        <v>11456.816363636362</v>
      </c>
      <c r="V37" s="237"/>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EINSTELLUNG!F16</f>
        <v>11</v>
      </c>
      <c r="R38" s="225"/>
      <c r="S38" s="225">
        <f>EINSTELLUNG!F32</f>
        <v>11</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1.4041035564666628E-3</v>
      </c>
      <c r="R40" s="223"/>
      <c r="S40" s="223">
        <f>IF(Q12=0, 0, S35/Q12)</f>
        <v>1.4041035564666628E-3</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1.4041035564666628E-3</v>
      </c>
      <c r="R41" s="225"/>
      <c r="S41" s="225">
        <f>IF(Q12=0, 0, S38/Q12)</f>
        <v>1.4041035564666628E-3</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15.383527515577375</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402405</v>
      </c>
      <c r="C55" s="137" t="s">
        <v>381</v>
      </c>
      <c r="D55" s="203">
        <v>46054</v>
      </c>
      <c r="E55" s="134" t="s">
        <v>4</v>
      </c>
      <c r="F55" s="136">
        <v>129.75</v>
      </c>
      <c r="G55" s="192">
        <v>1515.75</v>
      </c>
      <c r="H55" s="158">
        <f>IF(AND(ISNUMBER(D55), ISNUMBER(F55)),
    ROUNDDOWN(
        MIN(
            IF(OR(ISBLANK(I55), I55=""),
                EOMONTH(DATE(LOHNTABELLE!$G$3, $A$1, 1), 0), I55)
            - MAX(D55, DATE(LOHNTABELLE!$G$3, $A$1, 1)) + 1)
        / DAY(EOMONTH(DATE(LOHNTABELLE!$G$3, $A$1, 1), 0)) * F55,
        2
    ),
    ""
)</f>
        <v>129.75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1515.75</v>
      </c>
      <c r="M55" s="164"/>
      <c r="N55" s="147"/>
    </row>
    <row r="56" spans="1:14" ht="16" customHeight="1">
      <c r="A56" s="131" t="s">
        <v>142</v>
      </c>
      <c r="B56" s="170">
        <v>502000</v>
      </c>
      <c r="C56" s="137" t="s">
        <v>380</v>
      </c>
      <c r="D56" s="203">
        <v>46147</v>
      </c>
      <c r="E56" s="134" t="s">
        <v>4</v>
      </c>
      <c r="F56" s="136">
        <v>138.4</v>
      </c>
      <c r="G56" s="192">
        <v>1616.8</v>
      </c>
      <c r="H56" s="158">
        <f>IF(AND(ISNUMBER(D56), ISNUMBER(F56)),
    ROUNDDOWN(
        MIN(
            IF(OR(ISBLANK(I56), I56=""),
                EOMONTH(DATE(LOHNTABELLE!$G$3, $A$1, 1), 0), I56)
            - MAX(D56, DATE(LOHNTABELLE!$G$3, $A$1, 1)) + 1)
        / DAY(EOMONTH(DATE(LOHNTABELLE!$G$3, $A$1, 1), 0)) * F56,
        2
    ),
    ""
)</f>
        <v>138.4</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1616.8</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GCHm+hBtvOVJb53Ohq4x8E2zx0pdtpOIePTPWNPwpzFl0PSKvuDsujVUz0Odhq3P55iKCuyt1EFObFvHtqaMKw==" saltValue="gDTD+Telc1MBc5X8G+Noe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759.19569602728745</v>
      </c>
      <c r="P5" s="49">
        <f>EINSTELLUNG!I17</f>
        <v>12</v>
      </c>
      <c r="Q5" s="48">
        <f>P5-O5</f>
        <v>-747.19569602728745</v>
      </c>
      <c r="R5" s="52">
        <f>IFERROR(Q5*Q42, 0)</f>
        <v>-11494.505549356765</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7867.1799999999994</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EINSTELLUNG!L33</f>
        <v>12</v>
      </c>
      <c r="R9" s="269"/>
      <c r="S9" s="53">
        <f>IFERROR(Q9/Q8, 0)</f>
        <v>1.525324194946601E-3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EINSTELLUNG!I33</f>
        <v>12</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8134.1799999999994</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8122.1799999999994</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121024.98000000001</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39"/>
      <c r="P28" s="240"/>
      <c r="Q28" s="248"/>
      <c r="R28" s="266"/>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80" t="s">
        <v>102</v>
      </c>
      <c r="P29" s="381"/>
      <c r="Q29" s="382">
        <f>EINSTELLUNG!O17</f>
        <v>12</v>
      </c>
      <c r="R29" s="38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126036.98</v>
      </c>
      <c r="T36" s="229"/>
      <c r="U36" s="224">
        <f t="shared" ref="U36:U41" si="0">S36-Q36</f>
        <v>126024.98</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10503.081666666667</v>
      </c>
      <c r="T37" s="234"/>
      <c r="U37" s="237">
        <f t="shared" si="0"/>
        <v>10502.081666666667</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EINSTELLUNG!F17</f>
        <v>12</v>
      </c>
      <c r="R38" s="225"/>
      <c r="S38" s="225">
        <f>EINSTELLUNG!F33</f>
        <v>12</v>
      </c>
      <c r="T38" s="225"/>
      <c r="U38" s="226">
        <f t="shared" si="0"/>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1.4752562643069124E-3</v>
      </c>
      <c r="R40" s="223"/>
      <c r="S40" s="223">
        <f>IF(Q13=0, 0, S35/Q13)</f>
        <v>1.4752562643069124E-3</v>
      </c>
      <c r="T40" s="223"/>
      <c r="U40" s="224">
        <f t="shared" si="0"/>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1.4752562643069124E-3</v>
      </c>
      <c r="R41" s="225"/>
      <c r="S41" s="225">
        <f>IF(Q13=0, 0, S38/Q13)</f>
        <v>1.4752562643069124E-3</v>
      </c>
      <c r="T41" s="225"/>
      <c r="U41" s="226">
        <f t="shared" si="0"/>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15.383527515577375</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402405</v>
      </c>
      <c r="C55" s="137" t="s">
        <v>381</v>
      </c>
      <c r="D55" s="203">
        <v>46054</v>
      </c>
      <c r="E55" s="134" t="s">
        <v>4</v>
      </c>
      <c r="F55" s="136">
        <v>129.75</v>
      </c>
      <c r="G55" s="192">
        <v>1515.75</v>
      </c>
      <c r="H55" s="158">
        <f>IF(AND(ISNUMBER(D55), ISNUMBER(F55)),
    ROUNDDOWN(
        MIN(
            IF(OR(ISBLANK(I55), I55=""),
                EOMONTH(DATE(LOHNTABELLE!$G$3, $A$1, 1), 0), I55)
            - MAX(D55, DATE(LOHNTABELLE!$G$3, $A$1, 1)) + 1)
        / DAY(EOMONTH(DATE(LOHNTABELLE!$G$3, $A$1, 1), 0)) * F55,
        2
    ),
    ""
)</f>
        <v>129.75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1515.75</v>
      </c>
      <c r="M55" s="164"/>
      <c r="N55" s="147"/>
    </row>
    <row r="56" spans="1:14" ht="16" customHeight="1">
      <c r="A56" s="130" t="s">
        <v>142</v>
      </c>
      <c r="B56" s="170">
        <v>502000</v>
      </c>
      <c r="C56" s="137" t="s">
        <v>380</v>
      </c>
      <c r="D56" s="203">
        <v>46147</v>
      </c>
      <c r="E56" s="134" t="s">
        <v>4</v>
      </c>
      <c r="F56" s="136">
        <v>138.4</v>
      </c>
      <c r="G56" s="192">
        <v>1616.8</v>
      </c>
      <c r="H56" s="158">
        <f>IF(AND(ISNUMBER(D56), ISNUMBER(F56)),
    ROUNDDOWN(
        MIN(
            IF(OR(ISBLANK(I56), I56=""),
                EOMONTH(DATE(LOHNTABELLE!$G$3, $A$1, 1), 0), I56)
            - MAX(D56, DATE(LOHNTABELLE!$G$3, $A$1, 1)) + 1)
        / DAY(EOMONTH(DATE(LOHNTABELLE!$G$3, $A$1, 1), 0)) * F56,
        2
    ),
    ""
)</f>
        <v>138.4</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1616.8</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9/mOKSkiCcjrKvgJv/sWDTIz+UP4DmianB8T4splQHuPspFg6kCY4jP5bxAZEtI0Mbsl9P7lkxowXcn7G0259A==" saltValue="gf/bSYSMEKNkpNeMCGQ/8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96424</v>
      </c>
      <c r="H8" s="83">
        <f>G8-F8</f>
        <v>96422</v>
      </c>
      <c r="I8" s="66">
        <f>EINSTELLUNG!E7</f>
        <v>1</v>
      </c>
      <c r="J8" s="66">
        <f>EINSTELLUNG!E23</f>
        <v>48212</v>
      </c>
      <c r="K8" s="67">
        <f t="shared" ref="K8:K22" si="0">J8-I8</f>
        <v>48211</v>
      </c>
      <c r="L8" s="65">
        <f>Februar!S40</f>
        <v>2.6295030239284776E-4</v>
      </c>
      <c r="M8" s="62">
        <f>Februar!S41</f>
        <v>2.6295030239284776E-4</v>
      </c>
      <c r="N8" s="62">
        <f>Februar!O5</f>
        <v>734.57041000202264</v>
      </c>
      <c r="O8" s="62">
        <f>Februar!P5</f>
        <v>2</v>
      </c>
      <c r="P8" s="85">
        <f t="shared" ref="P8:P23" si="1">O8-N8</f>
        <v>-732.57041000202264</v>
      </c>
      <c r="Q8" s="66">
        <f>Februar!Q31</f>
        <v>0</v>
      </c>
    </row>
    <row r="9" spans="2:18" ht="30" customHeight="1">
      <c r="B9" s="63" t="s">
        <v>188</v>
      </c>
      <c r="C9" s="65">
        <f>EINSTELLUNG!C8</f>
        <v>3</v>
      </c>
      <c r="D9" s="65">
        <f>EINSTELLUNG!C24</f>
        <v>3</v>
      </c>
      <c r="E9" s="83">
        <f>D9-C9</f>
        <v>0</v>
      </c>
      <c r="F9" s="65">
        <f>EINSTELLUNG!D8</f>
        <v>3</v>
      </c>
      <c r="G9" s="65">
        <f>Marz!$S$36</f>
        <v>98185.2258</v>
      </c>
      <c r="H9" s="83">
        <f>G9-F9</f>
        <v>98182.2258</v>
      </c>
      <c r="I9" s="66">
        <f>EINSTELLUNG!E8</f>
        <v>1</v>
      </c>
      <c r="J9" s="66">
        <f>EINSTELLUNG!E24</f>
        <v>32728.408599999999</v>
      </c>
      <c r="K9" s="67">
        <f>J9-I9</f>
        <v>32727.408599999999</v>
      </c>
      <c r="L9" s="65">
        <f>Marz!S40</f>
        <v>3.6691188611055053E-4</v>
      </c>
      <c r="M9" s="62">
        <f>Marz!S41</f>
        <v>3.6691188611055053E-4</v>
      </c>
      <c r="N9" s="62">
        <f>Marz!O5</f>
        <v>751.26519204752321</v>
      </c>
      <c r="O9" s="62">
        <f>Marz!P5</f>
        <v>3</v>
      </c>
      <c r="P9" s="85">
        <f t="shared" si="1"/>
        <v>-748.26519204752321</v>
      </c>
      <c r="Q9" s="66">
        <f>Marz!Q31</f>
        <v>1.9230769230769232E-2</v>
      </c>
    </row>
    <row r="10" spans="2:18" ht="30" customHeight="1">
      <c r="B10" s="68" t="s">
        <v>189</v>
      </c>
      <c r="C10" s="69">
        <f>SUM(C7:C9)</f>
        <v>6</v>
      </c>
      <c r="D10" s="69">
        <f>SUM(D7:D9)</f>
        <v>6</v>
      </c>
      <c r="E10" s="84">
        <f>D10-C10</f>
        <v>0</v>
      </c>
      <c r="F10" s="69">
        <f>SUM(F7:F9)</f>
        <v>6</v>
      </c>
      <c r="G10" s="69">
        <f>SUM(G7:G9)</f>
        <v>194609.22580000001</v>
      </c>
      <c r="H10" s="84">
        <f>G10-F10</f>
        <v>194603.22580000001</v>
      </c>
      <c r="I10" s="70">
        <f>AVERAGE(I7:I9)</f>
        <v>1</v>
      </c>
      <c r="J10" s="70">
        <f>AVERAGE(J7:J9)</f>
        <v>26980.136199999997</v>
      </c>
      <c r="K10" s="71">
        <f>J10-I10</f>
        <v>26979.136199999997</v>
      </c>
      <c r="L10" s="69">
        <f>AVERAGE(L7:L9)</f>
        <v>2.5444715305755446E-4</v>
      </c>
      <c r="M10" s="64">
        <f>AVERAGE(M7:M9)</f>
        <v>2.5444715305755446E-4</v>
      </c>
      <c r="N10" s="64">
        <f>SUM(N7:N9)</f>
        <v>2210.3891428242682</v>
      </c>
      <c r="O10" s="64">
        <f>SUM(O7:O9)</f>
        <v>6</v>
      </c>
      <c r="P10" s="86">
        <f t="shared" si="1"/>
        <v>-2204.3891428242682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98345.95</v>
      </c>
      <c r="H11" s="83">
        <f>G11-F11</f>
        <v>98341.95</v>
      </c>
      <c r="I11" s="66">
        <f>EINSTELLUNG!E9</f>
        <v>1</v>
      </c>
      <c r="J11" s="66">
        <f>EINSTELLUNG!E25</f>
        <v>24586.487499999999</v>
      </c>
      <c r="K11" s="67">
        <f t="shared" si="0"/>
        <v>24585.487499999999</v>
      </c>
      <c r="L11" s="65">
        <f>April!S40</f>
        <v>4.9879354311758431E-4</v>
      </c>
      <c r="M11" s="62">
        <f>April!S41</f>
        <v>4.9879354311758431E-4</v>
      </c>
      <c r="N11" s="62">
        <f>April!O5</f>
        <v>755.43888755889839</v>
      </c>
      <c r="O11" s="62">
        <f>April!P5</f>
        <v>4</v>
      </c>
      <c r="P11" s="85">
        <f t="shared" si="1"/>
        <v>-751.43888755889839</v>
      </c>
      <c r="Q11" s="66">
        <f>April!Q31</f>
        <v>0</v>
      </c>
    </row>
    <row r="12" spans="2:18" ht="30" customHeight="1">
      <c r="B12" s="63" t="s">
        <v>191</v>
      </c>
      <c r="C12" s="65">
        <f>EINSTELLUNG!C10</f>
        <v>5</v>
      </c>
      <c r="D12" s="65">
        <f>EINSTELLUNG!C26</f>
        <v>5</v>
      </c>
      <c r="E12" s="83">
        <f t="shared" si="2"/>
        <v>0</v>
      </c>
      <c r="F12" s="65">
        <f>EINSTELLUNG!D10</f>
        <v>5</v>
      </c>
      <c r="G12" s="65">
        <f>Mai!$S$36</f>
        <v>135081.63709999999</v>
      </c>
      <c r="H12" s="83">
        <f t="shared" ref="H12:H23" si="3">G12-F12</f>
        <v>135076.63709999999</v>
      </c>
      <c r="I12" s="66">
        <f>EINSTELLUNG!E10</f>
        <v>1</v>
      </c>
      <c r="J12" s="66">
        <f>EINSTELLUNG!E26</f>
        <v>27016.327419999998</v>
      </c>
      <c r="K12" s="67">
        <f t="shared" si="0"/>
        <v>27015.327419999998</v>
      </c>
      <c r="L12" s="65">
        <f>Mai!S40</f>
        <v>6.1448312137762202E-4</v>
      </c>
      <c r="M12" s="62">
        <f>Mai!S41</f>
        <v>6.1448312137762202E-4</v>
      </c>
      <c r="N12" s="62">
        <f>Mai!O5</f>
        <v>788.82845164989953</v>
      </c>
      <c r="O12" s="62">
        <f>Mai!P5</f>
        <v>5</v>
      </c>
      <c r="P12" s="85">
        <f t="shared" si="1"/>
        <v>-783.82845164989953</v>
      </c>
      <c r="Q12" s="66">
        <f>Mai!Q31</f>
        <v>0</v>
      </c>
    </row>
    <row r="13" spans="2:18" ht="30" customHeight="1">
      <c r="B13" s="63" t="s">
        <v>192</v>
      </c>
      <c r="C13" s="65">
        <f>EINSTELLUNG!C11</f>
        <v>6</v>
      </c>
      <c r="D13" s="65">
        <f>EINSTELLUNG!C27</f>
        <v>6</v>
      </c>
      <c r="E13" s="83">
        <f t="shared" si="2"/>
        <v>0</v>
      </c>
      <c r="F13" s="65">
        <f>EINSTELLUNG!D11</f>
        <v>6</v>
      </c>
      <c r="G13" s="65">
        <f>Juni!$S$36</f>
        <v>135534.25</v>
      </c>
      <c r="H13" s="83">
        <f t="shared" si="3"/>
        <v>135528.25</v>
      </c>
      <c r="I13" s="66">
        <f>EINSTELLUNG!E11</f>
        <v>1</v>
      </c>
      <c r="J13" s="66">
        <f>EINSTELLUNG!E27</f>
        <v>22589.041666666668</v>
      </c>
      <c r="K13" s="67">
        <f t="shared" si="0"/>
        <v>22588.041666666668</v>
      </c>
      <c r="L13" s="65">
        <f>Juni!S40</f>
        <v>1.3574660633484163E-2</v>
      </c>
      <c r="M13" s="62">
        <f>Juni!S41</f>
        <v>1.3574660633484163E-2</v>
      </c>
      <c r="N13" s="62">
        <f>Juni!O5</f>
        <v>788.82845164989953</v>
      </c>
      <c r="O13" s="62">
        <f>Juni!P5</f>
        <v>6</v>
      </c>
      <c r="P13" s="85">
        <f t="shared" si="1"/>
        <v>-782.82845164989953</v>
      </c>
      <c r="Q13" s="66">
        <f>Juni!Q31</f>
        <v>0</v>
      </c>
    </row>
    <row r="14" spans="2:18" ht="30" customHeight="1">
      <c r="B14" s="68" t="s">
        <v>193</v>
      </c>
      <c r="C14" s="69">
        <f>SUM(C11:C13)</f>
        <v>15</v>
      </c>
      <c r="D14" s="69">
        <f>SUM(D11:D13)</f>
        <v>15</v>
      </c>
      <c r="E14" s="84">
        <f t="shared" si="2"/>
        <v>0</v>
      </c>
      <c r="F14" s="69">
        <f>SUM(F11:F13)</f>
        <v>15</v>
      </c>
      <c r="G14" s="69">
        <f>SUM(G11:G13)</f>
        <v>368961.8371</v>
      </c>
      <c r="H14" s="84">
        <f t="shared" si="3"/>
        <v>368946.8371</v>
      </c>
      <c r="I14" s="70">
        <f>AVERAGE(I11:I13)</f>
        <v>1</v>
      </c>
      <c r="J14" s="70">
        <f>AVERAGE(J11:J13)</f>
        <v>24730.618862222222</v>
      </c>
      <c r="K14" s="71">
        <f t="shared" si="0"/>
        <v>24729.618862222222</v>
      </c>
      <c r="L14" s="69">
        <f>AVERAGE(L11:L13)</f>
        <v>4.8959790993264567E-3</v>
      </c>
      <c r="M14" s="64">
        <f>AVERAGE(M11:M13)</f>
        <v>4.8959790993264567E-3</v>
      </c>
      <c r="N14" s="64">
        <f>SUM(N11:N13)</f>
        <v>2333.0957908586975</v>
      </c>
      <c r="O14" s="64">
        <f>SUM(O11:O13)</f>
        <v>15</v>
      </c>
      <c r="P14" s="86">
        <f t="shared" si="1"/>
        <v>-2318.0957908586975</v>
      </c>
      <c r="Q14" s="70">
        <f>AVERAGE(Q11:Q13)</f>
        <v>0</v>
      </c>
    </row>
    <row r="15" spans="2:18" ht="30" customHeight="1">
      <c r="B15" s="63" t="s">
        <v>194</v>
      </c>
      <c r="C15" s="65">
        <f>EINSTELLUNG!C12</f>
        <v>7</v>
      </c>
      <c r="D15" s="65">
        <f>EINSTELLUNG!C28</f>
        <v>7</v>
      </c>
      <c r="E15" s="83">
        <f t="shared" si="2"/>
        <v>0</v>
      </c>
      <c r="F15" s="65">
        <f>EINSTELLUNG!D12</f>
        <v>7</v>
      </c>
      <c r="G15" s="65">
        <f>Juli!$S$36</f>
        <v>129279.35</v>
      </c>
      <c r="H15" s="83">
        <f t="shared" si="3"/>
        <v>129272.35</v>
      </c>
      <c r="I15" s="66">
        <f>EINSTELLUNG!E12</f>
        <v>1</v>
      </c>
      <c r="J15" s="66">
        <f>EINSTELLUNG!E28</f>
        <v>18468.478571428572</v>
      </c>
      <c r="K15" s="67">
        <f t="shared" si="0"/>
        <v>18467.478571428572</v>
      </c>
      <c r="L15" s="65">
        <f>Juli!S40</f>
        <v>8.7955720577240833E-4</v>
      </c>
      <c r="M15" s="62">
        <f>Juli!S41</f>
        <v>8.7955720577240833E-4</v>
      </c>
      <c r="N15" s="62">
        <f>Juli!O5</f>
        <v>773.80314780894878</v>
      </c>
      <c r="O15" s="62">
        <f>Juli!P5</f>
        <v>7</v>
      </c>
      <c r="P15" s="85">
        <f t="shared" si="1"/>
        <v>-766.80314780894878</v>
      </c>
      <c r="Q15" s="66">
        <f>Juli!Q31</f>
        <v>0</v>
      </c>
    </row>
    <row r="16" spans="2:18" ht="30" customHeight="1">
      <c r="B16" s="63" t="s">
        <v>195</v>
      </c>
      <c r="C16" s="65">
        <f>EINSTELLUNG!C13</f>
        <v>8</v>
      </c>
      <c r="D16" s="65">
        <f>EINSTELLUNG!C29</f>
        <v>8</v>
      </c>
      <c r="E16" s="83">
        <f t="shared" si="2"/>
        <v>0</v>
      </c>
      <c r="F16" s="65">
        <f>EINSTELLUNG!D13</f>
        <v>8</v>
      </c>
      <c r="G16" s="65">
        <f>August!$S$36</f>
        <v>126521.9316</v>
      </c>
      <c r="H16" s="83">
        <f t="shared" si="3"/>
        <v>126513.9316</v>
      </c>
      <c r="I16" s="66">
        <f>EINSTELLUNG!E13</f>
        <v>1</v>
      </c>
      <c r="J16" s="66">
        <f>EINSTELLUNG!E29</f>
        <v>15815.24145</v>
      </c>
      <c r="K16" s="67">
        <f t="shared" si="0"/>
        <v>15814.24145</v>
      </c>
      <c r="L16" s="65">
        <f>August!S40</f>
        <v>1.0145807942392104E-3</v>
      </c>
      <c r="M16" s="62">
        <f>August!S41</f>
        <v>1.0145807942392104E-3</v>
      </c>
      <c r="N16" s="62">
        <f>August!O5</f>
        <v>767.54308705003768</v>
      </c>
      <c r="O16" s="62">
        <f>August!P5</f>
        <v>8</v>
      </c>
      <c r="P16" s="85">
        <f t="shared" si="1"/>
        <v>-759.54308705003768</v>
      </c>
      <c r="Q16" s="66">
        <f>August!Q31</f>
        <v>1.8518518518518517E-2</v>
      </c>
    </row>
    <row r="17" spans="2:17" ht="30" customHeight="1">
      <c r="B17" s="63" t="s">
        <v>196</v>
      </c>
      <c r="C17" s="65">
        <f>EINSTELLUNG!C14</f>
        <v>9</v>
      </c>
      <c r="D17" s="65">
        <f>EINSTELLUNG!C30</f>
        <v>9</v>
      </c>
      <c r="E17" s="83">
        <f t="shared" si="2"/>
        <v>0</v>
      </c>
      <c r="F17" s="65">
        <f>EINSTELLUNG!D14</f>
        <v>9</v>
      </c>
      <c r="G17" s="65">
        <f>September!$S$36</f>
        <v>126033.98</v>
      </c>
      <c r="H17" s="83">
        <f t="shared" si="3"/>
        <v>126024.98</v>
      </c>
      <c r="I17" s="66">
        <f>EINSTELLUNG!E14</f>
        <v>1</v>
      </c>
      <c r="J17" s="66">
        <f>EINSTELLUNG!E30</f>
        <v>14003.775555555556</v>
      </c>
      <c r="K17" s="67">
        <f t="shared" si="0"/>
        <v>14002.775555555556</v>
      </c>
      <c r="L17" s="65">
        <f>September!S40</f>
        <v>1.1729165743537882E-3</v>
      </c>
      <c r="M17" s="62">
        <f>September!S41</f>
        <v>1.1729165743537882E-3</v>
      </c>
      <c r="N17" s="62">
        <f>September!O5</f>
        <v>759.19569602728745</v>
      </c>
      <c r="O17" s="62">
        <f>September!P5</f>
        <v>9</v>
      </c>
      <c r="P17" s="85">
        <f t="shared" si="1"/>
        <v>-750.19569602728745</v>
      </c>
      <c r="Q17" s="66">
        <f>September!Q31</f>
        <v>0</v>
      </c>
    </row>
    <row r="18" spans="2:17" ht="30" customHeight="1">
      <c r="B18" s="68" t="s">
        <v>197</v>
      </c>
      <c r="C18" s="69">
        <f>SUM(C15:C17)</f>
        <v>24</v>
      </c>
      <c r="D18" s="69">
        <f>SUM(D15:D17)</f>
        <v>24</v>
      </c>
      <c r="E18" s="84">
        <f>D18-C18</f>
        <v>0</v>
      </c>
      <c r="F18" s="69">
        <f>SUM(F15:F17)</f>
        <v>24</v>
      </c>
      <c r="G18" s="69">
        <f>SUM(G15:G17)</f>
        <v>381835.26159999997</v>
      </c>
      <c r="H18" s="84">
        <f t="shared" si="3"/>
        <v>381811.26159999997</v>
      </c>
      <c r="I18" s="70">
        <f>AVERAGE(I15:I17)</f>
        <v>1</v>
      </c>
      <c r="J18" s="70">
        <f>AVERAGE(J15:J17)</f>
        <v>16095.831858994708</v>
      </c>
      <c r="K18" s="71">
        <f t="shared" si="0"/>
        <v>16094.831858994708</v>
      </c>
      <c r="L18" s="69">
        <f>AVERAGE(L15:L17)</f>
        <v>1.0223515247884691E-3</v>
      </c>
      <c r="M18" s="64">
        <f>AVERAGE(M15:M17)</f>
        <v>1.0223515247884691E-3</v>
      </c>
      <c r="N18" s="64">
        <f>SUM(N15:N17)</f>
        <v>2300.5419308862738</v>
      </c>
      <c r="O18" s="64">
        <f>SUM(O15:O17)</f>
        <v>24</v>
      </c>
      <c r="P18" s="86">
        <f t="shared" si="1"/>
        <v>-2276.5419308862738</v>
      </c>
      <c r="Q18" s="70">
        <f>AVERAGE(Q15:Q17)</f>
        <v>6.1728395061728392E-3</v>
      </c>
    </row>
    <row r="19" spans="2:17" ht="30" customHeight="1">
      <c r="B19" s="63" t="s">
        <v>198</v>
      </c>
      <c r="C19" s="65">
        <f>EINSTELLUNG!C15</f>
        <v>10</v>
      </c>
      <c r="D19" s="65">
        <f>EINSTELLUNG!C31</f>
        <v>10</v>
      </c>
      <c r="E19" s="83">
        <f>D19-C19</f>
        <v>0</v>
      </c>
      <c r="F19" s="65">
        <f>EINSTELLUNG!D15</f>
        <v>10</v>
      </c>
      <c r="G19" s="65">
        <f>Oktober!$S$36</f>
        <v>126034.98</v>
      </c>
      <c r="H19" s="83">
        <f t="shared" si="3"/>
        <v>126024.98</v>
      </c>
      <c r="I19" s="66">
        <f>EINSTELLUNG!E15</f>
        <v>1</v>
      </c>
      <c r="J19" s="66">
        <f>EINSTELLUNG!E31</f>
        <v>12603.498</v>
      </c>
      <c r="K19" s="67">
        <f t="shared" si="0"/>
        <v>12602.498</v>
      </c>
      <c r="L19" s="65">
        <f>Oktober!S40</f>
        <v>1.2565687129469302E-3</v>
      </c>
      <c r="M19" s="62">
        <f>Oktober!S41</f>
        <v>1.2565687129469302E-3</v>
      </c>
      <c r="N19" s="62">
        <f>Oktober!O5</f>
        <v>759.19569602728745</v>
      </c>
      <c r="O19" s="62">
        <f>Oktober!P5</f>
        <v>10</v>
      </c>
      <c r="P19" s="85">
        <f t="shared" si="1"/>
        <v>-749.19569602728745</v>
      </c>
      <c r="Q19" s="66">
        <f>Oktober!Q31</f>
        <v>0</v>
      </c>
    </row>
    <row r="20" spans="2:17" ht="30" customHeight="1">
      <c r="B20" s="63" t="s">
        <v>199</v>
      </c>
      <c r="C20" s="65">
        <f>EINSTELLUNG!C16</f>
        <v>11</v>
      </c>
      <c r="D20" s="65">
        <f>EINSTELLUNG!C32</f>
        <v>11</v>
      </c>
      <c r="E20" s="83">
        <f>D20-C20</f>
        <v>0</v>
      </c>
      <c r="F20" s="65">
        <f>EINSTELLUNG!D16</f>
        <v>11</v>
      </c>
      <c r="G20" s="65">
        <f>November!$S$36</f>
        <v>126035.98</v>
      </c>
      <c r="H20" s="83">
        <f t="shared" si="3"/>
        <v>126024.98</v>
      </c>
      <c r="I20" s="66">
        <f>EINSTELLUNG!E16</f>
        <v>1</v>
      </c>
      <c r="J20" s="66">
        <f>EINSTELLUNG!E32</f>
        <v>11457.816363636362</v>
      </c>
      <c r="K20" s="67">
        <f t="shared" si="0"/>
        <v>11456.816363636362</v>
      </c>
      <c r="L20" s="65">
        <f>November!S40</f>
        <v>1.4041035564666628E-3</v>
      </c>
      <c r="M20" s="62">
        <f>November!S41</f>
        <v>1.4041035564666628E-3</v>
      </c>
      <c r="N20" s="62">
        <f>November!O5</f>
        <v>759.19569602728745</v>
      </c>
      <c r="O20" s="62">
        <f>November!P5</f>
        <v>11</v>
      </c>
      <c r="P20" s="85">
        <f t="shared" si="1"/>
        <v>-748.19569602728745</v>
      </c>
      <c r="Q20" s="66">
        <f>November!Q31</f>
        <v>0</v>
      </c>
    </row>
    <row r="21" spans="2:17" ht="30" customHeight="1">
      <c r="B21" s="63" t="s">
        <v>200</v>
      </c>
      <c r="C21" s="65">
        <f>EINSTELLUNG!C17</f>
        <v>12</v>
      </c>
      <c r="D21" s="65">
        <f>EINSTELLUNG!C33</f>
        <v>12</v>
      </c>
      <c r="E21" s="83">
        <f t="shared" si="2"/>
        <v>0</v>
      </c>
      <c r="F21" s="65">
        <f>EINSTELLUNG!D17</f>
        <v>12</v>
      </c>
      <c r="G21" s="65">
        <f>Dezember!$S$36</f>
        <v>126036.98</v>
      </c>
      <c r="H21" s="83">
        <f t="shared" si="3"/>
        <v>126024.98</v>
      </c>
      <c r="I21" s="66">
        <f>EINSTELLUNG!E17</f>
        <v>1</v>
      </c>
      <c r="J21" s="66">
        <f>EINSTELLUNG!E33</f>
        <v>10503.081666666667</v>
      </c>
      <c r="K21" s="67">
        <f t="shared" si="0"/>
        <v>10502.081666666667</v>
      </c>
      <c r="L21" s="65">
        <f>Dezember!S40</f>
        <v>1.4752562643069124E-3</v>
      </c>
      <c r="M21" s="62">
        <f>Dezember!S41</f>
        <v>1.4752562643069124E-3</v>
      </c>
      <c r="N21" s="62">
        <f>Dezember!O5</f>
        <v>759.19569602728745</v>
      </c>
      <c r="O21" s="72">
        <f>Dezember!P5</f>
        <v>12</v>
      </c>
      <c r="P21" s="85">
        <f t="shared" si="1"/>
        <v>-747.19569602728745</v>
      </c>
      <c r="Q21" s="66">
        <f>Dezember!Q31</f>
        <v>0</v>
      </c>
    </row>
    <row r="22" spans="2:17" ht="30" customHeight="1">
      <c r="B22" s="68" t="s">
        <v>201</v>
      </c>
      <c r="C22" s="69">
        <f>SUM(C19:C21)</f>
        <v>33</v>
      </c>
      <c r="D22" s="69">
        <f>SUM(D19:D21)</f>
        <v>33</v>
      </c>
      <c r="E22" s="84">
        <f>D22-C22</f>
        <v>0</v>
      </c>
      <c r="F22" s="69">
        <f>SUM(F19:F21)</f>
        <v>33</v>
      </c>
      <c r="G22" s="69">
        <f>SUM(G19:G21)</f>
        <v>378107.94</v>
      </c>
      <c r="H22" s="84">
        <f t="shared" si="3"/>
        <v>378074.94</v>
      </c>
      <c r="I22" s="70">
        <f>AVERAGE(I19:I21)</f>
        <v>1</v>
      </c>
      <c r="J22" s="70">
        <f>AVERAGE(J19:J21)</f>
        <v>11521.465343434342</v>
      </c>
      <c r="K22" s="71">
        <f t="shared" si="0"/>
        <v>11520.465343434342</v>
      </c>
      <c r="L22" s="69">
        <f>AVERAGE(L19:L21)</f>
        <v>1.3786428445735019E-3</v>
      </c>
      <c r="M22" s="64">
        <f>AVERAGE(M19:M21)</f>
        <v>1.3786428445735019E-3</v>
      </c>
      <c r="N22" s="64">
        <f>SUM(N19:N21)</f>
        <v>2277.5870880818625</v>
      </c>
      <c r="O22" s="64">
        <f>SUM(O19:O21)</f>
        <v>33</v>
      </c>
      <c r="P22" s="86">
        <f>O22-N22</f>
        <v>-2244.5870880818625</v>
      </c>
      <c r="Q22" s="70">
        <f>AVERAGE(Q19:Q21)</f>
        <v>0</v>
      </c>
    </row>
    <row r="23" spans="2:17" ht="30" customHeight="1">
      <c r="B23" s="73">
        <f>LOHNTABELLE!G3</f>
        <v>2026</v>
      </c>
      <c r="C23" s="74">
        <f>SUM(C10,C14,C18,C22)</f>
        <v>78</v>
      </c>
      <c r="D23" s="74">
        <f>SUM(D10,D14,D18,D22)</f>
        <v>78</v>
      </c>
      <c r="E23" s="84">
        <f>D23-C23</f>
        <v>0</v>
      </c>
      <c r="F23" s="74">
        <f>SUM(F10,F14,F18,F22)</f>
        <v>78</v>
      </c>
      <c r="G23" s="74">
        <f>SUM(G10,G14,G18,G22)</f>
        <v>1323514.2645</v>
      </c>
      <c r="H23" s="84">
        <f t="shared" si="3"/>
        <v>1323436.2645</v>
      </c>
      <c r="I23" s="75">
        <f>AVERAGE(I10,I14,I18,I22)</f>
        <v>1</v>
      </c>
      <c r="J23" s="75">
        <f>AVERAGE(J10,J14,J18,J22)</f>
        <v>19832.013066162814</v>
      </c>
      <c r="K23" s="71">
        <f>J23-I23</f>
        <v>19831.013066162814</v>
      </c>
      <c r="L23" s="74">
        <f>AVERAGE(L22,L18,L14,L10)</f>
        <v>1.8878551554364954E-3</v>
      </c>
      <c r="M23" s="76">
        <f>AVERAGE(M10,M14,M18,M22)</f>
        <v>1.8878551554364954E-3</v>
      </c>
      <c r="N23" s="76">
        <f>SUM(N10,N14,N18,N22)</f>
        <v>9121.6139526511015</v>
      </c>
      <c r="O23" s="76">
        <f>SUM(O10,O14,O18,O22)</f>
        <v>78</v>
      </c>
      <c r="P23" s="86">
        <f t="shared" si="1"/>
        <v>-9043.6139526511015</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ILDkPykwma+5PH8uB+zilKRn+0jf3E35nbZiF98d2X61BeqwRIBFtftuuX0DT8fTlpW2QKmUuK5yHjfxv9nqdQ==" saltValue="q/nXhD/VF2vRMSvI3Yqy4Q=="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658</vt:i4>
      </vt:variant>
    </vt:vector>
  </HeadingPairs>
  <TitlesOfParts>
    <vt:vector size="67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2026-05-20T08:03:58Z</dcterms:modified>
  <cp:category/>
  <cp:contentStatus/>
</cp:coreProperties>
</file>
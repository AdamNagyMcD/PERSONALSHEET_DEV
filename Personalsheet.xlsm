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ECB16E84-E46F-A841-BA34-A4618FD78229}" xr6:coauthVersionLast="47" xr6:coauthVersionMax="47" xr10:uidLastSave="{00000000-0000-0000-0000-000000000000}"/>
  <bookViews>
    <workbookView xWindow="80" yWindow="780" windowWidth="34040" windowHeight="19900" tabRatio="677" activeTab="13"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6">KV_DROPDOWN_HELPER!$IJ$1:$IJ$13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6">KV_DROPDOWN_HELPER!$UR$1:$UR$13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6">KV_DROPDOWN_HELPER!$AGZ$1:$AGZ$13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6">KV_DROPDOWN_HELPER!$CF$1:$CF$13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6">KV_DROPDOWN_HELPER!$RP$1:$RP$13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6">KV_DROPDOWN_HELPER!$ON$1:$ON$13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6">KV_DROPDOWN_HELPER!$LL$1:$LL$13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6">KV_DROPDOWN_HELPER!$FH$1:$FH$13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6">KV_DROPDOWN_HELPER!$ADX$1:$ADX$13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6">KV_DROPDOWN_HELPER!$AAV$1:$AAV$13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6">KV_DROPDOWN_HELPER!$XT$1:$XT$13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 i="35" l="1"/>
  <c r="L20" i="35"/>
  <c r="L21" i="35"/>
  <c r="L22" i="35"/>
  <c r="L23" i="35"/>
  <c r="L24" i="35"/>
  <c r="L25" i="35"/>
  <c r="L26" i="35"/>
  <c r="L27" i="35"/>
  <c r="L28" i="35"/>
  <c r="L29" i="35"/>
  <c r="L30" i="35"/>
  <c r="L31" i="35"/>
  <c r="L32" i="35"/>
  <c r="L33" i="35"/>
  <c r="L34" i="35"/>
  <c r="L51" i="35"/>
  <c r="L52" i="35"/>
  <c r="L53" i="35"/>
  <c r="L54" i="35"/>
  <c r="L55" i="35"/>
  <c r="L56" i="35"/>
  <c r="L57" i="35"/>
  <c r="L58" i="35"/>
  <c r="L59" i="35"/>
  <c r="L60" i="35"/>
  <c r="L61" i="35"/>
  <c r="L62" i="35"/>
  <c r="L63" i="35"/>
  <c r="L64" i="35"/>
  <c r="L65" i="35"/>
  <c r="L66" i="35"/>
  <c r="K3" i="35"/>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K20" i="35"/>
  <c r="K21" i="35"/>
  <c r="K22" i="35"/>
  <c r="K23" i="35"/>
  <c r="K24" i="35"/>
  <c r="K25" i="35"/>
  <c r="K26" i="35"/>
  <c r="K27" i="35"/>
  <c r="K28" i="35"/>
  <c r="K29" i="35"/>
  <c r="K30" i="35"/>
  <c r="K31" i="35"/>
  <c r="K32" i="35"/>
  <c r="K33" i="35"/>
  <c r="K34" i="35"/>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K52" i="35"/>
  <c r="K53" i="35"/>
  <c r="K54" i="35"/>
  <c r="K55" i="35"/>
  <c r="K56" i="35"/>
  <c r="K57" i="35"/>
  <c r="K58" i="35"/>
  <c r="K59" i="35"/>
  <c r="K60" i="35"/>
  <c r="K61" i="35"/>
  <c r="K62" i="35"/>
  <c r="K63" i="35"/>
  <c r="K64" i="35"/>
  <c r="K65" i="35"/>
  <c r="K66" i="35"/>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L3" i="36"/>
  <c r="L4" i="36"/>
  <c r="L5" i="36"/>
  <c r="L6" i="36"/>
  <c r="L7" i="36"/>
  <c r="L8" i="36"/>
  <c r="L9" i="36"/>
  <c r="L11" i="36"/>
  <c r="L12" i="36"/>
  <c r="L13" i="36"/>
  <c r="L14" i="36"/>
  <c r="L15" i="36"/>
  <c r="L16" i="36"/>
  <c r="L17" i="36"/>
  <c r="L18" i="36"/>
  <c r="L35" i="36"/>
  <c r="L36" i="36"/>
  <c r="L37" i="36"/>
  <c r="L38" i="36"/>
  <c r="L39" i="36"/>
  <c r="L40" i="36"/>
  <c r="L41" i="36"/>
  <c r="L43" i="36"/>
  <c r="L44" i="36"/>
  <c r="L45" i="36"/>
  <c r="L46" i="36"/>
  <c r="L47" i="36"/>
  <c r="L48" i="36"/>
  <c r="L49" i="36"/>
  <c r="L50" i="36"/>
  <c r="L67" i="36"/>
  <c r="L68" i="36"/>
  <c r="L69" i="36"/>
  <c r="L70" i="36"/>
  <c r="L71" i="36"/>
  <c r="L72" i="36"/>
  <c r="L73" i="36"/>
  <c r="L76" i="36"/>
  <c r="L77" i="36"/>
  <c r="L78" i="36"/>
  <c r="L79" i="36"/>
  <c r="L80" i="36"/>
  <c r="L81" i="36"/>
  <c r="L82" i="36"/>
  <c r="K3" i="36"/>
  <c r="K4" i="36"/>
  <c r="K5" i="36"/>
  <c r="K6" i="36"/>
  <c r="K7" i="36"/>
  <c r="K8" i="36"/>
  <c r="K9" i="36"/>
  <c r="K10" i="36"/>
  <c r="L10" i="36" s="1"/>
  <c r="K11" i="36"/>
  <c r="K12" i="36"/>
  <c r="K13" i="36"/>
  <c r="K14" i="36"/>
  <c r="K15" i="36"/>
  <c r="K16" i="36"/>
  <c r="K17" i="36"/>
  <c r="K18" i="36"/>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K36" i="36"/>
  <c r="K37" i="36"/>
  <c r="K38" i="36"/>
  <c r="K39" i="36"/>
  <c r="K40" i="36"/>
  <c r="K41" i="36"/>
  <c r="K42" i="36"/>
  <c r="L42" i="36" s="1"/>
  <c r="K43" i="36"/>
  <c r="K44" i="36"/>
  <c r="K45" i="36"/>
  <c r="K46" i="36"/>
  <c r="K47" i="36"/>
  <c r="K48" i="36"/>
  <c r="K49" i="36"/>
  <c r="K50" i="36"/>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K68" i="36"/>
  <c r="K69" i="36"/>
  <c r="K70" i="36"/>
  <c r="K71" i="36"/>
  <c r="K72" i="36"/>
  <c r="K73" i="36"/>
  <c r="K74" i="36"/>
  <c r="L74" i="36" s="1"/>
  <c r="K75" i="36"/>
  <c r="L75" i="36" s="1"/>
  <c r="K76" i="36"/>
  <c r="K77" i="36"/>
  <c r="K78" i="36"/>
  <c r="K79" i="36"/>
  <c r="K80" i="36"/>
  <c r="K81" i="36"/>
  <c r="K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L10" i="33"/>
  <c r="L19" i="33"/>
  <c r="L20" i="33"/>
  <c r="L21" i="33"/>
  <c r="L22" i="33"/>
  <c r="L24" i="33"/>
  <c r="L25" i="33"/>
  <c r="L27" i="33"/>
  <c r="L28" i="33"/>
  <c r="L29" i="33"/>
  <c r="L30" i="33"/>
  <c r="L31" i="33"/>
  <c r="L32" i="33"/>
  <c r="L33" i="33"/>
  <c r="L34" i="33"/>
  <c r="L42" i="33"/>
  <c r="L51" i="33"/>
  <c r="L52" i="33"/>
  <c r="L53" i="33"/>
  <c r="L54" i="33"/>
  <c r="L56" i="33"/>
  <c r="L59" i="33"/>
  <c r="L60" i="33"/>
  <c r="L61" i="33"/>
  <c r="L62" i="33"/>
  <c r="L63" i="33"/>
  <c r="L64" i="33"/>
  <c r="L65" i="33"/>
  <c r="L66" i="33"/>
  <c r="K3" i="33"/>
  <c r="L3" i="33" s="1"/>
  <c r="K4" i="33"/>
  <c r="L4" i="33" s="1"/>
  <c r="K5" i="33"/>
  <c r="L5" i="33" s="1"/>
  <c r="K6" i="33"/>
  <c r="L6" i="33" s="1"/>
  <c r="K7" i="33"/>
  <c r="L7" i="33" s="1"/>
  <c r="K8" i="33"/>
  <c r="L8" i="33" s="1"/>
  <c r="K9" i="33"/>
  <c r="L9" i="33" s="1"/>
  <c r="K10" i="33"/>
  <c r="K11" i="33"/>
  <c r="L11" i="33" s="1"/>
  <c r="K12" i="33"/>
  <c r="L12" i="33" s="1"/>
  <c r="K13" i="33"/>
  <c r="L13" i="33" s="1"/>
  <c r="K14" i="33"/>
  <c r="L14" i="33" s="1"/>
  <c r="K15" i="33"/>
  <c r="L15" i="33" s="1"/>
  <c r="K16" i="33"/>
  <c r="L16" i="33" s="1"/>
  <c r="K17" i="33"/>
  <c r="L17" i="33" s="1"/>
  <c r="K18" i="33"/>
  <c r="L18" i="33" s="1"/>
  <c r="K19" i="33"/>
  <c r="K20" i="33"/>
  <c r="K21" i="33"/>
  <c r="K22" i="33"/>
  <c r="K23" i="33"/>
  <c r="L23" i="33" s="1"/>
  <c r="K24" i="33"/>
  <c r="K25" i="33"/>
  <c r="K26" i="33"/>
  <c r="L26" i="33" s="1"/>
  <c r="K27" i="33"/>
  <c r="K28" i="33"/>
  <c r="K29" i="33"/>
  <c r="K30" i="33"/>
  <c r="K31" i="33"/>
  <c r="K32" i="33"/>
  <c r="K33" i="33"/>
  <c r="K34" i="33"/>
  <c r="K35" i="33"/>
  <c r="L35" i="33" s="1"/>
  <c r="K36" i="33"/>
  <c r="L36" i="33" s="1"/>
  <c r="K37" i="33"/>
  <c r="L37" i="33" s="1"/>
  <c r="K38" i="33"/>
  <c r="L38" i="33" s="1"/>
  <c r="K39" i="33"/>
  <c r="L39" i="33" s="1"/>
  <c r="K40" i="33"/>
  <c r="L40" i="33" s="1"/>
  <c r="K41" i="33"/>
  <c r="L41" i="33" s="1"/>
  <c r="K42" i="33"/>
  <c r="K43" i="33"/>
  <c r="L43" i="33" s="1"/>
  <c r="K44" i="33"/>
  <c r="L44" i="33" s="1"/>
  <c r="K45" i="33"/>
  <c r="L45" i="33" s="1"/>
  <c r="K46" i="33"/>
  <c r="L46" i="33" s="1"/>
  <c r="K47" i="33"/>
  <c r="L47" i="33" s="1"/>
  <c r="K48" i="33"/>
  <c r="L48" i="33" s="1"/>
  <c r="K49" i="33"/>
  <c r="L49" i="33" s="1"/>
  <c r="K50" i="33"/>
  <c r="L50" i="33" s="1"/>
  <c r="K51" i="33"/>
  <c r="K52" i="33"/>
  <c r="K53" i="33"/>
  <c r="K54" i="33"/>
  <c r="K55" i="33"/>
  <c r="L55" i="33" s="1"/>
  <c r="K56" i="33"/>
  <c r="K57" i="33"/>
  <c r="L57" i="33" s="1"/>
  <c r="K58" i="33"/>
  <c r="L58" i="33" s="1"/>
  <c r="K59" i="33"/>
  <c r="K60" i="33"/>
  <c r="K61" i="33"/>
  <c r="K62" i="33"/>
  <c r="K63" i="33"/>
  <c r="K64" i="33"/>
  <c r="K65" i="33"/>
  <c r="K66" i="33"/>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L3" i="32"/>
  <c r="L4" i="32"/>
  <c r="L5" i="32"/>
  <c r="L6" i="32"/>
  <c r="L8" i="32"/>
  <c r="L9" i="32"/>
  <c r="L11" i="32"/>
  <c r="L12" i="32"/>
  <c r="L13" i="32"/>
  <c r="L14" i="32"/>
  <c r="L15" i="32"/>
  <c r="L16" i="32"/>
  <c r="L17" i="32"/>
  <c r="L18" i="32"/>
  <c r="L26" i="32"/>
  <c r="L35" i="32"/>
  <c r="L36" i="32"/>
  <c r="L37" i="32"/>
  <c r="L38" i="32"/>
  <c r="L40" i="32"/>
  <c r="L43" i="32"/>
  <c r="L44" i="32"/>
  <c r="L46" i="32"/>
  <c r="L47" i="32"/>
  <c r="L48" i="32"/>
  <c r="L49" i="32"/>
  <c r="L50" i="32"/>
  <c r="L58" i="32"/>
  <c r="L67" i="32"/>
  <c r="L68" i="32"/>
  <c r="L69" i="32"/>
  <c r="L70" i="32"/>
  <c r="L72" i="32"/>
  <c r="L75" i="32"/>
  <c r="L76" i="32"/>
  <c r="L78" i="32"/>
  <c r="L79" i="32"/>
  <c r="L80" i="32"/>
  <c r="K3" i="32"/>
  <c r="K4" i="32"/>
  <c r="K5" i="32"/>
  <c r="K6" i="32"/>
  <c r="K7" i="32"/>
  <c r="L7" i="32" s="1"/>
  <c r="K8" i="32"/>
  <c r="K9" i="32"/>
  <c r="K10" i="32"/>
  <c r="L10" i="32" s="1"/>
  <c r="K11" i="32"/>
  <c r="K12" i="32"/>
  <c r="K13" i="32"/>
  <c r="K14" i="32"/>
  <c r="K15" i="32"/>
  <c r="K16" i="32"/>
  <c r="K17" i="32"/>
  <c r="K18" i="32"/>
  <c r="K19" i="32"/>
  <c r="L19" i="32" s="1"/>
  <c r="K20" i="32"/>
  <c r="L20" i="32" s="1"/>
  <c r="K21" i="32"/>
  <c r="L21" i="32" s="1"/>
  <c r="K22" i="32"/>
  <c r="L22" i="32" s="1"/>
  <c r="K23" i="32"/>
  <c r="L23" i="32" s="1"/>
  <c r="K24" i="32"/>
  <c r="L24" i="32" s="1"/>
  <c r="K25" i="32"/>
  <c r="L25" i="32" s="1"/>
  <c r="K26" i="32"/>
  <c r="K27" i="32"/>
  <c r="L27" i="32" s="1"/>
  <c r="K28" i="32"/>
  <c r="L28" i="32" s="1"/>
  <c r="K29" i="32"/>
  <c r="L29" i="32" s="1"/>
  <c r="K30" i="32"/>
  <c r="L30" i="32" s="1"/>
  <c r="K31" i="32"/>
  <c r="L31" i="32" s="1"/>
  <c r="K32" i="32"/>
  <c r="L32" i="32" s="1"/>
  <c r="K33" i="32"/>
  <c r="L33" i="32" s="1"/>
  <c r="K34" i="32"/>
  <c r="L34" i="32" s="1"/>
  <c r="K35" i="32"/>
  <c r="K36" i="32"/>
  <c r="K37" i="32"/>
  <c r="K38" i="32"/>
  <c r="K39" i="32"/>
  <c r="L39" i="32" s="1"/>
  <c r="K40" i="32"/>
  <c r="K41" i="32"/>
  <c r="L41" i="32" s="1"/>
  <c r="K42" i="32"/>
  <c r="L42" i="32" s="1"/>
  <c r="K43" i="32"/>
  <c r="K44" i="32"/>
  <c r="K45" i="32"/>
  <c r="L45" i="32" s="1"/>
  <c r="K46" i="32"/>
  <c r="K47" i="32"/>
  <c r="K48" i="32"/>
  <c r="K49" i="32"/>
  <c r="K50" i="32"/>
  <c r="K51" i="32"/>
  <c r="L51" i="32" s="1"/>
  <c r="K52" i="32"/>
  <c r="L52" i="32" s="1"/>
  <c r="K53" i="32"/>
  <c r="L53" i="32" s="1"/>
  <c r="K54" i="32"/>
  <c r="L54" i="32" s="1"/>
  <c r="K55" i="32"/>
  <c r="L55" i="32" s="1"/>
  <c r="K56" i="32"/>
  <c r="L56" i="32" s="1"/>
  <c r="K57" i="32"/>
  <c r="L57" i="32" s="1"/>
  <c r="K58" i="32"/>
  <c r="K59" i="32"/>
  <c r="L59" i="32" s="1"/>
  <c r="K60" i="32"/>
  <c r="L60" i="32" s="1"/>
  <c r="K61" i="32"/>
  <c r="L61" i="32" s="1"/>
  <c r="K62" i="32"/>
  <c r="L62" i="32" s="1"/>
  <c r="K63" i="32"/>
  <c r="L63" i="32" s="1"/>
  <c r="K64" i="32"/>
  <c r="L64" i="32" s="1"/>
  <c r="K65" i="32"/>
  <c r="L65" i="32" s="1"/>
  <c r="K66" i="32"/>
  <c r="L66" i="32" s="1"/>
  <c r="K67" i="32"/>
  <c r="K68" i="32"/>
  <c r="K69" i="32"/>
  <c r="K70" i="32"/>
  <c r="K71" i="32"/>
  <c r="L71" i="32" s="1"/>
  <c r="K72" i="32"/>
  <c r="K73" i="32"/>
  <c r="L73" i="32" s="1"/>
  <c r="K74" i="32"/>
  <c r="L74" i="32" s="1"/>
  <c r="K75" i="32"/>
  <c r="K76" i="32"/>
  <c r="K77" i="32"/>
  <c r="L77" i="32" s="1"/>
  <c r="K78" i="32"/>
  <c r="K79" i="32"/>
  <c r="K80" i="32"/>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L10" i="31"/>
  <c r="L19" i="31"/>
  <c r="L20" i="31"/>
  <c r="L21" i="31"/>
  <c r="L22" i="31"/>
  <c r="L23" i="31"/>
  <c r="L24" i="31"/>
  <c r="L25" i="31"/>
  <c r="L27" i="31"/>
  <c r="L28" i="31"/>
  <c r="L30" i="31"/>
  <c r="L32" i="31"/>
  <c r="L34" i="31"/>
  <c r="L42" i="31"/>
  <c r="L51" i="31"/>
  <c r="L52" i="31"/>
  <c r="L53" i="31"/>
  <c r="L54" i="31"/>
  <c r="L55" i="31"/>
  <c r="L56" i="31"/>
  <c r="L59" i="31"/>
  <c r="L60" i="31"/>
  <c r="L62" i="31"/>
  <c r="L64" i="31"/>
  <c r="L66" i="31"/>
  <c r="K3" i="31"/>
  <c r="L3" i="31" s="1"/>
  <c r="K4" i="31"/>
  <c r="L4" i="31" s="1"/>
  <c r="K5" i="31"/>
  <c r="L5" i="31" s="1"/>
  <c r="K6" i="31"/>
  <c r="L6" i="31" s="1"/>
  <c r="K7" i="31"/>
  <c r="L7" i="31" s="1"/>
  <c r="K8" i="31"/>
  <c r="L8" i="31" s="1"/>
  <c r="K9" i="31"/>
  <c r="L9" i="31" s="1"/>
  <c r="K10" i="31"/>
  <c r="K11" i="31"/>
  <c r="L11" i="31" s="1"/>
  <c r="K12" i="31"/>
  <c r="L12" i="31" s="1"/>
  <c r="K13" i="31"/>
  <c r="L13" i="31" s="1"/>
  <c r="K14" i="31"/>
  <c r="L14" i="31" s="1"/>
  <c r="K15" i="31"/>
  <c r="L15" i="31" s="1"/>
  <c r="K16" i="31"/>
  <c r="L16" i="31" s="1"/>
  <c r="K17" i="31"/>
  <c r="L17" i="31" s="1"/>
  <c r="K18" i="31"/>
  <c r="L18" i="31" s="1"/>
  <c r="K19" i="31"/>
  <c r="K20" i="31"/>
  <c r="K21" i="31"/>
  <c r="K22" i="31"/>
  <c r="K23" i="31"/>
  <c r="K24" i="31"/>
  <c r="K25" i="31"/>
  <c r="K26" i="31"/>
  <c r="L26" i="31" s="1"/>
  <c r="K27" i="31"/>
  <c r="K28" i="31"/>
  <c r="K29" i="31"/>
  <c r="L29" i="31" s="1"/>
  <c r="K30" i="31"/>
  <c r="K31" i="31"/>
  <c r="L31" i="31" s="1"/>
  <c r="K32" i="31"/>
  <c r="K33" i="31"/>
  <c r="L33" i="31" s="1"/>
  <c r="K34" i="31"/>
  <c r="K35" i="31"/>
  <c r="L35" i="31" s="1"/>
  <c r="K36" i="31"/>
  <c r="L36" i="31" s="1"/>
  <c r="K37" i="31"/>
  <c r="L37" i="31" s="1"/>
  <c r="K38" i="31"/>
  <c r="L38" i="31" s="1"/>
  <c r="K39" i="31"/>
  <c r="L39" i="31" s="1"/>
  <c r="K40" i="31"/>
  <c r="L40" i="31" s="1"/>
  <c r="K41" i="31"/>
  <c r="L41" i="31" s="1"/>
  <c r="K42" i="31"/>
  <c r="K43" i="31"/>
  <c r="L43" i="31" s="1"/>
  <c r="K44" i="31"/>
  <c r="L44" i="31" s="1"/>
  <c r="K45" i="31"/>
  <c r="L45" i="31" s="1"/>
  <c r="K46" i="31"/>
  <c r="L46" i="31" s="1"/>
  <c r="K47" i="31"/>
  <c r="L47" i="31" s="1"/>
  <c r="K48" i="31"/>
  <c r="L48" i="31" s="1"/>
  <c r="K49" i="31"/>
  <c r="L49" i="31" s="1"/>
  <c r="K50" i="31"/>
  <c r="L50" i="31" s="1"/>
  <c r="K51" i="31"/>
  <c r="K52" i="31"/>
  <c r="K53" i="31"/>
  <c r="K54" i="31"/>
  <c r="K55" i="31"/>
  <c r="K56" i="31"/>
  <c r="K57" i="31"/>
  <c r="L57" i="31" s="1"/>
  <c r="K58" i="31"/>
  <c r="L58" i="31" s="1"/>
  <c r="K59" i="31"/>
  <c r="K60" i="31"/>
  <c r="K61" i="31"/>
  <c r="L61" i="31" s="1"/>
  <c r="K62" i="31"/>
  <c r="K63" i="31"/>
  <c r="L63" i="31" s="1"/>
  <c r="K64" i="31"/>
  <c r="K65" i="31"/>
  <c r="L65" i="31" s="1"/>
  <c r="K66" i="3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3" i="30"/>
  <c r="L4" i="30"/>
  <c r="L5" i="30"/>
  <c r="L6" i="30"/>
  <c r="L7" i="30"/>
  <c r="L8" i="30"/>
  <c r="L9" i="30"/>
  <c r="L12" i="30"/>
  <c r="L14" i="30"/>
  <c r="L15" i="30"/>
  <c r="L18" i="30"/>
  <c r="L26" i="30"/>
  <c r="L35" i="30"/>
  <c r="L36" i="30"/>
  <c r="L37" i="30"/>
  <c r="L38" i="30"/>
  <c r="L39" i="30"/>
  <c r="L40" i="30"/>
  <c r="L44" i="30"/>
  <c r="L47" i="30"/>
  <c r="L50" i="30"/>
  <c r="L58" i="30"/>
  <c r="L67" i="30"/>
  <c r="L68" i="30"/>
  <c r="L69" i="30"/>
  <c r="L70" i="30"/>
  <c r="L71" i="30"/>
  <c r="L72" i="30"/>
  <c r="L76" i="30"/>
  <c r="L79" i="30"/>
  <c r="K3" i="30"/>
  <c r="K4" i="30"/>
  <c r="K5" i="30"/>
  <c r="K6" i="30"/>
  <c r="K7" i="30"/>
  <c r="K8" i="30"/>
  <c r="K9" i="30"/>
  <c r="K10" i="30"/>
  <c r="L10" i="30" s="1"/>
  <c r="K11" i="30"/>
  <c r="L11" i="30" s="1"/>
  <c r="K12" i="30"/>
  <c r="K13" i="30"/>
  <c r="L13" i="30" s="1"/>
  <c r="K14" i="30"/>
  <c r="K15" i="30"/>
  <c r="K16" i="30"/>
  <c r="L16" i="30" s="1"/>
  <c r="K17" i="30"/>
  <c r="L17" i="30" s="1"/>
  <c r="K18" i="30"/>
  <c r="K19" i="30"/>
  <c r="L19" i="30" s="1"/>
  <c r="K20" i="30"/>
  <c r="L20" i="30" s="1"/>
  <c r="K21" i="30"/>
  <c r="L21" i="30" s="1"/>
  <c r="K22" i="30"/>
  <c r="L22" i="30" s="1"/>
  <c r="K23" i="30"/>
  <c r="L23" i="30" s="1"/>
  <c r="K24" i="30"/>
  <c r="L24" i="30" s="1"/>
  <c r="K25" i="30"/>
  <c r="L25" i="30" s="1"/>
  <c r="K26" i="30"/>
  <c r="K27" i="30"/>
  <c r="L27" i="30" s="1"/>
  <c r="K28" i="30"/>
  <c r="L28" i="30" s="1"/>
  <c r="K29" i="30"/>
  <c r="L29" i="30" s="1"/>
  <c r="K30" i="30"/>
  <c r="L30" i="30" s="1"/>
  <c r="K31" i="30"/>
  <c r="L31" i="30" s="1"/>
  <c r="K32" i="30"/>
  <c r="L32" i="30" s="1"/>
  <c r="K33" i="30"/>
  <c r="L33" i="30" s="1"/>
  <c r="K34" i="30"/>
  <c r="L34" i="30" s="1"/>
  <c r="K35" i="30"/>
  <c r="K36" i="30"/>
  <c r="K37" i="30"/>
  <c r="K38" i="30"/>
  <c r="K39" i="30"/>
  <c r="K40" i="30"/>
  <c r="K41" i="30"/>
  <c r="L41" i="30" s="1"/>
  <c r="K42" i="30"/>
  <c r="L42" i="30" s="1"/>
  <c r="K43" i="30"/>
  <c r="L43" i="30" s="1"/>
  <c r="K44" i="30"/>
  <c r="K45" i="30"/>
  <c r="L45" i="30" s="1"/>
  <c r="K46" i="30"/>
  <c r="L46" i="30" s="1"/>
  <c r="K47" i="30"/>
  <c r="K48" i="30"/>
  <c r="L48" i="30" s="1"/>
  <c r="K49" i="30"/>
  <c r="L49" i="30" s="1"/>
  <c r="K50" i="30"/>
  <c r="K51" i="30"/>
  <c r="L51" i="30" s="1"/>
  <c r="K52" i="30"/>
  <c r="L52" i="30" s="1"/>
  <c r="K53" i="30"/>
  <c r="L53" i="30" s="1"/>
  <c r="K54" i="30"/>
  <c r="L54" i="30" s="1"/>
  <c r="K55" i="30"/>
  <c r="L55" i="30" s="1"/>
  <c r="K56" i="30"/>
  <c r="L56" i="30" s="1"/>
  <c r="K57" i="30"/>
  <c r="L57" i="30" s="1"/>
  <c r="K58" i="30"/>
  <c r="K59" i="30"/>
  <c r="L59" i="30" s="1"/>
  <c r="K60" i="30"/>
  <c r="L60" i="30" s="1"/>
  <c r="K61" i="30"/>
  <c r="L61" i="30" s="1"/>
  <c r="K62" i="30"/>
  <c r="L62" i="30" s="1"/>
  <c r="K63" i="30"/>
  <c r="L63" i="30" s="1"/>
  <c r="K64" i="30"/>
  <c r="L64" i="30" s="1"/>
  <c r="K65" i="30"/>
  <c r="L65" i="30" s="1"/>
  <c r="K66" i="30"/>
  <c r="L66" i="30" s="1"/>
  <c r="K67" i="30"/>
  <c r="K68" i="30"/>
  <c r="K69" i="30"/>
  <c r="K70" i="30"/>
  <c r="K71" i="30"/>
  <c r="K72" i="30"/>
  <c r="K73" i="30"/>
  <c r="L73" i="30" s="1"/>
  <c r="K74" i="30"/>
  <c r="L74" i="30" s="1"/>
  <c r="K75" i="30"/>
  <c r="L75" i="30" s="1"/>
  <c r="K76" i="30"/>
  <c r="K77" i="30"/>
  <c r="L77" i="30" s="1"/>
  <c r="K78" i="30"/>
  <c r="L78" i="30" s="1"/>
  <c r="K79" i="30"/>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10" i="37"/>
  <c r="L16" i="37"/>
  <c r="L17" i="37"/>
  <c r="L19" i="37"/>
  <c r="L20" i="37"/>
  <c r="L21" i="37"/>
  <c r="L22" i="37"/>
  <c r="L23" i="37"/>
  <c r="L24" i="37"/>
  <c r="L25" i="37"/>
  <c r="L27" i="37"/>
  <c r="L28" i="37"/>
  <c r="L30" i="37"/>
  <c r="L34" i="37"/>
  <c r="L42" i="37"/>
  <c r="L48" i="37"/>
  <c r="L49" i="37"/>
  <c r="L51" i="37"/>
  <c r="L52" i="37"/>
  <c r="L53" i="37"/>
  <c r="L54" i="37"/>
  <c r="L55" i="37"/>
  <c r="L56" i="37"/>
  <c r="L57" i="37"/>
  <c r="L59" i="37"/>
  <c r="L60" i="37"/>
  <c r="L62" i="37"/>
  <c r="L66" i="37"/>
  <c r="L74" i="37"/>
  <c r="L80" i="37"/>
  <c r="L81" i="37"/>
  <c r="K3" i="37"/>
  <c r="L3" i="37" s="1"/>
  <c r="K4" i="37"/>
  <c r="L4" i="37" s="1"/>
  <c r="K5" i="37"/>
  <c r="L5" i="37" s="1"/>
  <c r="K6" i="37"/>
  <c r="L6" i="37" s="1"/>
  <c r="K7" i="37"/>
  <c r="L7" i="37" s="1"/>
  <c r="K8" i="37"/>
  <c r="L8" i="37" s="1"/>
  <c r="K9" i="37"/>
  <c r="L9" i="37" s="1"/>
  <c r="K10" i="37"/>
  <c r="K11" i="37"/>
  <c r="L11" i="37" s="1"/>
  <c r="K12" i="37"/>
  <c r="L12" i="37" s="1"/>
  <c r="K13" i="37"/>
  <c r="L13" i="37" s="1"/>
  <c r="K14" i="37"/>
  <c r="L14" i="37" s="1"/>
  <c r="K15" i="37"/>
  <c r="L15" i="37" s="1"/>
  <c r="K16" i="37"/>
  <c r="K17" i="37"/>
  <c r="K18" i="37"/>
  <c r="L18" i="37" s="1"/>
  <c r="K19" i="37"/>
  <c r="K20" i="37"/>
  <c r="K21" i="37"/>
  <c r="K22" i="37"/>
  <c r="K23" i="37"/>
  <c r="K24" i="37"/>
  <c r="K25" i="37"/>
  <c r="K26" i="37"/>
  <c r="L26" i="37" s="1"/>
  <c r="K27" i="37"/>
  <c r="K28" i="37"/>
  <c r="K29" i="37"/>
  <c r="L29" i="37" s="1"/>
  <c r="K30" i="37"/>
  <c r="K31" i="37"/>
  <c r="L31" i="37" s="1"/>
  <c r="K32" i="37"/>
  <c r="L32" i="37" s="1"/>
  <c r="K33" i="37"/>
  <c r="L33" i="37" s="1"/>
  <c r="K34" i="37"/>
  <c r="K35" i="37"/>
  <c r="L35" i="37" s="1"/>
  <c r="K36" i="37"/>
  <c r="L36" i="37" s="1"/>
  <c r="K37" i="37"/>
  <c r="L37" i="37" s="1"/>
  <c r="K38" i="37"/>
  <c r="L38" i="37" s="1"/>
  <c r="K39" i="37"/>
  <c r="L39" i="37" s="1"/>
  <c r="K40" i="37"/>
  <c r="L40" i="37" s="1"/>
  <c r="K41" i="37"/>
  <c r="L41" i="37" s="1"/>
  <c r="K42" i="37"/>
  <c r="K43" i="37"/>
  <c r="L43" i="37" s="1"/>
  <c r="K44" i="37"/>
  <c r="L44" i="37" s="1"/>
  <c r="K45" i="37"/>
  <c r="L45" i="37" s="1"/>
  <c r="K46" i="37"/>
  <c r="L46" i="37" s="1"/>
  <c r="K47" i="37"/>
  <c r="L47" i="37" s="1"/>
  <c r="K48" i="37"/>
  <c r="K49" i="37"/>
  <c r="K50" i="37"/>
  <c r="L50" i="37" s="1"/>
  <c r="K51" i="37"/>
  <c r="K52" i="37"/>
  <c r="K53" i="37"/>
  <c r="K54" i="37"/>
  <c r="K55" i="37"/>
  <c r="K56" i="37"/>
  <c r="K57" i="37"/>
  <c r="K58" i="37"/>
  <c r="L58" i="37" s="1"/>
  <c r="K59" i="37"/>
  <c r="K60" i="37"/>
  <c r="K61" i="37"/>
  <c r="L61" i="37" s="1"/>
  <c r="K62" i="37"/>
  <c r="K63" i="37"/>
  <c r="L63" i="37" s="1"/>
  <c r="K64" i="37"/>
  <c r="L64" i="37" s="1"/>
  <c r="K65" i="37"/>
  <c r="L65" i="37" s="1"/>
  <c r="K66" i="37"/>
  <c r="K67" i="37"/>
  <c r="L67" i="37" s="1"/>
  <c r="K68" i="37"/>
  <c r="L68" i="37" s="1"/>
  <c r="K69" i="37"/>
  <c r="L69" i="37" s="1"/>
  <c r="K70" i="37"/>
  <c r="L70" i="37" s="1"/>
  <c r="K71" i="37"/>
  <c r="L71" i="37" s="1"/>
  <c r="K72" i="37"/>
  <c r="L72" i="37" s="1"/>
  <c r="K73" i="37"/>
  <c r="L73" i="37" s="1"/>
  <c r="K74" i="37"/>
  <c r="K75" i="37"/>
  <c r="L75" i="37" s="1"/>
  <c r="K76" i="37"/>
  <c r="L76" i="37" s="1"/>
  <c r="K77" i="37"/>
  <c r="L77" i="37" s="1"/>
  <c r="K78" i="37"/>
  <c r="L78" i="37" s="1"/>
  <c r="K79" i="37"/>
  <c r="L79" i="37" s="1"/>
  <c r="K80" i="37"/>
  <c r="K81" i="37"/>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3" i="28"/>
  <c r="L4" i="28"/>
  <c r="L5" i="28"/>
  <c r="L6" i="28"/>
  <c r="L7" i="28"/>
  <c r="L8" i="28"/>
  <c r="L9" i="28"/>
  <c r="L11" i="28"/>
  <c r="L12" i="28"/>
  <c r="L14" i="28"/>
  <c r="L26" i="28"/>
  <c r="L32" i="28"/>
  <c r="L34" i="28"/>
  <c r="L35" i="28"/>
  <c r="L36" i="28"/>
  <c r="L37" i="28"/>
  <c r="L38" i="28"/>
  <c r="L39" i="28"/>
  <c r="L40" i="28"/>
  <c r="L41" i="28"/>
  <c r="L43" i="28"/>
  <c r="L44" i="28"/>
  <c r="L46" i="28"/>
  <c r="L58" i="28"/>
  <c r="L64" i="28"/>
  <c r="L66" i="28"/>
  <c r="L67" i="28"/>
  <c r="L68" i="28"/>
  <c r="L69" i="28"/>
  <c r="L70" i="28"/>
  <c r="L71" i="28"/>
  <c r="L72" i="28"/>
  <c r="L75" i="28"/>
  <c r="L76" i="28"/>
  <c r="L78" i="28"/>
  <c r="K3" i="28"/>
  <c r="K4" i="28"/>
  <c r="K5" i="28"/>
  <c r="K6" i="28"/>
  <c r="K7" i="28"/>
  <c r="K8" i="28"/>
  <c r="K9" i="28"/>
  <c r="K10" i="28"/>
  <c r="L10" i="28" s="1"/>
  <c r="K11" i="28"/>
  <c r="K12" i="28"/>
  <c r="K13" i="28"/>
  <c r="L13" i="28" s="1"/>
  <c r="K14" i="28"/>
  <c r="K15" i="28"/>
  <c r="L15" i="28" s="1"/>
  <c r="K16" i="28"/>
  <c r="L16" i="28" s="1"/>
  <c r="K17" i="28"/>
  <c r="L17" i="28" s="1"/>
  <c r="K18" i="28"/>
  <c r="L18" i="28" s="1"/>
  <c r="K19" i="28"/>
  <c r="L19" i="28" s="1"/>
  <c r="K20" i="28"/>
  <c r="L20" i="28" s="1"/>
  <c r="K21" i="28"/>
  <c r="L21" i="28" s="1"/>
  <c r="K22" i="28"/>
  <c r="L22" i="28" s="1"/>
  <c r="K23" i="28"/>
  <c r="L23" i="28" s="1"/>
  <c r="K24" i="28"/>
  <c r="L24" i="28" s="1"/>
  <c r="K25" i="28"/>
  <c r="L25" i="28" s="1"/>
  <c r="K26" i="28"/>
  <c r="K27" i="28"/>
  <c r="L27" i="28" s="1"/>
  <c r="K28" i="28"/>
  <c r="L28" i="28" s="1"/>
  <c r="K29" i="28"/>
  <c r="L29" i="28" s="1"/>
  <c r="K30" i="28"/>
  <c r="L30" i="28" s="1"/>
  <c r="K31" i="28"/>
  <c r="L31" i="28" s="1"/>
  <c r="K32" i="28"/>
  <c r="K33" i="28"/>
  <c r="L33" i="28" s="1"/>
  <c r="K34" i="28"/>
  <c r="K35" i="28"/>
  <c r="K36" i="28"/>
  <c r="K37" i="28"/>
  <c r="K38" i="28"/>
  <c r="K39" i="28"/>
  <c r="K40" i="28"/>
  <c r="K41" i="28"/>
  <c r="K42" i="28"/>
  <c r="L42" i="28" s="1"/>
  <c r="K43" i="28"/>
  <c r="K44" i="28"/>
  <c r="K45" i="28"/>
  <c r="L45" i="28" s="1"/>
  <c r="K46" i="28"/>
  <c r="K47" i="28"/>
  <c r="L47" i="28" s="1"/>
  <c r="K48" i="28"/>
  <c r="L48" i="28" s="1"/>
  <c r="K49" i="28"/>
  <c r="L49" i="28" s="1"/>
  <c r="K50" i="28"/>
  <c r="L50" i="28" s="1"/>
  <c r="K51" i="28"/>
  <c r="L51" i="28" s="1"/>
  <c r="K52" i="28"/>
  <c r="L52" i="28" s="1"/>
  <c r="K53" i="28"/>
  <c r="L53" i="28" s="1"/>
  <c r="K54" i="28"/>
  <c r="L54" i="28" s="1"/>
  <c r="K55" i="28"/>
  <c r="L55" i="28" s="1"/>
  <c r="K56" i="28"/>
  <c r="L56" i="28" s="1"/>
  <c r="K57" i="28"/>
  <c r="L57" i="28" s="1"/>
  <c r="K58" i="28"/>
  <c r="K59" i="28"/>
  <c r="L59" i="28" s="1"/>
  <c r="K60" i="28"/>
  <c r="L60" i="28" s="1"/>
  <c r="K61" i="28"/>
  <c r="L61" i="28" s="1"/>
  <c r="K62" i="28"/>
  <c r="L62" i="28" s="1"/>
  <c r="K63" i="28"/>
  <c r="L63" i="28" s="1"/>
  <c r="K64" i="28"/>
  <c r="K65" i="28"/>
  <c r="L65" i="28" s="1"/>
  <c r="K66" i="28"/>
  <c r="K67" i="28"/>
  <c r="K68" i="28"/>
  <c r="K69" i="28"/>
  <c r="K70" i="28"/>
  <c r="K71" i="28"/>
  <c r="K72" i="28"/>
  <c r="K73" i="28"/>
  <c r="L73" i="28" s="1"/>
  <c r="K74" i="28"/>
  <c r="L74" i="28" s="1"/>
  <c r="K75" i="28"/>
  <c r="K76" i="28"/>
  <c r="K77" i="28"/>
  <c r="L77" i="28" s="1"/>
  <c r="K78" i="28"/>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10" i="27"/>
  <c r="L13" i="27"/>
  <c r="L15" i="27"/>
  <c r="L16" i="27"/>
  <c r="L17" i="27"/>
  <c r="L18" i="27"/>
  <c r="L19" i="27"/>
  <c r="L20" i="27"/>
  <c r="L21" i="27"/>
  <c r="L22" i="27"/>
  <c r="L23" i="27"/>
  <c r="L24" i="27"/>
  <c r="L25" i="27"/>
  <c r="L27" i="27"/>
  <c r="L28" i="27"/>
  <c r="L30" i="27"/>
  <c r="L42" i="27"/>
  <c r="L45" i="27"/>
  <c r="L48" i="27"/>
  <c r="L49" i="27"/>
  <c r="L50" i="27"/>
  <c r="L51" i="27"/>
  <c r="L52" i="27"/>
  <c r="L53" i="27"/>
  <c r="L54" i="27"/>
  <c r="L55" i="27"/>
  <c r="L56" i="27"/>
  <c r="L57" i="27"/>
  <c r="L59" i="27"/>
  <c r="L60" i="27"/>
  <c r="L62" i="27"/>
  <c r="L74" i="27"/>
  <c r="L77" i="27"/>
  <c r="L79" i="27"/>
  <c r="L80" i="27"/>
  <c r="L81" i="27"/>
  <c r="L82" i="27"/>
  <c r="K3" i="27"/>
  <c r="L3" i="27" s="1"/>
  <c r="K4" i="27"/>
  <c r="L4" i="27" s="1"/>
  <c r="K5" i="27"/>
  <c r="L5" i="27" s="1"/>
  <c r="K6" i="27"/>
  <c r="L6" i="27" s="1"/>
  <c r="K7" i="27"/>
  <c r="L7" i="27" s="1"/>
  <c r="K8" i="27"/>
  <c r="L8" i="27" s="1"/>
  <c r="K9" i="27"/>
  <c r="L9" i="27" s="1"/>
  <c r="K10" i="27"/>
  <c r="K11" i="27"/>
  <c r="L11" i="27" s="1"/>
  <c r="K12" i="27"/>
  <c r="L12" i="27" s="1"/>
  <c r="K13" i="27"/>
  <c r="K14" i="27"/>
  <c r="L14" i="27" s="1"/>
  <c r="K15" i="27"/>
  <c r="K16" i="27"/>
  <c r="K17" i="27"/>
  <c r="K18" i="27"/>
  <c r="K19" i="27"/>
  <c r="K20" i="27"/>
  <c r="K21" i="27"/>
  <c r="K22" i="27"/>
  <c r="K23" i="27"/>
  <c r="K24" i="27"/>
  <c r="K25" i="27"/>
  <c r="K26" i="27"/>
  <c r="L26" i="27" s="1"/>
  <c r="K27" i="27"/>
  <c r="K28" i="27"/>
  <c r="K29" i="27"/>
  <c r="L29" i="27" s="1"/>
  <c r="K30" i="27"/>
  <c r="K31" i="27"/>
  <c r="L31" i="27" s="1"/>
  <c r="K32" i="27"/>
  <c r="L32" i="27" s="1"/>
  <c r="K33" i="27"/>
  <c r="L33" i="27" s="1"/>
  <c r="K34" i="27"/>
  <c r="L34" i="27" s="1"/>
  <c r="K35" i="27"/>
  <c r="L35" i="27" s="1"/>
  <c r="K36" i="27"/>
  <c r="L36" i="27" s="1"/>
  <c r="K37" i="27"/>
  <c r="L37" i="27" s="1"/>
  <c r="K38" i="27"/>
  <c r="L38" i="27" s="1"/>
  <c r="K39" i="27"/>
  <c r="L39" i="27" s="1"/>
  <c r="K40" i="27"/>
  <c r="L40" i="27" s="1"/>
  <c r="K41" i="27"/>
  <c r="L41" i="27" s="1"/>
  <c r="K42" i="27"/>
  <c r="K43" i="27"/>
  <c r="L43" i="27" s="1"/>
  <c r="K44" i="27"/>
  <c r="L44" i="27" s="1"/>
  <c r="K45" i="27"/>
  <c r="K46" i="27"/>
  <c r="L46" i="27" s="1"/>
  <c r="K47" i="27"/>
  <c r="L47" i="27" s="1"/>
  <c r="K48" i="27"/>
  <c r="K49" i="27"/>
  <c r="K50" i="27"/>
  <c r="K51" i="27"/>
  <c r="K52" i="27"/>
  <c r="K53" i="27"/>
  <c r="K54" i="27"/>
  <c r="K55" i="27"/>
  <c r="K56" i="27"/>
  <c r="K57" i="27"/>
  <c r="K58" i="27"/>
  <c r="L58" i="27" s="1"/>
  <c r="K59" i="27"/>
  <c r="K60" i="27"/>
  <c r="K61" i="27"/>
  <c r="L61" i="27" s="1"/>
  <c r="K62" i="27"/>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K75" i="27"/>
  <c r="L75" i="27" s="1"/>
  <c r="K76" i="27"/>
  <c r="L76" i="27" s="1"/>
  <c r="K77" i="27"/>
  <c r="K78" i="27"/>
  <c r="L78" i="27" s="1"/>
  <c r="K79" i="27"/>
  <c r="K80" i="27"/>
  <c r="K81" i="27"/>
  <c r="K8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3" i="26"/>
  <c r="L4" i="26"/>
  <c r="L7" i="26"/>
  <c r="L8" i="26"/>
  <c r="L9" i="26"/>
  <c r="L10" i="26"/>
  <c r="L11" i="26"/>
  <c r="L12" i="26"/>
  <c r="L15" i="26"/>
  <c r="L26" i="26"/>
  <c r="L29" i="26"/>
  <c r="L30" i="26"/>
  <c r="L32" i="26"/>
  <c r="L33" i="26"/>
  <c r="L34" i="26"/>
  <c r="L35" i="26"/>
  <c r="L36" i="26"/>
  <c r="L39" i="26"/>
  <c r="L40" i="26"/>
  <c r="L41" i="26"/>
  <c r="L43" i="26"/>
  <c r="L44" i="26"/>
  <c r="L61" i="26"/>
  <c r="L63" i="26"/>
  <c r="L64" i="26"/>
  <c r="L65" i="26"/>
  <c r="L66" i="26"/>
  <c r="L67" i="26"/>
  <c r="L68" i="26"/>
  <c r="L71" i="26"/>
  <c r="L72" i="26"/>
  <c r="L73" i="26"/>
  <c r="L75" i="26"/>
  <c r="L76" i="26"/>
  <c r="K3" i="26"/>
  <c r="K4" i="26"/>
  <c r="K5" i="26"/>
  <c r="L5" i="26" s="1"/>
  <c r="K6" i="26"/>
  <c r="L6" i="26" s="1"/>
  <c r="K7" i="26"/>
  <c r="K8" i="26"/>
  <c r="K9" i="26"/>
  <c r="K10" i="26"/>
  <c r="K11" i="26"/>
  <c r="K12" i="26"/>
  <c r="K13" i="26"/>
  <c r="L13" i="26" s="1"/>
  <c r="K14" i="26"/>
  <c r="L14" i="26" s="1"/>
  <c r="K15" i="26"/>
  <c r="K16" i="26"/>
  <c r="L16" i="26" s="1"/>
  <c r="K17" i="26"/>
  <c r="L17" i="26" s="1"/>
  <c r="K18" i="26"/>
  <c r="L18" i="26" s="1"/>
  <c r="K19" i="26"/>
  <c r="L19" i="26" s="1"/>
  <c r="K20" i="26"/>
  <c r="L20" i="26" s="1"/>
  <c r="K21" i="26"/>
  <c r="L21" i="26" s="1"/>
  <c r="K22" i="26"/>
  <c r="L22" i="26" s="1"/>
  <c r="K23" i="26"/>
  <c r="L23" i="26" s="1"/>
  <c r="K24" i="26"/>
  <c r="L24" i="26" s="1"/>
  <c r="K25" i="26"/>
  <c r="L25" i="26" s="1"/>
  <c r="K26" i="26"/>
  <c r="K27" i="26"/>
  <c r="L27" i="26" s="1"/>
  <c r="K28" i="26"/>
  <c r="L28" i="26" s="1"/>
  <c r="K29" i="26"/>
  <c r="K30" i="26"/>
  <c r="K31" i="26"/>
  <c r="L31" i="26" s="1"/>
  <c r="K32" i="26"/>
  <c r="K33" i="26"/>
  <c r="K34" i="26"/>
  <c r="K35" i="26"/>
  <c r="K36" i="26"/>
  <c r="K37" i="26"/>
  <c r="L37" i="26" s="1"/>
  <c r="K38" i="26"/>
  <c r="L38" i="26" s="1"/>
  <c r="K39" i="26"/>
  <c r="K40" i="26"/>
  <c r="K41" i="26"/>
  <c r="K42" i="26"/>
  <c r="L42" i="26" s="1"/>
  <c r="K43" i="26"/>
  <c r="K44" i="26"/>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K62" i="26"/>
  <c r="L62" i="26" s="1"/>
  <c r="K63" i="26"/>
  <c r="K64" i="26"/>
  <c r="K65" i="26"/>
  <c r="K66" i="26"/>
  <c r="K67" i="26"/>
  <c r="K68" i="26"/>
  <c r="K69" i="26"/>
  <c r="L69" i="26" s="1"/>
  <c r="K70" i="26"/>
  <c r="L70" i="26" s="1"/>
  <c r="K71" i="26"/>
  <c r="K72" i="26"/>
  <c r="K73" i="26"/>
  <c r="K74" i="26"/>
  <c r="L74" i="26" s="1"/>
  <c r="K75" i="26"/>
  <c r="K76" i="26"/>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5" i="25"/>
  <c r="L13" i="25"/>
  <c r="L16" i="25"/>
  <c r="L17" i="25"/>
  <c r="L18" i="25"/>
  <c r="L19" i="25"/>
  <c r="L20" i="25"/>
  <c r="L23" i="25"/>
  <c r="L25" i="25"/>
  <c r="L26" i="25"/>
  <c r="L27" i="25"/>
  <c r="L28" i="25"/>
  <c r="L30" i="25"/>
  <c r="L31" i="25"/>
  <c r="L37" i="25"/>
  <c r="L48" i="25"/>
  <c r="L49" i="25"/>
  <c r="L50" i="25"/>
  <c r="L51" i="25"/>
  <c r="L52" i="25"/>
  <c r="L55" i="25"/>
  <c r="L57" i="25"/>
  <c r="L58" i="25"/>
  <c r="L59" i="25"/>
  <c r="L60" i="25"/>
  <c r="L62" i="25"/>
  <c r="L63" i="25"/>
  <c r="L69" i="25"/>
  <c r="L80" i="25"/>
  <c r="L81" i="25"/>
  <c r="L82" i="25"/>
  <c r="K3" i="25"/>
  <c r="L3" i="25" s="1"/>
  <c r="K4" i="25"/>
  <c r="L4" i="25" s="1"/>
  <c r="K5" i="25"/>
  <c r="K6" i="25"/>
  <c r="L6" i="25" s="1"/>
  <c r="K7" i="25"/>
  <c r="L7" i="25" s="1"/>
  <c r="K8" i="25"/>
  <c r="L8" i="25" s="1"/>
  <c r="K9" i="25"/>
  <c r="L9" i="25" s="1"/>
  <c r="K10" i="25"/>
  <c r="L10" i="25" s="1"/>
  <c r="K11" i="25"/>
  <c r="L11" i="25" s="1"/>
  <c r="K12" i="25"/>
  <c r="L12" i="25" s="1"/>
  <c r="K13" i="25"/>
  <c r="K14" i="25"/>
  <c r="L14" i="25" s="1"/>
  <c r="K15" i="25"/>
  <c r="L15" i="25" s="1"/>
  <c r="K16" i="25"/>
  <c r="K17" i="25"/>
  <c r="K18" i="25"/>
  <c r="K19" i="25"/>
  <c r="K20" i="25"/>
  <c r="K21" i="25"/>
  <c r="L21" i="25" s="1"/>
  <c r="K22" i="25"/>
  <c r="L22" i="25" s="1"/>
  <c r="K23" i="25"/>
  <c r="K24" i="25"/>
  <c r="L24" i="25" s="1"/>
  <c r="K25" i="25"/>
  <c r="K26" i="25"/>
  <c r="K27" i="25"/>
  <c r="K28" i="25"/>
  <c r="K29" i="25"/>
  <c r="L29" i="25" s="1"/>
  <c r="K30" i="25"/>
  <c r="K31" i="25"/>
  <c r="K32" i="25"/>
  <c r="L32" i="25" s="1"/>
  <c r="K33" i="25"/>
  <c r="L33" i="25" s="1"/>
  <c r="K34" i="25"/>
  <c r="L34" i="25" s="1"/>
  <c r="K35" i="25"/>
  <c r="L35" i="25" s="1"/>
  <c r="K36" i="25"/>
  <c r="L36" i="25" s="1"/>
  <c r="K37" i="25"/>
  <c r="K38" i="25"/>
  <c r="L38" i="25" s="1"/>
  <c r="K39" i="25"/>
  <c r="L39" i="25" s="1"/>
  <c r="K40" i="25"/>
  <c r="L40" i="25" s="1"/>
  <c r="K41" i="25"/>
  <c r="L41" i="25" s="1"/>
  <c r="K42" i="25"/>
  <c r="L42" i="25" s="1"/>
  <c r="K43" i="25"/>
  <c r="L43" i="25" s="1"/>
  <c r="K44" i="25"/>
  <c r="L44" i="25" s="1"/>
  <c r="K45" i="25"/>
  <c r="L45" i="25" s="1"/>
  <c r="K46" i="25"/>
  <c r="L46" i="25" s="1"/>
  <c r="K47" i="25"/>
  <c r="L47" i="25" s="1"/>
  <c r="K48" i="25"/>
  <c r="K49" i="25"/>
  <c r="K50" i="25"/>
  <c r="K51" i="25"/>
  <c r="K52" i="25"/>
  <c r="K53" i="25"/>
  <c r="L53" i="25" s="1"/>
  <c r="K54" i="25"/>
  <c r="L54" i="25" s="1"/>
  <c r="K55" i="25"/>
  <c r="K56" i="25"/>
  <c r="L56" i="25" s="1"/>
  <c r="K57" i="25"/>
  <c r="K58" i="25"/>
  <c r="K59" i="25"/>
  <c r="K60" i="25"/>
  <c r="K61" i="25"/>
  <c r="L61" i="25" s="1"/>
  <c r="K62" i="25"/>
  <c r="K63" i="25"/>
  <c r="K64" i="25"/>
  <c r="L64" i="25" s="1"/>
  <c r="K65" i="25"/>
  <c r="L65" i="25" s="1"/>
  <c r="K66" i="25"/>
  <c r="L66" i="25" s="1"/>
  <c r="K67" i="25"/>
  <c r="L67" i="25" s="1"/>
  <c r="K68" i="25"/>
  <c r="L68" i="25" s="1"/>
  <c r="K69" i="25"/>
  <c r="K70" i="25"/>
  <c r="L70" i="25" s="1"/>
  <c r="K71" i="25"/>
  <c r="L71" i="25" s="1"/>
  <c r="K72" i="25"/>
  <c r="L72" i="25" s="1"/>
  <c r="K73" i="25"/>
  <c r="L73" i="25" s="1"/>
  <c r="K74" i="25"/>
  <c r="L74" i="25" s="1"/>
  <c r="K75" i="25"/>
  <c r="L75" i="25" s="1"/>
  <c r="K76" i="25"/>
  <c r="L76" i="25" s="1"/>
  <c r="K77" i="25"/>
  <c r="L77" i="25" s="1"/>
  <c r="K78" i="25"/>
  <c r="L78" i="25" s="1"/>
  <c r="K79" i="25"/>
  <c r="L79" i="25" s="1"/>
  <c r="K80" i="25"/>
  <c r="K81" i="25"/>
  <c r="K82" i="25"/>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5" a="1"/>
  <c r="S36" i="27"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3" a="1"/>
  <c r="S36" i="31" a="1"/>
  <c r="S36" i="35" a="1"/>
  <c r="S36" i="32" a="1"/>
  <c r="S36" i="28" a="1"/>
  <c r="S36" i="30" a="1"/>
  <c r="S36" i="36"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<sst xmlns="http://schemas.openxmlformats.org/spreadsheetml/2006/main" count="5615" uniqueCount="372">
  <si>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</si>
  <si>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</si>
  <si>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</si>
  <si>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</si>
  <si>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</si>
  <si>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</si>
  <si>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</si>
  <si>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</si>
  <si>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</si>
  <si>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</si>
  <si>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</si>
  <si>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</si>
  <si>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</si>
  <si>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</si>
  <si>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</si>
  <si>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</si>
  <si>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</si>
  <si>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</si>
  <si>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</si>
  <si>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</si>
  <si>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</si>
  <si>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</si>
  <si>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</si>
  <si>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</si>
  <si>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</si>
  <si>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</si>
  <si>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</si>
  <si>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</si>
  <si>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</si>
  <si>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</si>
  <si>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</si>
  <si>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</si>
  <si>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</si>
  <si>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</si>
  <si>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</si>
  <si>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</si>
  <si>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</si>
  <si>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</si>
  <si>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</si>
  <si>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</si>
  <si>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</si>
  <si>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</si>
  <si>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</si>
  <si>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</si>
  <si>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</si>
  <si>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</si>
  <si>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</si>
  <si>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</si>
  <si>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</si>
  <si>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</si>
  <si>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</si>
  <si>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</si>
  <si>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</si>
  <si>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</si>
  <si>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</si>
  <si>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</si>
  <si>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</si>
  <si>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</si>
  <si>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</si>
  <si>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</si>
  <si>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</si>
  <si>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</si>
  <si>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</si>
  <si>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</si>
  <si>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</si>
  <si>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</si>
  <si>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</si>
  <si>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</si>
  <si>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</si>
  <si>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</si>
  <si>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</si>
  <si>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</si>
  <si>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</si>
  <si>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</si>
  <si>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</si>
  <si>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</si>
  <si>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</si>
  <si>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</si>
  <si>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</si>
  <si>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</si>
  <si>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</si>
  <si>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</si>
  <si>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</si>
  <si>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</si>
  <si>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</si>
  <si>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</si>
  <si>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</si>
  <si>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</si>
  <si>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</si>
  <si>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</si>
  <si>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</si>
  <si>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</si>
  <si>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</si>
  <si>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</si>
  <si>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</si>
  <si>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</si>
  <si>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</si>
  <si>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</si>
  <si>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</si>
  <si>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</si>
  <si>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</si>
  <si>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</si>
  <si>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</si>
  <si>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</si>
  <si>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</si>
  <si>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</si>
  <si>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</si>
  <si>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</si>
  <si>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</si>
  <si>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</si>
  <si>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</si>
  <si>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</si>
  <si>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</si>
  <si>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</si>
  <si>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</si>
  <si>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</si>
  <si>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</si>
  <si>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</si>
  <si>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</si>
  <si>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</si>
  <si>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</si>
  <si>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</si>
  <si>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</si>
  <si>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</si>
  <si>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</si>
  <si>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</si>
  <si>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</si>
  <si>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</si>
  <si>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</si>
  <si>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</si>
  <si>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</si>
  <si>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</si>
  <si>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</si>
  <si>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</si>
  <si>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</si>
  <si>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</si>
  <si>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</si>
  <si>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</si>
  <si>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</si>
  <si>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</si>
  <si>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</si>
  <si>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</si>
  <si>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</si>
  <si>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</si>
  <si>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</si>
  <si>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</si>
  <si>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</si>
  <si>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</si>
  <si>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</si>
  <si>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</si>
  <si>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</si>
  <si>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</si>
  <si>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</si>
  <si>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</si>
  <si>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</si>
  <si>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</si>
  <si>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</si>
  <si>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</si>
  <si>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</si>
  <si>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</si>
  <si>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</si>
  <si>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</si>
  <si>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</si>
  <si>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</si>
  <si>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</si>
  <si>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</si>
  <si>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</si>
  <si>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</si>
  <si>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</si>
  <si>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</si>
  <si>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</si>
  <si>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</si>
  <si>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</si>
  <si>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</si>
  <si>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</si>
  <si>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</si>
  <si>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</si>
  <si>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</si>
  <si>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</si>
  <si>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</si>
  <si>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</si>
  <si>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</si>
  <si>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</si>
  <si>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</si>
  <si>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</si>
  <si>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</si>
  <si>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</si>
  <si>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</si>
  <si>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</si>
  <si>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</si>
  <si>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</si>
  <si>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</si>
  <si>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</si>
  <si>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</si>
  <si>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</si>
  <si>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</si>
  <si>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</si>
  <si>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</si>
  <si>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</si>
  <si>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</si>
  <si>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</si>
  <si>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</si>
  <si>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</si>
  <si>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</si>
  <si>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</si>
  <si>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</si>
  <si>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</si>
  <si>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</si>
  <si>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</si>
  <si>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</si>
  <si>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</si>
  <si>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</si>
  <si>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</si>
  <si>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</si>
  <si>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</si>
  <si>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</si>
  <si>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</si>
  <si>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</si>
  <si>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</si>
  <si>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</si>
  <si>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</si>
  <si>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</si>
  <si>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</si>
  <si>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</si>
  <si>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</si>
  <si>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</si>
  <si>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</si>
  <si>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</si>
  <si>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</si>
  <si>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</si>
  <si>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</si>
  <si>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</si>
  <si>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</si>
  <si>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</si>
  <si>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</si>
  <si>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</si>
  <si>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</si>
  <si>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</si>
  <si>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</si>
  <si>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</si>
  <si>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</si>
  <si>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</si>
  <si>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</si>
  <si>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</si>
  <si>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</si>
  <si>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</si>
  <si>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</si>
  <si>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</si>
  <si>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</si>
  <si>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</si>
  <si>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</si>
  <si>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</si>
  <si>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</si>
  <si>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</si>
  <si>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</si>
  <si>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</si>
  <si>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</si>
  <si>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</si>
  <si>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</si>
  <si>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</si>
  <si>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</si>
  <si>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</si>
  <si>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</si>
  <si>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</si>
  <si>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</si>
  <si>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</si>
  <si>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</si>
  <si>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</si>
  <si>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</si>
  <si>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</si>
  <si>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</si>
  <si>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</si>
  <si>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</si>
  <si>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</si>
  <si>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</si>
  <si>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</si>
  <si>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</si>
  <si>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</si>
  <si>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</si>
  <si>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</si>
  <si>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</si>
  <si>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</si>
  <si>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</si>
  <si>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</si>
  <si>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</si>
  <si>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</si>
  <si>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</si>
  <si>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</si>
  <si>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</si>
  <si>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</si>
  <si>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</si>
  <si>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</si>
  <si>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</si>
  <si>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</si>
  <si>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</si>
  <si>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</si>
  <si>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</si>
  <si>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</si>
  <si>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</si>
  <si>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</si>
  <si>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</si>
  <si>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</si>
  <si>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</si>
  <si>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</si>
  <si>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</si>
  <si>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</si>
  <si>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</si>
  <si>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</si>
  <si>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</si>
  <si>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</si>
  <si>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</si>
  <si>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</si>
  <si>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</si>
  <si>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</si>
  <si>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</si>
  <si>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</si>
  <si>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</si>
  <si>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</si>
  <si>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</si>
  <si>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</si>
  <si>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</si>
  <si>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</si>
  <si>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</si>
  <si>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</si>
  <si>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</si>
  <si>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</si>
  <si>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</si>
  <si>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</si>
  <si>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</si>
  <si>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</si>
  <si>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</si>
  <si>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</si>
  <si>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</si>
  <si>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</si>
  <si>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</si>
  <si>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</si>
  <si>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</si>
  <si>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</si>
  <si>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</si>
  <si>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</si>
  <si>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</si>
  <si>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</si>
  <si>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</si>
  <si>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</si>
  <si>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</si>
  <si>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</si>
  <si>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</si>
  <si>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</si>
  <si>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</si>
  <si>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</si>
  <si>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</si>
  <si>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</si>
  <si>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</si>
  <si>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</si>
  <si>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</si>
  <si>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</si>
  <si>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</si>
  <si>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</si>
  <si>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</si>
  <si>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</si>
  <si>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</si>
  <si>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</si>
  <si>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</si>
  <si>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</si>
  <si>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</si>
  <si>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</si>
  <si>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</si>
  <si>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</si>
  <si>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Niedrig</t>
  </si>
  <si>
    <t>Die Fluktuation ist vorhanden, aber aktuell nicht kritisch. Entwicklung weiter beobachten.</t>
  </si>
  <si>
    <t>teszt karcsi</t>
  </si>
  <si>
    <t>asd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</si>
</sst>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13"/>
      <color rgb="FF006100"/>
      <name val="Calibri"/>
      <family val="2"/>
      <scheme val="minor"/>
    </font>
    <font>
      <b/>
      <sz val="20"/>
      <color rgb="FFC0504D"/>
      <name val="Aptos Narrow"/>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C6EFCE"/>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9" fillId="23" borderId="75" xfId="0" applyFont="1" applyFill="1" applyBorder="1" applyAlignment="1">
      <alignment horizontal="center" vertic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166" fontId="5" fillId="4" borderId="1" xfId="0" applyNumberFormat="1" applyFont="1" applyFill="1" applyBorder="1" applyAlignment="1">
      <alignment horizontal="center"/>
    </xf>
    <xf numFmtId="2" fontId="5" fillId="4" borderId="1" xfId="0" applyNumberFormat="1" applyFont="1" applyFill="1" applyBorder="1" applyAlignment="1">
      <alignment horizontal="center"/>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166" fontId="5" fillId="17" borderId="1" xfId="0" applyNumberFormat="1" applyFont="1" applyFill="1" applyBorder="1" applyAlignment="1">
      <alignment horizontal="center"/>
    </xf>
    <xf numFmtId="2" fontId="5" fillId="17" borderId="1" xfId="0" applyNumberFormat="1" applyFont="1" applyFill="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10" fontId="5" fillId="4" borderId="1" xfId="0" applyNumberFormat="1" applyFont="1" applyFill="1" applyBorder="1" applyAlignment="1">
      <alignment horizontal="center"/>
    </xf>
    <xf numFmtId="10" fontId="5" fillId="17" borderId="1" xfId="0" applyNumberFormat="1" applyFont="1" applyFill="1" applyBorder="1" applyAlignment="1">
      <alignment horizontal="center"/>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46" fillId="10" borderId="14" xfId="0" applyFont="1" applyFill="1" applyBorder="1" applyAlignment="1" applyProtection="1">
      <alignment horizontal="left"/>
      <protection locked="0"/>
    </xf>
    <xf numFmtId="0" fontId="46" fillId="10" borderId="1" xfId="0" applyFont="1" applyFill="1" applyBorder="1" applyAlignment="1" applyProtection="1">
      <alignment horizontal="left"/>
      <protection locked="0"/>
    </xf>
    <xf numFmtId="166" fontId="46" fillId="11" borderId="1" xfId="0" applyNumberFormat="1" applyFont="1" applyFill="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5" fillId="4" borderId="14" xfId="0" applyFont="1" applyFill="1" applyBorder="1" applyAlignment="1">
      <alignment horizontal="left"/>
    </xf>
    <xf numFmtId="0" fontId="5" fillId="4" borderId="1" xfId="0" applyFont="1" applyFill="1" applyBorder="1" applyAlignment="1">
      <alignment horizontal="left"/>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5" fillId="7" borderId="14" xfId="0" applyFont="1" applyFill="1" applyBorder="1" applyAlignment="1">
      <alignment horizontal="left"/>
    </xf>
    <xf numFmtId="0" fontId="5" fillId="7" borderId="1" xfId="0" applyFont="1" applyFill="1" applyBorder="1" applyAlignment="1">
      <alignment horizontal="left"/>
    </xf>
    <xf numFmtId="166" fontId="5" fillId="7" borderId="1" xfId="0" applyNumberFormat="1" applyFont="1" applyFill="1" applyBorder="1" applyAlignment="1">
      <alignment horizontal="center"/>
    </xf>
    <xf numFmtId="2" fontId="5" fillId="12" borderId="1" xfId="0" applyNumberFormat="1" applyFont="1" applyFill="1" applyBorder="1" applyAlignment="1" applyProtection="1">
      <alignment horizontal="center"/>
      <protection locked="0"/>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46" fillId="10" borderId="29"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166" fontId="5" fillId="0" borderId="28" xfId="0" applyNumberFormat="1" applyFont="1" applyBorder="1" applyAlignment="1" applyProtection="1">
      <alignment horizontal="center"/>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30" fillId="0" borderId="36" xfId="0" applyFont="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5" fillId="3" borderId="28" xfId="0" applyFont="1" applyFill="1" applyBorder="1" applyAlignment="1">
      <alignment horizontal="center"/>
    </xf>
    <xf numFmtId="0" fontId="5" fillId="3" borderId="34" xfId="0"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166" fontId="5" fillId="0" borderId="0" xfId="0" applyNumberFormat="1" applyFont="1" applyAlignment="1">
      <alignment horizontal="center"/>
    </xf>
    <xf numFmtId="2" fontId="5" fillId="0" borderId="0" xfId="0" applyNumberFormat="1" applyFont="1" applyAlignment="1">
      <alignment horizontal="center"/>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7" fillId="0" borderId="0" xfId="0" applyFont="1" applyAlignment="1">
      <alignment horizontal="center" wrapText="1"/>
    </xf>
    <xf numFmtId="10" fontId="5" fillId="0" borderId="0" xfId="0" applyNumberFormat="1" applyFont="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51" fillId="0" borderId="76" xfId="0" applyFont="1" applyBorder="1" applyAlignment="1">
      <alignment vertical="center" wrapText="1"/>
    </xf>
    <xf numFmtId="0" fontId="51" fillId="0" borderId="76" xfId="0" applyFont="1" applyBorder="1" applyAlignment="1">
      <alignment horizontal="left" vertical="center" wrapText="1"/>
    </xf>
    <xf numFmtId="0" fontId="52" fillId="0" borderId="0" xfId="0" applyFont="1" applyAlignment="1">
      <alignment horizontal="center" vertical="center"/>
    </xf>
    <xf numFmtId="0" fontId="51"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54" fillId="0" borderId="0" xfId="0" applyFont="1" applyAlignment="1">
      <alignment horizontal="center" vertical="center"/>
    </xf>
    <xf numFmtId="0" fontId="53" fillId="0" borderId="76" xfId="0" applyFont="1" applyBorder="1" applyAlignment="1">
      <alignment vertical="center"/>
    </xf>
    <xf numFmtId="0" fontId="51" fillId="0" borderId="76" xfId="0" applyFont="1" applyBorder="1" applyAlignment="1">
      <alignment vertical="center"/>
    </xf>
    <xf numFmtId="0" fontId="21" fillId="0" borderId="76" xfId="0" applyFont="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15"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304" t="s">
        <v>0</v>
      </c>
      <c r="B1" s="306" t="s">
        <v>1</v>
      </c>
      <c r="C1" s="308" t="s">
        <v>2</v>
      </c>
      <c r="D1" s="308"/>
      <c r="I1" s="18" t="s">
        <v>3</v>
      </c>
      <c r="J1" s="311"/>
      <c r="K1" s="311"/>
      <c r="L1" s="311"/>
      <c r="M1" s="311"/>
      <c r="O1" s="177" t="s">
        <v>208</v>
      </c>
      <c r="P1" s="177" t="s">
        <v>212</v>
      </c>
    </row>
    <row r="2" spans="1:18" ht="22" thickBot="1">
      <c r="A2" s="305"/>
      <c r="B2" s="307"/>
      <c r="C2" s="54" t="str">
        <f>G3-1&amp;"/"&amp;G3</f>
        <v>2025/2026</v>
      </c>
      <c r="D2" s="54" t="str">
        <f>G3 &amp; "/" &amp; G3+1</f>
        <v>2026/2027</v>
      </c>
      <c r="I2" s="14"/>
      <c r="J2" s="312" t="s">
        <v>204</v>
      </c>
      <c r="K2" s="312"/>
      <c r="L2" s="312"/>
      <c r="M2" s="312"/>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09" t="s">
        <v>202</v>
      </c>
      <c r="J17" s="310"/>
      <c r="K17" s="310"/>
      <c r="L17" s="310"/>
      <c r="M17" s="310"/>
      <c r="N17" s="124"/>
      <c r="O17" s="176" t="s">
        <v>224</v>
      </c>
      <c r="P17" s="175">
        <v>0.3</v>
      </c>
      <c r="Q17" s="13" t="s">
        <v>24</v>
      </c>
      <c r="R17" s="13"/>
    </row>
    <row r="18" spans="1:18" ht="17">
      <c r="A18" s="21" t="s">
        <v>8</v>
      </c>
      <c r="B18" s="22">
        <v>138.4</v>
      </c>
      <c r="C18" s="103">
        <v>1665.6</v>
      </c>
      <c r="D18" s="104">
        <v>1665.6</v>
      </c>
      <c r="I18" s="309"/>
      <c r="J18" s="310"/>
      <c r="K18" s="310"/>
      <c r="L18" s="310"/>
      <c r="M18" s="310"/>
      <c r="N18" s="124"/>
      <c r="O18" s="176" t="s">
        <v>225</v>
      </c>
      <c r="P18" s="175">
        <v>0.5</v>
      </c>
      <c r="Q18" s="13"/>
      <c r="R18" s="13"/>
    </row>
    <row r="19" spans="1:18" ht="17">
      <c r="A19" s="21" t="s">
        <v>8</v>
      </c>
      <c r="B19" s="22">
        <v>129.75</v>
      </c>
      <c r="C19" s="103">
        <v>1561.5</v>
      </c>
      <c r="D19" s="104">
        <v>1561.5</v>
      </c>
      <c r="I19" s="309"/>
      <c r="J19" s="310"/>
      <c r="K19" s="310"/>
      <c r="L19" s="310"/>
      <c r="M19" s="310"/>
      <c r="N19" s="124"/>
      <c r="O19" s="176" t="s">
        <v>226</v>
      </c>
      <c r="P19" s="175">
        <v>0.75</v>
      </c>
      <c r="Q19" s="13"/>
      <c r="R19" s="13"/>
    </row>
    <row r="20" spans="1:18" ht="17">
      <c r="A20" s="21" t="s">
        <v>8</v>
      </c>
      <c r="B20" s="22">
        <v>108.13</v>
      </c>
      <c r="C20" s="103">
        <v>1301.25</v>
      </c>
      <c r="D20" s="104">
        <v>1301.25</v>
      </c>
      <c r="I20" s="309"/>
      <c r="J20" s="310"/>
      <c r="K20" s="310"/>
      <c r="L20" s="310"/>
      <c r="M20" s="310"/>
      <c r="N20" s="124"/>
      <c r="O20" s="176" t="s">
        <v>227</v>
      </c>
      <c r="P20" s="175">
        <v>1</v>
      </c>
    </row>
    <row r="21" spans="1:18" ht="17">
      <c r="A21" s="21" t="s">
        <v>8</v>
      </c>
      <c r="B21" s="22">
        <v>103.8</v>
      </c>
      <c r="C21" s="103">
        <v>1249.2</v>
      </c>
      <c r="D21" s="104">
        <v>1249.2</v>
      </c>
      <c r="I21" s="309"/>
      <c r="J21" s="310"/>
      <c r="K21" s="310"/>
      <c r="L21" s="310"/>
      <c r="M21" s="310"/>
      <c r="N21" s="124"/>
      <c r="O21" s="176" t="s">
        <v>228</v>
      </c>
      <c r="P21" s="175">
        <v>1.25</v>
      </c>
    </row>
    <row r="22" spans="1:18" ht="17">
      <c r="A22" s="21" t="s">
        <v>8</v>
      </c>
      <c r="B22" s="22">
        <v>86.5</v>
      </c>
      <c r="C22" s="103">
        <v>1041.2</v>
      </c>
      <c r="D22" s="104">
        <v>1041.2</v>
      </c>
      <c r="I22" s="309"/>
      <c r="J22" s="310"/>
      <c r="K22" s="310"/>
      <c r="L22" s="310"/>
      <c r="M22" s="310"/>
      <c r="N22" s="124"/>
      <c r="O22" s="176" t="s">
        <v>229</v>
      </c>
      <c r="P22" s="175">
        <v>1.5</v>
      </c>
    </row>
    <row r="23" spans="1:18" ht="17">
      <c r="A23" s="21" t="s">
        <v>8</v>
      </c>
      <c r="B23" s="22">
        <v>69.2</v>
      </c>
      <c r="C23" s="103">
        <v>832.8</v>
      </c>
      <c r="D23" s="104">
        <v>832.8</v>
      </c>
      <c r="I23" s="309"/>
      <c r="J23" s="310"/>
      <c r="K23" s="310"/>
      <c r="L23" s="310"/>
      <c r="M23" s="310"/>
      <c r="N23" s="124"/>
      <c r="O23" s="176" t="s">
        <v>230</v>
      </c>
      <c r="P23" s="175">
        <v>2</v>
      </c>
    </row>
    <row r="24" spans="1:18">
      <c r="A24" s="21" t="s">
        <v>8</v>
      </c>
      <c r="B24" s="22">
        <v>51.9</v>
      </c>
      <c r="C24" s="103">
        <v>624.6</v>
      </c>
      <c r="D24" s="104">
        <v>624.6</v>
      </c>
      <c r="I24" s="309"/>
      <c r="J24" s="310"/>
      <c r="K24" s="310"/>
      <c r="L24" s="310"/>
      <c r="M24" s="310"/>
      <c r="N24" s="124"/>
      <c r="O24" s="124"/>
    </row>
    <row r="25" spans="1:18">
      <c r="A25" s="21" t="s">
        <v>8</v>
      </c>
      <c r="B25" s="22">
        <v>47.58</v>
      </c>
      <c r="C25" s="103">
        <v>575.54999999999995</v>
      </c>
      <c r="D25" s="104">
        <v>575.54999999999995</v>
      </c>
      <c r="I25" s="309"/>
      <c r="J25" s="310"/>
      <c r="K25" s="310"/>
      <c r="L25" s="310"/>
      <c r="M25" s="310"/>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4cBIg2Kkb+bkFBmurRT6GDvJW/IbMRxHAHE6VsX6HbJgtaThGVdRcssCwdtW8jXkP7KDoUXLQGs/8eQACx1PHg==" saltValue="L0NA6OC9gaz8QU98yyBLLg=="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H322" sqref="H322"/>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14"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17" t="s">
        <v>320</v>
      </c>
      <c r="B1" s="318"/>
      <c r="C1" s="318"/>
      <c r="D1" s="318"/>
      <c r="E1" s="318"/>
      <c r="F1" s="318"/>
      <c r="G1" s="318"/>
      <c r="H1" s="318"/>
      <c r="I1" s="318"/>
      <c r="J1" s="318"/>
    </row>
    <row r="2" spans="1:10" ht="36" customHeight="1">
      <c r="A2" s="319" t="s">
        <v>336</v>
      </c>
      <c r="B2" s="319"/>
      <c r="C2" s="319"/>
      <c r="D2" s="319"/>
      <c r="E2" s="319"/>
      <c r="F2" s="319"/>
      <c r="G2" s="319"/>
      <c r="H2" s="319"/>
      <c r="I2" s="319"/>
      <c r="J2" s="319"/>
    </row>
    <row r="3" spans="1:10" ht="24" customHeight="1">
      <c r="A3" s="184" t="s">
        <v>325</v>
      </c>
      <c r="B3" s="184" t="s">
        <v>337</v>
      </c>
      <c r="C3" s="184" t="s">
        <v>338</v>
      </c>
      <c r="D3" s="184" t="s">
        <v>330</v>
      </c>
      <c r="E3" s="184" t="s">
        <v>326</v>
      </c>
      <c r="F3" s="184" t="s">
        <v>339</v>
      </c>
      <c r="G3" s="184" t="s">
        <v>327</v>
      </c>
      <c r="H3" s="211" t="s">
        <v>2</v>
      </c>
      <c r="I3" s="184" t="s">
        <v>328</v>
      </c>
      <c r="J3" s="184" t="s">
        <v>340</v>
      </c>
    </row>
    <row r="4" spans="1:10" ht="24" customHeight="1">
      <c r="A4" s="313" t="s">
        <v>341</v>
      </c>
      <c r="B4" s="314"/>
      <c r="C4" s="314"/>
      <c r="D4" s="313"/>
      <c r="E4" s="313"/>
      <c r="F4" s="313"/>
      <c r="G4" s="315"/>
      <c r="H4" s="316"/>
      <c r="I4" s="313"/>
      <c r="J4" s="313"/>
    </row>
    <row r="5" spans="1:10" ht="18" customHeight="1">
      <c r="A5" s="185" t="s">
        <v>342</v>
      </c>
      <c r="B5" s="187">
        <v>46874</v>
      </c>
      <c r="C5" s="187">
        <v>47238</v>
      </c>
      <c r="D5" s="185" t="s">
        <v>331</v>
      </c>
      <c r="E5" s="185" t="s">
        <v>4</v>
      </c>
      <c r="F5" s="185" t="s">
        <v>321</v>
      </c>
      <c r="G5" s="189"/>
      <c r="H5" s="212"/>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212"/>
      <c r="I6" s="185" t="str">
        <f t="shared" si="0"/>
        <v>Werte fehlen</v>
      </c>
      <c r="J6" s="185" t="str">
        <f t="shared" si="1"/>
        <v/>
      </c>
    </row>
    <row r="7" spans="1:10" ht="18" customHeight="1">
      <c r="A7" s="185" t="s">
        <v>342</v>
      </c>
      <c r="B7" s="187">
        <v>46874</v>
      </c>
      <c r="C7" s="187">
        <v>47238</v>
      </c>
      <c r="D7" s="185" t="s">
        <v>331</v>
      </c>
      <c r="E7" s="185" t="s">
        <v>4</v>
      </c>
      <c r="F7" s="185" t="s">
        <v>321</v>
      </c>
      <c r="G7" s="189"/>
      <c r="H7" s="212"/>
      <c r="I7" s="185" t="str">
        <f t="shared" si="0"/>
        <v>Werte fehlen</v>
      </c>
      <c r="J7" s="185" t="str">
        <f t="shared" si="1"/>
        <v/>
      </c>
    </row>
    <row r="8" spans="1:10" ht="18" customHeight="1">
      <c r="A8" s="185" t="s">
        <v>342</v>
      </c>
      <c r="B8" s="187">
        <v>46874</v>
      </c>
      <c r="C8" s="187">
        <v>47238</v>
      </c>
      <c r="D8" s="185" t="s">
        <v>331</v>
      </c>
      <c r="E8" s="185" t="s">
        <v>4</v>
      </c>
      <c r="F8" s="185" t="s">
        <v>321</v>
      </c>
      <c r="G8" s="189"/>
      <c r="H8" s="212"/>
      <c r="I8" s="185" t="str">
        <f t="shared" si="0"/>
        <v>Werte fehlen</v>
      </c>
      <c r="J8" s="185" t="str">
        <f t="shared" si="1"/>
        <v/>
      </c>
    </row>
    <row r="9" spans="1:10" ht="18" customHeight="1">
      <c r="A9" s="185" t="s">
        <v>342</v>
      </c>
      <c r="B9" s="187">
        <v>46874</v>
      </c>
      <c r="C9" s="187">
        <v>47238</v>
      </c>
      <c r="D9" s="185" t="s">
        <v>331</v>
      </c>
      <c r="E9" s="185" t="s">
        <v>4</v>
      </c>
      <c r="F9" s="185" t="s">
        <v>321</v>
      </c>
      <c r="G9" s="189"/>
      <c r="H9" s="212"/>
      <c r="I9" s="185" t="str">
        <f t="shared" si="0"/>
        <v>Werte fehlen</v>
      </c>
      <c r="J9" s="185" t="str">
        <f t="shared" si="1"/>
        <v/>
      </c>
    </row>
    <row r="10" spans="1:10" ht="18" customHeight="1">
      <c r="A10" s="185" t="s">
        <v>342</v>
      </c>
      <c r="B10" s="187">
        <v>46874</v>
      </c>
      <c r="C10" s="187">
        <v>47238</v>
      </c>
      <c r="D10" s="185" t="s">
        <v>331</v>
      </c>
      <c r="E10" s="185" t="s">
        <v>4</v>
      </c>
      <c r="F10" s="185" t="s">
        <v>321</v>
      </c>
      <c r="G10" s="189"/>
      <c r="H10" s="212"/>
      <c r="I10" s="185" t="str">
        <f t="shared" si="0"/>
        <v>Werte fehlen</v>
      </c>
      <c r="J10" s="185" t="str">
        <f t="shared" si="1"/>
        <v/>
      </c>
    </row>
    <row r="11" spans="1:10" ht="18" customHeight="1">
      <c r="A11" s="185" t="s">
        <v>342</v>
      </c>
      <c r="B11" s="187">
        <v>46874</v>
      </c>
      <c r="C11" s="187">
        <v>47238</v>
      </c>
      <c r="D11" s="185" t="s">
        <v>331</v>
      </c>
      <c r="E11" s="185" t="s">
        <v>4</v>
      </c>
      <c r="F11" s="185" t="s">
        <v>321</v>
      </c>
      <c r="G11" s="189"/>
      <c r="H11" s="212"/>
      <c r="I11" s="185" t="str">
        <f t="shared" si="0"/>
        <v>Werte fehlen</v>
      </c>
      <c r="J11" s="185" t="str">
        <f t="shared" si="1"/>
        <v/>
      </c>
    </row>
    <row r="12" spans="1:10" ht="18" customHeight="1">
      <c r="A12" s="185" t="s">
        <v>342</v>
      </c>
      <c r="B12" s="187">
        <v>46874</v>
      </c>
      <c r="C12" s="187">
        <v>47238</v>
      </c>
      <c r="D12" s="185" t="s">
        <v>331</v>
      </c>
      <c r="E12" s="185" t="s">
        <v>4</v>
      </c>
      <c r="F12" s="185" t="s">
        <v>321</v>
      </c>
      <c r="G12" s="189"/>
      <c r="H12" s="212"/>
      <c r="I12" s="185" t="str">
        <f t="shared" si="0"/>
        <v>Werte fehlen</v>
      </c>
      <c r="J12" s="185" t="str">
        <f t="shared" si="1"/>
        <v/>
      </c>
    </row>
    <row r="13" spans="1:10" ht="18" customHeight="1">
      <c r="A13" s="185" t="s">
        <v>342</v>
      </c>
      <c r="B13" s="187">
        <v>46874</v>
      </c>
      <c r="C13" s="187">
        <v>47238</v>
      </c>
      <c r="D13" s="185" t="s">
        <v>331</v>
      </c>
      <c r="E13" s="185" t="s">
        <v>4</v>
      </c>
      <c r="F13" s="185" t="s">
        <v>321</v>
      </c>
      <c r="G13" s="189"/>
      <c r="H13" s="212"/>
      <c r="I13" s="185" t="str">
        <f t="shared" si="0"/>
        <v>Werte fehlen</v>
      </c>
      <c r="J13" s="185" t="str">
        <f t="shared" si="1"/>
        <v/>
      </c>
    </row>
    <row r="14" spans="1:10" ht="18" customHeight="1">
      <c r="A14" s="185" t="s">
        <v>342</v>
      </c>
      <c r="B14" s="187">
        <v>46874</v>
      </c>
      <c r="C14" s="187">
        <v>47238</v>
      </c>
      <c r="D14" s="185" t="s">
        <v>331</v>
      </c>
      <c r="E14" s="185" t="s">
        <v>4</v>
      </c>
      <c r="F14" s="185" t="s">
        <v>321</v>
      </c>
      <c r="G14" s="189"/>
      <c r="H14" s="212"/>
      <c r="I14" s="185" t="str">
        <f t="shared" si="0"/>
        <v>Werte fehlen</v>
      </c>
      <c r="J14" s="185" t="str">
        <f t="shared" si="1"/>
        <v/>
      </c>
    </row>
    <row r="15" spans="1:10" ht="18" customHeight="1">
      <c r="A15" s="185" t="s">
        <v>342</v>
      </c>
      <c r="B15" s="187">
        <v>46874</v>
      </c>
      <c r="C15" s="187">
        <v>47238</v>
      </c>
      <c r="D15" s="185" t="s">
        <v>331</v>
      </c>
      <c r="E15" s="185" t="s">
        <v>4</v>
      </c>
      <c r="F15" s="185" t="s">
        <v>321</v>
      </c>
      <c r="G15" s="189"/>
      <c r="H15" s="212"/>
      <c r="I15" s="185" t="str">
        <f t="shared" si="0"/>
        <v>Werte fehlen</v>
      </c>
      <c r="J15" s="185" t="str">
        <f t="shared" si="1"/>
        <v/>
      </c>
    </row>
    <row r="16" spans="1:10" ht="18" customHeight="1">
      <c r="A16" s="185" t="s">
        <v>342</v>
      </c>
      <c r="B16" s="187">
        <v>46874</v>
      </c>
      <c r="C16" s="187">
        <v>47238</v>
      </c>
      <c r="D16" s="185" t="s">
        <v>331</v>
      </c>
      <c r="E16" s="185" t="s">
        <v>4</v>
      </c>
      <c r="F16" s="185" t="s">
        <v>321</v>
      </c>
      <c r="G16" s="189"/>
      <c r="H16" s="212"/>
      <c r="I16" s="185" t="str">
        <f t="shared" si="0"/>
        <v>Werte fehlen</v>
      </c>
      <c r="J16" s="185" t="str">
        <f t="shared" si="1"/>
        <v/>
      </c>
    </row>
    <row r="17" spans="1:10" ht="18" customHeight="1">
      <c r="A17" s="185" t="s">
        <v>342</v>
      </c>
      <c r="B17" s="187">
        <v>46874</v>
      </c>
      <c r="C17" s="187">
        <v>47238</v>
      </c>
      <c r="D17" s="185" t="s">
        <v>331</v>
      </c>
      <c r="E17" s="185" t="s">
        <v>4</v>
      </c>
      <c r="F17" s="185" t="s">
        <v>321</v>
      </c>
      <c r="G17" s="189"/>
      <c r="H17" s="212"/>
      <c r="I17" s="185" t="str">
        <f t="shared" si="0"/>
        <v>Werte fehlen</v>
      </c>
      <c r="J17" s="185" t="str">
        <f t="shared" si="1"/>
        <v/>
      </c>
    </row>
    <row r="18" spans="1:10" ht="18" customHeight="1">
      <c r="A18" s="185" t="s">
        <v>342</v>
      </c>
      <c r="B18" s="187">
        <v>46874</v>
      </c>
      <c r="C18" s="187">
        <v>47238</v>
      </c>
      <c r="D18" s="185" t="s">
        <v>8</v>
      </c>
      <c r="E18" s="185" t="s">
        <v>4</v>
      </c>
      <c r="F18" s="185" t="s">
        <v>322</v>
      </c>
      <c r="G18" s="189"/>
      <c r="H18" s="212"/>
      <c r="I18" s="185" t="str">
        <f t="shared" si="0"/>
        <v>Werte fehlen</v>
      </c>
      <c r="J18" s="185" t="str">
        <f t="shared" si="1"/>
        <v/>
      </c>
    </row>
    <row r="19" spans="1:10" ht="18" customHeight="1">
      <c r="A19" s="185" t="s">
        <v>342</v>
      </c>
      <c r="B19" s="187">
        <v>46874</v>
      </c>
      <c r="C19" s="187">
        <v>47238</v>
      </c>
      <c r="D19" s="185" t="s">
        <v>8</v>
      </c>
      <c r="E19" s="185" t="s">
        <v>4</v>
      </c>
      <c r="F19" s="185" t="s">
        <v>322</v>
      </c>
      <c r="G19" s="189"/>
      <c r="H19" s="212"/>
      <c r="I19" s="185" t="str">
        <f t="shared" si="0"/>
        <v>Werte fehlen</v>
      </c>
      <c r="J19" s="185" t="str">
        <f t="shared" si="1"/>
        <v/>
      </c>
    </row>
    <row r="20" spans="1:10" ht="18" customHeight="1">
      <c r="A20" s="185" t="s">
        <v>342</v>
      </c>
      <c r="B20" s="187">
        <v>46874</v>
      </c>
      <c r="C20" s="187">
        <v>47238</v>
      </c>
      <c r="D20" s="185" t="s">
        <v>8</v>
      </c>
      <c r="E20" s="185" t="s">
        <v>4</v>
      </c>
      <c r="F20" s="185" t="s">
        <v>322</v>
      </c>
      <c r="G20" s="189"/>
      <c r="H20" s="212"/>
      <c r="I20" s="185" t="str">
        <f t="shared" si="0"/>
        <v>Werte fehlen</v>
      </c>
      <c r="J20" s="185" t="str">
        <f t="shared" si="1"/>
        <v/>
      </c>
    </row>
    <row r="21" spans="1:10" ht="18" customHeight="1">
      <c r="A21" s="185" t="s">
        <v>342</v>
      </c>
      <c r="B21" s="187">
        <v>46874</v>
      </c>
      <c r="C21" s="187">
        <v>47238</v>
      </c>
      <c r="D21" s="185" t="s">
        <v>8</v>
      </c>
      <c r="E21" s="185" t="s">
        <v>4</v>
      </c>
      <c r="F21" s="185" t="s">
        <v>322</v>
      </c>
      <c r="G21" s="189"/>
      <c r="H21" s="212"/>
      <c r="I21" s="185" t="str">
        <f t="shared" si="0"/>
        <v>Werte fehlen</v>
      </c>
      <c r="J21" s="185" t="str">
        <f t="shared" si="1"/>
        <v/>
      </c>
    </row>
    <row r="22" spans="1:10" ht="18" customHeight="1">
      <c r="A22" s="185" t="s">
        <v>342</v>
      </c>
      <c r="B22" s="187">
        <v>46874</v>
      </c>
      <c r="C22" s="187">
        <v>47238</v>
      </c>
      <c r="D22" s="185" t="s">
        <v>8</v>
      </c>
      <c r="E22" s="185" t="s">
        <v>4</v>
      </c>
      <c r="F22" s="185" t="s">
        <v>322</v>
      </c>
      <c r="G22" s="189"/>
      <c r="H22" s="212"/>
      <c r="I22" s="185" t="str">
        <f t="shared" si="0"/>
        <v>Werte fehlen</v>
      </c>
      <c r="J22" s="185" t="str">
        <f t="shared" si="1"/>
        <v/>
      </c>
    </row>
    <row r="23" spans="1:10" ht="18" customHeight="1">
      <c r="A23" s="185" t="s">
        <v>342</v>
      </c>
      <c r="B23" s="187">
        <v>46874</v>
      </c>
      <c r="C23" s="187">
        <v>47238</v>
      </c>
      <c r="D23" s="185" t="s">
        <v>8</v>
      </c>
      <c r="E23" s="185" t="s">
        <v>4</v>
      </c>
      <c r="F23" s="185" t="s">
        <v>322</v>
      </c>
      <c r="G23" s="189"/>
      <c r="H23" s="212"/>
      <c r="I23" s="185" t="str">
        <f t="shared" si="0"/>
        <v>Werte fehlen</v>
      </c>
      <c r="J23" s="185" t="str">
        <f t="shared" si="1"/>
        <v/>
      </c>
    </row>
    <row r="24" spans="1:10" ht="18" customHeight="1">
      <c r="A24" s="185" t="s">
        <v>342</v>
      </c>
      <c r="B24" s="187">
        <v>46874</v>
      </c>
      <c r="C24" s="187">
        <v>47238</v>
      </c>
      <c r="D24" s="185" t="s">
        <v>8</v>
      </c>
      <c r="E24" s="185" t="s">
        <v>4</v>
      </c>
      <c r="F24" s="185" t="s">
        <v>322</v>
      </c>
      <c r="G24" s="189"/>
      <c r="H24" s="212"/>
      <c r="I24" s="185" t="str">
        <f t="shared" si="0"/>
        <v>Werte fehlen</v>
      </c>
      <c r="J24" s="185" t="str">
        <f t="shared" si="1"/>
        <v/>
      </c>
    </row>
    <row r="25" spans="1:10" ht="18" customHeight="1">
      <c r="A25" s="185" t="s">
        <v>342</v>
      </c>
      <c r="B25" s="187">
        <v>46874</v>
      </c>
      <c r="C25" s="187">
        <v>47238</v>
      </c>
      <c r="D25" s="185" t="s">
        <v>8</v>
      </c>
      <c r="E25" s="185" t="s">
        <v>4</v>
      </c>
      <c r="F25" s="185" t="s">
        <v>322</v>
      </c>
      <c r="G25" s="189"/>
      <c r="H25" s="212"/>
      <c r="I25" s="185" t="str">
        <f t="shared" si="0"/>
        <v>Werte fehlen</v>
      </c>
      <c r="J25" s="185" t="str">
        <f t="shared" si="1"/>
        <v/>
      </c>
    </row>
    <row r="26" spans="1:10" ht="18" customHeight="1">
      <c r="A26" s="185" t="s">
        <v>342</v>
      </c>
      <c r="B26" s="187">
        <v>46874</v>
      </c>
      <c r="C26" s="187">
        <v>47238</v>
      </c>
      <c r="D26" s="185" t="s">
        <v>8</v>
      </c>
      <c r="E26" s="185" t="s">
        <v>4</v>
      </c>
      <c r="F26" s="185" t="s">
        <v>322</v>
      </c>
      <c r="G26" s="189"/>
      <c r="H26" s="212"/>
      <c r="I26" s="185" t="str">
        <f t="shared" si="0"/>
        <v>Werte fehlen</v>
      </c>
      <c r="J26" s="185" t="str">
        <f t="shared" si="1"/>
        <v/>
      </c>
    </row>
    <row r="27" spans="1:10" ht="18" customHeight="1">
      <c r="A27" s="185" t="s">
        <v>342</v>
      </c>
      <c r="B27" s="187">
        <v>46874</v>
      </c>
      <c r="C27" s="187">
        <v>47238</v>
      </c>
      <c r="D27" s="185" t="s">
        <v>8</v>
      </c>
      <c r="E27" s="185" t="s">
        <v>4</v>
      </c>
      <c r="F27" s="185" t="s">
        <v>322</v>
      </c>
      <c r="G27" s="189"/>
      <c r="H27" s="212"/>
      <c r="I27" s="185" t="str">
        <f t="shared" si="0"/>
        <v>Werte fehlen</v>
      </c>
      <c r="J27" s="185" t="str">
        <f t="shared" si="1"/>
        <v/>
      </c>
    </row>
    <row r="28" spans="1:10" ht="18" customHeight="1">
      <c r="A28" s="185" t="s">
        <v>342</v>
      </c>
      <c r="B28" s="187">
        <v>46874</v>
      </c>
      <c r="C28" s="187">
        <v>47238</v>
      </c>
      <c r="D28" s="185" t="s">
        <v>8</v>
      </c>
      <c r="E28" s="185" t="s">
        <v>4</v>
      </c>
      <c r="F28" s="185" t="s">
        <v>322</v>
      </c>
      <c r="G28" s="189"/>
      <c r="H28" s="212"/>
      <c r="I28" s="185" t="str">
        <f t="shared" si="0"/>
        <v>Werte fehlen</v>
      </c>
      <c r="J28" s="185" t="str">
        <f t="shared" si="1"/>
        <v/>
      </c>
    </row>
    <row r="29" spans="1:10" ht="18" customHeight="1">
      <c r="A29" s="185" t="s">
        <v>342</v>
      </c>
      <c r="B29" s="187">
        <v>46874</v>
      </c>
      <c r="C29" s="187">
        <v>47238</v>
      </c>
      <c r="D29" s="185" t="s">
        <v>8</v>
      </c>
      <c r="E29" s="185" t="s">
        <v>4</v>
      </c>
      <c r="F29" s="185" t="s">
        <v>322</v>
      </c>
      <c r="G29" s="189"/>
      <c r="H29" s="212"/>
      <c r="I29" s="185" t="str">
        <f t="shared" si="0"/>
        <v>Werte fehlen</v>
      </c>
      <c r="J29" s="185" t="str">
        <f t="shared" si="1"/>
        <v/>
      </c>
    </row>
    <row r="30" spans="1:10" ht="18" customHeight="1">
      <c r="A30" s="185" t="s">
        <v>342</v>
      </c>
      <c r="B30" s="187">
        <v>46874</v>
      </c>
      <c r="C30" s="187">
        <v>47238</v>
      </c>
      <c r="D30" s="185" t="s">
        <v>8</v>
      </c>
      <c r="E30" s="185" t="s">
        <v>4</v>
      </c>
      <c r="F30" s="185" t="s">
        <v>322</v>
      </c>
      <c r="G30" s="189"/>
      <c r="H30" s="212"/>
      <c r="I30" s="185" t="str">
        <f t="shared" si="0"/>
        <v>Werte fehlen</v>
      </c>
      <c r="J30" s="185" t="str">
        <f t="shared" si="1"/>
        <v/>
      </c>
    </row>
    <row r="31" spans="1:10" ht="18" customHeight="1">
      <c r="A31" s="185" t="s">
        <v>342</v>
      </c>
      <c r="B31" s="187">
        <v>46874</v>
      </c>
      <c r="C31" s="187">
        <v>47238</v>
      </c>
      <c r="D31" s="185" t="s">
        <v>10</v>
      </c>
      <c r="E31" s="185" t="s">
        <v>4</v>
      </c>
      <c r="F31" s="185" t="s">
        <v>323</v>
      </c>
      <c r="G31" s="189"/>
      <c r="H31" s="212"/>
      <c r="I31" s="185" t="str">
        <f t="shared" si="0"/>
        <v>Werte fehlen</v>
      </c>
      <c r="J31" s="185" t="str">
        <f t="shared" si="1"/>
        <v/>
      </c>
    </row>
    <row r="32" spans="1:10" ht="18" customHeight="1">
      <c r="A32" s="185" t="s">
        <v>342</v>
      </c>
      <c r="B32" s="187">
        <v>46874</v>
      </c>
      <c r="C32" s="187">
        <v>47238</v>
      </c>
      <c r="D32" s="185" t="s">
        <v>10</v>
      </c>
      <c r="E32" s="185" t="s">
        <v>4</v>
      </c>
      <c r="F32" s="185" t="s">
        <v>323</v>
      </c>
      <c r="G32" s="189"/>
      <c r="H32" s="212"/>
      <c r="I32" s="185" t="str">
        <f t="shared" si="0"/>
        <v>Werte fehlen</v>
      </c>
      <c r="J32" s="185" t="str">
        <f t="shared" si="1"/>
        <v/>
      </c>
    </row>
    <row r="33" spans="1:10" ht="18" customHeight="1">
      <c r="A33" s="185" t="s">
        <v>342</v>
      </c>
      <c r="B33" s="187">
        <v>46874</v>
      </c>
      <c r="C33" s="187">
        <v>47238</v>
      </c>
      <c r="D33" s="185" t="s">
        <v>10</v>
      </c>
      <c r="E33" s="185" t="s">
        <v>4</v>
      </c>
      <c r="F33" s="185" t="s">
        <v>323</v>
      </c>
      <c r="G33" s="189"/>
      <c r="H33" s="212"/>
      <c r="I33" s="185" t="str">
        <f t="shared" si="0"/>
        <v>Werte fehlen</v>
      </c>
      <c r="J33" s="185" t="str">
        <f t="shared" si="1"/>
        <v/>
      </c>
    </row>
    <row r="34" spans="1:10" ht="18" customHeight="1">
      <c r="A34" s="185" t="s">
        <v>342</v>
      </c>
      <c r="B34" s="187">
        <v>46874</v>
      </c>
      <c r="C34" s="187">
        <v>47238</v>
      </c>
      <c r="D34" s="185" t="s">
        <v>10</v>
      </c>
      <c r="E34" s="185" t="s">
        <v>4</v>
      </c>
      <c r="F34" s="185" t="s">
        <v>323</v>
      </c>
      <c r="G34" s="189"/>
      <c r="H34" s="212"/>
      <c r="I34" s="185" t="str">
        <f t="shared" si="0"/>
        <v>Werte fehlen</v>
      </c>
      <c r="J34" s="185" t="str">
        <f t="shared" si="1"/>
        <v/>
      </c>
    </row>
    <row r="35" spans="1:10" ht="18" customHeight="1">
      <c r="A35" s="185" t="s">
        <v>342</v>
      </c>
      <c r="B35" s="187">
        <v>46874</v>
      </c>
      <c r="C35" s="187">
        <v>47238</v>
      </c>
      <c r="D35" s="185" t="s">
        <v>10</v>
      </c>
      <c r="E35" s="185" t="s">
        <v>4</v>
      </c>
      <c r="F35" s="185" t="s">
        <v>323</v>
      </c>
      <c r="G35" s="189"/>
      <c r="H35" s="212"/>
      <c r="I35" s="185" t="str">
        <f t="shared" si="0"/>
        <v>Werte fehlen</v>
      </c>
      <c r="J35" s="185" t="str">
        <f t="shared" si="1"/>
        <v/>
      </c>
    </row>
    <row r="36" spans="1:10" ht="18" customHeight="1">
      <c r="A36" s="185" t="s">
        <v>342</v>
      </c>
      <c r="B36" s="187">
        <v>46874</v>
      </c>
      <c r="C36" s="187">
        <v>47238</v>
      </c>
      <c r="D36" s="185" t="s">
        <v>10</v>
      </c>
      <c r="E36" s="185" t="s">
        <v>4</v>
      </c>
      <c r="F36" s="185" t="s">
        <v>323</v>
      </c>
      <c r="G36" s="189"/>
      <c r="H36" s="212"/>
      <c r="I36" s="185" t="str">
        <f t="shared" si="0"/>
        <v>Werte fehlen</v>
      </c>
      <c r="J36" s="185" t="str">
        <f t="shared" si="1"/>
        <v/>
      </c>
    </row>
    <row r="37" spans="1:10" ht="18" customHeight="1">
      <c r="A37" s="185" t="s">
        <v>342</v>
      </c>
      <c r="B37" s="187">
        <v>46874</v>
      </c>
      <c r="C37" s="187">
        <v>47238</v>
      </c>
      <c r="D37" s="185" t="s">
        <v>10</v>
      </c>
      <c r="E37" s="185" t="s">
        <v>4</v>
      </c>
      <c r="F37" s="185" t="s">
        <v>323</v>
      </c>
      <c r="G37" s="189"/>
      <c r="H37" s="212"/>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212"/>
      <c r="I38" s="185" t="str">
        <f t="shared" si="2"/>
        <v>Werte fehlen</v>
      </c>
      <c r="J38" s="185" t="str">
        <f t="shared" si="3"/>
        <v/>
      </c>
    </row>
    <row r="39" spans="1:10" ht="18" customHeight="1">
      <c r="A39" s="185" t="s">
        <v>342</v>
      </c>
      <c r="B39" s="187">
        <v>46874</v>
      </c>
      <c r="C39" s="187">
        <v>47238</v>
      </c>
      <c r="D39" s="185" t="s">
        <v>10</v>
      </c>
      <c r="E39" s="185" t="s">
        <v>4</v>
      </c>
      <c r="F39" s="185" t="s">
        <v>323</v>
      </c>
      <c r="G39" s="189"/>
      <c r="H39" s="212"/>
      <c r="I39" s="185" t="str">
        <f t="shared" si="2"/>
        <v>Werte fehlen</v>
      </c>
      <c r="J39" s="185" t="str">
        <f t="shared" si="3"/>
        <v/>
      </c>
    </row>
    <row r="40" spans="1:10" ht="18" customHeight="1">
      <c r="A40" s="185" t="s">
        <v>342</v>
      </c>
      <c r="B40" s="187">
        <v>46874</v>
      </c>
      <c r="C40" s="187">
        <v>47238</v>
      </c>
      <c r="D40" s="185" t="s">
        <v>10</v>
      </c>
      <c r="E40" s="185" t="s">
        <v>4</v>
      </c>
      <c r="F40" s="185" t="s">
        <v>323</v>
      </c>
      <c r="G40" s="189"/>
      <c r="H40" s="212"/>
      <c r="I40" s="185" t="str">
        <f t="shared" si="2"/>
        <v>Werte fehlen</v>
      </c>
      <c r="J40" s="185" t="str">
        <f t="shared" si="3"/>
        <v/>
      </c>
    </row>
    <row r="41" spans="1:10" ht="18" customHeight="1">
      <c r="A41" s="185" t="s">
        <v>342</v>
      </c>
      <c r="B41" s="187">
        <v>46874</v>
      </c>
      <c r="C41" s="187">
        <v>47238</v>
      </c>
      <c r="D41" s="185" t="s">
        <v>10</v>
      </c>
      <c r="E41" s="185" t="s">
        <v>4</v>
      </c>
      <c r="F41" s="185" t="s">
        <v>323</v>
      </c>
      <c r="G41" s="189"/>
      <c r="H41" s="212"/>
      <c r="I41" s="185" t="str">
        <f t="shared" si="2"/>
        <v>Werte fehlen</v>
      </c>
      <c r="J41" s="185" t="str">
        <f t="shared" si="3"/>
        <v/>
      </c>
    </row>
    <row r="42" spans="1:10" ht="18" customHeight="1">
      <c r="A42" s="185" t="s">
        <v>342</v>
      </c>
      <c r="B42" s="187">
        <v>46874</v>
      </c>
      <c r="C42" s="187">
        <v>47238</v>
      </c>
      <c r="D42" s="185" t="s">
        <v>10</v>
      </c>
      <c r="E42" s="185" t="s">
        <v>4</v>
      </c>
      <c r="F42" s="185" t="s">
        <v>323</v>
      </c>
      <c r="G42" s="189"/>
      <c r="H42" s="212"/>
      <c r="I42" s="185" t="str">
        <f t="shared" si="2"/>
        <v>Werte fehlen</v>
      </c>
      <c r="J42" s="185" t="str">
        <f t="shared" si="3"/>
        <v/>
      </c>
    </row>
    <row r="43" spans="1:10" ht="18" customHeight="1">
      <c r="A43" s="185" t="s">
        <v>342</v>
      </c>
      <c r="B43" s="187">
        <v>46874</v>
      </c>
      <c r="C43" s="187">
        <v>47238</v>
      </c>
      <c r="D43" s="185" t="s">
        <v>10</v>
      </c>
      <c r="E43" s="185" t="s">
        <v>4</v>
      </c>
      <c r="F43" s="185" t="s">
        <v>323</v>
      </c>
      <c r="G43" s="189"/>
      <c r="H43" s="212"/>
      <c r="I43" s="185" t="str">
        <f t="shared" si="2"/>
        <v>Werte fehlen</v>
      </c>
      <c r="J43" s="185" t="str">
        <f t="shared" si="3"/>
        <v/>
      </c>
    </row>
    <row r="44" spans="1:10" ht="18" customHeight="1">
      <c r="A44" s="185" t="s">
        <v>342</v>
      </c>
      <c r="B44" s="187">
        <v>46874</v>
      </c>
      <c r="C44" s="187">
        <v>47238</v>
      </c>
      <c r="D44" s="185" t="s">
        <v>12</v>
      </c>
      <c r="E44" s="185" t="s">
        <v>4</v>
      </c>
      <c r="F44" s="185" t="s">
        <v>343</v>
      </c>
      <c r="G44" s="189"/>
      <c r="H44" s="212"/>
      <c r="I44" s="185" t="str">
        <f t="shared" si="2"/>
        <v>Werte fehlen</v>
      </c>
      <c r="J44" s="185" t="str">
        <f t="shared" si="3"/>
        <v/>
      </c>
    </row>
    <row r="45" spans="1:10" ht="18" customHeight="1">
      <c r="A45" s="185" t="s">
        <v>342</v>
      </c>
      <c r="B45" s="187">
        <v>46874</v>
      </c>
      <c r="C45" s="187">
        <v>47238</v>
      </c>
      <c r="D45" s="185" t="s">
        <v>12</v>
      </c>
      <c r="E45" s="185" t="s">
        <v>4</v>
      </c>
      <c r="F45" s="185" t="s">
        <v>343</v>
      </c>
      <c r="G45" s="189"/>
      <c r="H45" s="212"/>
      <c r="I45" s="185" t="str">
        <f t="shared" si="2"/>
        <v>Werte fehlen</v>
      </c>
      <c r="J45" s="185" t="str">
        <f t="shared" si="3"/>
        <v/>
      </c>
    </row>
    <row r="46" spans="1:10" ht="18" customHeight="1">
      <c r="A46" s="185" t="s">
        <v>342</v>
      </c>
      <c r="B46" s="187">
        <v>46874</v>
      </c>
      <c r="C46" s="187">
        <v>47238</v>
      </c>
      <c r="D46" s="185" t="s">
        <v>12</v>
      </c>
      <c r="E46" s="185" t="s">
        <v>4</v>
      </c>
      <c r="F46" s="185" t="s">
        <v>343</v>
      </c>
      <c r="G46" s="189"/>
      <c r="H46" s="212"/>
      <c r="I46" s="185" t="str">
        <f t="shared" si="2"/>
        <v>Werte fehlen</v>
      </c>
      <c r="J46" s="185" t="str">
        <f t="shared" si="3"/>
        <v/>
      </c>
    </row>
    <row r="47" spans="1:10" ht="18" customHeight="1">
      <c r="A47" s="185" t="s">
        <v>342</v>
      </c>
      <c r="B47" s="187">
        <v>46874</v>
      </c>
      <c r="C47" s="187">
        <v>47238</v>
      </c>
      <c r="D47" s="185" t="s">
        <v>12</v>
      </c>
      <c r="E47" s="185" t="s">
        <v>4</v>
      </c>
      <c r="F47" s="185" t="s">
        <v>343</v>
      </c>
      <c r="G47" s="189"/>
      <c r="H47" s="212"/>
      <c r="I47" s="185" t="str">
        <f t="shared" si="2"/>
        <v>Werte fehlen</v>
      </c>
      <c r="J47" s="185" t="str">
        <f t="shared" si="3"/>
        <v/>
      </c>
    </row>
    <row r="48" spans="1:10" ht="18" customHeight="1">
      <c r="A48" s="185" t="s">
        <v>342</v>
      </c>
      <c r="B48" s="187">
        <v>46874</v>
      </c>
      <c r="C48" s="187">
        <v>47238</v>
      </c>
      <c r="D48" s="185" t="s">
        <v>12</v>
      </c>
      <c r="E48" s="185" t="s">
        <v>4</v>
      </c>
      <c r="F48" s="185" t="s">
        <v>343</v>
      </c>
      <c r="G48" s="189"/>
      <c r="H48" s="212"/>
      <c r="I48" s="185" t="str">
        <f t="shared" si="2"/>
        <v>Werte fehlen</v>
      </c>
      <c r="J48" s="185" t="str">
        <f t="shared" si="3"/>
        <v/>
      </c>
    </row>
    <row r="49" spans="1:10" ht="18" customHeight="1">
      <c r="A49" s="185" t="s">
        <v>342</v>
      </c>
      <c r="B49" s="187">
        <v>46874</v>
      </c>
      <c r="C49" s="187">
        <v>47238</v>
      </c>
      <c r="D49" s="185" t="s">
        <v>12</v>
      </c>
      <c r="E49" s="185" t="s">
        <v>4</v>
      </c>
      <c r="F49" s="185" t="s">
        <v>343</v>
      </c>
      <c r="G49" s="189"/>
      <c r="H49" s="212"/>
      <c r="I49" s="185" t="str">
        <f t="shared" si="2"/>
        <v>Werte fehlen</v>
      </c>
      <c r="J49" s="185" t="str">
        <f t="shared" si="3"/>
        <v/>
      </c>
    </row>
    <row r="50" spans="1:10" ht="18" customHeight="1">
      <c r="A50" s="185" t="s">
        <v>342</v>
      </c>
      <c r="B50" s="187">
        <v>46874</v>
      </c>
      <c r="C50" s="187">
        <v>47238</v>
      </c>
      <c r="D50" s="185" t="s">
        <v>12</v>
      </c>
      <c r="E50" s="185" t="s">
        <v>4</v>
      </c>
      <c r="F50" s="185" t="s">
        <v>343</v>
      </c>
      <c r="G50" s="189"/>
      <c r="H50" s="212"/>
      <c r="I50" s="185" t="str">
        <f t="shared" si="2"/>
        <v>Werte fehlen</v>
      </c>
      <c r="J50" s="185" t="str">
        <f t="shared" si="3"/>
        <v/>
      </c>
    </row>
    <row r="51" spans="1:10" ht="18" customHeight="1">
      <c r="A51" s="185" t="s">
        <v>342</v>
      </c>
      <c r="B51" s="187">
        <v>46874</v>
      </c>
      <c r="C51" s="187">
        <v>47238</v>
      </c>
      <c r="D51" s="185" t="s">
        <v>12</v>
      </c>
      <c r="E51" s="185" t="s">
        <v>4</v>
      </c>
      <c r="F51" s="185" t="s">
        <v>343</v>
      </c>
      <c r="G51" s="189"/>
      <c r="H51" s="212"/>
      <c r="I51" s="185" t="str">
        <f t="shared" si="2"/>
        <v>Werte fehlen</v>
      </c>
      <c r="J51" s="185" t="str">
        <f t="shared" si="3"/>
        <v/>
      </c>
    </row>
    <row r="52" spans="1:10" ht="18" customHeight="1">
      <c r="A52" s="185" t="s">
        <v>342</v>
      </c>
      <c r="B52" s="187">
        <v>46874</v>
      </c>
      <c r="C52" s="187">
        <v>47238</v>
      </c>
      <c r="D52" s="185" t="s">
        <v>12</v>
      </c>
      <c r="E52" s="185" t="s">
        <v>4</v>
      </c>
      <c r="F52" s="185" t="s">
        <v>343</v>
      </c>
      <c r="G52" s="189"/>
      <c r="H52" s="212"/>
      <c r="I52" s="185" t="str">
        <f t="shared" si="2"/>
        <v>Werte fehlen</v>
      </c>
      <c r="J52" s="185" t="str">
        <f t="shared" si="3"/>
        <v/>
      </c>
    </row>
    <row r="53" spans="1:10" ht="18" customHeight="1">
      <c r="A53" s="185" t="s">
        <v>342</v>
      </c>
      <c r="B53" s="187">
        <v>46874</v>
      </c>
      <c r="C53" s="187">
        <v>47238</v>
      </c>
      <c r="D53" s="185" t="s">
        <v>12</v>
      </c>
      <c r="E53" s="185" t="s">
        <v>4</v>
      </c>
      <c r="F53" s="185" t="s">
        <v>343</v>
      </c>
      <c r="G53" s="189"/>
      <c r="H53" s="212"/>
      <c r="I53" s="185" t="str">
        <f t="shared" si="2"/>
        <v>Werte fehlen</v>
      </c>
      <c r="J53" s="185" t="str">
        <f t="shared" si="3"/>
        <v/>
      </c>
    </row>
    <row r="54" spans="1:10" ht="18" customHeight="1">
      <c r="A54" s="185" t="s">
        <v>342</v>
      </c>
      <c r="B54" s="187">
        <v>46874</v>
      </c>
      <c r="C54" s="187">
        <v>47238</v>
      </c>
      <c r="D54" s="185" t="s">
        <v>12</v>
      </c>
      <c r="E54" s="185" t="s">
        <v>4</v>
      </c>
      <c r="F54" s="185" t="s">
        <v>343</v>
      </c>
      <c r="G54" s="189"/>
      <c r="H54" s="212"/>
      <c r="I54" s="185" t="str">
        <f t="shared" si="2"/>
        <v>Werte fehlen</v>
      </c>
      <c r="J54" s="185" t="str">
        <f t="shared" si="3"/>
        <v/>
      </c>
    </row>
    <row r="55" spans="1:10" ht="18" customHeight="1">
      <c r="A55" s="185" t="s">
        <v>342</v>
      </c>
      <c r="B55" s="187">
        <v>46874</v>
      </c>
      <c r="C55" s="187">
        <v>47238</v>
      </c>
      <c r="D55" s="185" t="s">
        <v>12</v>
      </c>
      <c r="E55" s="185" t="s">
        <v>4</v>
      </c>
      <c r="F55" s="185" t="s">
        <v>343</v>
      </c>
      <c r="G55" s="189"/>
      <c r="H55" s="212"/>
      <c r="I55" s="185" t="str">
        <f t="shared" si="2"/>
        <v>Werte fehlen</v>
      </c>
      <c r="J55" s="185" t="str">
        <f t="shared" si="3"/>
        <v/>
      </c>
    </row>
    <row r="56" spans="1:10" ht="18" customHeight="1">
      <c r="A56" s="185" t="s">
        <v>342</v>
      </c>
      <c r="B56" s="187">
        <v>46874</v>
      </c>
      <c r="C56" s="187">
        <v>47238</v>
      </c>
      <c r="D56" s="185" t="s">
        <v>12</v>
      </c>
      <c r="E56" s="185" t="s">
        <v>4</v>
      </c>
      <c r="F56" s="185" t="s">
        <v>343</v>
      </c>
      <c r="G56" s="189"/>
      <c r="H56" s="212"/>
      <c r="I56" s="185" t="str">
        <f t="shared" si="2"/>
        <v>Werte fehlen</v>
      </c>
      <c r="J56" s="185" t="str">
        <f t="shared" si="3"/>
        <v/>
      </c>
    </row>
    <row r="57" spans="1:10" ht="18" customHeight="1">
      <c r="A57" s="185" t="s">
        <v>342</v>
      </c>
      <c r="B57" s="187">
        <v>46874</v>
      </c>
      <c r="C57" s="187">
        <v>47238</v>
      </c>
      <c r="D57" s="185" t="s">
        <v>332</v>
      </c>
      <c r="E57" s="185" t="s">
        <v>13</v>
      </c>
      <c r="F57" s="185" t="s">
        <v>321</v>
      </c>
      <c r="G57" s="189"/>
      <c r="H57" s="212"/>
      <c r="I57" s="185" t="str">
        <f t="shared" si="2"/>
        <v>Werte fehlen</v>
      </c>
      <c r="J57" s="185" t="str">
        <f t="shared" si="3"/>
        <v/>
      </c>
    </row>
    <row r="58" spans="1:10" ht="18" customHeight="1">
      <c r="A58" s="185" t="s">
        <v>342</v>
      </c>
      <c r="B58" s="187">
        <v>46874</v>
      </c>
      <c r="C58" s="187">
        <v>47238</v>
      </c>
      <c r="D58" s="185" t="s">
        <v>332</v>
      </c>
      <c r="E58" s="185" t="s">
        <v>13</v>
      </c>
      <c r="F58" s="185" t="s">
        <v>321</v>
      </c>
      <c r="G58" s="189"/>
      <c r="H58" s="212"/>
      <c r="I58" s="185" t="str">
        <f t="shared" si="2"/>
        <v>Werte fehlen</v>
      </c>
      <c r="J58" s="185" t="str">
        <f t="shared" si="3"/>
        <v/>
      </c>
    </row>
    <row r="59" spans="1:10" ht="18" customHeight="1">
      <c r="A59" s="185" t="s">
        <v>342</v>
      </c>
      <c r="B59" s="187">
        <v>46874</v>
      </c>
      <c r="C59" s="187">
        <v>47238</v>
      </c>
      <c r="D59" s="185" t="s">
        <v>332</v>
      </c>
      <c r="E59" s="185" t="s">
        <v>13</v>
      </c>
      <c r="F59" s="185" t="s">
        <v>321</v>
      </c>
      <c r="G59" s="189"/>
      <c r="H59" s="212"/>
      <c r="I59" s="185" t="str">
        <f t="shared" si="2"/>
        <v>Werte fehlen</v>
      </c>
      <c r="J59" s="185" t="str">
        <f t="shared" si="3"/>
        <v/>
      </c>
    </row>
    <row r="60" spans="1:10" ht="18" customHeight="1">
      <c r="A60" s="185" t="s">
        <v>342</v>
      </c>
      <c r="B60" s="187">
        <v>46874</v>
      </c>
      <c r="C60" s="187">
        <v>47238</v>
      </c>
      <c r="D60" s="185" t="s">
        <v>332</v>
      </c>
      <c r="E60" s="185" t="s">
        <v>13</v>
      </c>
      <c r="F60" s="185" t="s">
        <v>321</v>
      </c>
      <c r="G60" s="189"/>
      <c r="H60" s="212"/>
      <c r="I60" s="185" t="str">
        <f t="shared" si="2"/>
        <v>Werte fehlen</v>
      </c>
      <c r="J60" s="185" t="str">
        <f t="shared" si="3"/>
        <v/>
      </c>
    </row>
    <row r="61" spans="1:10" ht="18" customHeight="1">
      <c r="A61" s="185" t="s">
        <v>342</v>
      </c>
      <c r="B61" s="187">
        <v>46874</v>
      </c>
      <c r="C61" s="187">
        <v>47238</v>
      </c>
      <c r="D61" s="185" t="s">
        <v>332</v>
      </c>
      <c r="E61" s="185" t="s">
        <v>13</v>
      </c>
      <c r="F61" s="185" t="s">
        <v>321</v>
      </c>
      <c r="G61" s="189"/>
      <c r="H61" s="212"/>
      <c r="I61" s="185" t="str">
        <f t="shared" si="2"/>
        <v>Werte fehlen</v>
      </c>
      <c r="J61" s="185" t="str">
        <f t="shared" si="3"/>
        <v/>
      </c>
    </row>
    <row r="62" spans="1:10" ht="18" customHeight="1">
      <c r="A62" s="185" t="s">
        <v>342</v>
      </c>
      <c r="B62" s="187">
        <v>46874</v>
      </c>
      <c r="C62" s="187">
        <v>47238</v>
      </c>
      <c r="D62" s="185" t="s">
        <v>332</v>
      </c>
      <c r="E62" s="185" t="s">
        <v>13</v>
      </c>
      <c r="F62" s="185" t="s">
        <v>321</v>
      </c>
      <c r="G62" s="189"/>
      <c r="H62" s="212"/>
      <c r="I62" s="185" t="str">
        <f t="shared" si="2"/>
        <v>Werte fehlen</v>
      </c>
      <c r="J62" s="185" t="str">
        <f t="shared" si="3"/>
        <v/>
      </c>
    </row>
    <row r="63" spans="1:10" ht="18" customHeight="1">
      <c r="A63" s="185" t="s">
        <v>342</v>
      </c>
      <c r="B63" s="187">
        <v>46874</v>
      </c>
      <c r="C63" s="187">
        <v>47238</v>
      </c>
      <c r="D63" s="185" t="s">
        <v>332</v>
      </c>
      <c r="E63" s="185" t="s">
        <v>13</v>
      </c>
      <c r="F63" s="185" t="s">
        <v>321</v>
      </c>
      <c r="G63" s="189"/>
      <c r="H63" s="212"/>
      <c r="I63" s="185" t="str">
        <f t="shared" si="2"/>
        <v>Werte fehlen</v>
      </c>
      <c r="J63" s="185" t="str">
        <f t="shared" si="3"/>
        <v/>
      </c>
    </row>
    <row r="64" spans="1:10" ht="18" customHeight="1">
      <c r="A64" s="185" t="s">
        <v>342</v>
      </c>
      <c r="B64" s="187">
        <v>46874</v>
      </c>
      <c r="C64" s="187">
        <v>47238</v>
      </c>
      <c r="D64" s="185" t="s">
        <v>332</v>
      </c>
      <c r="E64" s="185" t="s">
        <v>13</v>
      </c>
      <c r="F64" s="185" t="s">
        <v>321</v>
      </c>
      <c r="G64" s="189"/>
      <c r="H64" s="212"/>
      <c r="I64" s="185" t="str">
        <f t="shared" si="2"/>
        <v>Werte fehlen</v>
      </c>
      <c r="J64" s="185" t="str">
        <f t="shared" si="3"/>
        <v/>
      </c>
    </row>
    <row r="65" spans="1:10" ht="18" customHeight="1">
      <c r="A65" s="185" t="s">
        <v>342</v>
      </c>
      <c r="B65" s="187">
        <v>46874</v>
      </c>
      <c r="C65" s="187">
        <v>47238</v>
      </c>
      <c r="D65" s="185" t="s">
        <v>332</v>
      </c>
      <c r="E65" s="185" t="s">
        <v>13</v>
      </c>
      <c r="F65" s="185" t="s">
        <v>321</v>
      </c>
      <c r="G65" s="189"/>
      <c r="H65" s="212"/>
      <c r="I65" s="185" t="str">
        <f t="shared" si="2"/>
        <v>Werte fehlen</v>
      </c>
      <c r="J65" s="185" t="str">
        <f t="shared" si="3"/>
        <v/>
      </c>
    </row>
    <row r="66" spans="1:10" ht="18" customHeight="1">
      <c r="A66" s="185" t="s">
        <v>342</v>
      </c>
      <c r="B66" s="187">
        <v>46874</v>
      </c>
      <c r="C66" s="187">
        <v>47238</v>
      </c>
      <c r="D66" s="185" t="s">
        <v>332</v>
      </c>
      <c r="E66" s="185" t="s">
        <v>13</v>
      </c>
      <c r="F66" s="185" t="s">
        <v>321</v>
      </c>
      <c r="G66" s="189"/>
      <c r="H66" s="212"/>
      <c r="I66" s="185" t="str">
        <f t="shared" si="2"/>
        <v>Werte fehlen</v>
      </c>
      <c r="J66" s="185" t="str">
        <f t="shared" si="3"/>
        <v/>
      </c>
    </row>
    <row r="67" spans="1:10" ht="18" customHeight="1">
      <c r="A67" s="185" t="s">
        <v>342</v>
      </c>
      <c r="B67" s="187">
        <v>46874</v>
      </c>
      <c r="C67" s="187">
        <v>47238</v>
      </c>
      <c r="D67" s="185" t="s">
        <v>332</v>
      </c>
      <c r="E67" s="185" t="s">
        <v>13</v>
      </c>
      <c r="F67" s="185" t="s">
        <v>321</v>
      </c>
      <c r="G67" s="189"/>
      <c r="H67" s="212"/>
      <c r="I67" s="185" t="str">
        <f t="shared" si="2"/>
        <v>Werte fehlen</v>
      </c>
      <c r="J67" s="185" t="str">
        <f t="shared" si="3"/>
        <v/>
      </c>
    </row>
    <row r="68" spans="1:10" ht="18" customHeight="1">
      <c r="A68" s="185" t="s">
        <v>342</v>
      </c>
      <c r="B68" s="187">
        <v>46874</v>
      </c>
      <c r="C68" s="187">
        <v>47238</v>
      </c>
      <c r="D68" s="185" t="s">
        <v>332</v>
      </c>
      <c r="E68" s="185" t="s">
        <v>13</v>
      </c>
      <c r="F68" s="185" t="s">
        <v>321</v>
      </c>
      <c r="G68" s="189"/>
      <c r="H68" s="212"/>
      <c r="I68" s="185" t="str">
        <f t="shared" si="2"/>
        <v>Werte fehlen</v>
      </c>
      <c r="J68" s="185" t="str">
        <f t="shared" si="3"/>
        <v/>
      </c>
    </row>
    <row r="69" spans="1:10" ht="18" customHeight="1">
      <c r="A69" s="185" t="s">
        <v>342</v>
      </c>
      <c r="B69" s="187">
        <v>46874</v>
      </c>
      <c r="C69" s="187">
        <v>47238</v>
      </c>
      <c r="D69" s="185" t="s">
        <v>332</v>
      </c>
      <c r="E69" s="185" t="s">
        <v>13</v>
      </c>
      <c r="F69" s="185" t="s">
        <v>321</v>
      </c>
      <c r="G69" s="189"/>
      <c r="H69" s="212"/>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212"/>
      <c r="I70" s="185" t="str">
        <f t="shared" si="4"/>
        <v>Werte fehlen</v>
      </c>
      <c r="J70" s="185" t="str">
        <f t="shared" si="5"/>
        <v/>
      </c>
    </row>
    <row r="71" spans="1:10" ht="18" customHeight="1">
      <c r="A71" s="185" t="s">
        <v>342</v>
      </c>
      <c r="B71" s="187">
        <v>46874</v>
      </c>
      <c r="C71" s="187">
        <v>47238</v>
      </c>
      <c r="D71" s="185" t="s">
        <v>15</v>
      </c>
      <c r="E71" s="185" t="s">
        <v>13</v>
      </c>
      <c r="F71" s="185" t="s">
        <v>322</v>
      </c>
      <c r="G71" s="189"/>
      <c r="H71" s="212"/>
      <c r="I71" s="185" t="str">
        <f t="shared" si="4"/>
        <v>Werte fehlen</v>
      </c>
      <c r="J71" s="185" t="str">
        <f t="shared" si="5"/>
        <v/>
      </c>
    </row>
    <row r="72" spans="1:10" ht="18" customHeight="1">
      <c r="A72" s="185" t="s">
        <v>342</v>
      </c>
      <c r="B72" s="187">
        <v>46874</v>
      </c>
      <c r="C72" s="187">
        <v>47238</v>
      </c>
      <c r="D72" s="185" t="s">
        <v>15</v>
      </c>
      <c r="E72" s="185" t="s">
        <v>13</v>
      </c>
      <c r="F72" s="185" t="s">
        <v>322</v>
      </c>
      <c r="G72" s="189"/>
      <c r="H72" s="212"/>
      <c r="I72" s="185" t="str">
        <f t="shared" si="4"/>
        <v>Werte fehlen</v>
      </c>
      <c r="J72" s="185" t="str">
        <f t="shared" si="5"/>
        <v/>
      </c>
    </row>
    <row r="73" spans="1:10" ht="18" customHeight="1">
      <c r="A73" s="185" t="s">
        <v>342</v>
      </c>
      <c r="B73" s="187">
        <v>46874</v>
      </c>
      <c r="C73" s="187">
        <v>47238</v>
      </c>
      <c r="D73" s="185" t="s">
        <v>15</v>
      </c>
      <c r="E73" s="185" t="s">
        <v>13</v>
      </c>
      <c r="F73" s="185" t="s">
        <v>322</v>
      </c>
      <c r="G73" s="189"/>
      <c r="H73" s="212"/>
      <c r="I73" s="185" t="str">
        <f t="shared" si="4"/>
        <v>Werte fehlen</v>
      </c>
      <c r="J73" s="185" t="str">
        <f t="shared" si="5"/>
        <v/>
      </c>
    </row>
    <row r="74" spans="1:10" ht="18" customHeight="1">
      <c r="A74" s="185" t="s">
        <v>342</v>
      </c>
      <c r="B74" s="187">
        <v>46874</v>
      </c>
      <c r="C74" s="187">
        <v>47238</v>
      </c>
      <c r="D74" s="185" t="s">
        <v>15</v>
      </c>
      <c r="E74" s="185" t="s">
        <v>13</v>
      </c>
      <c r="F74" s="185" t="s">
        <v>322</v>
      </c>
      <c r="G74" s="189"/>
      <c r="H74" s="212"/>
      <c r="I74" s="185" t="str">
        <f t="shared" si="4"/>
        <v>Werte fehlen</v>
      </c>
      <c r="J74" s="185" t="str">
        <f t="shared" si="5"/>
        <v/>
      </c>
    </row>
    <row r="75" spans="1:10" ht="18" customHeight="1">
      <c r="A75" s="185" t="s">
        <v>342</v>
      </c>
      <c r="B75" s="187">
        <v>46874</v>
      </c>
      <c r="C75" s="187">
        <v>47238</v>
      </c>
      <c r="D75" s="185" t="s">
        <v>15</v>
      </c>
      <c r="E75" s="185" t="s">
        <v>13</v>
      </c>
      <c r="F75" s="185" t="s">
        <v>322</v>
      </c>
      <c r="G75" s="189"/>
      <c r="H75" s="212"/>
      <c r="I75" s="185" t="str">
        <f t="shared" si="4"/>
        <v>Werte fehlen</v>
      </c>
      <c r="J75" s="185" t="str">
        <f t="shared" si="5"/>
        <v/>
      </c>
    </row>
    <row r="76" spans="1:10" ht="18" customHeight="1">
      <c r="A76" s="185" t="s">
        <v>342</v>
      </c>
      <c r="B76" s="187">
        <v>46874</v>
      </c>
      <c r="C76" s="187">
        <v>47238</v>
      </c>
      <c r="D76" s="185" t="s">
        <v>15</v>
      </c>
      <c r="E76" s="185" t="s">
        <v>13</v>
      </c>
      <c r="F76" s="185" t="s">
        <v>322</v>
      </c>
      <c r="G76" s="189"/>
      <c r="H76" s="212"/>
      <c r="I76" s="185" t="str">
        <f t="shared" si="4"/>
        <v>Werte fehlen</v>
      </c>
      <c r="J76" s="185" t="str">
        <f t="shared" si="5"/>
        <v/>
      </c>
    </row>
    <row r="77" spans="1:10" ht="18" customHeight="1">
      <c r="A77" s="185" t="s">
        <v>342</v>
      </c>
      <c r="B77" s="187">
        <v>46874</v>
      </c>
      <c r="C77" s="187">
        <v>47238</v>
      </c>
      <c r="D77" s="185" t="s">
        <v>15</v>
      </c>
      <c r="E77" s="185" t="s">
        <v>13</v>
      </c>
      <c r="F77" s="185" t="s">
        <v>322</v>
      </c>
      <c r="G77" s="189"/>
      <c r="H77" s="212"/>
      <c r="I77" s="185" t="str">
        <f t="shared" si="4"/>
        <v>Werte fehlen</v>
      </c>
      <c r="J77" s="185" t="str">
        <f t="shared" si="5"/>
        <v/>
      </c>
    </row>
    <row r="78" spans="1:10" ht="18" customHeight="1">
      <c r="A78" s="185" t="s">
        <v>342</v>
      </c>
      <c r="B78" s="187">
        <v>46874</v>
      </c>
      <c r="C78" s="187">
        <v>47238</v>
      </c>
      <c r="D78" s="185" t="s">
        <v>15</v>
      </c>
      <c r="E78" s="185" t="s">
        <v>13</v>
      </c>
      <c r="F78" s="185" t="s">
        <v>322</v>
      </c>
      <c r="G78" s="189"/>
      <c r="H78" s="212"/>
      <c r="I78" s="185" t="str">
        <f t="shared" si="4"/>
        <v>Werte fehlen</v>
      </c>
      <c r="J78" s="185" t="str">
        <f t="shared" si="5"/>
        <v/>
      </c>
    </row>
    <row r="79" spans="1:10" ht="18" customHeight="1">
      <c r="A79" s="185" t="s">
        <v>342</v>
      </c>
      <c r="B79" s="187">
        <v>46874</v>
      </c>
      <c r="C79" s="187">
        <v>47238</v>
      </c>
      <c r="D79" s="185" t="s">
        <v>15</v>
      </c>
      <c r="E79" s="185" t="s">
        <v>13</v>
      </c>
      <c r="F79" s="185" t="s">
        <v>322</v>
      </c>
      <c r="G79" s="189"/>
      <c r="H79" s="212"/>
      <c r="I79" s="185" t="str">
        <f t="shared" si="4"/>
        <v>Werte fehlen</v>
      </c>
      <c r="J79" s="185" t="str">
        <f t="shared" si="5"/>
        <v/>
      </c>
    </row>
    <row r="80" spans="1:10" ht="18" customHeight="1">
      <c r="A80" s="185" t="s">
        <v>342</v>
      </c>
      <c r="B80" s="187">
        <v>46874</v>
      </c>
      <c r="C80" s="187">
        <v>47238</v>
      </c>
      <c r="D80" s="185" t="s">
        <v>15</v>
      </c>
      <c r="E80" s="185" t="s">
        <v>13</v>
      </c>
      <c r="F80" s="185" t="s">
        <v>322</v>
      </c>
      <c r="G80" s="189"/>
      <c r="H80" s="212"/>
      <c r="I80" s="185" t="str">
        <f t="shared" si="4"/>
        <v>Werte fehlen</v>
      </c>
      <c r="J80" s="185" t="str">
        <f t="shared" si="5"/>
        <v/>
      </c>
    </row>
    <row r="81" spans="1:10" ht="18" customHeight="1">
      <c r="A81" s="185" t="s">
        <v>342</v>
      </c>
      <c r="B81" s="187">
        <v>46874</v>
      </c>
      <c r="C81" s="187">
        <v>47238</v>
      </c>
      <c r="D81" s="185" t="s">
        <v>15</v>
      </c>
      <c r="E81" s="185" t="s">
        <v>13</v>
      </c>
      <c r="F81" s="185" t="s">
        <v>322</v>
      </c>
      <c r="G81" s="189"/>
      <c r="H81" s="212"/>
      <c r="I81" s="185" t="str">
        <f t="shared" si="4"/>
        <v>Werte fehlen</v>
      </c>
      <c r="J81" s="185" t="str">
        <f t="shared" si="5"/>
        <v/>
      </c>
    </row>
    <row r="82" spans="1:10" ht="18" customHeight="1">
      <c r="A82" s="185" t="s">
        <v>342</v>
      </c>
      <c r="B82" s="187">
        <v>46874</v>
      </c>
      <c r="C82" s="187">
        <v>47238</v>
      </c>
      <c r="D82" s="185" t="s">
        <v>15</v>
      </c>
      <c r="E82" s="185" t="s">
        <v>13</v>
      </c>
      <c r="F82" s="185" t="s">
        <v>322</v>
      </c>
      <c r="G82" s="189"/>
      <c r="H82" s="212"/>
      <c r="I82" s="185" t="str">
        <f t="shared" si="4"/>
        <v>Werte fehlen</v>
      </c>
      <c r="J82" s="185" t="str">
        <f t="shared" si="5"/>
        <v/>
      </c>
    </row>
    <row r="83" spans="1:10" ht="18" customHeight="1">
      <c r="A83" s="185" t="s">
        <v>342</v>
      </c>
      <c r="B83" s="187">
        <v>46874</v>
      </c>
      <c r="C83" s="187">
        <v>47238</v>
      </c>
      <c r="D83" s="185" t="s">
        <v>17</v>
      </c>
      <c r="E83" s="185" t="s">
        <v>13</v>
      </c>
      <c r="F83" s="185" t="s">
        <v>323</v>
      </c>
      <c r="G83" s="189"/>
      <c r="H83" s="212"/>
      <c r="I83" s="185" t="str">
        <f t="shared" si="4"/>
        <v>Werte fehlen</v>
      </c>
      <c r="J83" s="185" t="str">
        <f t="shared" si="5"/>
        <v/>
      </c>
    </row>
    <row r="84" spans="1:10" ht="18" customHeight="1">
      <c r="A84" s="185" t="s">
        <v>342</v>
      </c>
      <c r="B84" s="187">
        <v>46874</v>
      </c>
      <c r="C84" s="187">
        <v>47238</v>
      </c>
      <c r="D84" s="185" t="s">
        <v>17</v>
      </c>
      <c r="E84" s="185" t="s">
        <v>13</v>
      </c>
      <c r="F84" s="185" t="s">
        <v>323</v>
      </c>
      <c r="G84" s="189"/>
      <c r="H84" s="212"/>
      <c r="I84" s="185" t="str">
        <f t="shared" si="4"/>
        <v>Werte fehlen</v>
      </c>
      <c r="J84" s="185" t="str">
        <f t="shared" si="5"/>
        <v/>
      </c>
    </row>
    <row r="85" spans="1:10" ht="18" customHeight="1">
      <c r="A85" s="185" t="s">
        <v>342</v>
      </c>
      <c r="B85" s="187">
        <v>46874</v>
      </c>
      <c r="C85" s="187">
        <v>47238</v>
      </c>
      <c r="D85" s="185" t="s">
        <v>17</v>
      </c>
      <c r="E85" s="185" t="s">
        <v>13</v>
      </c>
      <c r="F85" s="185" t="s">
        <v>323</v>
      </c>
      <c r="G85" s="189"/>
      <c r="H85" s="212"/>
      <c r="I85" s="185" t="str">
        <f t="shared" si="4"/>
        <v>Werte fehlen</v>
      </c>
      <c r="J85" s="185" t="str">
        <f t="shared" si="5"/>
        <v/>
      </c>
    </row>
    <row r="86" spans="1:10" ht="18" customHeight="1">
      <c r="A86" s="185" t="s">
        <v>342</v>
      </c>
      <c r="B86" s="187">
        <v>46874</v>
      </c>
      <c r="C86" s="187">
        <v>47238</v>
      </c>
      <c r="D86" s="185" t="s">
        <v>17</v>
      </c>
      <c r="E86" s="185" t="s">
        <v>13</v>
      </c>
      <c r="F86" s="185" t="s">
        <v>323</v>
      </c>
      <c r="G86" s="189"/>
      <c r="H86" s="212"/>
      <c r="I86" s="185" t="str">
        <f t="shared" si="4"/>
        <v>Werte fehlen</v>
      </c>
      <c r="J86" s="185" t="str">
        <f t="shared" si="5"/>
        <v/>
      </c>
    </row>
    <row r="87" spans="1:10" ht="18" customHeight="1">
      <c r="A87" s="185" t="s">
        <v>342</v>
      </c>
      <c r="B87" s="187">
        <v>46874</v>
      </c>
      <c r="C87" s="187">
        <v>47238</v>
      </c>
      <c r="D87" s="185" t="s">
        <v>17</v>
      </c>
      <c r="E87" s="185" t="s">
        <v>13</v>
      </c>
      <c r="F87" s="185" t="s">
        <v>323</v>
      </c>
      <c r="G87" s="189"/>
      <c r="H87" s="212"/>
      <c r="I87" s="185" t="str">
        <f t="shared" si="4"/>
        <v>Werte fehlen</v>
      </c>
      <c r="J87" s="185" t="str">
        <f t="shared" si="5"/>
        <v/>
      </c>
    </row>
    <row r="88" spans="1:10" ht="18" customHeight="1">
      <c r="A88" s="185" t="s">
        <v>342</v>
      </c>
      <c r="B88" s="187">
        <v>46874</v>
      </c>
      <c r="C88" s="187">
        <v>47238</v>
      </c>
      <c r="D88" s="185" t="s">
        <v>17</v>
      </c>
      <c r="E88" s="185" t="s">
        <v>13</v>
      </c>
      <c r="F88" s="185" t="s">
        <v>323</v>
      </c>
      <c r="G88" s="189"/>
      <c r="H88" s="212"/>
      <c r="I88" s="185" t="str">
        <f t="shared" si="4"/>
        <v>Werte fehlen</v>
      </c>
      <c r="J88" s="185" t="str">
        <f t="shared" si="5"/>
        <v/>
      </c>
    </row>
    <row r="89" spans="1:10" ht="18" customHeight="1">
      <c r="A89" s="185" t="s">
        <v>342</v>
      </c>
      <c r="B89" s="187">
        <v>46874</v>
      </c>
      <c r="C89" s="187">
        <v>47238</v>
      </c>
      <c r="D89" s="185" t="s">
        <v>17</v>
      </c>
      <c r="E89" s="185" t="s">
        <v>13</v>
      </c>
      <c r="F89" s="185" t="s">
        <v>323</v>
      </c>
      <c r="G89" s="189"/>
      <c r="H89" s="212"/>
      <c r="I89" s="185" t="str">
        <f t="shared" si="4"/>
        <v>Werte fehlen</v>
      </c>
      <c r="J89" s="185" t="str">
        <f t="shared" si="5"/>
        <v/>
      </c>
    </row>
    <row r="90" spans="1:10" ht="18" customHeight="1">
      <c r="A90" s="185" t="s">
        <v>342</v>
      </c>
      <c r="B90" s="187">
        <v>46874</v>
      </c>
      <c r="C90" s="187">
        <v>47238</v>
      </c>
      <c r="D90" s="185" t="s">
        <v>17</v>
      </c>
      <c r="E90" s="185" t="s">
        <v>13</v>
      </c>
      <c r="F90" s="185" t="s">
        <v>323</v>
      </c>
      <c r="G90" s="189"/>
      <c r="H90" s="212"/>
      <c r="I90" s="185" t="str">
        <f t="shared" si="4"/>
        <v>Werte fehlen</v>
      </c>
      <c r="J90" s="185" t="str">
        <f t="shared" si="5"/>
        <v/>
      </c>
    </row>
    <row r="91" spans="1:10" ht="18" customHeight="1">
      <c r="A91" s="185" t="s">
        <v>342</v>
      </c>
      <c r="B91" s="187">
        <v>46874</v>
      </c>
      <c r="C91" s="187">
        <v>47238</v>
      </c>
      <c r="D91" s="185" t="s">
        <v>17</v>
      </c>
      <c r="E91" s="185" t="s">
        <v>13</v>
      </c>
      <c r="F91" s="185" t="s">
        <v>323</v>
      </c>
      <c r="G91" s="189"/>
      <c r="H91" s="212"/>
      <c r="I91" s="185" t="str">
        <f t="shared" si="4"/>
        <v>Werte fehlen</v>
      </c>
      <c r="J91" s="185" t="str">
        <f t="shared" si="5"/>
        <v/>
      </c>
    </row>
    <row r="92" spans="1:10" ht="18" customHeight="1">
      <c r="A92" s="185" t="s">
        <v>342</v>
      </c>
      <c r="B92" s="187">
        <v>46874</v>
      </c>
      <c r="C92" s="187">
        <v>47238</v>
      </c>
      <c r="D92" s="185" t="s">
        <v>17</v>
      </c>
      <c r="E92" s="185" t="s">
        <v>13</v>
      </c>
      <c r="F92" s="185" t="s">
        <v>323</v>
      </c>
      <c r="G92" s="189"/>
      <c r="H92" s="212"/>
      <c r="I92" s="185" t="str">
        <f t="shared" si="4"/>
        <v>Werte fehlen</v>
      </c>
      <c r="J92" s="185" t="str">
        <f t="shared" si="5"/>
        <v/>
      </c>
    </row>
    <row r="93" spans="1:10" ht="18" customHeight="1">
      <c r="A93" s="185" t="s">
        <v>342</v>
      </c>
      <c r="B93" s="187">
        <v>46874</v>
      </c>
      <c r="C93" s="187">
        <v>47238</v>
      </c>
      <c r="D93" s="185" t="s">
        <v>17</v>
      </c>
      <c r="E93" s="185" t="s">
        <v>13</v>
      </c>
      <c r="F93" s="185" t="s">
        <v>323</v>
      </c>
      <c r="G93" s="189"/>
      <c r="H93" s="212"/>
      <c r="I93" s="185" t="str">
        <f t="shared" si="4"/>
        <v>Werte fehlen</v>
      </c>
      <c r="J93" s="185" t="str">
        <f t="shared" si="5"/>
        <v/>
      </c>
    </row>
    <row r="94" spans="1:10" ht="18" customHeight="1">
      <c r="A94" s="185" t="s">
        <v>342</v>
      </c>
      <c r="B94" s="187">
        <v>46874</v>
      </c>
      <c r="C94" s="187">
        <v>47238</v>
      </c>
      <c r="D94" s="185" t="s">
        <v>17</v>
      </c>
      <c r="E94" s="185" t="s">
        <v>13</v>
      </c>
      <c r="F94" s="185" t="s">
        <v>323</v>
      </c>
      <c r="G94" s="189"/>
      <c r="H94" s="212"/>
      <c r="I94" s="185" t="str">
        <f t="shared" si="4"/>
        <v>Werte fehlen</v>
      </c>
      <c r="J94" s="185" t="str">
        <f t="shared" si="5"/>
        <v/>
      </c>
    </row>
    <row r="95" spans="1:10" ht="18" customHeight="1">
      <c r="A95" s="185" t="s">
        <v>342</v>
      </c>
      <c r="B95" s="187">
        <v>46874</v>
      </c>
      <c r="C95" s="187">
        <v>47238</v>
      </c>
      <c r="D95" s="185" t="s">
        <v>17</v>
      </c>
      <c r="E95" s="185" t="s">
        <v>13</v>
      </c>
      <c r="F95" s="185" t="s">
        <v>323</v>
      </c>
      <c r="G95" s="189"/>
      <c r="H95" s="212"/>
      <c r="I95" s="185" t="str">
        <f t="shared" si="4"/>
        <v>Werte fehlen</v>
      </c>
      <c r="J95" s="185" t="str">
        <f t="shared" si="5"/>
        <v/>
      </c>
    </row>
    <row r="96" spans="1:10" ht="18" customHeight="1">
      <c r="A96" s="185" t="s">
        <v>342</v>
      </c>
      <c r="B96" s="187">
        <v>46874</v>
      </c>
      <c r="C96" s="187">
        <v>47238</v>
      </c>
      <c r="D96" s="185" t="s">
        <v>19</v>
      </c>
      <c r="E96" s="185" t="s">
        <v>13</v>
      </c>
      <c r="F96" s="185" t="s">
        <v>343</v>
      </c>
      <c r="G96" s="189"/>
      <c r="H96" s="212"/>
      <c r="I96" s="185" t="str">
        <f t="shared" si="4"/>
        <v>Werte fehlen</v>
      </c>
      <c r="J96" s="185" t="str">
        <f t="shared" si="5"/>
        <v/>
      </c>
    </row>
    <row r="97" spans="1:10" ht="18" customHeight="1">
      <c r="A97" s="185" t="s">
        <v>342</v>
      </c>
      <c r="B97" s="187">
        <v>46874</v>
      </c>
      <c r="C97" s="187">
        <v>47238</v>
      </c>
      <c r="D97" s="185" t="s">
        <v>19</v>
      </c>
      <c r="E97" s="185" t="s">
        <v>13</v>
      </c>
      <c r="F97" s="185" t="s">
        <v>343</v>
      </c>
      <c r="G97" s="189"/>
      <c r="H97" s="212"/>
      <c r="I97" s="185" t="str">
        <f t="shared" si="4"/>
        <v>Werte fehlen</v>
      </c>
      <c r="J97" s="185" t="str">
        <f t="shared" si="5"/>
        <v/>
      </c>
    </row>
    <row r="98" spans="1:10" ht="18" customHeight="1">
      <c r="A98" s="185" t="s">
        <v>342</v>
      </c>
      <c r="B98" s="187">
        <v>46874</v>
      </c>
      <c r="C98" s="187">
        <v>47238</v>
      </c>
      <c r="D98" s="185" t="s">
        <v>19</v>
      </c>
      <c r="E98" s="185" t="s">
        <v>13</v>
      </c>
      <c r="F98" s="185" t="s">
        <v>343</v>
      </c>
      <c r="G98" s="189"/>
      <c r="H98" s="212"/>
      <c r="I98" s="185" t="str">
        <f t="shared" si="4"/>
        <v>Werte fehlen</v>
      </c>
      <c r="J98" s="185" t="str">
        <f t="shared" si="5"/>
        <v/>
      </c>
    </row>
    <row r="99" spans="1:10" ht="18" customHeight="1">
      <c r="A99" s="185" t="s">
        <v>342</v>
      </c>
      <c r="B99" s="187">
        <v>46874</v>
      </c>
      <c r="C99" s="187">
        <v>47238</v>
      </c>
      <c r="D99" s="185" t="s">
        <v>19</v>
      </c>
      <c r="E99" s="185" t="s">
        <v>13</v>
      </c>
      <c r="F99" s="185" t="s">
        <v>343</v>
      </c>
      <c r="G99" s="189"/>
      <c r="H99" s="212"/>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212"/>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212"/>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212"/>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212"/>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212"/>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212"/>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212"/>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212"/>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212"/>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212"/>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212"/>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212"/>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212"/>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212"/>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212"/>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212"/>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212"/>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212"/>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212"/>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212"/>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212"/>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212"/>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212"/>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212"/>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212"/>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212"/>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212"/>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212"/>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212"/>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212"/>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212"/>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212"/>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212"/>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212"/>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212"/>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212"/>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212"/>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212"/>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212"/>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212"/>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212"/>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212"/>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212"/>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212"/>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212"/>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212"/>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212"/>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212"/>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212"/>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212"/>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212"/>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212"/>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212"/>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212"/>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212"/>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212"/>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212"/>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212"/>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212"/>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212"/>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212"/>
      <c r="I160" s="185" t="str">
        <f t="shared" si="8"/>
        <v>Werte fehlen</v>
      </c>
      <c r="J160" s="185" t="str">
        <f t="shared" si="9"/>
        <v/>
      </c>
    </row>
    <row r="161" spans="1:10" ht="18" customHeight="1">
      <c r="A161" s="186"/>
      <c r="B161" s="188"/>
      <c r="C161" s="188"/>
      <c r="D161" s="186"/>
      <c r="E161" s="186"/>
      <c r="F161" s="186"/>
      <c r="G161" s="190"/>
      <c r="H161" s="213"/>
      <c r="I161" s="186"/>
      <c r="J161" s="186"/>
    </row>
    <row r="162" spans="1:10" ht="24" customHeight="1">
      <c r="A162" s="313" t="s">
        <v>344</v>
      </c>
      <c r="B162" s="314"/>
      <c r="C162" s="314"/>
      <c r="D162" s="313"/>
      <c r="E162" s="313"/>
      <c r="F162" s="313"/>
      <c r="G162" s="315"/>
      <c r="H162" s="316"/>
      <c r="I162" s="313"/>
      <c r="J162" s="313"/>
    </row>
    <row r="163" spans="1:10" ht="18" customHeight="1">
      <c r="A163" s="185" t="s">
        <v>335</v>
      </c>
      <c r="B163" s="187">
        <v>46508</v>
      </c>
      <c r="C163" s="187">
        <v>46873</v>
      </c>
      <c r="D163" s="185" t="s">
        <v>331</v>
      </c>
      <c r="E163" s="185" t="s">
        <v>4</v>
      </c>
      <c r="F163" s="185" t="s">
        <v>321</v>
      </c>
      <c r="G163" s="189"/>
      <c r="H163" s="212"/>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212"/>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212"/>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212"/>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212"/>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212"/>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212"/>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212"/>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212"/>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212"/>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212"/>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212"/>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212"/>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212"/>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212"/>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212"/>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212"/>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212"/>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212"/>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212"/>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212"/>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212"/>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212"/>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212"/>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212"/>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212"/>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212"/>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212"/>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212"/>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212"/>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212"/>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212"/>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212"/>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212"/>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212"/>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212"/>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212"/>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212"/>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212"/>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212"/>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212"/>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212"/>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212"/>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212"/>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212"/>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212"/>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212"/>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212"/>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212"/>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212"/>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212"/>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212"/>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212"/>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212"/>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212"/>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212"/>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212"/>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212"/>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212"/>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212"/>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212"/>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212"/>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212"/>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212"/>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212"/>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212"/>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212"/>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212"/>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212"/>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212"/>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212"/>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212"/>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212"/>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212"/>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212"/>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212"/>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212"/>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212"/>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212"/>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212"/>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212"/>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212"/>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212"/>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212"/>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212"/>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212"/>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212"/>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212"/>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212"/>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212"/>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212"/>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212"/>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212"/>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212"/>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212"/>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212"/>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212"/>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212"/>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212"/>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212"/>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212"/>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212"/>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212"/>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212"/>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212"/>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212"/>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212"/>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212"/>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212"/>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212"/>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212"/>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212"/>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212"/>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212"/>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212"/>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212"/>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212"/>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212"/>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212"/>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212"/>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212"/>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212"/>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212"/>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212"/>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212"/>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212"/>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212"/>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212"/>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212"/>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212"/>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212"/>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212"/>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212"/>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212"/>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212"/>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212"/>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212"/>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212"/>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212"/>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212"/>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212"/>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212"/>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212"/>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212"/>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212"/>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212"/>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212"/>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212"/>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212"/>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212"/>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212"/>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212"/>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212"/>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212"/>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212"/>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212"/>
      <c r="I318" s="185" t="str">
        <f t="shared" si="18"/>
        <v>Werte fehlen</v>
      </c>
      <c r="J318" s="185" t="str">
        <f t="shared" si="19"/>
        <v/>
      </c>
    </row>
    <row r="319" spans="1:10" ht="24" customHeight="1">
      <c r="A319" s="313" t="s">
        <v>345</v>
      </c>
      <c r="B319" s="314"/>
      <c r="C319" s="314"/>
      <c r="D319" s="313"/>
      <c r="E319" s="313"/>
      <c r="F319" s="313"/>
      <c r="G319" s="315"/>
      <c r="H319" s="316"/>
      <c r="I319" s="313"/>
      <c r="J319" s="313"/>
    </row>
    <row r="320" spans="1:10" ht="18" customHeight="1">
      <c r="A320" s="185" t="s">
        <v>329</v>
      </c>
      <c r="B320" s="187">
        <v>46143</v>
      </c>
      <c r="C320" s="187">
        <v>46507</v>
      </c>
      <c r="D320" s="185" t="s">
        <v>331</v>
      </c>
      <c r="E320" s="185" t="s">
        <v>4</v>
      </c>
      <c r="F320" s="185" t="s">
        <v>321</v>
      </c>
      <c r="G320" s="189">
        <v>173</v>
      </c>
      <c r="H320" s="212">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212">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212"/>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212"/>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212"/>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212"/>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212"/>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212"/>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212"/>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212"/>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212"/>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212"/>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212"/>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212"/>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212"/>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212"/>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212"/>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212"/>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212"/>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212"/>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212"/>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212"/>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212"/>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212"/>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212"/>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212"/>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212"/>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212"/>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212"/>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212"/>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212"/>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212"/>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212"/>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212"/>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212"/>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212"/>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212"/>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212"/>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212"/>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212"/>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212"/>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212"/>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212"/>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212"/>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212"/>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212"/>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212"/>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212"/>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212"/>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212"/>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212"/>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212"/>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212"/>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212"/>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212"/>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212"/>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212"/>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212"/>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212"/>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212"/>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212"/>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212"/>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212"/>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212"/>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212"/>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212"/>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212"/>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212"/>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212"/>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212"/>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212"/>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212"/>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212"/>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212"/>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212"/>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212"/>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212"/>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212"/>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212"/>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212"/>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212"/>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212"/>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212"/>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212"/>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212"/>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212"/>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212"/>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212"/>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212"/>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212"/>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212"/>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212"/>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212"/>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212"/>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212"/>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212"/>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212"/>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212"/>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212"/>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212"/>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212"/>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212"/>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212"/>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212"/>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212"/>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212"/>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212"/>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212"/>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212"/>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212"/>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212"/>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212"/>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212"/>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212"/>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212"/>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212"/>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212"/>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212"/>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212"/>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212"/>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212"/>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212"/>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212"/>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212"/>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212"/>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212"/>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212"/>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212"/>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212"/>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212"/>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212"/>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212"/>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212"/>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212"/>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212"/>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212"/>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212"/>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212"/>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212"/>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212"/>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212"/>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212"/>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212"/>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212"/>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212"/>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212"/>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212"/>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212"/>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212"/>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212"/>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212"/>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212"/>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212"/>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212"/>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212"/>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212"/>
      <c r="I475" s="185" t="str">
        <f t="shared" si="28"/>
        <v>Monatslohn fehlt</v>
      </c>
      <c r="J475" s="185" t="str">
        <f t="shared" si="29"/>
        <v/>
      </c>
    </row>
    <row r="476" spans="1:10" ht="24" customHeight="1">
      <c r="A476" s="313" t="s">
        <v>346</v>
      </c>
      <c r="B476" s="314"/>
      <c r="C476" s="314"/>
      <c r="D476" s="313"/>
      <c r="E476" s="313"/>
      <c r="F476" s="313"/>
      <c r="G476" s="315"/>
      <c r="H476" s="316"/>
      <c r="I476" s="313"/>
      <c r="J476" s="313"/>
    </row>
    <row r="477" spans="1:10" ht="18" customHeight="1">
      <c r="A477" s="185" t="s">
        <v>334</v>
      </c>
      <c r="B477" s="187">
        <v>45778</v>
      </c>
      <c r="C477" s="187">
        <v>46142</v>
      </c>
      <c r="D477" s="185" t="s">
        <v>331</v>
      </c>
      <c r="E477" s="185" t="s">
        <v>4</v>
      </c>
      <c r="F477" s="185" t="s">
        <v>321</v>
      </c>
      <c r="G477" s="189">
        <v>173</v>
      </c>
      <c r="H477" s="212">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212">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212">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212">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212">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212">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212">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212">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212">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212">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212">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212">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212">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212">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212">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212">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212">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212">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212">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212">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212">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212">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212">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212">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212">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212">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212">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212">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212">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212">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212">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212">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212">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212">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212">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212">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212">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212">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212">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212">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212">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212">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212">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212">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212">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212">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212">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212">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212">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212">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212">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212">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212">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212">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212">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212">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212">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212">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212">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212">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212">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212">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212">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212">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212">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212">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212">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212">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212">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212">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212">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212">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212">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212">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212">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212">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212">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212">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212">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212">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212">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212">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212">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212">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212">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212">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212">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212">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212">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212">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212">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212">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212">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212">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212">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212">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212">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212">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212">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212">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212">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212">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212">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212">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212">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212">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212">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212">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212">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212">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212">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212">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212">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212">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212">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212">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212">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212">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212">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212">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212">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212">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212">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212">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212">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212">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212">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212">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212">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212">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212">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212">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212">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212">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212">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212">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212">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212">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212">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212">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212">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212">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212">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212">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212">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212">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212">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212">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212">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212">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212">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212">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212">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212">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212">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212">
        <v>430.68</v>
      </c>
      <c r="I632" s="185" t="str">
        <f t="shared" si="38"/>
        <v>OK</v>
      </c>
      <c r="J632" s="185" t="str">
        <f t="shared" si="39"/>
        <v/>
      </c>
    </row>
  </sheetData>
  <sheetProtection algorithmName="SHA-512" hashValue="kJnSaGHiYiAk9R1rUWzBoTEI1DPtoXlaGnf2tEXejhEiH918jzrKoXZman/XJoW8n80guwANBtiMm+RQjbK2Nw==" saltValue="clJD2LjdPLb08rdUAM7EVQ=="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20" t="s">
        <v>25</v>
      </c>
      <c r="C1" s="320"/>
      <c r="D1" s="320"/>
      <c r="E1" s="320"/>
      <c r="F1" s="320"/>
      <c r="G1" s="320"/>
      <c r="H1" s="320"/>
      <c r="I1" s="320"/>
      <c r="J1" s="320"/>
      <c r="K1" s="320"/>
      <c r="L1" s="320"/>
      <c r="M1" s="320"/>
      <c r="N1" s="320"/>
      <c r="O1" s="320"/>
    </row>
    <row r="2" spans="2:15" ht="17.25" customHeight="1">
      <c r="B2" s="320"/>
      <c r="C2" s="320"/>
      <c r="D2" s="320"/>
      <c r="E2" s="320"/>
      <c r="F2" s="320"/>
      <c r="G2" s="320"/>
      <c r="H2" s="320"/>
      <c r="I2" s="320"/>
      <c r="J2" s="320"/>
      <c r="K2" s="320"/>
      <c r="L2" s="320"/>
      <c r="M2" s="320"/>
      <c r="N2" s="320"/>
      <c r="O2" s="320"/>
    </row>
    <row r="3" spans="2:15" ht="18" customHeight="1">
      <c r="B3" s="325" t="s">
        <v>26</v>
      </c>
      <c r="C3" s="325"/>
      <c r="D3" s="325"/>
      <c r="E3" s="325"/>
      <c r="F3" s="325"/>
      <c r="H3" s="322" t="s">
        <v>27</v>
      </c>
      <c r="I3" s="322"/>
      <c r="K3" s="324" t="s">
        <v>28</v>
      </c>
      <c r="L3" s="324"/>
      <c r="N3" s="322" t="s">
        <v>29</v>
      </c>
      <c r="O3" s="322"/>
    </row>
    <row r="4" spans="2:15" ht="15" customHeight="1">
      <c r="B4" s="325"/>
      <c r="C4" s="325"/>
      <c r="D4" s="325"/>
      <c r="E4" s="325"/>
      <c r="F4" s="325"/>
      <c r="H4" s="322"/>
      <c r="I4" s="322"/>
      <c r="K4" s="324"/>
      <c r="L4" s="324"/>
      <c r="N4" s="322"/>
      <c r="O4" s="322"/>
    </row>
    <row r="5" spans="2:15">
      <c r="B5" s="56"/>
      <c r="C5" s="56" t="s">
        <v>30</v>
      </c>
      <c r="D5" s="56" t="s">
        <v>31</v>
      </c>
      <c r="E5" s="56" t="s">
        <v>32</v>
      </c>
      <c r="F5" s="56" t="s">
        <v>33</v>
      </c>
      <c r="H5" s="323" t="s">
        <v>34</v>
      </c>
      <c r="I5" s="323"/>
      <c r="K5" s="323" t="s">
        <v>34</v>
      </c>
      <c r="L5" s="323"/>
      <c r="N5" s="323" t="s">
        <v>35</v>
      </c>
      <c r="O5" s="323"/>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21" t="s">
        <v>49</v>
      </c>
      <c r="C19" s="321"/>
      <c r="D19" s="321"/>
      <c r="E19" s="321"/>
      <c r="F19" s="321"/>
      <c r="H19" s="322" t="s">
        <v>50</v>
      </c>
      <c r="I19" s="322"/>
      <c r="K19" s="324" t="s">
        <v>51</v>
      </c>
      <c r="L19" s="324"/>
      <c r="N19" s="326" t="s">
        <v>203</v>
      </c>
      <c r="O19" s="326"/>
      <c r="P19" s="326"/>
      <c r="Q19" s="326"/>
      <c r="R19" s="326"/>
      <c r="S19" s="326"/>
      <c r="T19" s="326"/>
      <c r="U19" s="326"/>
    </row>
    <row r="20" spans="2:21">
      <c r="B20" s="321"/>
      <c r="C20" s="321"/>
      <c r="D20" s="321"/>
      <c r="E20" s="321"/>
      <c r="F20" s="321"/>
      <c r="H20" s="322"/>
      <c r="I20" s="322"/>
      <c r="K20" s="324"/>
      <c r="L20" s="324"/>
      <c r="N20" s="326"/>
      <c r="O20" s="326"/>
      <c r="P20" s="326"/>
      <c r="Q20" s="326"/>
      <c r="R20" s="326"/>
      <c r="S20" s="326"/>
      <c r="T20" s="326"/>
      <c r="U20" s="326"/>
    </row>
    <row r="21" spans="2:21">
      <c r="B21" s="56"/>
      <c r="C21" s="56" t="s">
        <v>30</v>
      </c>
      <c r="D21" s="56" t="s">
        <v>31</v>
      </c>
      <c r="E21" s="56" t="s">
        <v>32</v>
      </c>
      <c r="F21" s="56" t="s">
        <v>33</v>
      </c>
      <c r="H21" s="323" t="s">
        <v>34</v>
      </c>
      <c r="I21" s="323"/>
      <c r="K21" s="323" t="s">
        <v>34</v>
      </c>
      <c r="L21" s="323"/>
      <c r="N21" s="326"/>
      <c r="O21" s="326"/>
      <c r="P21" s="326"/>
      <c r="Q21" s="326"/>
      <c r="R21" s="326"/>
      <c r="S21" s="326"/>
      <c r="T21" s="326"/>
      <c r="U21" s="326"/>
    </row>
    <row r="22" spans="2:21">
      <c r="B22" s="57" t="s">
        <v>36</v>
      </c>
      <c r="C22" s="3">
        <v>1</v>
      </c>
      <c r="D22" s="87">
        <f>UBERSICHT!G7</f>
        <v>95107.828800000003</v>
      </c>
      <c r="E22" s="58">
        <f>Januar!$S$37</f>
        <v>95107.828800000003</v>
      </c>
      <c r="F22" s="50">
        <v>1</v>
      </c>
      <c r="H22" s="59" t="s">
        <v>36</v>
      </c>
      <c r="I22" s="51">
        <v>1</v>
      </c>
      <c r="K22" s="59" t="s">
        <v>36</v>
      </c>
      <c r="L22" s="51">
        <v>1</v>
      </c>
      <c r="N22" s="326"/>
      <c r="O22" s="326"/>
      <c r="P22" s="326"/>
      <c r="Q22" s="326"/>
      <c r="R22" s="326"/>
      <c r="S22" s="326"/>
      <c r="T22" s="326"/>
      <c r="U22" s="326"/>
    </row>
    <row r="23" spans="2:21">
      <c r="B23" s="57" t="s">
        <v>37</v>
      </c>
      <c r="C23" s="3">
        <v>2</v>
      </c>
      <c r="D23" s="87">
        <f>UBERSICHT!G8</f>
        <v>94403</v>
      </c>
      <c r="E23" s="58">
        <f>Februar!$S$37</f>
        <v>47201.5</v>
      </c>
      <c r="F23" s="50">
        <v>2</v>
      </c>
      <c r="H23" s="59" t="s">
        <v>38</v>
      </c>
      <c r="I23" s="51">
        <v>2</v>
      </c>
      <c r="K23" s="59" t="s">
        <v>38</v>
      </c>
      <c r="L23" s="51">
        <v>2</v>
      </c>
      <c r="N23" s="326"/>
      <c r="O23" s="326"/>
      <c r="P23" s="326"/>
      <c r="Q23" s="326"/>
      <c r="R23" s="326"/>
      <c r="S23" s="326"/>
      <c r="T23" s="326"/>
      <c r="U23" s="326"/>
    </row>
    <row r="24" spans="2:21">
      <c r="B24" s="57" t="s">
        <v>39</v>
      </c>
      <c r="C24" s="3">
        <v>3</v>
      </c>
      <c r="D24" s="87">
        <f>UBERSICHT!G9</f>
        <v>96425</v>
      </c>
      <c r="E24" s="58">
        <f>Marz!$S$37</f>
        <v>32141.666666666668</v>
      </c>
      <c r="F24" s="50">
        <v>3</v>
      </c>
      <c r="H24" s="59" t="s">
        <v>39</v>
      </c>
      <c r="I24" s="51">
        <v>3</v>
      </c>
      <c r="K24" s="59" t="s">
        <v>39</v>
      </c>
      <c r="L24" s="51">
        <v>3</v>
      </c>
      <c r="N24" s="326"/>
      <c r="O24" s="326"/>
      <c r="P24" s="326"/>
      <c r="Q24" s="326"/>
      <c r="R24" s="326"/>
      <c r="S24" s="326"/>
      <c r="T24" s="326"/>
      <c r="U24" s="326"/>
    </row>
    <row r="25" spans="2:21">
      <c r="B25" s="57" t="s">
        <v>40</v>
      </c>
      <c r="C25" s="3">
        <v>4</v>
      </c>
      <c r="D25" s="87">
        <f>UBERSICHT!G11</f>
        <v>96426</v>
      </c>
      <c r="E25" s="58">
        <f>April!$S$37</f>
        <v>24106.5</v>
      </c>
      <c r="F25" s="50">
        <v>4</v>
      </c>
      <c r="H25" s="59" t="s">
        <v>40</v>
      </c>
      <c r="I25" s="51">
        <v>4</v>
      </c>
      <c r="K25" s="59" t="s">
        <v>40</v>
      </c>
      <c r="L25" s="51">
        <v>4</v>
      </c>
      <c r="N25" s="326"/>
      <c r="O25" s="326"/>
      <c r="P25" s="326"/>
      <c r="Q25" s="326"/>
      <c r="R25" s="326"/>
      <c r="S25" s="326"/>
      <c r="T25" s="326"/>
      <c r="U25" s="326"/>
    </row>
    <row r="26" spans="2:21">
      <c r="B26" s="57" t="s">
        <v>41</v>
      </c>
      <c r="C26" s="3">
        <v>5</v>
      </c>
      <c r="D26" s="87">
        <f>UBERSICHT!G12</f>
        <v>124528</v>
      </c>
      <c r="E26" s="58">
        <f>Mai!$S$37</f>
        <v>24905.599999999999</v>
      </c>
      <c r="F26" s="50">
        <v>5</v>
      </c>
      <c r="H26" s="59" t="s">
        <v>41</v>
      </c>
      <c r="I26" s="51">
        <v>5</v>
      </c>
      <c r="K26" s="59" t="s">
        <v>41</v>
      </c>
      <c r="L26" s="51">
        <v>5</v>
      </c>
      <c r="M26" s="77"/>
      <c r="N26" s="326"/>
      <c r="O26" s="326"/>
      <c r="P26" s="326"/>
      <c r="Q26" s="326"/>
      <c r="R26" s="326"/>
      <c r="S26" s="326"/>
      <c r="T26" s="326"/>
      <c r="U26" s="326"/>
    </row>
    <row r="27" spans="2:21">
      <c r="B27" s="57" t="s">
        <v>42</v>
      </c>
      <c r="C27" s="3">
        <v>6</v>
      </c>
      <c r="D27" s="87">
        <f>UBERSICHT!G13</f>
        <v>124529</v>
      </c>
      <c r="E27" s="58">
        <f>Juni!$S$37</f>
        <v>20754.833333333332</v>
      </c>
      <c r="F27" s="50">
        <v>6</v>
      </c>
      <c r="H27" s="59" t="s">
        <v>42</v>
      </c>
      <c r="I27" s="51">
        <v>6</v>
      </c>
      <c r="K27" s="59" t="s">
        <v>42</v>
      </c>
      <c r="L27" s="51">
        <v>6</v>
      </c>
      <c r="M27" s="77"/>
      <c r="N27" s="326"/>
      <c r="O27" s="326"/>
      <c r="P27" s="326"/>
      <c r="Q27" s="326"/>
      <c r="R27" s="326"/>
      <c r="S27" s="326"/>
      <c r="T27" s="326"/>
      <c r="U27" s="326"/>
    </row>
    <row r="28" spans="2:21">
      <c r="B28" s="57" t="s">
        <v>43</v>
      </c>
      <c r="C28" s="3">
        <v>7</v>
      </c>
      <c r="D28" s="87">
        <f>UBERSICHT!G15</f>
        <v>122646.8</v>
      </c>
      <c r="E28" s="58">
        <f>Juli!$S$37</f>
        <v>17520.971428571429</v>
      </c>
      <c r="F28" s="50">
        <v>7</v>
      </c>
      <c r="H28" s="59" t="s">
        <v>43</v>
      </c>
      <c r="I28" s="51">
        <v>7</v>
      </c>
      <c r="K28" s="59" t="s">
        <v>43</v>
      </c>
      <c r="L28" s="51">
        <v>7</v>
      </c>
      <c r="M28" s="77"/>
      <c r="N28" s="326"/>
      <c r="O28" s="326"/>
      <c r="P28" s="326"/>
      <c r="Q28" s="326"/>
      <c r="R28" s="326"/>
      <c r="S28" s="326"/>
      <c r="T28" s="326"/>
      <c r="U28" s="326"/>
    </row>
    <row r="29" spans="2:21">
      <c r="B29" s="57" t="s">
        <v>44</v>
      </c>
      <c r="C29" s="3">
        <v>8</v>
      </c>
      <c r="D29" s="87">
        <f>UBERSICHT!G16</f>
        <v>122647.8</v>
      </c>
      <c r="E29" s="58">
        <f>August!$S$37</f>
        <v>15330.975</v>
      </c>
      <c r="F29" s="50">
        <v>8</v>
      </c>
      <c r="H29" s="59" t="s">
        <v>44</v>
      </c>
      <c r="I29" s="51">
        <v>8</v>
      </c>
      <c r="K29" s="59" t="s">
        <v>44</v>
      </c>
      <c r="L29" s="51">
        <v>8</v>
      </c>
      <c r="M29" s="77"/>
      <c r="N29" s="326"/>
      <c r="O29" s="326"/>
      <c r="P29" s="326"/>
      <c r="Q29" s="326"/>
      <c r="R29" s="326"/>
      <c r="S29" s="326"/>
      <c r="T29" s="326"/>
      <c r="U29" s="326"/>
    </row>
    <row r="30" spans="2:21">
      <c r="B30" s="57" t="s">
        <v>45</v>
      </c>
      <c r="C30" s="3">
        <v>9</v>
      </c>
      <c r="D30" s="87">
        <f>UBERSICHT!G17</f>
        <v>122648.8</v>
      </c>
      <c r="E30" s="58">
        <f>September!$S$37</f>
        <v>13627.644444444444</v>
      </c>
      <c r="F30" s="50">
        <v>9</v>
      </c>
      <c r="H30" s="59" t="s">
        <v>45</v>
      </c>
      <c r="I30" s="51">
        <v>9</v>
      </c>
      <c r="K30" s="59" t="s">
        <v>45</v>
      </c>
      <c r="L30" s="51">
        <v>9</v>
      </c>
      <c r="N30" s="326"/>
      <c r="O30" s="326"/>
      <c r="P30" s="326"/>
      <c r="Q30" s="326"/>
      <c r="R30" s="326"/>
      <c r="S30" s="326"/>
      <c r="T30" s="326"/>
      <c r="U30" s="326"/>
    </row>
    <row r="31" spans="2:21">
      <c r="B31" s="57" t="s">
        <v>46</v>
      </c>
      <c r="C31" s="3">
        <v>10</v>
      </c>
      <c r="D31" s="87">
        <f>UBERSICHT!G19</f>
        <v>122649.8</v>
      </c>
      <c r="E31" s="58">
        <f>Oktober!$S$37</f>
        <v>12264.98</v>
      </c>
      <c r="F31" s="50">
        <v>10</v>
      </c>
      <c r="H31" s="59" t="s">
        <v>46</v>
      </c>
      <c r="I31" s="51">
        <v>10</v>
      </c>
      <c r="K31" s="59" t="s">
        <v>46</v>
      </c>
      <c r="L31" s="51">
        <v>10</v>
      </c>
      <c r="N31" s="326"/>
      <c r="O31" s="326"/>
      <c r="P31" s="326"/>
      <c r="Q31" s="326"/>
      <c r="R31" s="326"/>
      <c r="S31" s="326"/>
      <c r="T31" s="326"/>
      <c r="U31" s="326"/>
    </row>
    <row r="32" spans="2:21">
      <c r="B32" s="57" t="s">
        <v>47</v>
      </c>
      <c r="C32" s="3">
        <v>11</v>
      </c>
      <c r="D32" s="87">
        <f>UBERSICHT!G20</f>
        <v>122650.8</v>
      </c>
      <c r="E32" s="58">
        <f>November!$S$37</f>
        <v>11150.072727272727</v>
      </c>
      <c r="F32" s="50">
        <v>11</v>
      </c>
      <c r="H32" s="59" t="s">
        <v>47</v>
      </c>
      <c r="I32" s="51">
        <v>11</v>
      </c>
      <c r="K32" s="59" t="s">
        <v>47</v>
      </c>
      <c r="L32" s="51">
        <v>11</v>
      </c>
      <c r="N32" s="326"/>
      <c r="O32" s="326"/>
      <c r="P32" s="326"/>
      <c r="Q32" s="326"/>
      <c r="R32" s="326"/>
      <c r="S32" s="326"/>
      <c r="T32" s="326"/>
      <c r="U32" s="326"/>
    </row>
    <row r="33" spans="2:21">
      <c r="B33" s="57" t="s">
        <v>48</v>
      </c>
      <c r="C33" s="3">
        <v>12</v>
      </c>
      <c r="D33" s="87">
        <f>UBERSICHT!G21</f>
        <v>122651.8</v>
      </c>
      <c r="E33" s="58">
        <f>Dezember!$S$37</f>
        <v>10220.983333333334</v>
      </c>
      <c r="F33" s="50">
        <v>12</v>
      </c>
      <c r="H33" s="59" t="s">
        <v>48</v>
      </c>
      <c r="I33" s="51">
        <v>12</v>
      </c>
      <c r="K33" s="59" t="s">
        <v>48</v>
      </c>
      <c r="L33" s="51">
        <v>12</v>
      </c>
      <c r="N33" s="326"/>
      <c r="O33" s="326"/>
      <c r="P33" s="326"/>
      <c r="Q33" s="326"/>
      <c r="R33" s="326"/>
      <c r="S33" s="326"/>
      <c r="T33" s="326"/>
      <c r="U33" s="326"/>
    </row>
    <row r="34" spans="2:21">
      <c r="N34" s="326"/>
      <c r="O34" s="326"/>
      <c r="P34" s="326"/>
      <c r="Q34" s="326"/>
      <c r="R34" s="326"/>
      <c r="S34" s="326"/>
      <c r="T34" s="326"/>
      <c r="U34" s="326"/>
    </row>
    <row r="35" spans="2:21" ht="14.5" customHeight="1">
      <c r="B35" s="312" t="s">
        <v>204</v>
      </c>
      <c r="C35" s="312"/>
      <c r="D35" s="312"/>
      <c r="E35" s="126"/>
      <c r="N35" s="326"/>
      <c r="O35" s="326"/>
      <c r="P35" s="326"/>
      <c r="Q35" s="326"/>
      <c r="R35" s="326"/>
      <c r="S35" s="326"/>
      <c r="T35" s="326"/>
      <c r="U35" s="326"/>
    </row>
    <row r="36" spans="2:21">
      <c r="B36" s="312"/>
      <c r="C36" s="312"/>
      <c r="D36" s="312"/>
      <c r="N36" s="326"/>
      <c r="O36" s="326"/>
      <c r="P36" s="326"/>
      <c r="Q36" s="326"/>
      <c r="R36" s="326"/>
      <c r="S36" s="326"/>
      <c r="T36" s="326"/>
      <c r="U36" s="326"/>
    </row>
    <row r="37" spans="2:21">
      <c r="N37" s="326"/>
      <c r="O37" s="326"/>
      <c r="P37" s="326"/>
      <c r="Q37" s="326"/>
      <c r="R37" s="326"/>
      <c r="S37" s="326"/>
      <c r="T37" s="326"/>
      <c r="U37" s="326"/>
    </row>
    <row r="38" spans="2:21">
      <c r="N38" s="326"/>
      <c r="O38" s="326"/>
      <c r="P38" s="326"/>
      <c r="Q38" s="326"/>
      <c r="R38" s="326"/>
      <c r="S38" s="326"/>
      <c r="T38" s="326"/>
      <c r="U38" s="326"/>
    </row>
    <row r="39" spans="2:21">
      <c r="N39" s="326"/>
      <c r="O39" s="326"/>
      <c r="P39" s="326"/>
      <c r="Q39" s="326"/>
      <c r="R39" s="326"/>
      <c r="S39" s="326"/>
      <c r="T39" s="326"/>
      <c r="U39" s="326"/>
    </row>
    <row r="40" spans="2:21">
      <c r="N40" s="326"/>
      <c r="O40" s="326"/>
      <c r="P40" s="326"/>
      <c r="Q40" s="326"/>
      <c r="R40" s="326"/>
      <c r="S40" s="326"/>
      <c r="T40" s="326"/>
      <c r="U40" s="326"/>
    </row>
    <row r="41" spans="2:21">
      <c r="N41" s="326"/>
      <c r="O41" s="326"/>
      <c r="P41" s="326"/>
      <c r="Q41" s="326"/>
      <c r="R41" s="326"/>
      <c r="S41" s="326"/>
      <c r="T41" s="326"/>
      <c r="U41" s="326"/>
    </row>
    <row r="42" spans="2:21">
      <c r="N42" s="326"/>
      <c r="O42" s="326"/>
      <c r="P42" s="326"/>
      <c r="Q42" s="326"/>
      <c r="R42" s="326"/>
      <c r="S42" s="326"/>
      <c r="T42" s="326"/>
      <c r="U42" s="326"/>
    </row>
  </sheetData>
  <sheetProtection algorithmName="SHA-512" hashValue="Mz82PwdzFfUHOtlJQ5LBNtMl5PJ07NnX4Vdy9qpn1ghrP0R8kZ2pmYOqtgzxvR50pzp/HernGKxgbrftlC0YOQ==" saltValue="5UfX/Cbq5InrY96rjatTv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90" t="s">
        <v>205</v>
      </c>
      <c r="C1" s="302" t="s">
        <v>52</v>
      </c>
      <c r="D1" s="274" t="s">
        <v>206</v>
      </c>
      <c r="E1" s="274" t="s">
        <v>0</v>
      </c>
      <c r="F1" s="274" t="s">
        <v>53</v>
      </c>
      <c r="G1" s="276" t="s">
        <v>54</v>
      </c>
      <c r="H1" s="293" t="s">
        <v>55</v>
      </c>
      <c r="I1" s="278" t="s">
        <v>207</v>
      </c>
      <c r="J1" s="280" t="s">
        <v>56</v>
      </c>
      <c r="K1" s="282" t="s">
        <v>57</v>
      </c>
      <c r="L1" s="284" t="s">
        <v>58</v>
      </c>
      <c r="M1" s="286" t="s">
        <v>59</v>
      </c>
      <c r="N1" s="291" t="s">
        <v>208</v>
      </c>
      <c r="AB1" s="41">
        <f>DATE(LOHNTABELLE!$G$3, $A$1, 1)</f>
        <v>46023</v>
      </c>
    </row>
    <row r="2" spans="1:28" ht="16" customHeight="1" thickBot="1">
      <c r="A2" s="129"/>
      <c r="B2" s="290"/>
      <c r="C2" s="303"/>
      <c r="D2" s="275"/>
      <c r="E2" s="275"/>
      <c r="F2" s="275"/>
      <c r="G2" s="277"/>
      <c r="H2" s="294"/>
      <c r="I2" s="279"/>
      <c r="J2" s="281"/>
      <c r="K2" s="283"/>
      <c r="L2" s="285"/>
      <c r="M2" s="287"/>
      <c r="N2" s="291"/>
      <c r="AB2" s="41">
        <f>EOMONTH(DATE(LOHNTABELLE!$G$3, $A$1, 1), 0)</f>
        <v>46053</v>
      </c>
    </row>
    <row r="3" spans="1:28" ht="16" customHeight="1">
      <c r="A3" s="130" t="s">
        <v>60</v>
      </c>
      <c r="B3" s="169">
        <v>401006</v>
      </c>
      <c r="C3" s="140" t="s">
        <v>262</v>
      </c>
      <c r="D3" s="141">
        <v>38188</v>
      </c>
      <c r="E3" s="142" t="s">
        <v>24</v>
      </c>
      <c r="F3" s="143">
        <v>173</v>
      </c>
      <c r="G3" s="205">
        <v>2328</v>
      </c>
      <c r="H3" s="157">
        <f>IF(AND(ISNUMBER(D3), ISNUMBER(F3)),
    ROUNDDOWN(
        MIN(
            IF(OR(ISBLANK(I3), I3=""),
                EOMONTH(DATE(LOHNTABELLE!$G$3, $A$1, 1), 0), I3)
            - MAX(D3, DATE(LOHNTABELLE!$G$3, $A$1, 1)) + 1)
        / DAY(EOMONTH(DATE(LOHNTABELLE!$G$3, $A$1, 1), 0)) * F3,
        2
    ),
    ""
)</f>
        <v>173</v>
      </c>
      <c r="I3" s="154"/>
      <c r="J3" s="208"/>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8" t="s">
        <v>61</v>
      </c>
      <c r="P3" s="288" t="s">
        <v>62</v>
      </c>
      <c r="Q3" s="295" t="s">
        <v>63</v>
      </c>
      <c r="R3" s="297" t="s">
        <v>64</v>
      </c>
      <c r="AB3" s="43"/>
    </row>
    <row r="4" spans="1:28" ht="16" customHeight="1">
      <c r="A4" s="130" t="s">
        <v>65</v>
      </c>
      <c r="B4" s="170">
        <v>401010</v>
      </c>
      <c r="C4" s="132" t="s">
        <v>263</v>
      </c>
      <c r="D4" s="133">
        <v>39388</v>
      </c>
      <c r="E4" s="134" t="s">
        <v>12</v>
      </c>
      <c r="F4" s="136">
        <v>173</v>
      </c>
      <c r="G4" s="206">
        <v>2183</v>
      </c>
      <c r="H4" s="158">
        <f>IF(AND(ISNUMBER(D4), ISNUMBER(F4)),
    ROUNDDOWN(
        MIN(
            IF(OR(ISBLANK(I4), I4=""),
                EOMONTH(DATE(LOHNTABELLE!$G$3, $A$1, 1), 0), I4)
            - MAX(D4, DATE(LOHNTABELLE!$G$3, $A$1, 1)) + 1)
        / DAY(EOMONTH(DATE(LOHNTABELLE!$G$3, $A$1, 1), 0)) * F4,
        2
    ),
    ""
)</f>
        <v>173</v>
      </c>
      <c r="I4" s="155"/>
      <c r="J4" s="209"/>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9"/>
      <c r="P4" s="289"/>
      <c r="Q4" s="296"/>
      <c r="R4" s="298"/>
    </row>
    <row r="5" spans="1:28" ht="16" customHeight="1">
      <c r="A5" s="131" t="s">
        <v>66</v>
      </c>
      <c r="B5" s="170">
        <v>401049</v>
      </c>
      <c r="C5" s="132" t="s">
        <v>264</v>
      </c>
      <c r="D5" s="133">
        <v>41130</v>
      </c>
      <c r="E5" s="134" t="s">
        <v>10</v>
      </c>
      <c r="F5" s="136">
        <v>173</v>
      </c>
      <c r="G5" s="206">
        <v>2123</v>
      </c>
      <c r="H5" s="158">
        <f>IF(AND(ISNUMBER(D5), ISNUMBER(F5)),
    ROUNDDOWN(
        MIN(
            IF(OR(ISBLANK(I5), I5=""),
                EOMONTH(DATE(LOHNTABELLE!$G$3, $A$1, 1), 0), I5)
            - MAX(D5, DATE(LOHNTABELLE!$G$3, $A$1, 1)) + 1)
        / DAY(EOMONTH(DATE(LOHNTABELLE!$G$3, $A$1, 1), 0)) * F5,
        2
    ),
    ""
)</f>
        <v>173</v>
      </c>
      <c r="I5" s="155"/>
      <c r="J5" s="209"/>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206">
        <v>2123</v>
      </c>
      <c r="H6" s="158">
        <f>IF(AND(ISNUMBER(D6), ISNUMBER(F6)),
    ROUNDDOWN(
        MIN(
            IF(OR(ISBLANK(I6), I6=""),
                EOMONTH(DATE(LOHNTABELLE!$G$3, $A$1, 1), 0), I6)
            - MAX(D6, DATE(LOHNTABELLE!$G$3, $A$1, 1)) + 1)
        / DAY(EOMONTH(DATE(LOHNTABELLE!$G$3, $A$1, 1), 0)) * F6,
        2
    ),
    ""
)</f>
        <v>173</v>
      </c>
      <c r="I6" s="155"/>
      <c r="J6" s="209"/>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99" t="str">
        <f>IF(Q5&lt;0, "Schlecht! Zu wenig Urlaub abgebaut.", IF(Q5&gt;0, "Gut! Mehr Urlaub abgebaut als aufgebaut.", ""))</f>
        <v>Schlecht! Zu wenig Urlaub abgebaut.</v>
      </c>
      <c r="P6" s="300"/>
      <c r="Q6" s="300"/>
      <c r="R6" s="301"/>
    </row>
    <row r="7" spans="1:28" ht="16" customHeight="1">
      <c r="A7" s="130" t="s">
        <v>68</v>
      </c>
      <c r="B7" s="170">
        <v>401051</v>
      </c>
      <c r="C7" s="132" t="s">
        <v>266</v>
      </c>
      <c r="D7" s="133">
        <v>41176</v>
      </c>
      <c r="E7" s="134" t="s">
        <v>10</v>
      </c>
      <c r="F7" s="136">
        <v>173</v>
      </c>
      <c r="G7" s="206">
        <v>2123</v>
      </c>
      <c r="H7" s="158">
        <f>IF(AND(ISNUMBER(D7), ISNUMBER(F7)),
    ROUNDDOWN(
        MIN(
            IF(OR(ISBLANK(I7), I7=""),
                EOMONTH(DATE(LOHNTABELLE!$G$3, $A$1, 1), 0), I7)
            - MAX(D7, DATE(LOHNTABELLE!$G$3, $A$1, 1)) + 1)
        / DAY(EOMONTH(DATE(LOHNTABELLE!$G$3, $A$1, 1), 0)) * F7,
        2
    ),
    ""
)</f>
        <v>173</v>
      </c>
      <c r="I7" s="155"/>
      <c r="J7" s="209"/>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206">
        <v>2123</v>
      </c>
      <c r="H8" s="158">
        <f>IF(AND(ISNUMBER(D8), ISNUMBER(F8)),
    ROUNDDOWN(
        MIN(
            IF(OR(ISBLANK(I8), I8=""),
                EOMONTH(DATE(LOHNTABELLE!$G$3, $A$1, 1), 0), I8)
            - MAX(D8, DATE(LOHNTABELLE!$G$3, $A$1, 1)) + 1)
        / DAY(EOMONTH(DATE(LOHNTABELLE!$G$3, $A$1, 1), 0)) * F8,
        2
    ),
    ""
)</f>
        <v>173</v>
      </c>
      <c r="I8" s="155"/>
      <c r="J8" s="209"/>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54" t="s">
        <v>70</v>
      </c>
      <c r="P8" s="255"/>
      <c r="Q8" s="256">
        <f>SUM(H3:H82)</f>
        <v>7494.8</v>
      </c>
      <c r="R8" s="256"/>
    </row>
    <row r="9" spans="1:28" ht="16" customHeight="1">
      <c r="A9" s="131" t="s">
        <v>71</v>
      </c>
      <c r="B9" s="170">
        <v>401197</v>
      </c>
      <c r="C9" s="132" t="s">
        <v>268</v>
      </c>
      <c r="D9" s="133">
        <v>42644</v>
      </c>
      <c r="E9" s="134" t="s">
        <v>8</v>
      </c>
      <c r="F9" s="136">
        <v>173</v>
      </c>
      <c r="G9" s="206">
        <v>2082</v>
      </c>
      <c r="H9" s="158">
        <f>IF(AND(ISNUMBER(D9), ISNUMBER(F9)),
    ROUNDDOWN(
        MIN(
            IF(OR(ISBLANK(I9), I9=""),
                EOMONTH(DATE(LOHNTABELLE!$G$3, $A$1, 1), 0), I9)
            - MAX(D9, DATE(LOHNTABELLE!$G$3, $A$1, 1)) + 1)
        / DAY(EOMONTH(DATE(LOHNTABELLE!$G$3, $A$1, 1), 0)) * F9,
        2
    ),
    ""
)</f>
        <v>173</v>
      </c>
      <c r="I9" s="155"/>
      <c r="J9" s="209"/>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54" t="s">
        <v>72</v>
      </c>
      <c r="P9" s="255"/>
      <c r="Q9" s="256">
        <f>EINSTELLUNG!L22</f>
        <v>1</v>
      </c>
      <c r="R9" s="256"/>
      <c r="S9" s="53">
        <f>IFERROR(Q9/Q8, 0)</f>
        <v>1.3342584191706249E-4</v>
      </c>
    </row>
    <row r="10" spans="1:28" ht="16" customHeight="1">
      <c r="A10" s="130" t="s">
        <v>73</v>
      </c>
      <c r="B10" s="170">
        <v>401276</v>
      </c>
      <c r="C10" s="132" t="s">
        <v>269</v>
      </c>
      <c r="D10" s="133">
        <v>43252</v>
      </c>
      <c r="E10" s="134" t="s">
        <v>8</v>
      </c>
      <c r="F10" s="136">
        <v>173</v>
      </c>
      <c r="G10" s="206">
        <v>2082</v>
      </c>
      <c r="H10" s="158">
        <f>IF(AND(ISNUMBER(D10), ISNUMBER(F10)),
    ROUNDDOWN(
        MIN(
            IF(OR(ISBLANK(I10), I10=""),
                EOMONTH(DATE(LOHNTABELLE!$G$3, $A$1, 1), 0), I10)
            - MAX(D10, DATE(LOHNTABELLE!$G$3, $A$1, 1)) + 1)
        / DAY(EOMONTH(DATE(LOHNTABELLE!$G$3, $A$1, 1), 0)) * F10,
        2
    ),
    ""
)</f>
        <v>173</v>
      </c>
      <c r="I10" s="155"/>
      <c r="J10" s="209"/>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54" t="s">
        <v>74</v>
      </c>
      <c r="P10" s="255"/>
      <c r="Q10" s="256">
        <f>EINSTELLUNG!I22</f>
        <v>1</v>
      </c>
      <c r="R10" s="256"/>
    </row>
    <row r="11" spans="1:28" ht="16" customHeight="1">
      <c r="A11" s="130" t="s">
        <v>75</v>
      </c>
      <c r="B11" s="170">
        <v>401307</v>
      </c>
      <c r="C11" s="132" t="s">
        <v>270</v>
      </c>
      <c r="D11" s="133">
        <v>43571</v>
      </c>
      <c r="E11" s="134" t="s">
        <v>8</v>
      </c>
      <c r="F11" s="136">
        <v>173</v>
      </c>
      <c r="G11" s="206">
        <v>2082</v>
      </c>
      <c r="H11" s="158">
        <f>IF(AND(ISNUMBER(D11), ISNUMBER(F11)),
    ROUNDDOWN(
        MIN(
            IF(OR(ISBLANK(I11), I11=""),
                EOMONTH(DATE(LOHNTABELLE!$G$3, $A$1, 1), 0), I11)
            - MAX(D11, DATE(LOHNTABELLE!$G$3, $A$1, 1)) + 1)
        / DAY(EOMONTH(DATE(LOHNTABELLE!$G$3, $A$1, 1), 0)) * F11,
        2
    ),
    ""
)</f>
        <v>173</v>
      </c>
      <c r="I11" s="155"/>
      <c r="J11" s="209"/>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4" t="s">
        <v>76</v>
      </c>
      <c r="P11" s="255"/>
      <c r="Q11" s="256">
        <f>P5</f>
        <v>1</v>
      </c>
      <c r="R11" s="256"/>
    </row>
    <row r="12" spans="1:28" ht="16" customHeight="1">
      <c r="A12" s="130" t="s">
        <v>77</v>
      </c>
      <c r="B12" s="170">
        <v>401308</v>
      </c>
      <c r="C12" s="132" t="s">
        <v>271</v>
      </c>
      <c r="D12" s="133">
        <v>43579</v>
      </c>
      <c r="E12" s="134" t="s">
        <v>8</v>
      </c>
      <c r="F12" s="136">
        <v>173</v>
      </c>
      <c r="G12" s="206">
        <v>2082</v>
      </c>
      <c r="H12" s="158">
        <f>IF(AND(ISNUMBER(D12), ISNUMBER(F12)),
    ROUNDDOWN(
        MIN(
            IF(OR(ISBLANK(I12), I12=""),
                EOMONTH(DATE(LOHNTABELLE!$G$3, $A$1, 1), 0), I12)
            - MAX(D12, DATE(LOHNTABELLE!$G$3, $A$1, 1)) + 1)
        / DAY(EOMONTH(DATE(LOHNTABELLE!$G$3, $A$1, 1), 0)) * F12,
        2
    ),
    ""
)</f>
        <v>173</v>
      </c>
      <c r="I12" s="155"/>
      <c r="J12" s="209"/>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4" t="s">
        <v>78</v>
      </c>
      <c r="P12" s="255"/>
      <c r="Q12" s="260"/>
      <c r="R12" s="260"/>
    </row>
    <row r="13" spans="1:28" ht="16" customHeight="1">
      <c r="A13" s="131" t="s">
        <v>79</v>
      </c>
      <c r="B13" s="170">
        <v>401394</v>
      </c>
      <c r="C13" s="132" t="s">
        <v>272</v>
      </c>
      <c r="D13" s="133">
        <v>44379</v>
      </c>
      <c r="E13" s="134" t="s">
        <v>4</v>
      </c>
      <c r="F13" s="136">
        <v>173</v>
      </c>
      <c r="G13" s="206">
        <v>2021</v>
      </c>
      <c r="H13" s="158">
        <f>IF(AND(ISNUMBER(D13), ISNUMBER(F13)),
    ROUNDDOWN(
        MIN(
            IF(OR(ISBLANK(I13), I13=""),
                EOMONTH(DATE(LOHNTABELLE!$G$3, $A$1, 1), 0), I13)
            - MAX(D13, DATE(LOHNTABELLE!$G$3, $A$1, 1)) + 1)
        / DAY(EOMONTH(DATE(LOHNTABELLE!$G$3, $A$1, 1), 0)) * F13,
        2
    ),
    ""
)</f>
        <v>173</v>
      </c>
      <c r="I13" s="155"/>
      <c r="J13" s="209"/>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54" t="s">
        <v>80</v>
      </c>
      <c r="P13" s="255"/>
      <c r="Q13" s="256">
        <f>Q8-Q9-Q10-Q11-Q12</f>
        <v>7491.8</v>
      </c>
      <c r="R13" s="256"/>
    </row>
    <row r="14" spans="1:28" ht="16" customHeight="1">
      <c r="A14" s="130" t="s">
        <v>81</v>
      </c>
      <c r="B14" s="170">
        <v>401389</v>
      </c>
      <c r="C14" s="132" t="s">
        <v>273</v>
      </c>
      <c r="D14" s="133">
        <v>44384</v>
      </c>
      <c r="E14" s="134" t="s">
        <v>22</v>
      </c>
      <c r="F14" s="136">
        <v>173</v>
      </c>
      <c r="G14" s="206">
        <v>2300</v>
      </c>
      <c r="H14" s="158">
        <f>IF(AND(ISNUMBER(D14), ISNUMBER(F14)),
    ROUNDDOWN(
        MIN(
            IF(OR(ISBLANK(I14), I14=""),
                EOMONTH(DATE(LOHNTABELLE!$G$3, $A$1, 1), 0), I14)
            - MAX(D14, DATE(LOHNTABELLE!$G$3, $A$1, 1)) + 1)
        / DAY(EOMONTH(DATE(LOHNTABELLE!$G$3, $A$1, 1), 0)) * F14,
        2
    ),
    ""
)</f>
        <v>173</v>
      </c>
      <c r="I14" s="155"/>
      <c r="J14" s="209"/>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54" t="s">
        <v>82</v>
      </c>
      <c r="P14" s="255"/>
      <c r="Q14" s="256">
        <f>EINSTELLUNG!L6</f>
        <v>1</v>
      </c>
      <c r="R14" s="256"/>
    </row>
    <row r="15" spans="1:28" ht="16" customHeight="1">
      <c r="A15" s="130" t="s">
        <v>83</v>
      </c>
      <c r="B15" s="170">
        <v>401432</v>
      </c>
      <c r="C15" s="132" t="s">
        <v>274</v>
      </c>
      <c r="D15" s="133">
        <v>44441</v>
      </c>
      <c r="E15" s="134" t="s">
        <v>4</v>
      </c>
      <c r="F15" s="136">
        <v>173</v>
      </c>
      <c r="G15" s="206">
        <v>2021</v>
      </c>
      <c r="H15" s="158">
        <f>IF(AND(ISNUMBER(D15), ISNUMBER(F15)),
    ROUNDDOWN(
        MIN(
            IF(OR(ISBLANK(I15), I15=""),
                EOMONTH(DATE(LOHNTABELLE!$G$3, $A$1, 1), 0), I15)
            - MAX(D15, DATE(LOHNTABELLE!$G$3, $A$1, 1)) + 1)
        / DAY(EOMONTH(DATE(LOHNTABELLE!$G$3, $A$1, 1), 0)) * F15,
        2
    ),
    ""
)</f>
        <v>173</v>
      </c>
      <c r="I15" s="155"/>
      <c r="J15" s="209"/>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54" t="s">
        <v>84</v>
      </c>
      <c r="P15" s="255"/>
      <c r="Q15" s="256">
        <f>Q13-Q14</f>
        <v>7490.8</v>
      </c>
      <c r="R15" s="256"/>
      <c r="S15" s="100"/>
      <c r="T15" s="100"/>
      <c r="U15" s="100"/>
    </row>
    <row r="16" spans="1:28" ht="16" customHeight="1">
      <c r="A16" s="130" t="s">
        <v>85</v>
      </c>
      <c r="B16" s="170">
        <v>401558</v>
      </c>
      <c r="C16" s="132" t="s">
        <v>275</v>
      </c>
      <c r="D16" s="133">
        <v>44460</v>
      </c>
      <c r="E16" s="134" t="s">
        <v>4</v>
      </c>
      <c r="F16" s="136">
        <v>173</v>
      </c>
      <c r="G16" s="206">
        <v>2021</v>
      </c>
      <c r="H16" s="158">
        <f>IF(AND(ISNUMBER(D16), ISNUMBER(F16)),
    ROUNDDOWN(
        MIN(
            IF(OR(ISBLANK(I16), I16=""),
                EOMONTH(DATE(LOHNTABELLE!$G$3, $A$1, 1), 0), I16)
            - MAX(D16, DATE(LOHNTABELLE!$G$3, $A$1, 1)) + 1)
        / DAY(EOMONTH(DATE(LOHNTABELLE!$G$3, $A$1, 1), 0)) * F16,
        2
    ),
    ""
)</f>
        <v>173</v>
      </c>
      <c r="I16" s="155"/>
      <c r="J16" s="209"/>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92" t="str">
        <f>IF(Q15&lt;0, "Schlecht! Zu wenig Stunden für Dienstplan.", IF(Q15&gt;0, "Du hast mehr als genug Stunden für Dienstplan.", ""))</f>
        <v>Du hast mehr als genug Stunden für Dienstplan.</v>
      </c>
      <c r="P16" s="292"/>
      <c r="Q16" s="292"/>
      <c r="R16" s="292"/>
      <c r="W16" s="45"/>
    </row>
    <row r="17" spans="1:29" ht="16" customHeight="1">
      <c r="A17" s="131" t="s">
        <v>86</v>
      </c>
      <c r="B17" s="170">
        <v>401476</v>
      </c>
      <c r="C17" s="132" t="s">
        <v>276</v>
      </c>
      <c r="D17" s="133">
        <v>44504</v>
      </c>
      <c r="E17" s="134" t="s">
        <v>4</v>
      </c>
      <c r="F17" s="136">
        <v>173</v>
      </c>
      <c r="G17" s="206">
        <v>2021</v>
      </c>
      <c r="H17" s="158">
        <f>IF(AND(ISNUMBER(D17), ISNUMBER(F17)),
    ROUNDDOWN(
        MIN(
            IF(OR(ISBLANK(I17), I17=""),
                EOMONTH(DATE(LOHNTABELLE!$G$3, $A$1, 1), 0), I17)
            - MAX(D17, DATE(LOHNTABELLE!$G$3, $A$1, 1)) + 1)
        / DAY(EOMONTH(DATE(LOHNTABELLE!$G$3, $A$1, 1), 0)) * F17,
        2
    ),
    ""
)</f>
        <v>173</v>
      </c>
      <c r="I17" s="155"/>
      <c r="J17" s="209"/>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7" t="s">
        <v>87</v>
      </c>
      <c r="P17" s="258"/>
      <c r="Q17" s="259">
        <f>SUM(L3:L82)</f>
        <v>90106.82881720431</v>
      </c>
      <c r="R17" s="259"/>
      <c r="W17" s="45"/>
    </row>
    <row r="18" spans="1:29" ht="16" customHeight="1">
      <c r="A18" s="130" t="s">
        <v>88</v>
      </c>
      <c r="B18" s="170">
        <v>401479</v>
      </c>
      <c r="C18" s="132" t="s">
        <v>277</v>
      </c>
      <c r="D18" s="133">
        <v>44511</v>
      </c>
      <c r="E18" s="134" t="s">
        <v>13</v>
      </c>
      <c r="F18" s="136">
        <v>173</v>
      </c>
      <c r="G18" s="206">
        <v>2160</v>
      </c>
      <c r="H18" s="158">
        <f>IF(AND(ISNUMBER(D18), ISNUMBER(F18)),
    ROUNDDOWN(
        MIN(
            IF(OR(ISBLANK(I18), I18=""),
                EOMONTH(DATE(LOHNTABELLE!$G$3, $A$1, 1), 0), I18)
            - MAX(D18, DATE(LOHNTABELLE!$G$3, $A$1, 1)) + 1)
        / DAY(EOMONTH(DATE(LOHNTABELLE!$G$3, $A$1, 1), 0)) * F18,
        2
    ),
    ""
)</f>
        <v>173</v>
      </c>
      <c r="I18" s="155"/>
      <c r="J18" s="209"/>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28"/>
      <c r="P18" s="229"/>
      <c r="Q18" s="251"/>
      <c r="R18" s="251"/>
    </row>
    <row r="19" spans="1:29" ht="16" customHeight="1">
      <c r="A19" s="130" t="s">
        <v>89</v>
      </c>
      <c r="B19" s="170">
        <v>401481</v>
      </c>
      <c r="C19" s="132" t="s">
        <v>278</v>
      </c>
      <c r="D19" s="133">
        <v>44531</v>
      </c>
      <c r="E19" s="134" t="s">
        <v>4</v>
      </c>
      <c r="F19" s="136">
        <v>173</v>
      </c>
      <c r="G19" s="206">
        <v>2021</v>
      </c>
      <c r="H19" s="158">
        <f>IF(AND(ISNUMBER(D19), ISNUMBER(F19)),
    ROUNDDOWN(
        MIN(
            IF(OR(ISBLANK(I19), I19=""),
                EOMONTH(DATE(LOHNTABELLE!$G$3, $A$1, 1), 0), I19)
            - MAX(D19, DATE(LOHNTABELLE!$G$3, $A$1, 1)) + 1)
        / DAY(EOMONTH(DATE(LOHNTABELLE!$G$3, $A$1, 1), 0)) * F19,
        2
    ),
    ""
)</f>
        <v>173</v>
      </c>
      <c r="I19" s="155"/>
      <c r="J19" s="209"/>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28"/>
      <c r="P19" s="229"/>
      <c r="Q19" s="251"/>
      <c r="R19" s="251"/>
    </row>
    <row r="20" spans="1:29" ht="16" customHeight="1">
      <c r="A20" s="130" t="s">
        <v>90</v>
      </c>
      <c r="B20" s="170">
        <v>401564</v>
      </c>
      <c r="C20" s="132" t="s">
        <v>279</v>
      </c>
      <c r="D20" s="133">
        <v>44824</v>
      </c>
      <c r="E20" s="134" t="s">
        <v>4</v>
      </c>
      <c r="F20" s="136">
        <v>173</v>
      </c>
      <c r="G20" s="206">
        <v>2021</v>
      </c>
      <c r="H20" s="158">
        <f>IF(AND(ISNUMBER(D20), ISNUMBER(F20)),
    ROUNDDOWN(
        MIN(
            IF(OR(ISBLANK(I20), I20=""),
                EOMONTH(DATE(LOHNTABELLE!$G$3, $A$1, 1), 0), I20)
            - MAX(D20, DATE(LOHNTABELLE!$G$3, $A$1, 1)) + 1)
        / DAY(EOMONTH(DATE(LOHNTABELLE!$G$3, $A$1, 1), 0)) * F20,
        2
    ),
    ""
)</f>
        <v>173</v>
      </c>
      <c r="I20" s="155"/>
      <c r="J20" s="209"/>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28"/>
      <c r="P20" s="229"/>
      <c r="Q20" s="251"/>
      <c r="R20" s="251"/>
    </row>
    <row r="21" spans="1:29" ht="16" customHeight="1">
      <c r="A21" s="131" t="s">
        <v>92</v>
      </c>
      <c r="B21" s="170">
        <v>401089</v>
      </c>
      <c r="C21" s="132" t="s">
        <v>280</v>
      </c>
      <c r="D21" s="133">
        <v>44868</v>
      </c>
      <c r="E21" s="134" t="s">
        <v>8</v>
      </c>
      <c r="F21" s="136">
        <v>173</v>
      </c>
      <c r="G21" s="206">
        <v>2082</v>
      </c>
      <c r="H21" s="158">
        <f>IF(AND(ISNUMBER(D21), ISNUMBER(F21)),
    ROUNDDOWN(
        MIN(
            IF(OR(ISBLANK(I21), I21=""),
                EOMONTH(DATE(LOHNTABELLE!$G$3, $A$1, 1), 0), I21)
            - MAX(D21, DATE(LOHNTABELLE!$G$3, $A$1, 1)) + 1)
        / DAY(EOMONTH(DATE(LOHNTABELLE!$G$3, $A$1, 1), 0)) * F21,
        2
    ),
    ""
)</f>
        <v>173</v>
      </c>
      <c r="I21" s="155"/>
      <c r="J21" s="209"/>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28" t="s">
        <v>371</v>
      </c>
      <c r="P21" s="229"/>
      <c r="Q21" s="251">
        <v>5000</v>
      </c>
      <c r="R21" s="251"/>
    </row>
    <row r="22" spans="1:29" ht="16" customHeight="1">
      <c r="A22" s="130" t="s">
        <v>93</v>
      </c>
      <c r="B22" s="170">
        <v>401583</v>
      </c>
      <c r="C22" s="132" t="s">
        <v>281</v>
      </c>
      <c r="D22" s="133">
        <v>44900</v>
      </c>
      <c r="E22" s="134" t="s">
        <v>21</v>
      </c>
      <c r="F22" s="136">
        <v>173</v>
      </c>
      <c r="G22" s="206">
        <v>2300</v>
      </c>
      <c r="H22" s="158">
        <f>IF(AND(ISNUMBER(D22), ISNUMBER(F22)),
    ROUNDDOWN(
        MIN(
            IF(OR(ISBLANK(I22), I22=""),
                EOMONTH(DATE(LOHNTABELLE!$G$3, $A$1, 1), 0), I22)
            - MAX(D22, DATE(LOHNTABELLE!$G$3, $A$1, 1)) + 1)
        / DAY(EOMONTH(DATE(LOHNTABELLE!$G$3, $A$1, 1), 0)) * F22,
        2
    ),
    ""
)</f>
        <v>173</v>
      </c>
      <c r="I22" s="155"/>
      <c r="J22" s="209"/>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28"/>
      <c r="P22" s="229"/>
      <c r="Q22" s="251"/>
      <c r="R22" s="251"/>
    </row>
    <row r="23" spans="1:29" ht="16" customHeight="1">
      <c r="A23" s="130" t="s">
        <v>94</v>
      </c>
      <c r="B23" s="170">
        <v>401589</v>
      </c>
      <c r="C23" s="132" t="s">
        <v>282</v>
      </c>
      <c r="D23" s="133">
        <v>44926</v>
      </c>
      <c r="E23" s="134" t="s">
        <v>21</v>
      </c>
      <c r="F23" s="136">
        <v>173</v>
      </c>
      <c r="G23" s="206">
        <v>2300</v>
      </c>
      <c r="H23" s="158">
        <f>IF(AND(ISNUMBER(D23), ISNUMBER(F23)),
    ROUNDDOWN(
        MIN(
            IF(OR(ISBLANK(I23), I23=""),
                EOMONTH(DATE(LOHNTABELLE!$G$3, $A$1, 1), 0), I23)
            - MAX(D23, DATE(LOHNTABELLE!$G$3, $A$1, 1)) + 1)
        / DAY(EOMONTH(DATE(LOHNTABELLE!$G$3, $A$1, 1), 0)) * F23,
        2
    ),
    ""
)</f>
        <v>173</v>
      </c>
      <c r="I23" s="155"/>
      <c r="J23" s="209"/>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28"/>
      <c r="P23" s="229"/>
      <c r="Q23" s="251"/>
      <c r="R23" s="251"/>
      <c r="W23" s="45"/>
    </row>
    <row r="24" spans="1:29" ht="16" customHeight="1">
      <c r="A24" s="130" t="s">
        <v>95</v>
      </c>
      <c r="B24" s="170">
        <v>401602</v>
      </c>
      <c r="C24" s="132" t="s">
        <v>283</v>
      </c>
      <c r="D24" s="133">
        <v>45975</v>
      </c>
      <c r="E24" s="134" t="s">
        <v>4</v>
      </c>
      <c r="F24" s="136">
        <v>173</v>
      </c>
      <c r="G24" s="206">
        <v>2021</v>
      </c>
      <c r="H24" s="158">
        <f>IF(AND(ISNUMBER(D24), ISNUMBER(F24)),
    ROUNDDOWN(
        MIN(
            IF(OR(ISBLANK(I24), I24=""),
                EOMONTH(DATE(LOHNTABELLE!$G$3, $A$1, 1), 0), I24)
            - MAX(D24, DATE(LOHNTABELLE!$G$3, $A$1, 1)) + 1)
        / DAY(EOMONTH(DATE(LOHNTABELLE!$G$3, $A$1, 1), 0)) * F24,
        2
    ),
    ""
)</f>
        <v>173</v>
      </c>
      <c r="I24" s="155"/>
      <c r="J24" s="209"/>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28"/>
      <c r="P24" s="229"/>
      <c r="Q24" s="251"/>
      <c r="R24" s="251"/>
      <c r="W24" s="45"/>
    </row>
    <row r="25" spans="1:29" ht="16" customHeight="1" thickBot="1">
      <c r="A25" s="131" t="s">
        <v>96</v>
      </c>
      <c r="B25" s="170">
        <v>401605</v>
      </c>
      <c r="C25" s="132" t="s">
        <v>284</v>
      </c>
      <c r="D25" s="133">
        <v>44986</v>
      </c>
      <c r="E25" s="134" t="s">
        <v>4</v>
      </c>
      <c r="F25" s="136">
        <v>173</v>
      </c>
      <c r="G25" s="206">
        <v>2021</v>
      </c>
      <c r="H25" s="158">
        <f>IF(AND(ISNUMBER(D25), ISNUMBER(F25)),
    ROUNDDOWN(
        MIN(
            IF(OR(ISBLANK(I25), I25=""),
                EOMONTH(DATE(LOHNTABELLE!$G$3, $A$1, 1), 0), I25)
            - MAX(D25, DATE(LOHNTABELLE!$G$3, $A$1, 1)) + 1)
        / DAY(EOMONTH(DATE(LOHNTABELLE!$G$3, $A$1, 1), 0)) * F25,
        2
    ),
    ""
)</f>
        <v>173</v>
      </c>
      <c r="I25" s="155"/>
      <c r="J25" s="209"/>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37"/>
      <c r="P25" s="338"/>
      <c r="Q25" s="268"/>
      <c r="R25" s="268"/>
    </row>
    <row r="26" spans="1:29" ht="16" customHeight="1">
      <c r="A26" s="130" t="s">
        <v>97</v>
      </c>
      <c r="B26" s="170">
        <v>401626</v>
      </c>
      <c r="C26" s="132" t="s">
        <v>285</v>
      </c>
      <c r="D26" s="133">
        <v>45063</v>
      </c>
      <c r="E26" s="134" t="s">
        <v>4</v>
      </c>
      <c r="F26" s="136">
        <v>173</v>
      </c>
      <c r="G26" s="206">
        <v>2021</v>
      </c>
      <c r="H26" s="158">
        <f>IF(AND(ISNUMBER(D26), ISNUMBER(F26)),
    ROUNDDOWN(
        MIN(
            IF(OR(ISBLANK(I26), I26=""),
                EOMONTH(DATE(LOHNTABELLE!$G$3, $A$1, 1), 0), I26)
            - MAX(D26, DATE(LOHNTABELLE!$G$3, $A$1, 1)) + 1)
        / DAY(EOMONTH(DATE(LOHNTABELLE!$G$3, $A$1, 1), 0)) * F26,
        2
    ),
    ""
)</f>
        <v>173</v>
      </c>
      <c r="I26" s="155"/>
      <c r="J26" s="209"/>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9"/>
      <c r="P26" s="270"/>
      <c r="Q26" s="271"/>
      <c r="R26" s="272"/>
    </row>
    <row r="27" spans="1:29" ht="16" customHeight="1">
      <c r="A27" s="130" t="s">
        <v>98</v>
      </c>
      <c r="B27" s="170">
        <v>401633</v>
      </c>
      <c r="C27" s="132" t="s">
        <v>286</v>
      </c>
      <c r="D27" s="133">
        <v>45089</v>
      </c>
      <c r="E27" s="134" t="s">
        <v>21</v>
      </c>
      <c r="F27" s="136">
        <v>173</v>
      </c>
      <c r="G27" s="206">
        <v>2300</v>
      </c>
      <c r="H27" s="158">
        <f>IF(AND(ISNUMBER(D27), ISNUMBER(F27)),
    ROUNDDOWN(
        MIN(
            IF(OR(ISBLANK(I27), I27=""),
                EOMONTH(DATE(LOHNTABELLE!$G$3, $A$1, 1), 0), I27)
            - MAX(D27, DATE(LOHNTABELLE!$G$3, $A$1, 1)) + 1)
        / DAY(EOMONTH(DATE(LOHNTABELLE!$G$3, $A$1, 1), 0)) * F27,
        2
    ),
    ""
)</f>
        <v>173</v>
      </c>
      <c r="I27" s="155"/>
      <c r="J27" s="209"/>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28"/>
      <c r="P27" s="229"/>
      <c r="Q27" s="251"/>
      <c r="R27" s="273"/>
      <c r="S27" s="232" t="s">
        <v>99</v>
      </c>
      <c r="T27" s="233"/>
      <c r="U27" s="233"/>
      <c r="V27" s="233"/>
    </row>
    <row r="28" spans="1:29" ht="16" customHeight="1" thickBot="1">
      <c r="A28" s="130" t="s">
        <v>100</v>
      </c>
      <c r="B28" s="170">
        <v>401647</v>
      </c>
      <c r="C28" s="132" t="s">
        <v>287</v>
      </c>
      <c r="D28" s="133">
        <v>45182</v>
      </c>
      <c r="E28" s="134" t="s">
        <v>4</v>
      </c>
      <c r="F28" s="136">
        <v>173</v>
      </c>
      <c r="G28" s="206">
        <v>2021</v>
      </c>
      <c r="H28" s="158">
        <f>IF(AND(ISNUMBER(D28), ISNUMBER(F28)),
    ROUNDDOWN(
        MIN(
            IF(OR(ISBLANK(I28), I28=""),
                EOMONTH(DATE(LOHNTABELLE!$G$3, $A$1, 1), 0), I28)
            - MAX(D28, DATE(LOHNTABELLE!$G$3, $A$1, 1)) + 1)
        / DAY(EOMONTH(DATE(LOHNTABELLE!$G$3, $A$1, 1), 0)) * F28,
        2
    ),
    ""
)</f>
        <v>173</v>
      </c>
      <c r="I28" s="155"/>
      <c r="J28" s="209"/>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61"/>
      <c r="P28" s="262"/>
      <c r="Q28" s="263"/>
      <c r="R28" s="264"/>
    </row>
    <row r="29" spans="1:29" ht="16" customHeight="1" thickBot="1">
      <c r="A29" s="131" t="s">
        <v>101</v>
      </c>
      <c r="B29" s="170">
        <v>401661</v>
      </c>
      <c r="C29" s="132" t="s">
        <v>288</v>
      </c>
      <c r="D29" s="133">
        <v>45261</v>
      </c>
      <c r="E29" s="134" t="s">
        <v>4</v>
      </c>
      <c r="F29" s="136">
        <v>173</v>
      </c>
      <c r="G29" s="206">
        <v>2021</v>
      </c>
      <c r="H29" s="158">
        <f>IF(AND(ISNUMBER(D29), ISNUMBER(F29)),
    ROUNDDOWN(
        MIN(
            IF(OR(ISBLANK(I29), I29=""),
                EOMONTH(DATE(LOHNTABELLE!$G$3, $A$1, 1), 0), I29)
            - MAX(D29, DATE(LOHNTABELLE!$G$3, $A$1, 1)) + 1)
        / DAY(EOMONTH(DATE(LOHNTABELLE!$G$3, $A$1, 1), 0)) * F29,
        2
    ),
    ""
)</f>
        <v>173</v>
      </c>
      <c r="I29" s="155"/>
      <c r="J29" s="209"/>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36" t="s">
        <v>102</v>
      </c>
      <c r="P29" s="237"/>
      <c r="Q29" s="238">
        <f>EINSTELLUNG!O6</f>
        <v>1</v>
      </c>
      <c r="R29" s="239"/>
    </row>
    <row r="30" spans="1:29" ht="16" customHeight="1">
      <c r="A30" s="130" t="s">
        <v>103</v>
      </c>
      <c r="B30" s="170">
        <v>401670</v>
      </c>
      <c r="C30" s="132" t="s">
        <v>289</v>
      </c>
      <c r="D30" s="133">
        <v>45358</v>
      </c>
      <c r="E30" s="134" t="s">
        <v>4</v>
      </c>
      <c r="F30" s="136">
        <v>173</v>
      </c>
      <c r="G30" s="206">
        <v>2021</v>
      </c>
      <c r="H30" s="158">
        <f>IF(AND(ISNUMBER(D30), ISNUMBER(F30)),
    ROUNDDOWN(
        MIN(
            IF(OR(ISBLANK(I30), I30=""),
                EOMONTH(DATE(LOHNTABELLE!$G$3, $A$1, 1), 0), I30)
            - MAX(D30, DATE(LOHNTABELLE!$G$3, $A$1, 1)) + 1)
        / DAY(EOMONTH(DATE(LOHNTABELLE!$G$3, $A$1, 1), 0)) * F30,
        2
    ),
    ""
)</f>
        <v>173</v>
      </c>
      <c r="I30" s="155"/>
      <c r="J30" s="209"/>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206">
        <v>2021</v>
      </c>
      <c r="H31" s="158">
        <f>IF(AND(ISNUMBER(D31), ISNUMBER(F31)),
    ROUNDDOWN(
        MIN(
            IF(OR(ISBLANK(I31), I31=""),
                EOMONTH(DATE(LOHNTABELLE!$G$3, $A$1, 1), 0), I31)
            - MAX(D31, DATE(LOHNTABELLE!$G$3, $A$1, 1)) + 1)
        / DAY(EOMONTH(DATE(LOHNTABELLE!$G$3, $A$1, 1), 0)) * F31,
        2
    ),
    ""
)</f>
        <v>173</v>
      </c>
      <c r="I31" s="155"/>
      <c r="J31" s="209"/>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0">
        <v>0</v>
      </c>
      <c r="P31" s="241"/>
      <c r="Q31" s="242">
        <v>1.9607843137254902E-2</v>
      </c>
      <c r="R31" s="243"/>
    </row>
    <row r="32" spans="1:29" ht="16" customHeight="1">
      <c r="A32" s="130" t="s">
        <v>106</v>
      </c>
      <c r="B32" s="170">
        <v>401691</v>
      </c>
      <c r="C32" s="132" t="s">
        <v>291</v>
      </c>
      <c r="D32" s="133">
        <v>45539</v>
      </c>
      <c r="E32" s="134" t="s">
        <v>4</v>
      </c>
      <c r="F32" s="136">
        <v>69.2</v>
      </c>
      <c r="G32" s="206">
        <v>808.4</v>
      </c>
      <c r="H32" s="158">
        <f>IF(AND(ISNUMBER(D32), ISNUMBER(F32)),
    ROUNDDOWN(
        MIN(
            IF(OR(ISBLANK(I32), I32=""),
                EOMONTH(DATE(LOHNTABELLE!$G$3, $A$1, 1), 0), I32)
            - MAX(D32, DATE(LOHNTABELLE!$G$3, $A$1, 1)) + 1)
        / DAY(EOMONTH(DATE(LOHNTABELLE!$G$3, $A$1, 1), 0)) * F32,
        2
    ),
    ""
)</f>
        <v>55.8</v>
      </c>
      <c r="I32" s="155">
        <v>46047</v>
      </c>
      <c r="J32" s="209">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206">
        <v>2021</v>
      </c>
      <c r="H33" s="158">
        <f>IF(AND(ISNUMBER(D33), ISNUMBER(F33)),
    ROUNDDOWN(
        MIN(
            IF(OR(ISBLANK(I33), I33=""),
                EOMONTH(DATE(LOHNTABELLE!$G$3, $A$1, 1), 0), I33)
            - MAX(D33, DATE(LOHNTABELLE!$G$3, $A$1, 1)) + 1)
        / DAY(EOMONTH(DATE(LOHNTABELLE!$G$3, $A$1, 1), 0)) * F33,
        2
    ),
    ""
)</f>
        <v>173</v>
      </c>
      <c r="I33" s="155"/>
      <c r="J33" s="209"/>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44"/>
      <c r="P33" s="245"/>
      <c r="Q33" s="327" t="s">
        <v>108</v>
      </c>
      <c r="R33" s="328"/>
      <c r="S33" s="331" t="s">
        <v>109</v>
      </c>
      <c r="T33" s="332"/>
      <c r="U33" s="331" t="s">
        <v>110</v>
      </c>
      <c r="V33" s="332"/>
    </row>
    <row r="34" spans="1:24" ht="16" customHeight="1">
      <c r="A34" s="130" t="s">
        <v>111</v>
      </c>
      <c r="B34" s="170">
        <v>401703</v>
      </c>
      <c r="C34" s="132" t="s">
        <v>293</v>
      </c>
      <c r="D34" s="133">
        <v>45616</v>
      </c>
      <c r="E34" s="134" t="s">
        <v>4</v>
      </c>
      <c r="F34" s="136">
        <v>173</v>
      </c>
      <c r="G34" s="206">
        <v>2021</v>
      </c>
      <c r="H34" s="158">
        <f>IF(AND(ISNUMBER(D34), ISNUMBER(F34)),
    ROUNDDOWN(
        MIN(
            IF(OR(ISBLANK(I34), I34=""),
                EOMONTH(DATE(LOHNTABELLE!$G$3, $A$1, 1), 0), I34)
            - MAX(D34, DATE(LOHNTABELLE!$G$3, $A$1, 1)) + 1)
        / DAY(EOMONTH(DATE(LOHNTABELLE!$G$3, $A$1, 1), 0)) * F34,
        2
    ),
    ""
)</f>
        <v>173</v>
      </c>
      <c r="I34" s="155"/>
      <c r="J34" s="209"/>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44"/>
      <c r="P34" s="245"/>
      <c r="Q34" s="329"/>
      <c r="R34" s="330"/>
      <c r="S34" s="333"/>
      <c r="T34" s="334"/>
      <c r="U34" s="333"/>
      <c r="V34" s="334"/>
    </row>
    <row r="35" spans="1:24" ht="16" customHeight="1">
      <c r="A35" s="130" t="s">
        <v>112</v>
      </c>
      <c r="B35" s="170">
        <v>401214</v>
      </c>
      <c r="C35" s="132" t="s">
        <v>294</v>
      </c>
      <c r="D35" s="133">
        <v>45636</v>
      </c>
      <c r="E35" s="134" t="s">
        <v>8</v>
      </c>
      <c r="F35" s="136">
        <v>173</v>
      </c>
      <c r="G35" s="206">
        <v>2082</v>
      </c>
      <c r="H35" s="158">
        <f>IF(AND(ISNUMBER(D35), ISNUMBER(F35)),
    ROUNDDOWN(
        MIN(
            IF(OR(ISBLANK(I35), I35=""),
                EOMONTH(DATE(LOHNTABELLE!$G$3, $A$1, 1), 0), I35)
            - MAX(D35, DATE(LOHNTABELLE!$G$3, $A$1, 1)) + 1)
        / DAY(EOMONTH(DATE(LOHNTABELLE!$G$3, $A$1, 1), 0)) * F35,
        2
    ),
    ""
)</f>
        <v>173</v>
      </c>
      <c r="I35" s="155"/>
      <c r="J35" s="209"/>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52" t="s">
        <v>113</v>
      </c>
      <c r="P35" s="253"/>
      <c r="Q35" s="226">
        <f>EINSTELLUNG!C6</f>
        <v>1</v>
      </c>
      <c r="R35" s="226"/>
      <c r="S35" s="226">
        <f>EINSTELLUNG!C22</f>
        <v>1</v>
      </c>
      <c r="T35" s="226"/>
      <c r="U35" s="230">
        <f>S35-Q35</f>
        <v>0</v>
      </c>
      <c r="V35" s="230"/>
    </row>
    <row r="36" spans="1:24" ht="16" customHeight="1">
      <c r="A36" s="130" t="s">
        <v>114</v>
      </c>
      <c r="B36" s="170">
        <v>401715</v>
      </c>
      <c r="C36" s="132" t="s">
        <v>295</v>
      </c>
      <c r="D36" s="133">
        <v>45755</v>
      </c>
      <c r="E36" s="134" t="s">
        <v>4</v>
      </c>
      <c r="F36" s="136">
        <v>173</v>
      </c>
      <c r="G36" s="206">
        <v>2021</v>
      </c>
      <c r="H36" s="158">
        <f>IF(AND(ISNUMBER(D36), ISNUMBER(F36)),
    ROUNDDOWN(
        MIN(
            IF(OR(ISBLANK(I36), I36=""),
                EOMONTH(DATE(LOHNTABELLE!$G$3, $A$1, 1), 0), I36)
            - MAX(D36, DATE(LOHNTABELLE!$G$3, $A$1, 1)) + 1)
        / DAY(EOMONTH(DATE(LOHNTABELLE!$G$3, $A$1, 1), 0)) * F36,
        2
    ),
    ""
)</f>
        <v>173</v>
      </c>
      <c r="I36" s="155"/>
      <c r="J36" s="209"/>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2" t="s">
        <v>115</v>
      </c>
      <c r="P36" s="253"/>
      <c r="Q36" s="226">
        <f>EINSTELLUNG!D6</f>
        <v>1</v>
      </c>
      <c r="R36" s="226"/>
      <c r="S36" s="226" cm="1">
        <f t="array" ref="S36">SumMergedCells(Q17:R29)</f>
        <v>95107.828800000003</v>
      </c>
      <c r="T36" s="226"/>
      <c r="U36" s="230">
        <f t="shared" ref="U36:U41" si="2">S36-Q36</f>
        <v>95106.828800000003</v>
      </c>
      <c r="V36" s="230"/>
    </row>
    <row r="37" spans="1:24" ht="16" customHeight="1">
      <c r="A37" s="131" t="s">
        <v>116</v>
      </c>
      <c r="B37" s="170">
        <v>401716</v>
      </c>
      <c r="C37" s="132" t="s">
        <v>296</v>
      </c>
      <c r="D37" s="133">
        <v>45800</v>
      </c>
      <c r="E37" s="134" t="s">
        <v>4</v>
      </c>
      <c r="F37" s="136">
        <v>173</v>
      </c>
      <c r="G37" s="206">
        <v>2021</v>
      </c>
      <c r="H37" s="158">
        <f>IF(AND(ISNUMBER(D37), ISNUMBER(F37)),
    ROUNDDOWN(
        MIN(
            IF(OR(ISBLANK(I37), I37=""),
                EOMONTH(DATE(LOHNTABELLE!$G$3, $A$1, 1), 0), I37)
            - MAX(D37, DATE(LOHNTABELLE!$G$3, $A$1, 1)) + 1)
        / DAY(EOMONTH(DATE(LOHNTABELLE!$G$3, $A$1, 1), 0)) * F37,
        2
    ),
    ""
)</f>
        <v>173</v>
      </c>
      <c r="I37" s="155"/>
      <c r="J37" s="209"/>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2" t="s">
        <v>117</v>
      </c>
      <c r="P37" s="253"/>
      <c r="Q37" s="234">
        <f>IF(ISERROR(Q36/Q35), 0, Q36/Q35)</f>
        <v>1</v>
      </c>
      <c r="R37" s="234"/>
      <c r="S37" s="234">
        <f>IF(ISERROR(S36/S35), 0, S36/S35)</f>
        <v>95107.828800000003</v>
      </c>
      <c r="T37" s="234"/>
      <c r="U37" s="235">
        <f t="shared" si="2"/>
        <v>95106.828800000003</v>
      </c>
      <c r="V37" s="235"/>
    </row>
    <row r="38" spans="1:24" ht="16" customHeight="1">
      <c r="A38" s="130" t="s">
        <v>118</v>
      </c>
      <c r="B38" s="170">
        <v>401717</v>
      </c>
      <c r="C38" s="132" t="s">
        <v>297</v>
      </c>
      <c r="D38" s="133">
        <v>45814</v>
      </c>
      <c r="E38" s="134" t="s">
        <v>4</v>
      </c>
      <c r="F38" s="136">
        <v>173</v>
      </c>
      <c r="G38" s="206">
        <v>2021</v>
      </c>
      <c r="H38" s="158">
        <f>IF(AND(ISNUMBER(D38), ISNUMBER(F38)),
    ROUNDDOWN(
        MIN(
            IF(OR(ISBLANK(I39), I39=""),
                EOMONTH(DATE(LOHNTABELLE!$G$3, $A$1, 1), 0), I39)
            - MAX(D38, DATE(LOHNTABELLE!$G$3, $A$1, 1)) + 1)
        / DAY(EOMONTH(DATE(LOHNTABELLE!$G$3, $A$1, 1), 0)) * F38,
        2
    ),
    ""
)</f>
        <v>173</v>
      </c>
      <c r="I38" s="155"/>
      <c r="J38" s="209"/>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52" t="s">
        <v>119</v>
      </c>
      <c r="P38" s="253"/>
      <c r="Q38" s="227">
        <f>EINSTELLUNG!F6</f>
        <v>1</v>
      </c>
      <c r="R38" s="227"/>
      <c r="S38" s="227">
        <f>EINSTELLUNG!F22</f>
        <v>1</v>
      </c>
      <c r="T38" s="227"/>
      <c r="U38" s="231">
        <f t="shared" si="2"/>
        <v>0</v>
      </c>
      <c r="V38" s="231"/>
    </row>
    <row r="39" spans="1:24" ht="16" customHeight="1">
      <c r="A39" s="130" t="s">
        <v>120</v>
      </c>
      <c r="B39" s="170">
        <v>401722</v>
      </c>
      <c r="C39" s="132" t="s">
        <v>298</v>
      </c>
      <c r="D39" s="133">
        <v>45848</v>
      </c>
      <c r="E39" s="134" t="s">
        <v>4</v>
      </c>
      <c r="F39" s="136">
        <v>86.5</v>
      </c>
      <c r="G39" s="206">
        <v>1010.5</v>
      </c>
      <c r="H39" s="158">
        <f>IF(AND(ISNUMBER(D39), ISNUMBER(F39)),
    ROUNDDOWN(
        MIN(
            IF(OR(ISBLANK(I40), I40=""),
                EOMONTH(DATE(LOHNTABELLE!$G$3, $A$1, 1), 0), I40)
            - MAX(D39, DATE(LOHNTABELLE!$G$3, $A$1, 1)) + 1)
        / DAY(EOMONTH(DATE(LOHNTABELLE!$G$3, $A$1, 1), 0)) * F39,
        2
    ),
    ""
)</f>
        <v>86.5</v>
      </c>
      <c r="I39" s="155"/>
      <c r="J39" s="209"/>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2" t="s">
        <v>121</v>
      </c>
      <c r="P39" s="253"/>
      <c r="Q39" s="226">
        <f>IF(Q38=0, 0, Q35/Q38)</f>
        <v>1</v>
      </c>
      <c r="R39" s="226"/>
      <c r="S39" s="226">
        <f>IF(S38=0, 0, S35/S38)</f>
        <v>1</v>
      </c>
      <c r="T39" s="226"/>
      <c r="U39" s="230">
        <f t="shared" si="2"/>
        <v>0</v>
      </c>
      <c r="V39" s="230"/>
    </row>
    <row r="40" spans="1:24" ht="16" customHeight="1">
      <c r="A40" s="130" t="s">
        <v>122</v>
      </c>
      <c r="B40" s="170">
        <v>401723</v>
      </c>
      <c r="C40" s="132" t="s">
        <v>299</v>
      </c>
      <c r="D40" s="133">
        <v>45852</v>
      </c>
      <c r="E40" s="134" t="s">
        <v>4</v>
      </c>
      <c r="F40" s="136">
        <v>86.5</v>
      </c>
      <c r="G40" s="206">
        <v>1010.5</v>
      </c>
      <c r="H40" s="158">
        <f>IF(AND(ISNUMBER(D40), ISNUMBER(F40)),
    ROUNDDOWN(
        MIN(
            IF(OR(ISBLANK(I40), I40=""),
                EOMONTH(DATE(LOHNTABELLE!$G$3, $A$1, 1), 0), I40)
            - MAX(D40, DATE(LOHNTABELLE!$G$3, $A$1, 1)) + 1)
        / DAY(EOMONTH(DATE(LOHNTABELLE!$G$3, $A$1, 1), 0)) * F40,
        2
    ),
    ""
)</f>
        <v>86.5</v>
      </c>
      <c r="I40" s="155"/>
      <c r="J40" s="209"/>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2" t="s">
        <v>123</v>
      </c>
      <c r="P40" s="253"/>
      <c r="Q40" s="226">
        <f>IF(Q13=0, 0, Q35/Q13)</f>
        <v>1.3347927066926506E-4</v>
      </c>
      <c r="R40" s="226"/>
      <c r="S40" s="226">
        <f>IF(Q13=0, 0, S35/Q13)</f>
        <v>1.3347927066926506E-4</v>
      </c>
      <c r="T40" s="226"/>
      <c r="U40" s="230">
        <f t="shared" si="2"/>
        <v>0</v>
      </c>
      <c r="V40" s="230"/>
    </row>
    <row r="41" spans="1:24" ht="16" customHeight="1">
      <c r="A41" s="131" t="s">
        <v>124</v>
      </c>
      <c r="B41" s="170">
        <v>401726</v>
      </c>
      <c r="C41" s="132" t="s">
        <v>300</v>
      </c>
      <c r="D41" s="133">
        <v>45870</v>
      </c>
      <c r="E41" s="134" t="s">
        <v>4</v>
      </c>
      <c r="F41" s="136">
        <v>86.5</v>
      </c>
      <c r="G41" s="206">
        <v>1010.5</v>
      </c>
      <c r="H41" s="158">
        <f>IF(AND(ISNUMBER(D41), ISNUMBER(F41)),
    ROUNDDOWN(
        MIN(
            IF(OR(ISBLANK(I41), I41=""),
                EOMONTH(DATE(LOHNTABELLE!$G$3, $A$1, 1), 0), I41)
            - MAX(D41, DATE(LOHNTABELLE!$G$3, $A$1, 1)) + 1)
        / DAY(EOMONTH(DATE(LOHNTABELLE!$G$3, $A$1, 1), 0)) * F41,
        2
    ),
    ""
)</f>
        <v>86.5</v>
      </c>
      <c r="I41" s="155"/>
      <c r="J41" s="209"/>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2" t="s">
        <v>125</v>
      </c>
      <c r="P41" s="253"/>
      <c r="Q41" s="227">
        <f>IF(Q13=0, 0, Q38/Q13)</f>
        <v>1.3347927066926506E-4</v>
      </c>
      <c r="R41" s="227"/>
      <c r="S41" s="227">
        <f>IF(Q13=0, 0, S38/Q13)</f>
        <v>1.3347927066926506E-4</v>
      </c>
      <c r="T41" s="227"/>
      <c r="U41" s="231">
        <f t="shared" si="2"/>
        <v>0</v>
      </c>
      <c r="V41" s="231"/>
    </row>
    <row r="42" spans="1:24" ht="16" customHeight="1">
      <c r="A42" s="130" t="s">
        <v>126</v>
      </c>
      <c r="B42" s="170">
        <v>401731</v>
      </c>
      <c r="C42" s="132" t="s">
        <v>301</v>
      </c>
      <c r="D42" s="133">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155"/>
      <c r="J42" s="209"/>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2" t="s">
        <v>127</v>
      </c>
      <c r="P42" s="253"/>
      <c r="Q42" s="223">
        <f>IFERROR(Q17/Q8, 0)</f>
        <v>12.022579497412114</v>
      </c>
      <c r="R42" s="224"/>
      <c r="S42" s="224"/>
      <c r="T42" s="224"/>
      <c r="U42" s="224"/>
      <c r="V42" s="225"/>
    </row>
    <row r="43" spans="1:24" ht="16" customHeight="1">
      <c r="A43" s="130" t="s">
        <v>128</v>
      </c>
      <c r="B43" s="170">
        <v>401730</v>
      </c>
      <c r="C43" s="132" t="s">
        <v>302</v>
      </c>
      <c r="D43" s="133">
        <v>45895</v>
      </c>
      <c r="E43" s="134" t="s">
        <v>4</v>
      </c>
      <c r="F43" s="136">
        <v>86.5</v>
      </c>
      <c r="G43" s="206">
        <v>1010.5</v>
      </c>
      <c r="H43" s="158">
        <f>IF(AND(ISNUMBER(D43), ISNUMBER(F43)),
    ROUNDDOWN(
        MIN(
            IF(OR(ISBLANK(I43), I43=""),
                EOMONTH(DATE(LOHNTABELLE!$G$3, $A$1, 1), 0), I43)
            - MAX(D43, DATE(LOHNTABELLE!$G$3, $A$1, 1)) + 1)
        / DAY(EOMONTH(DATE(LOHNTABELLE!$G$3, $A$1, 1), 0)) * F43,
        2
    ),
    ""
)</f>
        <v>86.5</v>
      </c>
      <c r="I43" s="155"/>
      <c r="J43" s="209"/>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206">
        <v>1010.5</v>
      </c>
      <c r="H44" s="158">
        <f>IF(AND(ISNUMBER(D44), ISNUMBER(F44)),
    ROUNDDOWN(
        MIN(
            IF(OR(ISBLANK(I44), I44=""),
                EOMONTH(DATE(LOHNTABELLE!$G$3, $A$1, 1), 0), I44)
            - MAX(D44, DATE(LOHNTABELLE!$G$3, $A$1, 1)) + 1)
        / DAY(EOMONTH(DATE(LOHNTABELLE!$G$3, $A$1, 1), 0)) * F44,
        2
    ),
    ""
)</f>
        <v>86.5</v>
      </c>
      <c r="I44" s="155"/>
      <c r="J44" s="209"/>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155"/>
      <c r="J45" s="209"/>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206">
        <v>1010.5</v>
      </c>
      <c r="H46" s="158">
        <f>IF(AND(ISNUMBER(D46), ISNUMBER(F46)),
    ROUNDDOWN(
        MIN(
            IF(OR(ISBLANK(I46), I46=""),
                EOMONTH(DATE(LOHNTABELLE!$G$3, $A$1, 1), 0), I46)
            - MAX(D46, DATE(LOHNTABELLE!$G$3, $A$1, 1)) + 1)
        / DAY(EOMONTH(DATE(LOHNTABELLE!$G$3, $A$1, 1), 0)) * F46,
        2
    ),
    ""
)</f>
        <v>86.5</v>
      </c>
      <c r="I46" s="155"/>
      <c r="J46" s="209"/>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206">
        <v>1010.5</v>
      </c>
      <c r="H47" s="158">
        <f>IF(AND(ISNUMBER(D47), ISNUMBER(F47)),
    ROUNDDOWN(
        MIN(
            IF(OR(ISBLANK(I47), I47=""),
                EOMONTH(DATE(LOHNTABELLE!$G$3, $A$1, 1), 0), I47)
            - MAX(D47, DATE(LOHNTABELLE!$G$3, $A$1, 1)) + 1)
        / DAY(EOMONTH(DATE(LOHNTABELLE!$G$3, $A$1, 1), 0)) * F47,
        2
    ),
    ""
)</f>
        <v>86.5</v>
      </c>
      <c r="I47" s="155"/>
      <c r="J47" s="209"/>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155"/>
      <c r="J48" s="209"/>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155"/>
      <c r="J49" s="209"/>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155"/>
      <c r="J50" s="209"/>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206">
        <v>1010.5</v>
      </c>
      <c r="H51" s="158">
        <f>IF(AND(ISNUMBER(D51), ISNUMBER(F51)),
    ROUNDDOWN(
        MIN(
            IF(OR(ISBLANK(I51), I51=""),
                EOMONTH(DATE(LOHNTABELLE!$G$3, $A$1, 1), 0), I51)
            - MAX(D51, DATE(LOHNTABELLE!$G$3, $A$1, 1)) + 1)
        / DAY(EOMONTH(DATE(LOHNTABELLE!$G$3, $A$1, 1), 0)) * F51,
        2
    ),
    ""
)</f>
        <v>86.5</v>
      </c>
      <c r="I51" s="155"/>
      <c r="J51" s="209"/>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206">
        <v>1010.5</v>
      </c>
      <c r="H52" s="158">
        <f>IF(AND(ISNUMBER(D52), ISNUMBER(F52)),
    ROUNDDOWN(
        MIN(
            IF(OR(ISBLANK(I52), I52=""),
                EOMONTH(DATE(LOHNTABELLE!$G$3, $A$1, 1), 0), I52)
            - MAX(D52, DATE(LOHNTABELLE!$G$3, $A$1, 1)) + 1)
        / DAY(EOMONTH(DATE(LOHNTABELLE!$G$3, $A$1, 1), 0)) * F52,
        2
    ),
    ""
)</f>
        <v>86.5</v>
      </c>
      <c r="I52" s="155"/>
      <c r="J52" s="209"/>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206">
        <v>1010.5</v>
      </c>
      <c r="H53" s="158">
        <f>IF(AND(ISNUMBER(D53), ISNUMBER(F53)),
    ROUNDDOWN(
        MIN(
            IF(OR(ISBLANK(I53), I53=""),
                EOMONTH(DATE(LOHNTABELLE!$G$3, $A$1, 1), 0), I53)
            - MAX(D53, DATE(LOHNTABELLE!$G$3, $A$1, 1)) + 1)
        / DAY(EOMONTH(DATE(LOHNTABELLE!$G$3, $A$1, 1), 0)) * F53,
        2
    ),
    ""
)</f>
        <v>86.5</v>
      </c>
      <c r="I53" s="155"/>
      <c r="J53" s="209"/>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206">
        <v>1010.5</v>
      </c>
      <c r="H54" s="158">
        <f>IF(AND(ISNUMBER(D54), ISNUMBER(F54)),
    ROUNDDOWN(
        MIN(
            IF(OR(ISBLANK(I54), I54=""),
                EOMONTH(DATE(LOHNTABELLE!$G$3, $A$1, 1), 0), I54)
            - MAX(D54, DATE(LOHNTABELLE!$G$3, $A$1, 1)) + 1)
        / DAY(EOMONTH(DATE(LOHNTABELLE!$G$3, $A$1, 1), 0)) * F54,
        2
    ),
    ""
)</f>
        <v>86.5</v>
      </c>
      <c r="I54" s="155"/>
      <c r="J54" s="209"/>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206"/>
      <c r="H55" s="158" t="str">
        <f>IF(AND(ISNUMBER(D55), ISNUMBER(F55)),
    ROUNDDOWN(
        MIN(
            IF(OR(ISBLANK(I55), I55=""),
                EOMONTH(DATE(LOHNTABELLE!$G$3, $A$1, 1), 0), I55)
            - MAX(D55, DATE(LOHNTABELLE!$G$3, $A$1, 1)) + 1)
        / DAY(EOMONTH(DATE(LOHNTABELLE!$G$3, $A$1, 1), 0)) * F55,
        2
    ),
    ""
)</f>
        <v/>
      </c>
      <c r="I55" s="155"/>
      <c r="J55" s="209"/>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206"/>
      <c r="H56" s="158" t="str">
        <f>IF(AND(ISNUMBER(D56), ISNUMBER(F56)),
    ROUNDDOWN(
        MIN(
            IF(OR(ISBLANK(I56), I56=""),
                EOMONTH(DATE(LOHNTABELLE!$G$3, $A$1, 1), 0), I56)
            - MAX(D56, DATE(LOHNTABELLE!$G$3, $A$1, 1)) + 1)
        / DAY(EOMONTH(DATE(LOHNTABELLE!$G$3, $A$1, 1), 0)) * F56,
        2
    ),
    ""
)</f>
        <v/>
      </c>
      <c r="I56" s="155"/>
      <c r="J56" s="209"/>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206"/>
      <c r="H57" s="158" t="str">
        <f>IF(AND(ISNUMBER(D57), ISNUMBER(F57)),
    ROUNDDOWN(
        MIN(
            IF(OR(ISBLANK(I57), I57=""),
                EOMONTH(DATE(LOHNTABELLE!$G$3, $A$1, 1), 0), I57)
            - MAX(D57, DATE(LOHNTABELLE!$G$3, $A$1, 1)) + 1)
        / DAY(EOMONTH(DATE(LOHNTABELLE!$G$3, $A$1, 1), 0)) * F57,
        2
    ),
    ""
)</f>
        <v/>
      </c>
      <c r="I57" s="155"/>
      <c r="J57" s="209"/>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206"/>
      <c r="H58" s="158" t="str">
        <f>IF(AND(ISNUMBER(D58), ISNUMBER(F58)),
    ROUNDDOWN(
        MIN(
            IF(OR(ISBLANK(I58), I58=""),
                EOMONTH(DATE(LOHNTABELLE!$G$3, $A$1, 1), 0), I58)
            - MAX(D58, DATE(LOHNTABELLE!$G$3, $A$1, 1)) + 1)
        / DAY(EOMONTH(DATE(LOHNTABELLE!$G$3, $A$1, 1), 0)) * F58,
        2
    ),
    ""
)</f>
        <v/>
      </c>
      <c r="I58" s="155"/>
      <c r="J58" s="209"/>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206"/>
      <c r="H59" s="158" t="str">
        <f>IF(AND(ISNUMBER(D59), ISNUMBER(F59)),
    ROUNDDOWN(
        MIN(
            IF(OR(ISBLANK(I59), I59=""),
                EOMONTH(DATE(LOHNTABELLE!$G$3, $A$1, 1), 0), I59)
            - MAX(D59, DATE(LOHNTABELLE!$G$3, $A$1, 1)) + 1)
        / DAY(EOMONTH(DATE(LOHNTABELLE!$G$3, $A$1, 1), 0)) * F59,
        2
    ),
    ""
)</f>
        <v/>
      </c>
      <c r="I59" s="155"/>
      <c r="J59" s="209"/>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206"/>
      <c r="H60" s="158" t="str">
        <f>IF(AND(ISNUMBER(D60), ISNUMBER(F60)),
    ROUNDDOWN(
        MIN(
            IF(OR(ISBLANK(I60), I60=""),
                EOMONTH(DATE(LOHNTABELLE!$G$3, $A$1, 1), 0), I60)
            - MAX(D60, DATE(LOHNTABELLE!$G$3, $A$1, 1)) + 1)
        / DAY(EOMONTH(DATE(LOHNTABELLE!$G$3, $A$1, 1), 0)) * F60,
        2
    ),
    ""
)</f>
        <v/>
      </c>
      <c r="I60" s="155"/>
      <c r="J60" s="209"/>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206"/>
      <c r="H61" s="158" t="str">
        <f>IF(AND(ISNUMBER(D61), ISNUMBER(F61)),
    ROUNDDOWN(
        MIN(
            IF(OR(ISBLANK(I61), I61=""),
                EOMONTH(DATE(LOHNTABELLE!$G$3, $A$1, 1), 0), I61)
            - MAX(D61, DATE(LOHNTABELLE!$G$3, $A$1, 1)) + 1)
        / DAY(EOMONTH(DATE(LOHNTABELLE!$G$3, $A$1, 1), 0)) * F61,
        2
    ),
    ""
)</f>
        <v/>
      </c>
      <c r="I61" s="155"/>
      <c r="J61" s="209"/>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206"/>
      <c r="H62" s="158" t="str">
        <f>IF(AND(ISNUMBER(D62), ISNUMBER(F62)),
    ROUNDDOWN(
        MIN(
            IF(OR(ISBLANK(I62), I62=""),
                EOMONTH(DATE(LOHNTABELLE!$G$3, $A$1, 1), 0), I62)
            - MAX(D62, DATE(LOHNTABELLE!$G$3, $A$1, 1)) + 1)
        / DAY(EOMONTH(DATE(LOHNTABELLE!$G$3, $A$1, 1), 0)) * F62,
        2
    ),
    ""
)</f>
        <v/>
      </c>
      <c r="I62" s="155"/>
      <c r="J62" s="209"/>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206"/>
      <c r="H63" s="158" t="str">
        <f>IF(AND(ISNUMBER(D63), ISNUMBER(F63)),
    ROUNDDOWN(
        MIN(
            IF(OR(ISBLANK(I63), I63=""),
                EOMONTH(DATE(LOHNTABELLE!$G$3, $A$1, 1), 0), I63)
            - MAX(D63, DATE(LOHNTABELLE!$G$3, $A$1, 1)) + 1)
        / DAY(EOMONTH(DATE(LOHNTABELLE!$G$3, $A$1, 1), 0)) * F63,
        2
    ),
    ""
)</f>
        <v/>
      </c>
      <c r="I63" s="155"/>
      <c r="J63" s="209"/>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206"/>
      <c r="H64" s="158" t="str">
        <f>IF(AND(ISNUMBER(D64), ISNUMBER(F64)),
    ROUNDDOWN(
        MIN(
            IF(OR(ISBLANK(I64), I64=""),
                EOMONTH(DATE(LOHNTABELLE!$G$3, $A$1, 1), 0), I64)
            - MAX(D64, DATE(LOHNTABELLE!$G$3, $A$1, 1)) + 1)
        / DAY(EOMONTH(DATE(LOHNTABELLE!$G$3, $A$1, 1), 0)) * F64,
        2
    ),
    ""
)</f>
        <v/>
      </c>
      <c r="I64" s="155"/>
      <c r="J64" s="209"/>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206"/>
      <c r="H65" s="158" t="str">
        <f>IF(AND(ISNUMBER(D65), ISNUMBER(F65)),
    ROUNDDOWN(
        MIN(
            IF(OR(ISBLANK(I65), I65=""),
                EOMONTH(DATE(LOHNTABELLE!$G$3, $A$1, 1), 0), I65)
            - MAX(D65, DATE(LOHNTABELLE!$G$3, $A$1, 1)) + 1)
        / DAY(EOMONTH(DATE(LOHNTABELLE!$G$3, $A$1, 1), 0)) * F65,
        2
    ),
    ""
)</f>
        <v/>
      </c>
      <c r="I65" s="155"/>
      <c r="J65" s="209"/>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206"/>
      <c r="H66" s="158" t="str">
        <f>IF(AND(ISNUMBER(D66), ISNUMBER(F66)),
    ROUNDDOWN(
        MIN(
            IF(OR(ISBLANK(I66), I66=""),
                EOMONTH(DATE(LOHNTABELLE!$G$3, $A$1, 1), 0), I66)
            - MAX(D66, DATE(LOHNTABELLE!$G$3, $A$1, 1)) + 1)
        / DAY(EOMONTH(DATE(LOHNTABELLE!$G$3, $A$1, 1), 0)) * F66,
        2
    ),
    ""
)</f>
        <v/>
      </c>
      <c r="I66" s="155"/>
      <c r="J66" s="209"/>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206"/>
      <c r="H67" s="158" t="str">
        <f>IF(AND(ISNUMBER(D67), ISNUMBER(F67)),
    ROUNDDOWN(
        MIN(
            IF(OR(ISBLANK(I67), I67=""),
                EOMONTH(DATE(LOHNTABELLE!$G$3, $A$1, 1), 0), I67)
            - MAX(D67, DATE(LOHNTABELLE!$G$3, $A$1, 1)) + 1)
        / DAY(EOMONTH(DATE(LOHNTABELLE!$G$3, $A$1, 1), 0)) * F67,
        2
    ),
    ""
)</f>
        <v/>
      </c>
      <c r="I67" s="155"/>
      <c r="J67" s="209"/>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206"/>
      <c r="H68" s="158" t="str">
        <f>IF(AND(ISNUMBER(D68), ISNUMBER(F68)),
    ROUNDDOWN(
        MIN(
            IF(OR(ISBLANK(I68), I68=""),
                EOMONTH(DATE(LOHNTABELLE!$G$3, $A$1, 1), 0), I68)
            - MAX(D68, DATE(LOHNTABELLE!$G$3, $A$1, 1)) + 1)
        / DAY(EOMONTH(DATE(LOHNTABELLE!$G$3, $A$1, 1), 0)) * F68,
        2
    ),
    ""
)</f>
        <v/>
      </c>
      <c r="I68" s="155"/>
      <c r="J68" s="209"/>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206"/>
      <c r="H69" s="158" t="str">
        <f>IF(AND(ISNUMBER(D69), ISNUMBER(F69)),
    ROUNDDOWN(
        MIN(
            IF(OR(ISBLANK(I69), I69=""),
                EOMONTH(DATE(LOHNTABELLE!$G$3, $A$1, 1), 0), I69)
            - MAX(D69, DATE(LOHNTABELLE!$G$3, $A$1, 1)) + 1)
        / DAY(EOMONTH(DATE(LOHNTABELLE!$G$3, $A$1, 1), 0)) * F69,
        2
    ),
    ""
)</f>
        <v/>
      </c>
      <c r="I69" s="155"/>
      <c r="J69" s="209"/>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206"/>
      <c r="H70" s="158" t="str">
        <f>IF(AND(ISNUMBER(D70), ISNUMBER(F70)),
    ROUNDDOWN(
        MIN(
            IF(OR(ISBLANK(I70), I70=""),
                EOMONTH(DATE(LOHNTABELLE!$G$3, $A$1, 1), 0), I70)
            - MAX(D70, DATE(LOHNTABELLE!$G$3, $A$1, 1)) + 1)
        / DAY(EOMONTH(DATE(LOHNTABELLE!$G$3, $A$1, 1), 0)) * F70,
        2
    ),
    ""
)</f>
        <v/>
      </c>
      <c r="I70" s="155"/>
      <c r="J70" s="209"/>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206"/>
      <c r="H71" s="158" t="str">
        <f>IF(AND(ISNUMBER(D71), ISNUMBER(F71)),
    ROUNDDOWN(
        MIN(
            IF(OR(ISBLANK(I71), I71=""),
                EOMONTH(DATE(LOHNTABELLE!$G$3, $A$1, 1), 0), I71)
            - MAX(D71, DATE(LOHNTABELLE!$G$3, $A$1, 1)) + 1)
        / DAY(EOMONTH(DATE(LOHNTABELLE!$G$3, $A$1, 1), 0)) * F71,
        2
    ),
    ""
)</f>
        <v/>
      </c>
      <c r="I71" s="155"/>
      <c r="J71" s="209"/>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206"/>
      <c r="H72" s="158" t="str">
        <f>IF(AND(ISNUMBER(D72), ISNUMBER(F72)),
    ROUNDDOWN(
        MIN(
            IF(OR(ISBLANK(I72), I72=""),
                EOMONTH(DATE(LOHNTABELLE!$G$3, $A$1, 1), 0), I72)
            - MAX(D72, DATE(LOHNTABELLE!$G$3, $A$1, 1)) + 1)
        / DAY(EOMONTH(DATE(LOHNTABELLE!$G$3, $A$1, 1), 0)) * F72,
        2
    ),
    ""
)</f>
        <v/>
      </c>
      <c r="I72" s="155"/>
      <c r="J72" s="209"/>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206"/>
      <c r="H73" s="158" t="str">
        <f>IF(AND(ISNUMBER(D73), ISNUMBER(F73)),
    ROUNDDOWN(
        MIN(
            IF(OR(ISBLANK(I73), I73=""),
                EOMONTH(DATE(LOHNTABELLE!$G$3, $A$1, 1), 0), I73)
            - MAX(D73, DATE(LOHNTABELLE!$G$3, $A$1, 1)) + 1)
        / DAY(EOMONTH(DATE(LOHNTABELLE!$G$3, $A$1, 1), 0)) * F73,
        2
    ),
    ""
)</f>
        <v/>
      </c>
      <c r="I73" s="155"/>
      <c r="J73" s="209"/>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206"/>
      <c r="H74" s="158" t="str">
        <f>IF(AND(ISNUMBER(D74), ISNUMBER(F74)),
    ROUNDDOWN(
        MIN(
            IF(OR(ISBLANK(I74), I74=""),
                EOMONTH(DATE(LOHNTABELLE!$G$3, $A$1, 1), 0), I74)
            - MAX(D74, DATE(LOHNTABELLE!$G$3, $A$1, 1)) + 1)
        / DAY(EOMONTH(DATE(LOHNTABELLE!$G$3, $A$1, 1), 0)) * F74,
        2
    ),
    ""
)</f>
        <v/>
      </c>
      <c r="I74" s="155"/>
      <c r="J74" s="209"/>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206"/>
      <c r="H75" s="158" t="str">
        <f>IF(AND(ISNUMBER(D75), ISNUMBER(F75)),
    ROUNDDOWN(
        MIN(
            IF(OR(ISBLANK(I75), I75=""),
                EOMONTH(DATE(LOHNTABELLE!$G$3, $A$1, 1), 0), I75)
            - MAX(D75, DATE(LOHNTABELLE!$G$3, $A$1, 1)) + 1)
        / DAY(EOMONTH(DATE(LOHNTABELLE!$G$3, $A$1, 1), 0)) * F75,
        2
    ),
    ""
)</f>
        <v/>
      </c>
      <c r="I75" s="155"/>
      <c r="J75" s="209"/>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206"/>
      <c r="H76" s="158" t="str">
        <f>IF(AND(ISNUMBER(D76), ISNUMBER(F76)),
    ROUNDDOWN(
        MIN(
            IF(OR(ISBLANK(I76), I76=""),
                EOMONTH(DATE(LOHNTABELLE!$G$3, $A$1, 1), 0), I76)
            - MAX(D76, DATE(LOHNTABELLE!$G$3, $A$1, 1)) + 1)
        / DAY(EOMONTH(DATE(LOHNTABELLE!$G$3, $A$1, 1), 0)) * F76,
        2
    ),
    ""
)</f>
        <v/>
      </c>
      <c r="I76" s="155"/>
      <c r="J76" s="209"/>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206"/>
      <c r="H77" s="158" t="str">
        <f>IF(AND(ISNUMBER(D77), ISNUMBER(F77)),
    ROUNDDOWN(
        MIN(
            IF(OR(ISBLANK(I77), I77=""),
                EOMONTH(DATE(LOHNTABELLE!$G$3, $A$1, 1), 0), I77)
            - MAX(D77, DATE(LOHNTABELLE!$G$3, $A$1, 1)) + 1)
        / DAY(EOMONTH(DATE(LOHNTABELLE!$G$3, $A$1, 1), 0)) * F77,
        2
    ),
    ""
)</f>
        <v/>
      </c>
      <c r="I77" s="155"/>
      <c r="J77" s="209"/>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206"/>
      <c r="H78" s="158" t="str">
        <f>IF(AND(ISNUMBER(D78), ISNUMBER(F78)),
    ROUNDDOWN(
        MIN(
            IF(OR(ISBLANK(I78), I78=""),
                EOMONTH(DATE(LOHNTABELLE!$G$3, $A$1, 1), 0), I78)
            - MAX(D78, DATE(LOHNTABELLE!$G$3, $A$1, 1)) + 1)
        / DAY(EOMONTH(DATE(LOHNTABELLE!$G$3, $A$1, 1), 0)) * F78,
        2
    ),
    ""
)</f>
        <v/>
      </c>
      <c r="I78" s="155"/>
      <c r="J78" s="209"/>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206"/>
      <c r="H79" s="158" t="str">
        <f>IF(AND(ISNUMBER(D79), ISNUMBER(F79)),
    ROUNDDOWN(
        MIN(
            IF(OR(ISBLANK(I79), I79=""),
                EOMONTH(DATE(LOHNTABELLE!$G$3, $A$1, 1), 0), I79)
            - MAX(D79, DATE(LOHNTABELLE!$G$3, $A$1, 1)) + 1)
        / DAY(EOMONTH(DATE(LOHNTABELLE!$G$3, $A$1, 1), 0)) * F79,
        2
    ),
    ""
)</f>
        <v/>
      </c>
      <c r="I79" s="155"/>
      <c r="J79" s="209"/>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206"/>
      <c r="H80" s="158" t="str">
        <f>IF(AND(ISNUMBER(D80), ISNUMBER(F80)),
    ROUNDDOWN(
        MIN(
            IF(OR(ISBLANK(I80), I80=""),
                EOMONTH(DATE(LOHNTABELLE!$G$3, $A$1, 1), 0), I80)
            - MAX(D80, DATE(LOHNTABELLE!$G$3, $A$1, 1)) + 1)
        / DAY(EOMONTH(DATE(LOHNTABELLE!$G$3, $A$1, 1), 0)) * F80,
        2
    ),
    ""
)</f>
        <v/>
      </c>
      <c r="I80" s="155"/>
      <c r="J80" s="209"/>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206"/>
      <c r="H81" s="158" t="str">
        <f>IF(AND(ISNUMBER(D81), ISNUMBER(F81)),
    ROUNDDOWN(
        MIN(
            IF(OR(ISBLANK(I81), I81=""),
                EOMONTH(DATE(LOHNTABELLE!$G$3, $A$1, 1), 0), I81)
            - MAX(D81, DATE(LOHNTABELLE!$G$3, $A$1, 1)) + 1)
        / DAY(EOMONTH(DATE(LOHNTABELLE!$G$3, $A$1, 1), 0)) * F81,
        2
    ),
    ""
)</f>
        <v/>
      </c>
      <c r="I81" s="155"/>
      <c r="J81" s="209"/>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207"/>
      <c r="H82" s="159" t="str">
        <f>IF(AND(ISNUMBER(D82), ISNUMBER(F82)),
    ROUNDDOWN(
        MIN(
            IF(OR(ISBLANK(I82), I82=""),
                EOMONTH(DATE(LOHNTABELLE!$G$3, $A$1, 1), 0), I82)
            - MAX(D82, DATE(LOHNTABELLE!$G$3, $A$1, 1)) + 1)
        / DAY(EOMONTH(DATE(LOHNTABELLE!$G$3, $A$1, 1), 0)) * F82,
        2
    ),
    ""
)</f>
        <v/>
      </c>
      <c r="I82" s="156"/>
      <c r="J82" s="210"/>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39"/>
      <c r="L114" s="339"/>
      <c r="M114" s="339"/>
      <c r="N114" s="127"/>
    </row>
    <row r="115" spans="11:14" ht="16" customHeight="1">
      <c r="K115" s="339"/>
      <c r="L115" s="339"/>
      <c r="M115" s="339"/>
      <c r="N115" s="127"/>
    </row>
    <row r="116" spans="11:14" ht="16" customHeight="1">
      <c r="K116" s="335"/>
      <c r="L116" s="335"/>
      <c r="M116" s="78"/>
      <c r="N116" s="78"/>
    </row>
    <row r="117" spans="11:14" ht="16" customHeight="1">
      <c r="K117" s="335"/>
      <c r="L117" s="335"/>
      <c r="M117" s="78"/>
      <c r="N117" s="78"/>
    </row>
    <row r="118" spans="11:14" ht="16" customHeight="1">
      <c r="K118" s="340"/>
      <c r="L118" s="340"/>
      <c r="M118" s="79"/>
      <c r="N118" s="79"/>
    </row>
    <row r="119" spans="11:14" ht="16" customHeight="1">
      <c r="K119" s="336"/>
      <c r="L119" s="336"/>
      <c r="M119" s="80"/>
      <c r="N119" s="80"/>
    </row>
    <row r="120" spans="11:14" ht="16" customHeight="1">
      <c r="K120" s="335"/>
      <c r="L120" s="335"/>
      <c r="M120" s="78"/>
      <c r="N120" s="78"/>
    </row>
    <row r="121" spans="11:14" ht="16" customHeight="1">
      <c r="K121" s="335"/>
      <c r="L121" s="335"/>
      <c r="M121" s="78"/>
      <c r="N121" s="78"/>
    </row>
    <row r="122" spans="11:14" ht="16" customHeight="1">
      <c r="K122" s="336"/>
      <c r="L122" s="336"/>
      <c r="M122" s="80"/>
      <c r="N122" s="80"/>
    </row>
    <row r="123" spans="11:14" ht="16" customHeight="1">
      <c r="K123" s="81"/>
      <c r="L123" s="81"/>
      <c r="M123" s="81"/>
      <c r="N123" s="81"/>
    </row>
  </sheetData>
  <sheetProtection algorithmName="SHA-512" hashValue="aCT3M9WoBYxqhrc1CQTglKQdamUIcVPIMeb1Pqvqq9TT1NjqCTGym2RsCH2hv3KxRn1q+mb4tTUn4kc3xyxF0A==" saltValue="D70LXpxOtD2N4I12OZYGXQ=="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LD89PaB9cYh2iPwmn7Aa/8ZrL5AMXS2C1FAYKMrEUHFTJmz5zrL/QVpAD+2Lot99W+xDhO0WljobU2L71cRqPg==" saltValue="StiH/7IH5bzxdYrSuJgo1w=="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90" t="s">
        <v>205</v>
      </c>
      <c r="C1" s="302" t="s">
        <v>52</v>
      </c>
      <c r="D1" s="274" t="s">
        <v>206</v>
      </c>
      <c r="E1" s="274" t="s">
        <v>0</v>
      </c>
      <c r="F1" s="274" t="s">
        <v>53</v>
      </c>
      <c r="G1" s="276" t="s">
        <v>54</v>
      </c>
      <c r="H1" s="293" t="s">
        <v>55</v>
      </c>
      <c r="I1" s="278" t="s">
        <v>207</v>
      </c>
      <c r="J1" s="280" t="s">
        <v>56</v>
      </c>
      <c r="K1" s="282" t="s">
        <v>57</v>
      </c>
      <c r="L1" s="284" t="s">
        <v>58</v>
      </c>
      <c r="M1" s="286" t="s">
        <v>59</v>
      </c>
      <c r="N1" s="291" t="s">
        <v>208</v>
      </c>
      <c r="AB1" s="41">
        <f>DATE(LOHNTABELLE!$G$3, $A$1, 1)</f>
        <v>46054</v>
      </c>
    </row>
    <row r="2" spans="1:28" ht="16" customHeight="1" thickBot="1">
      <c r="A2" s="129"/>
      <c r="B2" s="290"/>
      <c r="C2" s="303"/>
      <c r="D2" s="275"/>
      <c r="E2" s="275"/>
      <c r="F2" s="275"/>
      <c r="G2" s="277"/>
      <c r="H2" s="294"/>
      <c r="I2" s="279"/>
      <c r="J2" s="281"/>
      <c r="K2" s="283"/>
      <c r="L2" s="285"/>
      <c r="M2" s="287"/>
      <c r="N2" s="291"/>
      <c r="AB2" s="41">
        <f>EOMONTH(DATE(LOHNTABELLE!$G$3, $A$1, 1), 0)</f>
        <v>46081</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8" t="s">
        <v>61</v>
      </c>
      <c r="P3" s="288" t="s">
        <v>62</v>
      </c>
      <c r="Q3" s="295" t="s">
        <v>63</v>
      </c>
      <c r="R3" s="297"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9"/>
      <c r="P4" s="289"/>
      <c r="Q4" s="296"/>
      <c r="R4" s="298"/>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717.87562795652207</v>
      </c>
      <c r="P5" s="49">
        <f>EINSTELLUNG!I7</f>
        <v>2</v>
      </c>
      <c r="Q5" s="48">
        <f>P5-O5</f>
        <v>-715.87562795652207</v>
      </c>
      <c r="R5" s="52">
        <f>IFERROR(Q5*Q42, 0)</f>
        <v>-8603.3064948166466</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78" t="str">
        <f>IF(Q5&lt;0, "Schlecht! Zu wenig Urlaub abgebaut.", IF(Q5&gt;0, "Gut! Mehr Urlaub abgebaut als aufgebaut.", ""))</f>
        <v>Schlecht! Zu wenig Urlaub abgebaut.</v>
      </c>
      <c r="P6" s="378"/>
      <c r="Q6" s="378"/>
      <c r="R6" s="378"/>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76" t="s">
        <v>70</v>
      </c>
      <c r="P8" s="254"/>
      <c r="Q8" s="374">
        <f>SUM(H3:H82)</f>
        <v>7439</v>
      </c>
      <c r="R8" s="375"/>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76" t="s">
        <v>72</v>
      </c>
      <c r="P9" s="254"/>
      <c r="Q9" s="374">
        <f>EINSTELLUNG!L23</f>
        <v>2</v>
      </c>
      <c r="R9" s="375"/>
      <c r="S9" s="53">
        <f>IFERROR(Q9/Q8, 0)</f>
        <v>2.6885334050275576E-4</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76" t="s">
        <v>74</v>
      </c>
      <c r="P10" s="254"/>
      <c r="Q10" s="374">
        <f>EINSTELLUNG!I23</f>
        <v>2</v>
      </c>
      <c r="R10" s="375"/>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76" t="s">
        <v>76</v>
      </c>
      <c r="P11" s="254"/>
      <c r="Q11" s="374">
        <f>P5</f>
        <v>2</v>
      </c>
      <c r="R11" s="375"/>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76" t="s">
        <v>80</v>
      </c>
      <c r="P12" s="254"/>
      <c r="Q12" s="374">
        <f>Q8-Q9-Q10-Q11</f>
        <v>7433</v>
      </c>
      <c r="R12" s="375"/>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76" t="s">
        <v>82</v>
      </c>
      <c r="P13" s="254"/>
      <c r="Q13" s="374">
        <f>EINSTELLUNG!L7</f>
        <v>2</v>
      </c>
      <c r="R13" s="375"/>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76" t="s">
        <v>84</v>
      </c>
      <c r="P14" s="254"/>
      <c r="Q14" s="374">
        <f>Q12-Q13</f>
        <v>7431</v>
      </c>
      <c r="R14" s="375"/>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7" t="str">
        <f>IF(Q14&lt;0, "Schlecht! Zu wenig Stunden für Dienstplan.", IF(Q14&gt;0, "Du hast mehr als genug Stunden für Dienstplan.", ""))</f>
        <v>Du hast mehr als genug Stunden für Dienstplan.</v>
      </c>
      <c r="P15" s="377"/>
      <c r="Q15" s="377"/>
      <c r="R15" s="377"/>
      <c r="S15" s="100"/>
      <c r="T15" s="100"/>
      <c r="U15" s="100"/>
    </row>
    <row r="16" spans="1:28" ht="16" customHeight="1">
      <c r="A16" s="130" t="s">
        <v>85</v>
      </c>
      <c r="B16" s="170">
        <v>401394</v>
      </c>
      <c r="C16" s="137" t="s">
        <v>272</v>
      </c>
      <c r="D16" s="217">
        <v>44379</v>
      </c>
      <c r="E16" s="134" t="s">
        <v>4</v>
      </c>
      <c r="F16" s="136">
        <v>173</v>
      </c>
      <c r="G16" s="206">
        <v>2021</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17">
        <v>44441</v>
      </c>
      <c r="E17" s="134" t="s">
        <v>4</v>
      </c>
      <c r="F17" s="136">
        <v>173</v>
      </c>
      <c r="G17" s="206">
        <v>2021</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71" t="s">
        <v>87</v>
      </c>
      <c r="P17" s="257"/>
      <c r="Q17" s="372">
        <f>SUM(L3:L82)</f>
        <v>89401</v>
      </c>
      <c r="R17" s="373"/>
      <c r="W17" s="45"/>
    </row>
    <row r="18" spans="1:29" ht="16" customHeight="1">
      <c r="A18" s="130" t="s">
        <v>88</v>
      </c>
      <c r="B18" s="170">
        <v>401476</v>
      </c>
      <c r="C18" s="137" t="s">
        <v>276</v>
      </c>
      <c r="D18" s="217">
        <v>44504</v>
      </c>
      <c r="E18" s="134" t="s">
        <v>4</v>
      </c>
      <c r="F18" s="136">
        <v>173</v>
      </c>
      <c r="G18" s="206">
        <v>2021</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51"/>
      <c r="P18" s="248"/>
      <c r="Q18" s="352"/>
      <c r="R18" s="353"/>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51"/>
      <c r="P19" s="248"/>
      <c r="Q19" s="352"/>
      <c r="R19" s="353"/>
    </row>
    <row r="20" spans="1:29" ht="16" customHeight="1">
      <c r="A20" s="130" t="s">
        <v>90</v>
      </c>
      <c r="B20" s="170">
        <v>401481</v>
      </c>
      <c r="C20" s="137" t="s">
        <v>278</v>
      </c>
      <c r="D20" s="217">
        <v>44531</v>
      </c>
      <c r="E20" s="134" t="s">
        <v>4</v>
      </c>
      <c r="F20" s="136">
        <v>173</v>
      </c>
      <c r="G20" s="206">
        <v>2021</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51"/>
      <c r="P20" s="248"/>
      <c r="Q20" s="352"/>
      <c r="R20" s="353"/>
    </row>
    <row r="21" spans="1:29" ht="16" customHeight="1">
      <c r="A21" s="131" t="s">
        <v>92</v>
      </c>
      <c r="B21" s="170">
        <v>401558</v>
      </c>
      <c r="C21" s="137" t="s">
        <v>275</v>
      </c>
      <c r="D21" s="217">
        <v>44460</v>
      </c>
      <c r="E21" s="134" t="s">
        <v>4</v>
      </c>
      <c r="F21" s="136">
        <v>173</v>
      </c>
      <c r="G21" s="206">
        <v>2021</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51" t="s">
        <v>371</v>
      </c>
      <c r="P21" s="248"/>
      <c r="Q21" s="352">
        <v>5000</v>
      </c>
      <c r="R21" s="353"/>
    </row>
    <row r="22" spans="1:29" ht="16" customHeight="1">
      <c r="A22" s="130" t="s">
        <v>93</v>
      </c>
      <c r="B22" s="170">
        <v>401564</v>
      </c>
      <c r="C22" s="137" t="s">
        <v>279</v>
      </c>
      <c r="D22" s="217">
        <v>44824</v>
      </c>
      <c r="E22" s="134" t="s">
        <v>4</v>
      </c>
      <c r="F22" s="136">
        <v>173</v>
      </c>
      <c r="G22" s="206">
        <v>2021</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51"/>
      <c r="P22" s="248"/>
      <c r="Q22" s="352"/>
      <c r="R22" s="353"/>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51"/>
      <c r="P23" s="248"/>
      <c r="Q23" s="352"/>
      <c r="R23" s="353"/>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51"/>
      <c r="P24" s="248"/>
      <c r="Q24" s="352"/>
      <c r="R24" s="353"/>
      <c r="W24" s="45"/>
    </row>
    <row r="25" spans="1:29" ht="16" customHeight="1" thickBot="1">
      <c r="A25" s="131" t="s">
        <v>96</v>
      </c>
      <c r="B25" s="170">
        <v>401602</v>
      </c>
      <c r="C25" s="137" t="s">
        <v>283</v>
      </c>
      <c r="D25" s="217">
        <v>45975</v>
      </c>
      <c r="E25" s="134" t="s">
        <v>4</v>
      </c>
      <c r="F25" s="136">
        <v>173</v>
      </c>
      <c r="G25" s="206">
        <v>2021</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65"/>
      <c r="P25" s="265"/>
      <c r="Q25" s="366"/>
      <c r="R25" s="367"/>
    </row>
    <row r="26" spans="1:29" ht="16" customHeight="1">
      <c r="A26" s="130" t="s">
        <v>97</v>
      </c>
      <c r="B26" s="170">
        <v>401605</v>
      </c>
      <c r="C26" s="137" t="s">
        <v>284</v>
      </c>
      <c r="D26" s="217">
        <v>44986</v>
      </c>
      <c r="E26" s="134" t="s">
        <v>4</v>
      </c>
      <c r="F26" s="136">
        <v>173</v>
      </c>
      <c r="G26" s="206">
        <v>2021</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68"/>
      <c r="P26" s="269"/>
      <c r="Q26" s="369"/>
      <c r="R26" s="370"/>
    </row>
    <row r="27" spans="1:29" ht="16" customHeight="1">
      <c r="A27" s="130" t="s">
        <v>98</v>
      </c>
      <c r="B27" s="170">
        <v>401626</v>
      </c>
      <c r="C27" s="137" t="s">
        <v>285</v>
      </c>
      <c r="D27" s="217">
        <v>45063</v>
      </c>
      <c r="E27" s="134" t="s">
        <v>4</v>
      </c>
      <c r="F27" s="136">
        <v>173</v>
      </c>
      <c r="G27" s="206">
        <v>2021</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61"/>
      <c r="P27" s="228"/>
      <c r="Q27" s="362"/>
      <c r="R27" s="363"/>
      <c r="S27" s="232" t="s">
        <v>99</v>
      </c>
      <c r="T27" s="233"/>
      <c r="U27" s="233"/>
      <c r="V27" s="233"/>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64"/>
      <c r="P28" s="261"/>
      <c r="Q28" s="345"/>
      <c r="R28" s="346"/>
    </row>
    <row r="29" spans="1:29" ht="16" customHeight="1" thickBot="1">
      <c r="A29" s="131" t="s">
        <v>101</v>
      </c>
      <c r="B29" s="170">
        <v>401647</v>
      </c>
      <c r="C29" s="137" t="s">
        <v>287</v>
      </c>
      <c r="D29" s="217">
        <v>45182</v>
      </c>
      <c r="E29" s="134" t="s">
        <v>4</v>
      </c>
      <c r="F29" s="136">
        <v>173</v>
      </c>
      <c r="G29" s="206">
        <v>2021</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47" t="s">
        <v>102</v>
      </c>
      <c r="P29" s="236"/>
      <c r="Q29" s="348">
        <f>EINSTELLUNG!O7</f>
        <v>2</v>
      </c>
      <c r="R29" s="349"/>
    </row>
    <row r="30" spans="1:29" ht="16" customHeight="1">
      <c r="A30" s="130" t="s">
        <v>103</v>
      </c>
      <c r="B30" s="170">
        <v>401661</v>
      </c>
      <c r="C30" s="137" t="s">
        <v>288</v>
      </c>
      <c r="D30" s="217">
        <v>45261</v>
      </c>
      <c r="E30" s="134" t="s">
        <v>4</v>
      </c>
      <c r="F30" s="136">
        <v>173</v>
      </c>
      <c r="G30" s="206">
        <v>2021</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2021</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54">
        <v>0</v>
      </c>
      <c r="P31" s="355"/>
      <c r="Q31" s="356">
        <v>0</v>
      </c>
      <c r="R31" s="240"/>
    </row>
    <row r="32" spans="1:29" ht="16" customHeight="1">
      <c r="A32" s="130" t="s">
        <v>106</v>
      </c>
      <c r="B32" s="170">
        <v>401678</v>
      </c>
      <c r="C32" s="137" t="s">
        <v>290</v>
      </c>
      <c r="D32" s="217">
        <v>45414</v>
      </c>
      <c r="E32" s="134" t="s">
        <v>4</v>
      </c>
      <c r="F32" s="136">
        <v>173</v>
      </c>
      <c r="G32" s="206">
        <v>2021</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17">
        <v>45536</v>
      </c>
      <c r="E33" s="134" t="s">
        <v>4</v>
      </c>
      <c r="F33" s="136">
        <v>173</v>
      </c>
      <c r="G33" s="206">
        <v>2021</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57"/>
      <c r="P33" s="358"/>
      <c r="Q33" s="327" t="s">
        <v>108</v>
      </c>
      <c r="R33" s="328"/>
      <c r="S33" s="331" t="s">
        <v>109</v>
      </c>
      <c r="T33" s="332"/>
      <c r="U33" s="331" t="s">
        <v>110</v>
      </c>
      <c r="V33" s="332"/>
    </row>
    <row r="34" spans="1:24" ht="16" customHeight="1">
      <c r="A34" s="130" t="s">
        <v>111</v>
      </c>
      <c r="B34" s="170">
        <v>401703</v>
      </c>
      <c r="C34" s="137" t="s">
        <v>293</v>
      </c>
      <c r="D34" s="217">
        <v>45616</v>
      </c>
      <c r="E34" s="134" t="s">
        <v>4</v>
      </c>
      <c r="F34" s="136">
        <v>173</v>
      </c>
      <c r="G34" s="206">
        <v>2021</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59"/>
      <c r="P34" s="360"/>
      <c r="Q34" s="329"/>
      <c r="R34" s="330"/>
      <c r="S34" s="333"/>
      <c r="T34" s="334"/>
      <c r="U34" s="333"/>
      <c r="V34" s="334"/>
    </row>
    <row r="35" spans="1:24" ht="16" customHeight="1">
      <c r="A35" s="130" t="s">
        <v>112</v>
      </c>
      <c r="B35" s="170">
        <v>401715</v>
      </c>
      <c r="C35" s="137" t="s">
        <v>295</v>
      </c>
      <c r="D35" s="217">
        <v>45755</v>
      </c>
      <c r="E35" s="134" t="s">
        <v>4</v>
      </c>
      <c r="F35" s="136">
        <v>173</v>
      </c>
      <c r="G35" s="206">
        <v>2021</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50" t="s">
        <v>113</v>
      </c>
      <c r="P35" s="252"/>
      <c r="Q35" s="223">
        <f>EINSTELLUNG!C7</f>
        <v>2</v>
      </c>
      <c r="R35" s="225"/>
      <c r="S35" s="223">
        <f>EINSTELLUNG!C23</f>
        <v>2</v>
      </c>
      <c r="T35" s="225"/>
      <c r="U35" s="230">
        <f>S35-Q35</f>
        <v>0</v>
      </c>
      <c r="V35" s="230"/>
    </row>
    <row r="36" spans="1:24" ht="16" customHeight="1">
      <c r="A36" s="130" t="s">
        <v>114</v>
      </c>
      <c r="B36" s="170">
        <v>401716</v>
      </c>
      <c r="C36" s="137" t="s">
        <v>296</v>
      </c>
      <c r="D36" s="217">
        <v>45800</v>
      </c>
      <c r="E36" s="134" t="s">
        <v>4</v>
      </c>
      <c r="F36" s="136">
        <v>173</v>
      </c>
      <c r="G36" s="206">
        <v>2021</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50" t="s">
        <v>115</v>
      </c>
      <c r="P36" s="252"/>
      <c r="Q36" s="223">
        <f>EINSTELLUNG!D7</f>
        <v>2</v>
      </c>
      <c r="R36" s="225"/>
      <c r="S36" s="226" cm="1">
        <f t="array" ref="S36">SumMergedCells(Q17:R29)</f>
        <v>94403</v>
      </c>
      <c r="T36" s="226"/>
      <c r="U36" s="230">
        <f t="shared" ref="U36:U41" si="2">S36-Q36</f>
        <v>94401</v>
      </c>
      <c r="V36" s="230"/>
    </row>
    <row r="37" spans="1:24" ht="16" customHeight="1">
      <c r="A37" s="131" t="s">
        <v>116</v>
      </c>
      <c r="B37" s="170">
        <v>401717</v>
      </c>
      <c r="C37" s="137" t="s">
        <v>297</v>
      </c>
      <c r="D37" s="217">
        <v>45814</v>
      </c>
      <c r="E37" s="134" t="s">
        <v>4</v>
      </c>
      <c r="F37" s="136">
        <v>173</v>
      </c>
      <c r="G37" s="206">
        <v>2021</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50" t="s">
        <v>117</v>
      </c>
      <c r="P37" s="252"/>
      <c r="Q37" s="343">
        <f>IF(ISERROR(Q36/Q35), 0, Q36/Q35)</f>
        <v>1</v>
      </c>
      <c r="R37" s="344"/>
      <c r="S37" s="343">
        <f>IF(ISERROR(S36/S35), 0, S36/S35)</f>
        <v>47201.5</v>
      </c>
      <c r="T37" s="344"/>
      <c r="U37" s="235">
        <f t="shared" si="2"/>
        <v>47200.5</v>
      </c>
      <c r="V37" s="235"/>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50" t="s">
        <v>119</v>
      </c>
      <c r="P38" s="252"/>
      <c r="Q38" s="341">
        <f>EINSTELLUNG!F7</f>
        <v>2</v>
      </c>
      <c r="R38" s="342"/>
      <c r="S38" s="341">
        <f>EINSTELLUNG!F23</f>
        <v>2</v>
      </c>
      <c r="T38" s="342"/>
      <c r="U38" s="231">
        <f t="shared" si="2"/>
        <v>0</v>
      </c>
      <c r="V38" s="231"/>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50" t="s">
        <v>121</v>
      </c>
      <c r="P39" s="252"/>
      <c r="Q39" s="223">
        <f>IF(Q38=0, 0, Q35/Q38)</f>
        <v>1</v>
      </c>
      <c r="R39" s="225"/>
      <c r="S39" s="223">
        <f>IF(S38=0, 0, S35/S38)</f>
        <v>1</v>
      </c>
      <c r="T39" s="225"/>
      <c r="U39" s="230">
        <f t="shared" si="2"/>
        <v>0</v>
      </c>
      <c r="V39" s="230"/>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2" t="s">
        <v>123</v>
      </c>
      <c r="P40" s="253"/>
      <c r="Q40" s="226">
        <f>IF(Q12=0, 0, Q35/Q12)</f>
        <v>2.6907036189963677E-4</v>
      </c>
      <c r="R40" s="226"/>
      <c r="S40" s="226">
        <f>IF(Q12=0, 0, S35/Q12)</f>
        <v>2.6907036189963677E-4</v>
      </c>
      <c r="T40" s="226"/>
      <c r="U40" s="230">
        <f t="shared" si="2"/>
        <v>0</v>
      </c>
      <c r="V40" s="230"/>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2" t="s">
        <v>125</v>
      </c>
      <c r="P41" s="253"/>
      <c r="Q41" s="227">
        <f>IF(Q12=0, 0, Q38/Q12)</f>
        <v>2.6907036189963677E-4</v>
      </c>
      <c r="R41" s="227"/>
      <c r="S41" s="227">
        <f>IF(Q12=0, 0, S38/Q12)</f>
        <v>2.6907036189963677E-4</v>
      </c>
      <c r="T41" s="227"/>
      <c r="U41" s="231">
        <f t="shared" si="2"/>
        <v>0</v>
      </c>
      <c r="V41" s="231"/>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2" t="s">
        <v>127</v>
      </c>
      <c r="P42" s="253"/>
      <c r="Q42" s="223">
        <f>IFERROR(Q17/Q8, 0)</f>
        <v>12.017878747143433</v>
      </c>
      <c r="R42" s="224"/>
      <c r="S42" s="224"/>
      <c r="T42" s="224"/>
      <c r="U42" s="224"/>
      <c r="V42" s="225"/>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9"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c r="C54" s="137"/>
      <c r="D54" s="217"/>
      <c r="E54" s="134"/>
      <c r="F54" s="136"/>
      <c r="G54" s="206"/>
      <c r="H54" s="158" t="str">
        <f>IF(AND(ISNUMBER(D54), ISNUMBER(F54)),
    ROUNDDOWN(
        MIN(
            IF(OR(ISBLANK(I54), I54=""),
                EOMONTH(DATE(LOHNTABELLE!$G$3, $A$1, 1), 0), I54)
            - MAX(D54, DATE(LOHNTABELLE!$G$3, $A$1, 1)) + 1)
        / DAY(EOMONTH(DATE(LOHNTABELLE!$G$3, $A$1, 1), 0)) * F54,
        2
    ),
    ""
)</f>
        <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0</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PtEk/pJw8+kiZTiYIJPPe4tYizwJ2IfaWWa1NKhchBEs5+ykUtNLNpD+H/q4U7tPuW16RWTjH/cAdiwhrO5hhg==" saltValue="CEwvwttTtYowybwkGte29g=="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53">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90" t="s">
        <v>205</v>
      </c>
      <c r="C1" s="302" t="s">
        <v>52</v>
      </c>
      <c r="D1" s="274" t="s">
        <v>206</v>
      </c>
      <c r="E1" s="274" t="s">
        <v>0</v>
      </c>
      <c r="F1" s="274" t="s">
        <v>53</v>
      </c>
      <c r="G1" s="276" t="s">
        <v>54</v>
      </c>
      <c r="H1" s="293" t="s">
        <v>55</v>
      </c>
      <c r="I1" s="278" t="s">
        <v>207</v>
      </c>
      <c r="J1" s="280" t="s">
        <v>56</v>
      </c>
      <c r="K1" s="282" t="s">
        <v>57</v>
      </c>
      <c r="L1" s="284" t="s">
        <v>58</v>
      </c>
      <c r="M1" s="286" t="s">
        <v>59</v>
      </c>
      <c r="N1" s="291" t="s">
        <v>208</v>
      </c>
      <c r="AB1" s="41">
        <f>DATE(LOHNTABELLE!$G$3, $A$1, 1)</f>
        <v>46082</v>
      </c>
    </row>
    <row r="2" spans="1:28" ht="16" customHeight="1" thickBot="1">
      <c r="A2" s="129"/>
      <c r="B2" s="290"/>
      <c r="C2" s="303"/>
      <c r="D2" s="275"/>
      <c r="E2" s="275"/>
      <c r="F2" s="275"/>
      <c r="G2" s="277"/>
      <c r="H2" s="294"/>
      <c r="I2" s="279"/>
      <c r="J2" s="281"/>
      <c r="K2" s="283"/>
      <c r="L2" s="285"/>
      <c r="M2" s="287"/>
      <c r="N2" s="291"/>
      <c r="AB2" s="41">
        <f>EOMONTH(DATE(LOHNTABELLE!$G$3, $A$1, 1), 0)</f>
        <v>46112</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8" t="s">
        <v>61</v>
      </c>
      <c r="P3" s="288" t="s">
        <v>62</v>
      </c>
      <c r="Q3" s="295" t="s">
        <v>63</v>
      </c>
      <c r="R3" s="297"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9"/>
      <c r="P4" s="289"/>
      <c r="Q4" s="296"/>
      <c r="R4" s="298"/>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EINSTELLUNG!I8</f>
        <v>3</v>
      </c>
      <c r="Q5" s="48">
        <f>P5-O5</f>
        <v>-731.57041000202264</v>
      </c>
      <c r="R5" s="52">
        <f>IFERROR(Q5*Q42, 0)</f>
        <v>-8786.3413062539294</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99" t="str">
        <f>IF(Q5&lt;0, "Schlecht! Zu wenig Urlaub abgebaut.", IF(Q5&gt;0, "Gut! Mehr Urlaub abgebaut als aufgebaut.", ""))</f>
        <v>Schlecht! Zu wenig Urlaub abgebaut.</v>
      </c>
      <c r="P6" s="300"/>
      <c r="Q6" s="300"/>
      <c r="R6" s="301"/>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54" t="s">
        <v>70</v>
      </c>
      <c r="P8" s="255"/>
      <c r="Q8" s="256">
        <f>SUM(H3:H82)</f>
        <v>7612</v>
      </c>
      <c r="R8" s="25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54" t="s">
        <v>72</v>
      </c>
      <c r="P9" s="255"/>
      <c r="Q9" s="256">
        <f>EINSTELLUNG!L24</f>
        <v>3</v>
      </c>
      <c r="R9" s="256"/>
      <c r="S9" s="53">
        <f>IFERROR(Q9/Q8, 0)</f>
        <v>3.9411455596426696E-4</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54" t="s">
        <v>74</v>
      </c>
      <c r="P10" s="255"/>
      <c r="Q10" s="256">
        <f>EINSTELLUNG!I24</f>
        <v>3</v>
      </c>
      <c r="R10" s="25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4" t="s">
        <v>76</v>
      </c>
      <c r="P11" s="255"/>
      <c r="Q11" s="256">
        <f>P5</f>
        <v>3</v>
      </c>
      <c r="R11" s="25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4" t="s">
        <v>78</v>
      </c>
      <c r="P12" s="255"/>
      <c r="Q12" s="260">
        <v>-445</v>
      </c>
      <c r="R12" s="260"/>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4" t="s">
        <v>80</v>
      </c>
      <c r="P13" s="255"/>
      <c r="Q13" s="256">
        <f>Q8-Q9-Q10-Q11-Q12</f>
        <v>8048</v>
      </c>
      <c r="R13" s="25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4" t="s">
        <v>82</v>
      </c>
      <c r="P14" s="255"/>
      <c r="Q14" s="256">
        <f>EINSTELLUNG!L8</f>
        <v>3</v>
      </c>
      <c r="R14" s="25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54" t="s">
        <v>84</v>
      </c>
      <c r="P15" s="255"/>
      <c r="Q15" s="256">
        <f>Q13-Q14</f>
        <v>8045</v>
      </c>
      <c r="R15" s="256"/>
      <c r="S15" s="100"/>
      <c r="T15" s="100"/>
      <c r="U15" s="100"/>
    </row>
    <row r="16" spans="1:28" ht="16" customHeight="1">
      <c r="A16" s="130" t="s">
        <v>85</v>
      </c>
      <c r="B16" s="170">
        <v>401394</v>
      </c>
      <c r="C16" s="137" t="s">
        <v>272</v>
      </c>
      <c r="D16" s="217">
        <v>44379</v>
      </c>
      <c r="E16" s="134" t="s">
        <v>4</v>
      </c>
      <c r="F16" s="136">
        <v>173</v>
      </c>
      <c r="G16" s="206">
        <v>2021</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92" t="str">
        <f>IF(Q15&lt;0, "Schlecht! Zu wenig Stunden für Dienstplan.", IF(Q15&gt;0, "Du hast mehr als genug Stunden für Dienstplan.", ""))</f>
        <v>Du hast mehr als genug Stunden für Dienstplan.</v>
      </c>
      <c r="P16" s="292"/>
      <c r="Q16" s="292"/>
      <c r="R16" s="292"/>
      <c r="W16" s="45"/>
    </row>
    <row r="17" spans="1:29" ht="16" customHeight="1">
      <c r="A17" s="131" t="s">
        <v>86</v>
      </c>
      <c r="B17" s="170">
        <v>401432</v>
      </c>
      <c r="C17" s="137" t="s">
        <v>274</v>
      </c>
      <c r="D17" s="217">
        <v>44441</v>
      </c>
      <c r="E17" s="134" t="s">
        <v>4</v>
      </c>
      <c r="F17" s="136">
        <v>173</v>
      </c>
      <c r="G17" s="206">
        <v>2021</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7" t="s">
        <v>87</v>
      </c>
      <c r="P17" s="258"/>
      <c r="Q17" s="259">
        <f>SUM(L3:L82)</f>
        <v>91422</v>
      </c>
      <c r="R17" s="259"/>
      <c r="W17" s="45"/>
    </row>
    <row r="18" spans="1:29" ht="16" customHeight="1">
      <c r="A18" s="130" t="s">
        <v>88</v>
      </c>
      <c r="B18" s="170">
        <v>401476</v>
      </c>
      <c r="C18" s="137" t="s">
        <v>276</v>
      </c>
      <c r="D18" s="217">
        <v>44504</v>
      </c>
      <c r="E18" s="134" t="s">
        <v>4</v>
      </c>
      <c r="F18" s="136">
        <v>173</v>
      </c>
      <c r="G18" s="206">
        <v>2021</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48"/>
      <c r="P18" s="249"/>
      <c r="Q18" s="250"/>
      <c r="R18" s="251"/>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8"/>
      <c r="P19" s="249"/>
      <c r="Q19" s="250"/>
      <c r="R19" s="251"/>
    </row>
    <row r="20" spans="1:29" ht="16" customHeight="1">
      <c r="A20" s="130" t="s">
        <v>90</v>
      </c>
      <c r="B20" s="170">
        <v>401481</v>
      </c>
      <c r="C20" s="137" t="s">
        <v>278</v>
      </c>
      <c r="D20" s="217">
        <v>44531</v>
      </c>
      <c r="E20" s="134" t="s">
        <v>4</v>
      </c>
      <c r="F20" s="136">
        <v>173</v>
      </c>
      <c r="G20" s="206">
        <v>2021</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48"/>
      <c r="P20" s="249"/>
      <c r="Q20" s="250"/>
      <c r="R20" s="251"/>
    </row>
    <row r="21" spans="1:29" ht="16" customHeight="1">
      <c r="A21" s="131" t="s">
        <v>92</v>
      </c>
      <c r="B21" s="170">
        <v>401558</v>
      </c>
      <c r="C21" s="137" t="s">
        <v>275</v>
      </c>
      <c r="D21" s="217">
        <v>44460</v>
      </c>
      <c r="E21" s="134" t="s">
        <v>4</v>
      </c>
      <c r="F21" s="136">
        <v>173</v>
      </c>
      <c r="G21" s="206">
        <v>2021</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48" t="s">
        <v>371</v>
      </c>
      <c r="P21" s="249"/>
      <c r="Q21" s="250">
        <v>5000</v>
      </c>
      <c r="R21" s="251"/>
    </row>
    <row r="22" spans="1:29" ht="16" customHeight="1">
      <c r="A22" s="130" t="s">
        <v>93</v>
      </c>
      <c r="B22" s="170">
        <v>401564</v>
      </c>
      <c r="C22" s="137" t="s">
        <v>279</v>
      </c>
      <c r="D22" s="217">
        <v>44824</v>
      </c>
      <c r="E22" s="134" t="s">
        <v>4</v>
      </c>
      <c r="F22" s="136">
        <v>173</v>
      </c>
      <c r="G22" s="206">
        <v>2021</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48"/>
      <c r="P22" s="249"/>
      <c r="Q22" s="250"/>
      <c r="R22" s="251"/>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8"/>
      <c r="P23" s="249"/>
      <c r="Q23" s="250"/>
      <c r="R23" s="251"/>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8"/>
      <c r="P24" s="249"/>
      <c r="Q24" s="250"/>
      <c r="R24" s="251"/>
      <c r="W24" s="45"/>
    </row>
    <row r="25" spans="1:29" ht="16" customHeight="1" thickBot="1">
      <c r="A25" s="131" t="s">
        <v>96</v>
      </c>
      <c r="B25" s="170">
        <v>401602</v>
      </c>
      <c r="C25" s="137" t="s">
        <v>283</v>
      </c>
      <c r="D25" s="217">
        <v>45975</v>
      </c>
      <c r="E25" s="134" t="s">
        <v>4</v>
      </c>
      <c r="F25" s="136">
        <v>173</v>
      </c>
      <c r="G25" s="206">
        <v>2021</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65"/>
      <c r="P25" s="266"/>
      <c r="Q25" s="267"/>
      <c r="R25" s="268"/>
    </row>
    <row r="26" spans="1:29" ht="16" customHeight="1">
      <c r="A26" s="130" t="s">
        <v>97</v>
      </c>
      <c r="B26" s="170">
        <v>401605</v>
      </c>
      <c r="C26" s="137" t="s">
        <v>284</v>
      </c>
      <c r="D26" s="217">
        <v>44986</v>
      </c>
      <c r="E26" s="134" t="s">
        <v>4</v>
      </c>
      <c r="F26" s="136">
        <v>173</v>
      </c>
      <c r="G26" s="206">
        <v>2021</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9"/>
      <c r="P26" s="270"/>
      <c r="Q26" s="271"/>
      <c r="R26" s="272"/>
    </row>
    <row r="27" spans="1:29" ht="16" customHeight="1">
      <c r="A27" s="130" t="s">
        <v>98</v>
      </c>
      <c r="B27" s="170">
        <v>401626</v>
      </c>
      <c r="C27" s="137" t="s">
        <v>285</v>
      </c>
      <c r="D27" s="217">
        <v>45063</v>
      </c>
      <c r="E27" s="134" t="s">
        <v>4</v>
      </c>
      <c r="F27" s="136">
        <v>173</v>
      </c>
      <c r="G27" s="206">
        <v>2021</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28"/>
      <c r="P27" s="229"/>
      <c r="Q27" s="251"/>
      <c r="R27" s="273"/>
      <c r="S27" s="232" t="s">
        <v>99</v>
      </c>
      <c r="T27" s="233"/>
      <c r="U27" s="233"/>
      <c r="V27" s="233"/>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1"/>
      <c r="P28" s="262"/>
      <c r="Q28" s="263"/>
      <c r="R28" s="264"/>
    </row>
    <row r="29" spans="1:29" ht="16" customHeight="1" thickBot="1">
      <c r="A29" s="131" t="s">
        <v>101</v>
      </c>
      <c r="B29" s="170">
        <v>401647</v>
      </c>
      <c r="C29" s="137" t="s">
        <v>287</v>
      </c>
      <c r="D29" s="217">
        <v>45182</v>
      </c>
      <c r="E29" s="134" t="s">
        <v>4</v>
      </c>
      <c r="F29" s="136">
        <v>173</v>
      </c>
      <c r="G29" s="206">
        <v>2021</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36" t="s">
        <v>102</v>
      </c>
      <c r="P29" s="237"/>
      <c r="Q29" s="238">
        <f>EINSTELLUNG!O8</f>
        <v>3</v>
      </c>
      <c r="R29" s="239"/>
    </row>
    <row r="30" spans="1:29" ht="16" customHeight="1">
      <c r="A30" s="130" t="s">
        <v>103</v>
      </c>
      <c r="B30" s="170">
        <v>401661</v>
      </c>
      <c r="C30" s="137" t="s">
        <v>288</v>
      </c>
      <c r="D30" s="217">
        <v>45261</v>
      </c>
      <c r="E30" s="134" t="s">
        <v>4</v>
      </c>
      <c r="F30" s="136">
        <v>173</v>
      </c>
      <c r="G30" s="206">
        <v>2021</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2021</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0">
        <v>0</v>
      </c>
      <c r="P31" s="241"/>
      <c r="Q31" s="242">
        <v>0</v>
      </c>
      <c r="R31" s="243"/>
    </row>
    <row r="32" spans="1:29" ht="16" customHeight="1">
      <c r="A32" s="130" t="s">
        <v>106</v>
      </c>
      <c r="B32" s="170">
        <v>401678</v>
      </c>
      <c r="C32" s="137" t="s">
        <v>290</v>
      </c>
      <c r="D32" s="217">
        <v>45414</v>
      </c>
      <c r="E32" s="134" t="s">
        <v>4</v>
      </c>
      <c r="F32" s="136">
        <v>173</v>
      </c>
      <c r="G32" s="206">
        <v>2021</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17">
        <v>45536</v>
      </c>
      <c r="E33" s="134" t="s">
        <v>4</v>
      </c>
      <c r="F33" s="136">
        <v>173</v>
      </c>
      <c r="G33" s="206">
        <v>2021</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44"/>
      <c r="P33" s="245"/>
      <c r="Q33" s="246" t="str">
        <f>EINSTELLUNG!B3</f>
        <v>Budget Zahlen</v>
      </c>
      <c r="R33" s="246"/>
      <c r="S33" s="247" t="str">
        <f>EINSTELLUNG!B19</f>
        <v>Projection/Aktuell Zahlen</v>
      </c>
      <c r="T33" s="247"/>
      <c r="U33" s="247" t="s">
        <v>110</v>
      </c>
      <c r="V33" s="247"/>
    </row>
    <row r="34" spans="1:24" ht="16" customHeight="1">
      <c r="A34" s="130" t="s">
        <v>111</v>
      </c>
      <c r="B34" s="170">
        <v>401703</v>
      </c>
      <c r="C34" s="137" t="s">
        <v>293</v>
      </c>
      <c r="D34" s="217">
        <v>45616</v>
      </c>
      <c r="E34" s="134" t="s">
        <v>4</v>
      </c>
      <c r="F34" s="136">
        <v>173</v>
      </c>
      <c r="G34" s="206">
        <v>2021</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44"/>
      <c r="P34" s="245"/>
      <c r="Q34" s="246"/>
      <c r="R34" s="246"/>
      <c r="S34" s="247"/>
      <c r="T34" s="247"/>
      <c r="U34" s="247"/>
      <c r="V34" s="247"/>
    </row>
    <row r="35" spans="1:24" ht="16" customHeight="1">
      <c r="A35" s="130" t="s">
        <v>112</v>
      </c>
      <c r="B35" s="170">
        <v>401715</v>
      </c>
      <c r="C35" s="137" t="s">
        <v>295</v>
      </c>
      <c r="D35" s="217">
        <v>45755</v>
      </c>
      <c r="E35" s="134" t="s">
        <v>4</v>
      </c>
      <c r="F35" s="136">
        <v>173</v>
      </c>
      <c r="G35" s="206">
        <v>2021</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52" t="s">
        <v>113</v>
      </c>
      <c r="P35" s="253"/>
      <c r="Q35" s="226">
        <f>EINSTELLUNG!C8</f>
        <v>3</v>
      </c>
      <c r="R35" s="226"/>
      <c r="S35" s="226">
        <f>EINSTELLUNG!C24</f>
        <v>3</v>
      </c>
      <c r="T35" s="226"/>
      <c r="U35" s="230">
        <f>S35-Q35</f>
        <v>0</v>
      </c>
      <c r="V35" s="230"/>
    </row>
    <row r="36" spans="1:24" ht="16" customHeight="1">
      <c r="A36" s="130" t="s">
        <v>114</v>
      </c>
      <c r="B36" s="170">
        <v>401716</v>
      </c>
      <c r="C36" s="137" t="s">
        <v>296</v>
      </c>
      <c r="D36" s="217">
        <v>45800</v>
      </c>
      <c r="E36" s="134" t="s">
        <v>4</v>
      </c>
      <c r="F36" s="136">
        <v>173</v>
      </c>
      <c r="G36" s="206">
        <v>2021</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2" t="s">
        <v>115</v>
      </c>
      <c r="P36" s="253"/>
      <c r="Q36" s="226">
        <f>EINSTELLUNG!D8</f>
        <v>3</v>
      </c>
      <c r="R36" s="226"/>
      <c r="S36" s="226" cm="1">
        <f t="array" ref="S36">SumMergedCells(Q17:R29)</f>
        <v>96425</v>
      </c>
      <c r="T36" s="226"/>
      <c r="U36" s="230">
        <f t="shared" ref="U36:U41" si="2">S36-Q36</f>
        <v>96422</v>
      </c>
      <c r="V36" s="230"/>
    </row>
    <row r="37" spans="1:24" ht="16" customHeight="1">
      <c r="A37" s="131" t="s">
        <v>116</v>
      </c>
      <c r="B37" s="170">
        <v>401717</v>
      </c>
      <c r="C37" s="137" t="s">
        <v>297</v>
      </c>
      <c r="D37" s="217">
        <v>45814</v>
      </c>
      <c r="E37" s="134" t="s">
        <v>4</v>
      </c>
      <c r="F37" s="136">
        <v>173</v>
      </c>
      <c r="G37" s="206">
        <v>2021</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2" t="s">
        <v>117</v>
      </c>
      <c r="P37" s="253"/>
      <c r="Q37" s="234">
        <f>IF(ISERROR(Q36/Q35), 0, Q36/Q35)</f>
        <v>1</v>
      </c>
      <c r="R37" s="234"/>
      <c r="S37" s="234">
        <f>IF(ISERROR(S36/S35), 0, S36/S35)</f>
        <v>32141.666666666668</v>
      </c>
      <c r="T37" s="234"/>
      <c r="U37" s="235">
        <f t="shared" si="2"/>
        <v>32140.666666666668</v>
      </c>
      <c r="V37" s="235"/>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52" t="s">
        <v>119</v>
      </c>
      <c r="P38" s="253"/>
      <c r="Q38" s="227">
        <f>EINSTELLUNG!F8</f>
        <v>3</v>
      </c>
      <c r="R38" s="227"/>
      <c r="S38" s="227">
        <f>EINSTELLUNG!F24</f>
        <v>3</v>
      </c>
      <c r="T38" s="227"/>
      <c r="U38" s="231">
        <f t="shared" si="2"/>
        <v>0</v>
      </c>
      <c r="V38" s="231"/>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2" t="s">
        <v>121</v>
      </c>
      <c r="P39" s="253"/>
      <c r="Q39" s="226">
        <f>IF(Q38=0, 0, Q35/Q38)</f>
        <v>1</v>
      </c>
      <c r="R39" s="226"/>
      <c r="S39" s="226">
        <f>IF(S38=0, 0, S35/S38)</f>
        <v>1</v>
      </c>
      <c r="T39" s="226"/>
      <c r="U39" s="230">
        <f t="shared" si="2"/>
        <v>0</v>
      </c>
      <c r="V39" s="230"/>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2" t="s">
        <v>123</v>
      </c>
      <c r="P40" s="253"/>
      <c r="Q40" s="226">
        <f>IF(Q13=0, 0, Q35/Q13)</f>
        <v>3.7276341948310138E-4</v>
      </c>
      <c r="R40" s="226"/>
      <c r="S40" s="226">
        <f>IF(Q13=0, 0, S35/Q13)</f>
        <v>3.7276341948310138E-4</v>
      </c>
      <c r="T40" s="226"/>
      <c r="U40" s="230">
        <f t="shared" si="2"/>
        <v>0</v>
      </c>
      <c r="V40" s="230"/>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2" t="s">
        <v>125</v>
      </c>
      <c r="P41" s="253"/>
      <c r="Q41" s="227">
        <f>IF(Q13=0, 0, Q38/Q13)</f>
        <v>3.7276341948310138E-4</v>
      </c>
      <c r="R41" s="227"/>
      <c r="S41" s="227">
        <f>IF(Q13=0, 0, S38/Q13)</f>
        <v>3.7276341948310138E-4</v>
      </c>
      <c r="T41" s="227"/>
      <c r="U41" s="231">
        <f t="shared" si="2"/>
        <v>0</v>
      </c>
      <c r="V41" s="231"/>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2" t="s">
        <v>127</v>
      </c>
      <c r="P42" s="253"/>
      <c r="Q42" s="223">
        <f>IFERROR(Q17/Q8, 0)</f>
        <v>12.01024697845507</v>
      </c>
      <c r="R42" s="224"/>
      <c r="S42" s="224"/>
      <c r="T42" s="224"/>
      <c r="U42" s="224"/>
      <c r="V42" s="225"/>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173</v>
      </c>
      <c r="G54" s="206">
        <v>2021</v>
      </c>
      <c r="H54" s="158">
        <f>IF(AND(ISNUMBER(D54), ISNUMBER(F54)),
    ROUNDDOWN(
        MIN(
            IF(OR(ISBLANK(I54), I54=""),
                EOMONTH(DATE(LOHNTABELLE!$G$3, $A$1, 1), 0), I54)
            - MAX(D54, DATE(LOHNTABELLE!$G$3, $A$1, 1)) + 1)
        / DAY(EOMONTH(DATE(LOHNTABELLE!$G$3, $A$1, 1), 0)) * F54,
        2
    ),
    ""
)</f>
        <v>173</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2020.9999999999998</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qb+AyvPFd/bWJjr/L7+UwFWsVFempmNxlnjGopM85xb2znjFQsi4IpK3TQC90d25ATxOq+hBjYw4qvfhNxn9XQ==" saltValue="hmhnKhz8kH+NMoDJUT7dhQ=="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54">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90" t="s">
        <v>205</v>
      </c>
      <c r="C1" s="302" t="s">
        <v>52</v>
      </c>
      <c r="D1" s="274" t="s">
        <v>206</v>
      </c>
      <c r="E1" s="274" t="s">
        <v>0</v>
      </c>
      <c r="F1" s="274" t="s">
        <v>53</v>
      </c>
      <c r="G1" s="276" t="s">
        <v>54</v>
      </c>
      <c r="H1" s="293" t="s">
        <v>55</v>
      </c>
      <c r="I1" s="278" t="s">
        <v>207</v>
      </c>
      <c r="J1" s="280" t="s">
        <v>56</v>
      </c>
      <c r="K1" s="282" t="s">
        <v>57</v>
      </c>
      <c r="L1" s="284" t="s">
        <v>58</v>
      </c>
      <c r="M1" s="286" t="s">
        <v>59</v>
      </c>
      <c r="N1" s="291" t="s">
        <v>208</v>
      </c>
      <c r="AB1" s="41">
        <f>DATE(LOHNTABELLE!$G$3, $A$1, 1)</f>
        <v>46113</v>
      </c>
    </row>
    <row r="2" spans="1:28" ht="16" customHeight="1" thickBot="1">
      <c r="A2" s="129"/>
      <c r="B2" s="290"/>
      <c r="C2" s="303"/>
      <c r="D2" s="275"/>
      <c r="E2" s="275"/>
      <c r="F2" s="275"/>
      <c r="G2" s="277"/>
      <c r="H2" s="294"/>
      <c r="I2" s="279"/>
      <c r="J2" s="281"/>
      <c r="K2" s="283"/>
      <c r="L2" s="285"/>
      <c r="M2" s="287"/>
      <c r="N2" s="291"/>
      <c r="AB2" s="41">
        <f>EOMONTH(DATE(LOHNTABELLE!$G$3, $A$1, 1), 0)</f>
        <v>46142</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8" t="s">
        <v>61</v>
      </c>
      <c r="P3" s="288" t="s">
        <v>62</v>
      </c>
      <c r="Q3" s="295" t="s">
        <v>63</v>
      </c>
      <c r="R3" s="297"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9"/>
      <c r="P4" s="289"/>
      <c r="Q4" s="296"/>
      <c r="R4" s="298"/>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EINSTELLUNG!I9</f>
        <v>4</v>
      </c>
      <c r="Q5" s="48">
        <f>P5-O5</f>
        <v>-730.57041000202264</v>
      </c>
      <c r="R5" s="52">
        <f>IFERROR(Q5*Q42, 0)</f>
        <v>-8774.3310592754751</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99" t="str">
        <f>IF(Q5&lt;0, "Schlecht! Zu wenig Urlaub abgebaut.", IF(Q5&gt;0, "Gut! Mehr Urlaub abgebaut als aufgebaut.", ""))</f>
        <v>Schlecht! Zu wenig Urlaub abgebaut.</v>
      </c>
      <c r="P6" s="300"/>
      <c r="Q6" s="300"/>
      <c r="R6" s="301"/>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54" t="s">
        <v>70</v>
      </c>
      <c r="P8" s="255"/>
      <c r="Q8" s="256">
        <f>SUM(H3:H82)</f>
        <v>7612</v>
      </c>
      <c r="R8" s="25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54" t="s">
        <v>72</v>
      </c>
      <c r="P9" s="255"/>
      <c r="Q9" s="256">
        <f>EINSTELLUNG!L25</f>
        <v>4</v>
      </c>
      <c r="R9" s="256"/>
      <c r="S9" s="53">
        <f>IFERROR(Q9/Q8, 0)</f>
        <v>5.2548607461902258E-4</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54" t="s">
        <v>74</v>
      </c>
      <c r="P10" s="255"/>
      <c r="Q10" s="256">
        <f>EINSTELLUNG!I25</f>
        <v>4</v>
      </c>
      <c r="R10" s="25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4" t="s">
        <v>76</v>
      </c>
      <c r="P11" s="255"/>
      <c r="Q11" s="256">
        <f>P5</f>
        <v>4</v>
      </c>
      <c r="R11" s="25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4" t="s">
        <v>78</v>
      </c>
      <c r="P12" s="255"/>
      <c r="Q12" s="260">
        <v>-255</v>
      </c>
      <c r="R12" s="260"/>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4" t="s">
        <v>80</v>
      </c>
      <c r="P13" s="255"/>
      <c r="Q13" s="256">
        <f>Q8-Q9-Q10-Q11-Q12</f>
        <v>7855</v>
      </c>
      <c r="R13" s="25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4" t="s">
        <v>82</v>
      </c>
      <c r="P14" s="255"/>
      <c r="Q14" s="256">
        <f>EINSTELLUNG!L9</f>
        <v>4</v>
      </c>
      <c r="R14" s="25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54" t="s">
        <v>84</v>
      </c>
      <c r="P15" s="255"/>
      <c r="Q15" s="256">
        <f>Q13-Q14</f>
        <v>7851</v>
      </c>
      <c r="R15" s="256"/>
      <c r="S15" s="100"/>
      <c r="T15" s="100"/>
      <c r="U15" s="100"/>
    </row>
    <row r="16" spans="1:28" ht="16" customHeight="1">
      <c r="A16" s="130" t="s">
        <v>85</v>
      </c>
      <c r="B16" s="170">
        <v>401394</v>
      </c>
      <c r="C16" s="137" t="s">
        <v>272</v>
      </c>
      <c r="D16" s="217">
        <v>44379</v>
      </c>
      <c r="E16" s="134" t="s">
        <v>4</v>
      </c>
      <c r="F16" s="136">
        <v>173</v>
      </c>
      <c r="G16" s="206">
        <v>2021</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92" t="str">
        <f>IF(Q15&lt;0, "Schlecht! Zu wenig Stunden für Dienstplan.", IF(Q15&gt;0, "Du hast mehr als genug Stunden für Dienstplan.", ""))</f>
        <v>Du hast mehr als genug Stunden für Dienstplan.</v>
      </c>
      <c r="P16" s="292"/>
      <c r="Q16" s="292"/>
      <c r="R16" s="292"/>
      <c r="W16" s="45"/>
    </row>
    <row r="17" spans="1:29" ht="16" customHeight="1">
      <c r="A17" s="131" t="s">
        <v>86</v>
      </c>
      <c r="B17" s="170">
        <v>401432</v>
      </c>
      <c r="C17" s="137" t="s">
        <v>274</v>
      </c>
      <c r="D17" s="217">
        <v>44441</v>
      </c>
      <c r="E17" s="134" t="s">
        <v>4</v>
      </c>
      <c r="F17" s="136">
        <v>173</v>
      </c>
      <c r="G17" s="206">
        <v>2021</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7" t="s">
        <v>87</v>
      </c>
      <c r="P17" s="258"/>
      <c r="Q17" s="259">
        <f>SUM(L3:L82)</f>
        <v>91422</v>
      </c>
      <c r="R17" s="259"/>
      <c r="W17" s="45"/>
    </row>
    <row r="18" spans="1:29" ht="16" customHeight="1">
      <c r="A18" s="130" t="s">
        <v>88</v>
      </c>
      <c r="B18" s="170">
        <v>401476</v>
      </c>
      <c r="C18" s="137" t="s">
        <v>276</v>
      </c>
      <c r="D18" s="217">
        <v>44504</v>
      </c>
      <c r="E18" s="134" t="s">
        <v>4</v>
      </c>
      <c r="F18" s="136">
        <v>173</v>
      </c>
      <c r="G18" s="206">
        <v>2021</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48"/>
      <c r="P18" s="249"/>
      <c r="Q18" s="250"/>
      <c r="R18" s="251"/>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8"/>
      <c r="P19" s="249"/>
      <c r="Q19" s="250"/>
      <c r="R19" s="251"/>
    </row>
    <row r="20" spans="1:29" ht="16" customHeight="1">
      <c r="A20" s="130" t="s">
        <v>90</v>
      </c>
      <c r="B20" s="170">
        <v>401481</v>
      </c>
      <c r="C20" s="137" t="s">
        <v>278</v>
      </c>
      <c r="D20" s="217">
        <v>44531</v>
      </c>
      <c r="E20" s="134" t="s">
        <v>4</v>
      </c>
      <c r="F20" s="136">
        <v>173</v>
      </c>
      <c r="G20" s="206">
        <v>2021</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48"/>
      <c r="P20" s="249"/>
      <c r="Q20" s="250"/>
      <c r="R20" s="251"/>
    </row>
    <row r="21" spans="1:29" ht="16" customHeight="1">
      <c r="A21" s="131" t="s">
        <v>92</v>
      </c>
      <c r="B21" s="170">
        <v>401558</v>
      </c>
      <c r="C21" s="137" t="s">
        <v>275</v>
      </c>
      <c r="D21" s="217">
        <v>44460</v>
      </c>
      <c r="E21" s="134" t="s">
        <v>4</v>
      </c>
      <c r="F21" s="136">
        <v>173</v>
      </c>
      <c r="G21" s="206">
        <v>2021</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48" t="s">
        <v>371</v>
      </c>
      <c r="P21" s="249"/>
      <c r="Q21" s="250">
        <v>5000</v>
      </c>
      <c r="R21" s="251"/>
    </row>
    <row r="22" spans="1:29" ht="16" customHeight="1">
      <c r="A22" s="130" t="s">
        <v>93</v>
      </c>
      <c r="B22" s="170">
        <v>401564</v>
      </c>
      <c r="C22" s="137" t="s">
        <v>279</v>
      </c>
      <c r="D22" s="217">
        <v>44824</v>
      </c>
      <c r="E22" s="134" t="s">
        <v>4</v>
      </c>
      <c r="F22" s="136">
        <v>173</v>
      </c>
      <c r="G22" s="206">
        <v>2021</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48"/>
      <c r="P22" s="249"/>
      <c r="Q22" s="250"/>
      <c r="R22" s="251"/>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8"/>
      <c r="P23" s="249"/>
      <c r="Q23" s="250"/>
      <c r="R23" s="251"/>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8"/>
      <c r="P24" s="249"/>
      <c r="Q24" s="250"/>
      <c r="R24" s="251"/>
      <c r="W24" s="45"/>
    </row>
    <row r="25" spans="1:29" ht="16" customHeight="1" thickBot="1">
      <c r="A25" s="131" t="s">
        <v>96</v>
      </c>
      <c r="B25" s="170">
        <v>401602</v>
      </c>
      <c r="C25" s="137" t="s">
        <v>283</v>
      </c>
      <c r="D25" s="217">
        <v>45975</v>
      </c>
      <c r="E25" s="134" t="s">
        <v>4</v>
      </c>
      <c r="F25" s="136">
        <v>173</v>
      </c>
      <c r="G25" s="206">
        <v>2021</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65"/>
      <c r="P25" s="266"/>
      <c r="Q25" s="267"/>
      <c r="R25" s="268"/>
    </row>
    <row r="26" spans="1:29" ht="16" customHeight="1">
      <c r="A26" s="130" t="s">
        <v>97</v>
      </c>
      <c r="B26" s="170">
        <v>401605</v>
      </c>
      <c r="C26" s="137" t="s">
        <v>284</v>
      </c>
      <c r="D26" s="217">
        <v>44986</v>
      </c>
      <c r="E26" s="134" t="s">
        <v>4</v>
      </c>
      <c r="F26" s="136">
        <v>173</v>
      </c>
      <c r="G26" s="206">
        <v>2021</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9"/>
      <c r="P26" s="270"/>
      <c r="Q26" s="271"/>
      <c r="R26" s="272"/>
    </row>
    <row r="27" spans="1:29" ht="16" customHeight="1">
      <c r="A27" s="130" t="s">
        <v>98</v>
      </c>
      <c r="B27" s="170">
        <v>401626</v>
      </c>
      <c r="C27" s="137" t="s">
        <v>285</v>
      </c>
      <c r="D27" s="217">
        <v>45063</v>
      </c>
      <c r="E27" s="134" t="s">
        <v>4</v>
      </c>
      <c r="F27" s="136">
        <v>173</v>
      </c>
      <c r="G27" s="206">
        <v>2021</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28"/>
      <c r="P27" s="229"/>
      <c r="Q27" s="251"/>
      <c r="R27" s="273"/>
      <c r="S27" s="232" t="s">
        <v>99</v>
      </c>
      <c r="T27" s="233"/>
      <c r="U27" s="233"/>
      <c r="V27" s="233"/>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1"/>
      <c r="P28" s="262"/>
      <c r="Q28" s="263"/>
      <c r="R28" s="264"/>
    </row>
    <row r="29" spans="1:29" ht="16" customHeight="1" thickBot="1">
      <c r="A29" s="131" t="s">
        <v>101</v>
      </c>
      <c r="B29" s="170">
        <v>401647</v>
      </c>
      <c r="C29" s="137" t="s">
        <v>287</v>
      </c>
      <c r="D29" s="217">
        <v>45182</v>
      </c>
      <c r="E29" s="134" t="s">
        <v>4</v>
      </c>
      <c r="F29" s="136">
        <v>173</v>
      </c>
      <c r="G29" s="206">
        <v>2021</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36" t="s">
        <v>102</v>
      </c>
      <c r="P29" s="237"/>
      <c r="Q29" s="238">
        <f>EINSTELLUNG!O9</f>
        <v>4</v>
      </c>
      <c r="R29" s="239"/>
    </row>
    <row r="30" spans="1:29" ht="16" customHeight="1">
      <c r="A30" s="130" t="s">
        <v>103</v>
      </c>
      <c r="B30" s="170">
        <v>401661</v>
      </c>
      <c r="C30" s="137" t="s">
        <v>288</v>
      </c>
      <c r="D30" s="217">
        <v>45261</v>
      </c>
      <c r="E30" s="134" t="s">
        <v>4</v>
      </c>
      <c r="F30" s="136">
        <v>173</v>
      </c>
      <c r="G30" s="206">
        <v>2021</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2021</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0">
        <v>0</v>
      </c>
      <c r="P31" s="241"/>
      <c r="Q31" s="242">
        <v>0</v>
      </c>
      <c r="R31" s="243"/>
    </row>
    <row r="32" spans="1:29" ht="16" customHeight="1">
      <c r="A32" s="130" t="s">
        <v>106</v>
      </c>
      <c r="B32" s="170">
        <v>401678</v>
      </c>
      <c r="C32" s="137" t="s">
        <v>290</v>
      </c>
      <c r="D32" s="217">
        <v>45414</v>
      </c>
      <c r="E32" s="134" t="s">
        <v>4</v>
      </c>
      <c r="F32" s="136">
        <v>173</v>
      </c>
      <c r="G32" s="206">
        <v>2021</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17">
        <v>45536</v>
      </c>
      <c r="E33" s="134" t="s">
        <v>4</v>
      </c>
      <c r="F33" s="136">
        <v>173</v>
      </c>
      <c r="G33" s="206">
        <v>2021</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44"/>
      <c r="P33" s="245"/>
      <c r="Q33" s="246" t="str">
        <f>EINSTELLUNG!B3</f>
        <v>Budget Zahlen</v>
      </c>
      <c r="R33" s="246"/>
      <c r="S33" s="247" t="str">
        <f>EINSTELLUNG!B19</f>
        <v>Projection/Aktuell Zahlen</v>
      </c>
      <c r="T33" s="247"/>
      <c r="U33" s="247" t="s">
        <v>110</v>
      </c>
      <c r="V33" s="247"/>
    </row>
    <row r="34" spans="1:24" ht="16" customHeight="1">
      <c r="A34" s="130" t="s">
        <v>111</v>
      </c>
      <c r="B34" s="170">
        <v>401703</v>
      </c>
      <c r="C34" s="137" t="s">
        <v>293</v>
      </c>
      <c r="D34" s="217">
        <v>45616</v>
      </c>
      <c r="E34" s="134" t="s">
        <v>4</v>
      </c>
      <c r="F34" s="136">
        <v>173</v>
      </c>
      <c r="G34" s="206">
        <v>2021</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44"/>
      <c r="P34" s="245"/>
      <c r="Q34" s="246"/>
      <c r="R34" s="246"/>
      <c r="S34" s="247"/>
      <c r="T34" s="247"/>
      <c r="U34" s="247"/>
      <c r="V34" s="247"/>
    </row>
    <row r="35" spans="1:24" ht="16" customHeight="1">
      <c r="A35" s="130" t="s">
        <v>112</v>
      </c>
      <c r="B35" s="170">
        <v>401715</v>
      </c>
      <c r="C35" s="137" t="s">
        <v>295</v>
      </c>
      <c r="D35" s="217">
        <v>45755</v>
      </c>
      <c r="E35" s="134" t="s">
        <v>4</v>
      </c>
      <c r="F35" s="136">
        <v>173</v>
      </c>
      <c r="G35" s="206">
        <v>2021</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52" t="s">
        <v>113</v>
      </c>
      <c r="P35" s="253"/>
      <c r="Q35" s="226">
        <f>EINSTELLUNG!C9</f>
        <v>4</v>
      </c>
      <c r="R35" s="226"/>
      <c r="S35" s="226">
        <f>EINSTELLUNG!C25</f>
        <v>4</v>
      </c>
      <c r="T35" s="226"/>
      <c r="U35" s="230">
        <f>S35-Q35</f>
        <v>0</v>
      </c>
      <c r="V35" s="230"/>
    </row>
    <row r="36" spans="1:24" ht="16" customHeight="1">
      <c r="A36" s="130" t="s">
        <v>114</v>
      </c>
      <c r="B36" s="170">
        <v>401716</v>
      </c>
      <c r="C36" s="137" t="s">
        <v>296</v>
      </c>
      <c r="D36" s="217">
        <v>45800</v>
      </c>
      <c r="E36" s="134" t="s">
        <v>4</v>
      </c>
      <c r="F36" s="136">
        <v>173</v>
      </c>
      <c r="G36" s="206">
        <v>2021</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2" t="s">
        <v>115</v>
      </c>
      <c r="P36" s="253"/>
      <c r="Q36" s="226">
        <f>EINSTELLUNG!D9</f>
        <v>4</v>
      </c>
      <c r="R36" s="226"/>
      <c r="S36" s="226" cm="1">
        <f t="array" ref="S36">SumMergedCells(Q17:R29)</f>
        <v>96426</v>
      </c>
      <c r="T36" s="226"/>
      <c r="U36" s="230">
        <f t="shared" ref="U36:U41" si="2">S36-Q36</f>
        <v>96422</v>
      </c>
      <c r="V36" s="230"/>
    </row>
    <row r="37" spans="1:24" ht="16" customHeight="1">
      <c r="A37" s="131" t="s">
        <v>116</v>
      </c>
      <c r="B37" s="170">
        <v>401717</v>
      </c>
      <c r="C37" s="137" t="s">
        <v>297</v>
      </c>
      <c r="D37" s="217">
        <v>45814</v>
      </c>
      <c r="E37" s="134" t="s">
        <v>4</v>
      </c>
      <c r="F37" s="136">
        <v>173</v>
      </c>
      <c r="G37" s="206">
        <v>2021</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2" t="s">
        <v>117</v>
      </c>
      <c r="P37" s="253"/>
      <c r="Q37" s="234">
        <f>IF(ISERROR(Q36/Q35), 0, Q36/Q35)</f>
        <v>1</v>
      </c>
      <c r="R37" s="234"/>
      <c r="S37" s="234">
        <f>IF(ISERROR(S36/S35), 0, S36/S35)</f>
        <v>24106.5</v>
      </c>
      <c r="T37" s="234"/>
      <c r="U37" s="235">
        <f t="shared" si="2"/>
        <v>24105.5</v>
      </c>
      <c r="V37" s="235"/>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52" t="s">
        <v>119</v>
      </c>
      <c r="P38" s="253"/>
      <c r="Q38" s="227">
        <f>EINSTELLUNG!F9</f>
        <v>4</v>
      </c>
      <c r="R38" s="227"/>
      <c r="S38" s="227">
        <f>EINSTELLUNG!F25</f>
        <v>4</v>
      </c>
      <c r="T38" s="227"/>
      <c r="U38" s="231">
        <f t="shared" si="2"/>
        <v>0</v>
      </c>
      <c r="V38" s="231"/>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2" t="s">
        <v>121</v>
      </c>
      <c r="P39" s="253"/>
      <c r="Q39" s="226">
        <f>IF(Q38=0, 0, Q35/Q38)</f>
        <v>1</v>
      </c>
      <c r="R39" s="226"/>
      <c r="S39" s="226">
        <f>IF(S38=0, 0, S35/S38)</f>
        <v>1</v>
      </c>
      <c r="T39" s="226"/>
      <c r="U39" s="230">
        <f t="shared" si="2"/>
        <v>0</v>
      </c>
      <c r="V39" s="230"/>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2" t="s">
        <v>123</v>
      </c>
      <c r="P40" s="253"/>
      <c r="Q40" s="226">
        <f>IF(Q13=0, 0, Q35/Q13)</f>
        <v>5.0922978994271165E-4</v>
      </c>
      <c r="R40" s="226"/>
      <c r="S40" s="226">
        <f>IF(Q13=0, 0, S35/Q13)</f>
        <v>5.0922978994271165E-4</v>
      </c>
      <c r="T40" s="226"/>
      <c r="U40" s="230">
        <f t="shared" si="2"/>
        <v>0</v>
      </c>
      <c r="V40" s="230"/>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2" t="s">
        <v>125</v>
      </c>
      <c r="P41" s="253"/>
      <c r="Q41" s="227">
        <f>IF(Q13=0, 0, Q38/Q13)</f>
        <v>5.0922978994271165E-4</v>
      </c>
      <c r="R41" s="227"/>
      <c r="S41" s="227">
        <f>IF(Q13=0, 0, S38/Q13)</f>
        <v>5.0922978994271165E-4</v>
      </c>
      <c r="T41" s="227"/>
      <c r="U41" s="231">
        <f t="shared" si="2"/>
        <v>0</v>
      </c>
      <c r="V41" s="231"/>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2" t="s">
        <v>127</v>
      </c>
      <c r="P42" s="253"/>
      <c r="Q42" s="223">
        <f>IFERROR(Q17/Q8, 0)</f>
        <v>12.01024697845507</v>
      </c>
      <c r="R42" s="224"/>
      <c r="S42" s="224"/>
      <c r="T42" s="224"/>
      <c r="U42" s="224"/>
      <c r="V42" s="225"/>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173</v>
      </c>
      <c r="G54" s="206">
        <v>2021</v>
      </c>
      <c r="H54" s="158">
        <f>IF(AND(ISNUMBER(D54), ISNUMBER(F54)),
    ROUNDDOWN(
        MIN(
            IF(OR(ISBLANK(I54), I54=""),
                EOMONTH(DATE(LOHNTABELLE!$G$3, $A$1, 1), 0), I54)
            - MAX(D54, DATE(LOHNTABELLE!$G$3, $A$1, 1)) + 1)
        / DAY(EOMONTH(DATE(LOHNTABELLE!$G$3, $A$1, 1), 0)) * F54,
        2
    ),
    ""
)</f>
        <v>173</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VfuZXXiXYLo4GFPbVzQkKKZo4BSw8H5wtStA/7pinuDz1UFtjobKunBwwsCuS6KqvFCLVkYedZjbiihAZS0VGQ==" saltValue="h99sg78hhKDmfpdtuxk58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54">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90" t="s">
        <v>205</v>
      </c>
      <c r="C1" s="302" t="s">
        <v>52</v>
      </c>
      <c r="D1" s="274" t="s">
        <v>206</v>
      </c>
      <c r="E1" s="274" t="s">
        <v>0</v>
      </c>
      <c r="F1" s="274" t="s">
        <v>53</v>
      </c>
      <c r="G1" s="276" t="s">
        <v>54</v>
      </c>
      <c r="H1" s="293" t="s">
        <v>55</v>
      </c>
      <c r="I1" s="278" t="s">
        <v>207</v>
      </c>
      <c r="J1" s="280" t="s">
        <v>56</v>
      </c>
      <c r="K1" s="282" t="s">
        <v>57</v>
      </c>
      <c r="L1" s="284" t="s">
        <v>58</v>
      </c>
      <c r="M1" s="286" t="s">
        <v>59</v>
      </c>
      <c r="N1" s="291" t="s">
        <v>208</v>
      </c>
      <c r="AB1" s="41">
        <f>DATE(LOHNTABELLE!$G$3, $A$1, 1)</f>
        <v>46143</v>
      </c>
    </row>
    <row r="2" spans="1:28" ht="16" customHeight="1" thickBot="1">
      <c r="A2" s="129"/>
      <c r="B2" s="290"/>
      <c r="C2" s="303"/>
      <c r="D2" s="275"/>
      <c r="E2" s="275"/>
      <c r="F2" s="275"/>
      <c r="G2" s="277"/>
      <c r="H2" s="294"/>
      <c r="I2" s="279"/>
      <c r="J2" s="281"/>
      <c r="K2" s="283"/>
      <c r="L2" s="285"/>
      <c r="M2" s="287"/>
      <c r="N2" s="291"/>
      <c r="AB2" s="41">
        <f>EOMONTH(DATE(LOHNTABELLE!$G$3, $A$1, 1), 0)</f>
        <v>46173</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8" t="s">
        <v>61</v>
      </c>
      <c r="P3" s="288" t="s">
        <v>62</v>
      </c>
      <c r="Q3" s="295" t="s">
        <v>63</v>
      </c>
      <c r="R3" s="297"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9"/>
      <c r="P4" s="289"/>
      <c r="Q4" s="296"/>
      <c r="R4" s="298"/>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EINSTELLUNG!I10</f>
        <v>5</v>
      </c>
      <c r="Q5" s="48">
        <f>P5-O5</f>
        <v>-729.57041000202264</v>
      </c>
      <c r="R5" s="52">
        <f>IFERROR(Q5*Q42, 0)</f>
        <v>-11455.654770713578</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99" t="str">
        <f>IF(Q5&lt;0, "Schlecht! Zu wenig Urlaub abgebaut.", IF(Q5&gt;0, "Gut! Mehr Urlaub abgebaut als aufgebaut.", ""))</f>
        <v>Schlecht! Zu wenig Urlaub abgebaut.</v>
      </c>
      <c r="P6" s="300"/>
      <c r="Q6" s="300"/>
      <c r="R6" s="301"/>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54" t="s">
        <v>70</v>
      </c>
      <c r="P8" s="255"/>
      <c r="Q8" s="256">
        <f>SUM(H3:H82)</f>
        <v>7612</v>
      </c>
      <c r="R8" s="25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54" t="s">
        <v>72</v>
      </c>
      <c r="P9" s="255"/>
      <c r="Q9" s="256">
        <f>EINSTELLUNG!L26</f>
        <v>5</v>
      </c>
      <c r="R9" s="256"/>
      <c r="S9" s="53">
        <f>IFERROR(Q9/Q8, 0)</f>
        <v>6.5685759327377825E-4</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54" t="s">
        <v>74</v>
      </c>
      <c r="P10" s="255"/>
      <c r="Q10" s="256">
        <f>EINSTELLUNG!I26</f>
        <v>5</v>
      </c>
      <c r="R10" s="25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4" t="s">
        <v>76</v>
      </c>
      <c r="P11" s="255"/>
      <c r="Q11" s="256">
        <f>P5</f>
        <v>5</v>
      </c>
      <c r="R11" s="25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4" t="s">
        <v>80</v>
      </c>
      <c r="P12" s="255"/>
      <c r="Q12" s="256">
        <f>Q8-Q9-Q10-Q11</f>
        <v>7597</v>
      </c>
      <c r="R12" s="256"/>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4" t="s">
        <v>82</v>
      </c>
      <c r="P13" s="255"/>
      <c r="Q13" s="256">
        <f>EINSTELLUNG!L10</f>
        <v>5</v>
      </c>
      <c r="R13" s="25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4" t="s">
        <v>84</v>
      </c>
      <c r="P14" s="255"/>
      <c r="Q14" s="256">
        <f>Q12-Q13</f>
        <v>7592</v>
      </c>
      <c r="R14" s="25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9" t="str">
        <f>IF(Q14&lt;0, "Schlecht! Zu wenig Stunden für Dienstplan.", IF(Q14&gt;0, "Du hast mehr als genug Stunden für Dienstplan.", ""))</f>
        <v>Du hast mehr als genug Stunden für Dienstplan.</v>
      </c>
      <c r="P15" s="379"/>
      <c r="Q15" s="379"/>
      <c r="R15" s="379"/>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258"/>
      <c r="Q17" s="259">
        <f>SUM(L3:L82)</f>
        <v>119523</v>
      </c>
      <c r="R17" s="259"/>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8"/>
      <c r="P18" s="249"/>
      <c r="Q18" s="250"/>
      <c r="R18" s="251"/>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8"/>
      <c r="P19" s="249"/>
      <c r="Q19" s="250"/>
      <c r="R19" s="251"/>
    </row>
    <row r="20" spans="1:29" ht="16" customHeight="1">
      <c r="A20" s="130"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8"/>
      <c r="P20" s="249"/>
      <c r="Q20" s="250"/>
      <c r="R20" s="251"/>
    </row>
    <row r="21" spans="1:29" ht="16" customHeight="1">
      <c r="A21" s="131"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8" t="s">
        <v>371</v>
      </c>
      <c r="P21" s="249"/>
      <c r="Q21" s="250">
        <v>5000</v>
      </c>
      <c r="R21" s="251"/>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8"/>
      <c r="P22" s="249"/>
      <c r="Q22" s="250"/>
      <c r="R22" s="251"/>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8"/>
      <c r="P23" s="249"/>
      <c r="Q23" s="250"/>
      <c r="R23" s="251"/>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8"/>
      <c r="P24" s="249"/>
      <c r="Q24" s="250"/>
      <c r="R24" s="251"/>
      <c r="W24" s="45"/>
    </row>
    <row r="25" spans="1:29" ht="16" customHeight="1" thickBot="1">
      <c r="A25" s="131"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5"/>
      <c r="P25" s="266"/>
      <c r="Q25" s="267"/>
      <c r="R25" s="268"/>
    </row>
    <row r="26" spans="1:29" ht="16" customHeight="1">
      <c r="A26" s="130"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9"/>
      <c r="P26" s="270"/>
      <c r="Q26" s="271"/>
      <c r="R26" s="272"/>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51"/>
      <c r="R27" s="273"/>
      <c r="S27" s="232" t="s">
        <v>99</v>
      </c>
      <c r="T27" s="233"/>
      <c r="U27" s="233"/>
      <c r="V27" s="233"/>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1"/>
      <c r="P28" s="262"/>
      <c r="Q28" s="263"/>
      <c r="R28" s="264"/>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36" t="s">
        <v>102</v>
      </c>
      <c r="P29" s="237"/>
      <c r="Q29" s="238">
        <f>EINSTELLUNG!O10</f>
        <v>5</v>
      </c>
      <c r="R29" s="239"/>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0">
        <v>0</v>
      </c>
      <c r="P31" s="241"/>
      <c r="Q31" s="242">
        <v>0</v>
      </c>
      <c r="R31" s="243"/>
    </row>
    <row r="32" spans="1:29" ht="16" customHeight="1">
      <c r="A32" s="130" t="s">
        <v>106</v>
      </c>
      <c r="B32" s="170">
        <v>401678</v>
      </c>
      <c r="C32" s="137"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4"/>
      <c r="P33" s="245"/>
      <c r="Q33" s="246" t="str">
        <f>EINSTELLUNG!B3</f>
        <v>Budget Zahlen</v>
      </c>
      <c r="R33" s="246"/>
      <c r="S33" s="247" t="str">
        <f>EINSTELLUNG!B19</f>
        <v>Projection/Aktuell Zahlen</v>
      </c>
      <c r="T33" s="247"/>
      <c r="U33" s="247" t="s">
        <v>110</v>
      </c>
      <c r="V33" s="247"/>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4"/>
      <c r="P34" s="245"/>
      <c r="Q34" s="246"/>
      <c r="R34" s="246"/>
      <c r="S34" s="247"/>
      <c r="T34" s="247"/>
      <c r="U34" s="247"/>
      <c r="V34" s="247"/>
    </row>
    <row r="35" spans="1:24" ht="16" customHeight="1">
      <c r="A35" s="130"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2" t="s">
        <v>113</v>
      </c>
      <c r="P35" s="253"/>
      <c r="Q35" s="226">
        <f>EINSTELLUNG!C10</f>
        <v>5</v>
      </c>
      <c r="R35" s="226"/>
      <c r="S35" s="226">
        <f>EINSTELLUNG!C26</f>
        <v>5</v>
      </c>
      <c r="T35" s="226"/>
      <c r="U35" s="230">
        <f>S35-Q35</f>
        <v>0</v>
      </c>
      <c r="V35" s="230"/>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2" t="s">
        <v>115</v>
      </c>
      <c r="P36" s="253"/>
      <c r="Q36" s="226">
        <f>EINSTELLUNG!D10</f>
        <v>5</v>
      </c>
      <c r="R36" s="226"/>
      <c r="S36" s="226" cm="1">
        <f t="array" ref="S36">SumMergedCells(Q17:R29)</f>
        <v>124528</v>
      </c>
      <c r="T36" s="226"/>
      <c r="U36" s="230">
        <f t="shared" ref="U36:U41" si="2">S36-Q36</f>
        <v>124523</v>
      </c>
      <c r="V36" s="230"/>
    </row>
    <row r="37" spans="1:24" ht="16" customHeight="1">
      <c r="A37" s="131"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2" t="s">
        <v>117</v>
      </c>
      <c r="P37" s="253"/>
      <c r="Q37" s="234">
        <f>IF(ISERROR(Q36/Q35), 0, Q36/Q35)</f>
        <v>1</v>
      </c>
      <c r="R37" s="234"/>
      <c r="S37" s="234">
        <f>IF(ISERROR(S36/S35), 0, S36/S35)</f>
        <v>24905.599999999999</v>
      </c>
      <c r="T37" s="234"/>
      <c r="U37" s="235">
        <f t="shared" si="2"/>
        <v>24904.6</v>
      </c>
      <c r="V37" s="235"/>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52" t="s">
        <v>119</v>
      </c>
      <c r="P38" s="253"/>
      <c r="Q38" s="227">
        <f>EINSTELLUNG!F10</f>
        <v>5</v>
      </c>
      <c r="R38" s="227"/>
      <c r="S38" s="227">
        <f>EINSTELLUNG!F26</f>
        <v>5</v>
      </c>
      <c r="T38" s="227"/>
      <c r="U38" s="231">
        <f t="shared" si="2"/>
        <v>0</v>
      </c>
      <c r="V38" s="231"/>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2" t="s">
        <v>121</v>
      </c>
      <c r="P39" s="253"/>
      <c r="Q39" s="226">
        <f>IF(Q38=0, 0, Q35/Q38)</f>
        <v>1</v>
      </c>
      <c r="R39" s="226"/>
      <c r="S39" s="226">
        <f>IF(S38=0, 0, S35/S38)</f>
        <v>1</v>
      </c>
      <c r="T39" s="226"/>
      <c r="U39" s="230">
        <f t="shared" si="2"/>
        <v>0</v>
      </c>
      <c r="V39" s="230"/>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2" t="s">
        <v>123</v>
      </c>
      <c r="P40" s="253"/>
      <c r="Q40" s="226">
        <f>IF(Q12=0, 0, Q35/Q12)</f>
        <v>6.5815453468474395E-4</v>
      </c>
      <c r="R40" s="226"/>
      <c r="S40" s="226">
        <f>IF(Q12=0, 0, S35/Q12)</f>
        <v>6.5815453468474395E-4</v>
      </c>
      <c r="T40" s="226"/>
      <c r="U40" s="230">
        <f t="shared" si="2"/>
        <v>0</v>
      </c>
      <c r="V40" s="230"/>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2" t="s">
        <v>125</v>
      </c>
      <c r="P41" s="253"/>
      <c r="Q41" s="227">
        <f>IF(Q12=0, 0, Q38/Q12)</f>
        <v>6.5815453468474395E-4</v>
      </c>
      <c r="R41" s="227"/>
      <c r="S41" s="227">
        <f>IF(Q12=0, 0, S38/Q12)</f>
        <v>6.5815453468474395E-4</v>
      </c>
      <c r="T41" s="227"/>
      <c r="U41" s="231">
        <f t="shared" si="2"/>
        <v>0</v>
      </c>
      <c r="V41" s="231"/>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2" t="s">
        <v>127</v>
      </c>
      <c r="P42" s="253"/>
      <c r="Q42" s="223">
        <f>IFERROR(Q17/Q8, 0)</f>
        <v>15.701918024172359</v>
      </c>
      <c r="R42" s="224"/>
      <c r="S42" s="224"/>
      <c r="T42" s="224"/>
      <c r="U42" s="224"/>
      <c r="V42" s="225"/>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173</v>
      </c>
      <c r="G54" s="206">
        <v>3500</v>
      </c>
      <c r="H54" s="158">
        <f>IF(AND(ISNUMBER(D54), ISNUMBER(F54)),
    ROUNDDOWN(
        MIN(
            IF(OR(ISBLANK(I54), I54=""),
                EOMONTH(DATE(LOHNTABELLE!$G$3, $A$1, 1), 0), I54)
            - MAX(D54, DATE(LOHNTABELLE!$G$3, $A$1, 1)) + 1)
        / DAY(EOMONTH(DATE(LOHNTABELLE!$G$3, $A$1, 1), 0)) * F54,
        2
    ),
    ""
)</f>
        <v>173</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ObWE+lrJ9+y8qhW4WoP354WE2AKSdjGfbD+JxGYlwldw3KIE/AMhZI0CvR+jcMqCmTQo0D/YAyQ5AZPtZtwmrQ==" saltValue="nKUAJtr0owen4VIVlm1a/w=="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54">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90" zoomScaleNormal="9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90" t="s">
        <v>205</v>
      </c>
      <c r="C1" s="302" t="s">
        <v>52</v>
      </c>
      <c r="D1" s="274" t="s">
        <v>206</v>
      </c>
      <c r="E1" s="274" t="s">
        <v>0</v>
      </c>
      <c r="F1" s="274" t="s">
        <v>53</v>
      </c>
      <c r="G1" s="276" t="s">
        <v>54</v>
      </c>
      <c r="H1" s="293" t="s">
        <v>55</v>
      </c>
      <c r="I1" s="278" t="s">
        <v>207</v>
      </c>
      <c r="J1" s="280" t="s">
        <v>56</v>
      </c>
      <c r="K1" s="282" t="s">
        <v>57</v>
      </c>
      <c r="L1" s="284" t="s">
        <v>58</v>
      </c>
      <c r="M1" s="286" t="s">
        <v>59</v>
      </c>
      <c r="N1" s="291" t="s">
        <v>208</v>
      </c>
      <c r="AB1" s="41">
        <f>DATE(LOHNTABELLE!$G$3, $A$1, 1)</f>
        <v>46174</v>
      </c>
    </row>
    <row r="2" spans="1:28" ht="16" customHeight="1" thickBot="1">
      <c r="A2" s="129"/>
      <c r="B2" s="290"/>
      <c r="C2" s="303"/>
      <c r="D2" s="275"/>
      <c r="E2" s="275"/>
      <c r="F2" s="275"/>
      <c r="G2" s="277"/>
      <c r="H2" s="294"/>
      <c r="I2" s="279"/>
      <c r="J2" s="281"/>
      <c r="K2" s="283"/>
      <c r="L2" s="285"/>
      <c r="M2" s="287"/>
      <c r="N2" s="291"/>
      <c r="AB2" s="41">
        <f>EOMONTH(DATE(LOHNTABELLE!$G$3, $A$1, 1), 0)</f>
        <v>46203</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8" t="s">
        <v>61</v>
      </c>
      <c r="P3" s="288" t="s">
        <v>62</v>
      </c>
      <c r="Q3" s="295" t="s">
        <v>63</v>
      </c>
      <c r="R3" s="297"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9"/>
      <c r="P4" s="289"/>
      <c r="Q4" s="296"/>
      <c r="R4" s="298"/>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EINSTELLUNG!I11</f>
        <v>6</v>
      </c>
      <c r="Q5" s="48">
        <f>P5-O5</f>
        <v>-728.57041000202264</v>
      </c>
      <c r="R5" s="52">
        <f>IFERROR(Q5*Q42, 0)</f>
        <v>-11439.952852689405</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99" t="str">
        <f>IF(Q5&lt;0, "Schlecht! Zu wenig Urlaub abgebaut.", IF(Q5&gt;0, "Gut! Mehr Urlaub abgebaut als aufgebaut.", ""))</f>
        <v>Schlecht! Zu wenig Urlaub abgebaut.</v>
      </c>
      <c r="P6" s="300"/>
      <c r="Q6" s="300"/>
      <c r="R6" s="301"/>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54" t="s">
        <v>70</v>
      </c>
      <c r="P8" s="255"/>
      <c r="Q8" s="256">
        <f>SUM(H3:H82)</f>
        <v>7612</v>
      </c>
      <c r="R8" s="25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54" t="s">
        <v>72</v>
      </c>
      <c r="P9" s="255"/>
      <c r="Q9" s="256">
        <f>EINSTELLUNG!L27</f>
        <v>6</v>
      </c>
      <c r="R9" s="256"/>
      <c r="S9" s="53">
        <f>IFERROR(Q9/Q8, 0)</f>
        <v>7.8822911192853392E-4</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54" t="s">
        <v>74</v>
      </c>
      <c r="P10" s="255"/>
      <c r="Q10" s="256">
        <f>EINSTELLUNG!I27</f>
        <v>6</v>
      </c>
      <c r="R10" s="25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4" t="s">
        <v>76</v>
      </c>
      <c r="P11" s="255"/>
      <c r="Q11" s="256">
        <f>P5</f>
        <v>6</v>
      </c>
      <c r="R11" s="25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4" t="s">
        <v>78</v>
      </c>
      <c r="P12" s="255"/>
      <c r="Q12" s="260">
        <v>442</v>
      </c>
      <c r="R12" s="260"/>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4" t="s">
        <v>80</v>
      </c>
      <c r="P13" s="255"/>
      <c r="Q13" s="256">
        <f>Q8-Q9-Q10-Q11-Q12</f>
        <v>7152</v>
      </c>
      <c r="R13" s="25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4" t="s">
        <v>82</v>
      </c>
      <c r="P14" s="255"/>
      <c r="Q14" s="256">
        <f>EINSTELLUNG!L11</f>
        <v>6</v>
      </c>
      <c r="R14" s="25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54" t="s">
        <v>84</v>
      </c>
      <c r="P15" s="255"/>
      <c r="Q15" s="256">
        <f>Q13-Q14</f>
        <v>7146</v>
      </c>
      <c r="R15" s="256"/>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92" t="str">
        <f>IF(Q15&lt;0, "Schlecht! Zu wenig Stunden für Dienstplan.", IF(Q15&gt;0, "Du hast mehr als genug Stunden für Dienstplan.", ""))</f>
        <v>Du hast mehr als genug Stunden für Dienstplan.</v>
      </c>
      <c r="P16" s="292"/>
      <c r="Q16" s="292"/>
      <c r="R16" s="292"/>
      <c r="W16" s="45"/>
    </row>
    <row r="17" spans="1:29" ht="16" customHeight="1">
      <c r="A17" s="131" t="s">
        <v>86</v>
      </c>
      <c r="B17" s="170">
        <v>401432</v>
      </c>
      <c r="C17" s="137"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258"/>
      <c r="Q17" s="259">
        <f>SUM(L3:L82)</f>
        <v>119523</v>
      </c>
      <c r="R17" s="259"/>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8"/>
      <c r="P18" s="249"/>
      <c r="Q18" s="250"/>
      <c r="R18" s="251"/>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8"/>
      <c r="P19" s="249"/>
      <c r="Q19" s="250"/>
      <c r="R19" s="251"/>
    </row>
    <row r="20" spans="1:29" ht="16" customHeight="1">
      <c r="A20" s="130"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8"/>
      <c r="P20" s="249"/>
      <c r="Q20" s="250"/>
      <c r="R20" s="251"/>
    </row>
    <row r="21" spans="1:29" ht="16" customHeight="1">
      <c r="A21" s="131"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8" t="s">
        <v>371</v>
      </c>
      <c r="P21" s="249"/>
      <c r="Q21" s="250">
        <v>5000</v>
      </c>
      <c r="R21" s="251"/>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8"/>
      <c r="P22" s="249"/>
      <c r="Q22" s="250"/>
      <c r="R22" s="251"/>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8"/>
      <c r="P23" s="249"/>
      <c r="Q23" s="250"/>
      <c r="R23" s="251"/>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8"/>
      <c r="P24" s="249"/>
      <c r="Q24" s="250"/>
      <c r="R24" s="251"/>
      <c r="W24" s="45"/>
    </row>
    <row r="25" spans="1:29" ht="16" customHeight="1" thickBot="1">
      <c r="A25" s="131"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5"/>
      <c r="P25" s="266"/>
      <c r="Q25" s="267"/>
      <c r="R25" s="268"/>
    </row>
    <row r="26" spans="1:29" ht="16" customHeight="1">
      <c r="A26" s="130"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9"/>
      <c r="P26" s="270"/>
      <c r="Q26" s="271"/>
      <c r="R26" s="272"/>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51"/>
      <c r="R27" s="273"/>
      <c r="S27" s="232" t="s">
        <v>99</v>
      </c>
      <c r="T27" s="233"/>
      <c r="U27" s="233"/>
      <c r="V27" s="233"/>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1"/>
      <c r="P28" s="262"/>
      <c r="Q28" s="263"/>
      <c r="R28" s="264"/>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36" t="s">
        <v>102</v>
      </c>
      <c r="P29" s="237"/>
      <c r="Q29" s="238">
        <f>EINSTELLUNG!O11</f>
        <v>6</v>
      </c>
      <c r="R29" s="239"/>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0">
        <v>0</v>
      </c>
      <c r="P31" s="241"/>
      <c r="Q31" s="242">
        <v>0</v>
      </c>
      <c r="R31" s="243"/>
    </row>
    <row r="32" spans="1:29" ht="16" customHeight="1">
      <c r="A32" s="130" t="s">
        <v>106</v>
      </c>
      <c r="B32" s="170">
        <v>401678</v>
      </c>
      <c r="C32" s="137"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4"/>
      <c r="P33" s="245"/>
      <c r="Q33" s="246" t="str">
        <f>EINSTELLUNG!B3</f>
        <v>Budget Zahlen</v>
      </c>
      <c r="R33" s="246"/>
      <c r="S33" s="247" t="str">
        <f>EINSTELLUNG!B19</f>
        <v>Projection/Aktuell Zahlen</v>
      </c>
      <c r="T33" s="247"/>
      <c r="U33" s="247" t="s">
        <v>110</v>
      </c>
      <c r="V33" s="247"/>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4"/>
      <c r="P34" s="245"/>
      <c r="Q34" s="246"/>
      <c r="R34" s="246"/>
      <c r="S34" s="247"/>
      <c r="T34" s="247"/>
      <c r="U34" s="247"/>
      <c r="V34" s="247"/>
    </row>
    <row r="35" spans="1:24" ht="16" customHeight="1">
      <c r="A35" s="130"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2" t="s">
        <v>113</v>
      </c>
      <c r="P35" s="253"/>
      <c r="Q35" s="226">
        <f>EINSTELLUNG!C11</f>
        <v>6</v>
      </c>
      <c r="R35" s="226"/>
      <c r="S35" s="226">
        <f>EINSTELLUNG!C27</f>
        <v>6</v>
      </c>
      <c r="T35" s="226"/>
      <c r="U35" s="230">
        <f>S35-Q35</f>
        <v>0</v>
      </c>
      <c r="V35" s="230"/>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2" t="s">
        <v>115</v>
      </c>
      <c r="P36" s="253"/>
      <c r="Q36" s="226">
        <f>EINSTELLUNG!D11</f>
        <v>6</v>
      </c>
      <c r="R36" s="226"/>
      <c r="S36" s="226" cm="1">
        <f t="array" ref="S36">SumMergedCells(Q17:R29)</f>
        <v>124529</v>
      </c>
      <c r="T36" s="226"/>
      <c r="U36" s="230">
        <f t="shared" ref="U36:U41" si="2">S36-Q36</f>
        <v>124523</v>
      </c>
      <c r="V36" s="230"/>
    </row>
    <row r="37" spans="1:24" ht="16" customHeight="1">
      <c r="A37" s="131"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2" t="s">
        <v>117</v>
      </c>
      <c r="P37" s="253"/>
      <c r="Q37" s="234">
        <f>IF(ISERROR(Q36/Q35), 0, Q36/Q35)</f>
        <v>1</v>
      </c>
      <c r="R37" s="234"/>
      <c r="S37" s="234">
        <f>IF(ISERROR(S36/S35), 0, S36/S35)</f>
        <v>20754.833333333332</v>
      </c>
      <c r="T37" s="234"/>
      <c r="U37" s="235">
        <f t="shared" si="2"/>
        <v>20753.833333333332</v>
      </c>
      <c r="V37" s="235"/>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52" t="s">
        <v>119</v>
      </c>
      <c r="P38" s="253"/>
      <c r="Q38" s="227">
        <f>EINSTELLUNG!F11</f>
        <v>6</v>
      </c>
      <c r="R38" s="227"/>
      <c r="S38" s="227">
        <f>EINSTELLUNG!F27</f>
        <v>6</v>
      </c>
      <c r="T38" s="227"/>
      <c r="U38" s="231">
        <f t="shared" si="2"/>
        <v>0</v>
      </c>
      <c r="V38" s="231"/>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2" t="s">
        <v>121</v>
      </c>
      <c r="P39" s="253"/>
      <c r="Q39" s="226">
        <f>IF(Q38=0, 0, Q35/Q38)</f>
        <v>1</v>
      </c>
      <c r="R39" s="226"/>
      <c r="S39" s="226">
        <f>IF(S38=0, 0, S35/S38)</f>
        <v>1</v>
      </c>
      <c r="T39" s="226"/>
      <c r="U39" s="230">
        <f t="shared" si="2"/>
        <v>0</v>
      </c>
      <c r="V39" s="230"/>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2" t="s">
        <v>123</v>
      </c>
      <c r="P40" s="253"/>
      <c r="Q40" s="226">
        <f>IF(Q12=0, 0, Q35/Q12)</f>
        <v>1.3574660633484163E-2</v>
      </c>
      <c r="R40" s="226"/>
      <c r="S40" s="226">
        <f>IF(Q12=0, 0, S35/Q12)</f>
        <v>1.3574660633484163E-2</v>
      </c>
      <c r="T40" s="226"/>
      <c r="U40" s="230">
        <f t="shared" si="2"/>
        <v>0</v>
      </c>
      <c r="V40" s="230"/>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2" t="s">
        <v>125</v>
      </c>
      <c r="P41" s="253"/>
      <c r="Q41" s="227">
        <f>IF(Q12=0, 0, Q38/Q12)</f>
        <v>1.3574660633484163E-2</v>
      </c>
      <c r="R41" s="227"/>
      <c r="S41" s="227">
        <f>IF(Q12=0, 0, S38/Q12)</f>
        <v>1.3574660633484163E-2</v>
      </c>
      <c r="T41" s="227"/>
      <c r="U41" s="231">
        <f t="shared" si="2"/>
        <v>0</v>
      </c>
      <c r="V41" s="231"/>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2" t="s">
        <v>127</v>
      </c>
      <c r="P42" s="253"/>
      <c r="Q42" s="223">
        <f>IFERROR(Q17/Q8, 0)</f>
        <v>15.701918024172359</v>
      </c>
      <c r="R42" s="224"/>
      <c r="S42" s="224"/>
      <c r="T42" s="224"/>
      <c r="U42" s="224"/>
      <c r="V42" s="225"/>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173</v>
      </c>
      <c r="G54" s="206">
        <v>3500</v>
      </c>
      <c r="H54" s="158">
        <f>IF(AND(ISNUMBER(D54), ISNUMBER(F54)),
    ROUNDDOWN(
        MIN(
            IF(OR(ISBLANK(I54), I54=""),
                EOMONTH(DATE(LOHNTABELLE!$G$3, $A$1, 1), 0), I54)
            - MAX(D54, DATE(LOHNTABELLE!$G$3, $A$1, 1)) + 1)
        / DAY(EOMONTH(DATE(LOHNTABELLE!$G$3, $A$1, 1), 0)) * F54,
        2
    ),
    ""
)</f>
        <v>173</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XWOrJCq1YO7nbwyH96SnQxXPppmDKlFzNUucdPlyMt9pmCnCFQBMZ0QlLm5YfCcL3Bo6zTAjmhZ7XTohbYLDAQ==" saltValue="Iw+kMfJRPjtFuAN1Djh39w=="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55">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90" t="s">
        <v>205</v>
      </c>
      <c r="C1" s="302" t="s">
        <v>52</v>
      </c>
      <c r="D1" s="274" t="s">
        <v>206</v>
      </c>
      <c r="E1" s="274" t="s">
        <v>0</v>
      </c>
      <c r="F1" s="274" t="s">
        <v>53</v>
      </c>
      <c r="G1" s="276" t="s">
        <v>54</v>
      </c>
      <c r="H1" s="293" t="s">
        <v>55</v>
      </c>
      <c r="I1" s="278" t="s">
        <v>207</v>
      </c>
      <c r="J1" s="280" t="s">
        <v>56</v>
      </c>
      <c r="K1" s="282" t="s">
        <v>57</v>
      </c>
      <c r="L1" s="284" t="s">
        <v>58</v>
      </c>
      <c r="M1" s="286" t="s">
        <v>59</v>
      </c>
      <c r="N1" s="291" t="s">
        <v>208</v>
      </c>
      <c r="AB1" s="41">
        <f>DATE(LOHNTABELLE!$G$3, $A$1, 1)</f>
        <v>46204</v>
      </c>
    </row>
    <row r="2" spans="1:28" ht="16" customHeight="1" thickBot="1">
      <c r="A2" s="129"/>
      <c r="B2" s="290"/>
      <c r="C2" s="303"/>
      <c r="D2" s="275"/>
      <c r="E2" s="275"/>
      <c r="F2" s="275"/>
      <c r="G2" s="277"/>
      <c r="H2" s="294"/>
      <c r="I2" s="279"/>
      <c r="J2" s="281"/>
      <c r="K2" s="283"/>
      <c r="L2" s="285"/>
      <c r="M2" s="287"/>
      <c r="N2" s="291"/>
      <c r="AB2" s="41">
        <f>EOMONTH(DATE(LOHNTABELLE!$G$3, $A$1, 1), 0)</f>
        <v>46234</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8" t="s">
        <v>61</v>
      </c>
      <c r="P3" s="288" t="s">
        <v>62</v>
      </c>
      <c r="Q3" s="295" t="s">
        <v>63</v>
      </c>
      <c r="R3" s="297"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9"/>
      <c r="P4" s="289"/>
      <c r="Q4" s="296"/>
      <c r="R4" s="298"/>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EINSTELLUNG!I12</f>
        <v>7</v>
      </c>
      <c r="Q5" s="48">
        <f>P5-O5</f>
        <v>-724.23145359292243</v>
      </c>
      <c r="R5" s="52">
        <f>IFERROR(Q5*Q42, 0)</f>
        <v>-11243.756876287471</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99" t="str">
        <f>IF(Q5&lt;0, "Schlecht! Zu wenig Urlaub abgebaut.", IF(Q5&gt;0, "Gut! Mehr Urlaub abgebaut als aufgebaut.", ""))</f>
        <v>Schlecht! Zu wenig Urlaub abgebaut.</v>
      </c>
      <c r="P6" s="300"/>
      <c r="Q6" s="300"/>
      <c r="R6" s="301"/>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54" t="s">
        <v>70</v>
      </c>
      <c r="P8" s="255"/>
      <c r="Q8" s="256">
        <f>SUM(H3:H82)</f>
        <v>7577.4</v>
      </c>
      <c r="R8" s="25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54" t="s">
        <v>72</v>
      </c>
      <c r="P9" s="255"/>
      <c r="Q9" s="256">
        <f>EINSTELLUNG!L28</f>
        <v>7</v>
      </c>
      <c r="R9" s="256"/>
      <c r="S9" s="53">
        <f>IFERROR(Q9/Q8, 0)</f>
        <v>9.2379972022065622E-4</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54" t="s">
        <v>74</v>
      </c>
      <c r="P10" s="255"/>
      <c r="Q10" s="256">
        <f>EINSTELLUNG!I28</f>
        <v>7</v>
      </c>
      <c r="R10" s="25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4" t="s">
        <v>76</v>
      </c>
      <c r="P11" s="255"/>
      <c r="Q11" s="256">
        <f>P5</f>
        <v>7</v>
      </c>
      <c r="R11" s="25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4" t="s">
        <v>78</v>
      </c>
      <c r="P12" s="255"/>
      <c r="Q12" s="260">
        <v>39</v>
      </c>
      <c r="R12" s="260"/>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4" t="s">
        <v>80</v>
      </c>
      <c r="P13" s="255"/>
      <c r="Q13" s="256">
        <f>Q8-Q9-Q10-Q11-Q12</f>
        <v>7517.4</v>
      </c>
      <c r="R13" s="25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4" t="s">
        <v>82</v>
      </c>
      <c r="P14" s="255"/>
      <c r="Q14" s="256">
        <f>EINSTELLUNG!L12</f>
        <v>7</v>
      </c>
      <c r="R14" s="25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54" t="s">
        <v>84</v>
      </c>
      <c r="P15" s="255"/>
      <c r="Q15" s="256">
        <f>Q13-Q14</f>
        <v>7510.4</v>
      </c>
      <c r="R15" s="256"/>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92" t="str">
        <f>IF(Q15&lt;0, "Schlecht! Zu wenig Stunden für Dienstplan.", IF(Q15&gt;0, "Du hast mehr als genug Stunden für Dienstplan.", ""))</f>
        <v>Du hast mehr als genug Stunden für Dienstplan.</v>
      </c>
      <c r="P16" s="292"/>
      <c r="Q16" s="292"/>
      <c r="R16" s="292"/>
      <c r="W16" s="45"/>
    </row>
    <row r="17" spans="1:29" ht="16" customHeight="1">
      <c r="A17" s="131" t="s">
        <v>86</v>
      </c>
      <c r="B17" s="170">
        <v>401432</v>
      </c>
      <c r="C17" s="137"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258"/>
      <c r="Q17" s="259">
        <f>SUM(L3:L82)</f>
        <v>117639.8</v>
      </c>
      <c r="R17" s="259"/>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8"/>
      <c r="P18" s="249"/>
      <c r="Q18" s="250"/>
      <c r="R18" s="251"/>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8"/>
      <c r="P19" s="249"/>
      <c r="Q19" s="250"/>
      <c r="R19" s="251"/>
    </row>
    <row r="20" spans="1:29" ht="16" customHeight="1">
      <c r="A20" s="130"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8"/>
      <c r="P20" s="249"/>
      <c r="Q20" s="250"/>
      <c r="R20" s="251"/>
    </row>
    <row r="21" spans="1:29" ht="16" customHeight="1">
      <c r="A21" s="131"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8" t="s">
        <v>371</v>
      </c>
      <c r="P21" s="249"/>
      <c r="Q21" s="250">
        <v>5000</v>
      </c>
      <c r="R21" s="251"/>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8"/>
      <c r="P22" s="249"/>
      <c r="Q22" s="250"/>
      <c r="R22" s="251"/>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8"/>
      <c r="P23" s="249"/>
      <c r="Q23" s="250"/>
      <c r="R23" s="251"/>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8"/>
      <c r="P24" s="249"/>
      <c r="Q24" s="250"/>
      <c r="R24" s="251"/>
      <c r="W24" s="45"/>
    </row>
    <row r="25" spans="1:29" ht="16" customHeight="1" thickBot="1">
      <c r="A25" s="131"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5"/>
      <c r="P25" s="266"/>
      <c r="Q25" s="267"/>
      <c r="R25" s="268"/>
    </row>
    <row r="26" spans="1:29" ht="16" customHeight="1">
      <c r="A26" s="130"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68"/>
      <c r="P26" s="269"/>
      <c r="Q26" s="271"/>
      <c r="R26" s="272"/>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51"/>
      <c r="R27" s="273"/>
      <c r="S27" s="232" t="s">
        <v>99</v>
      </c>
      <c r="T27" s="233"/>
      <c r="U27" s="233"/>
      <c r="V27" s="233"/>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1"/>
      <c r="P28" s="262"/>
      <c r="Q28" s="263"/>
      <c r="R28" s="264"/>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36" t="s">
        <v>102</v>
      </c>
      <c r="P29" s="237"/>
      <c r="Q29" s="238">
        <f>EINSTELLUNG!O12</f>
        <v>7</v>
      </c>
      <c r="R29" s="239"/>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0">
        <v>0</v>
      </c>
      <c r="P31" s="241"/>
      <c r="Q31" s="242">
        <v>0</v>
      </c>
      <c r="R31" s="243"/>
    </row>
    <row r="32" spans="1:29" ht="16" customHeight="1">
      <c r="A32" s="130" t="s">
        <v>106</v>
      </c>
      <c r="B32" s="170">
        <v>401678</v>
      </c>
      <c r="C32" s="137"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4"/>
      <c r="P33" s="245"/>
      <c r="Q33" s="246" t="str">
        <f>EINSTELLUNG!B3</f>
        <v>Budget Zahlen</v>
      </c>
      <c r="R33" s="246"/>
      <c r="S33" s="247" t="str">
        <f>EINSTELLUNG!B19</f>
        <v>Projection/Aktuell Zahlen</v>
      </c>
      <c r="T33" s="247"/>
      <c r="U33" s="247" t="s">
        <v>110</v>
      </c>
      <c r="V33" s="247"/>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4"/>
      <c r="P34" s="245"/>
      <c r="Q34" s="246"/>
      <c r="R34" s="246"/>
      <c r="S34" s="247"/>
      <c r="T34" s="247"/>
      <c r="U34" s="247"/>
      <c r="V34" s="247"/>
    </row>
    <row r="35" spans="1:24" ht="16" customHeight="1">
      <c r="A35" s="130"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2" t="s">
        <v>113</v>
      </c>
      <c r="P35" s="253"/>
      <c r="Q35" s="226">
        <f>EINSTELLUNG!C12</f>
        <v>7</v>
      </c>
      <c r="R35" s="226"/>
      <c r="S35" s="226">
        <f>EINSTELLUNG!C28</f>
        <v>7</v>
      </c>
      <c r="T35" s="226"/>
      <c r="U35" s="230">
        <f>S35-Q35</f>
        <v>0</v>
      </c>
      <c r="V35" s="230"/>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2" t="s">
        <v>115</v>
      </c>
      <c r="P36" s="253"/>
      <c r="Q36" s="226">
        <f>EINSTELLUNG!D12</f>
        <v>7</v>
      </c>
      <c r="R36" s="226"/>
      <c r="S36" s="223" cm="1">
        <f t="array" ref="S36">SumMergedCells(Q17:R29)</f>
        <v>122646.8</v>
      </c>
      <c r="T36" s="225"/>
      <c r="U36" s="230">
        <f t="shared" ref="U36:U41" si="2">S36-Q36</f>
        <v>122639.8</v>
      </c>
      <c r="V36" s="230"/>
    </row>
    <row r="37" spans="1:24" ht="16" customHeight="1">
      <c r="A37" s="131"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2" t="s">
        <v>117</v>
      </c>
      <c r="P37" s="253"/>
      <c r="Q37" s="234">
        <f>IF(ISERROR(Q36/Q35), 0, Q36/Q35)</f>
        <v>1</v>
      </c>
      <c r="R37" s="234"/>
      <c r="S37" s="234">
        <f>IF(ISERROR(S36/S35), 0, S36/S35)</f>
        <v>17520.971428571429</v>
      </c>
      <c r="T37" s="234"/>
      <c r="U37" s="235">
        <f t="shared" si="2"/>
        <v>17519.971428571429</v>
      </c>
      <c r="V37" s="235"/>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52" t="s">
        <v>119</v>
      </c>
      <c r="P38" s="253"/>
      <c r="Q38" s="227">
        <f>EINSTELLUNG!F12</f>
        <v>7</v>
      </c>
      <c r="R38" s="227"/>
      <c r="S38" s="227">
        <f>EINSTELLUNG!F28</f>
        <v>7</v>
      </c>
      <c r="T38" s="227"/>
      <c r="U38" s="231">
        <f t="shared" si="2"/>
        <v>0</v>
      </c>
      <c r="V38" s="231"/>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2" t="s">
        <v>121</v>
      </c>
      <c r="P39" s="253"/>
      <c r="Q39" s="226">
        <f>IF(Q38=0, 0, Q35/Q38)</f>
        <v>1</v>
      </c>
      <c r="R39" s="226"/>
      <c r="S39" s="226">
        <f>IF(S38=0, 0, S35/S38)</f>
        <v>1</v>
      </c>
      <c r="T39" s="226"/>
      <c r="U39" s="230">
        <f t="shared" si="2"/>
        <v>0</v>
      </c>
      <c r="V39" s="230"/>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2" t="s">
        <v>123</v>
      </c>
      <c r="P40" s="253"/>
      <c r="Q40" s="226">
        <f>IF(Q13=0, 0, Q35/Q13)</f>
        <v>9.311730119456195E-4</v>
      </c>
      <c r="R40" s="226"/>
      <c r="S40" s="226">
        <f>IF(Q13=0, 0, S35/Q13)</f>
        <v>9.311730119456195E-4</v>
      </c>
      <c r="T40" s="226"/>
      <c r="U40" s="230">
        <f t="shared" si="2"/>
        <v>0</v>
      </c>
      <c r="V40" s="230"/>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2" t="s">
        <v>125</v>
      </c>
      <c r="P41" s="253"/>
      <c r="Q41" s="227">
        <f>IF(Q13=0, 0, Q38/Q13)</f>
        <v>9.311730119456195E-4</v>
      </c>
      <c r="R41" s="227"/>
      <c r="S41" s="227">
        <f>IF(Q13=0, 0, S38/Q13)</f>
        <v>9.311730119456195E-4</v>
      </c>
      <c r="T41" s="227"/>
      <c r="U41" s="231">
        <f t="shared" si="2"/>
        <v>0</v>
      </c>
      <c r="V41" s="231"/>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2" t="s">
        <v>127</v>
      </c>
      <c r="P42" s="253"/>
      <c r="Q42" s="223">
        <f>IFERROR(Q17/Q8, 0)</f>
        <v>15.525087760973422</v>
      </c>
      <c r="R42" s="224"/>
      <c r="S42" s="224"/>
      <c r="T42" s="224"/>
      <c r="U42" s="224"/>
      <c r="V42" s="225"/>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138.4</v>
      </c>
      <c r="G54" s="206">
        <v>1616.8</v>
      </c>
      <c r="H54" s="158">
        <f>IF(AND(ISNUMBER(D54), ISNUMBER(F54)),
    ROUNDDOWN(
        MIN(
            IF(OR(ISBLANK(I54), I54=""),
                EOMONTH(DATE(LOHNTABELLE!$G$3, $A$1, 1), 0), I54)
            - MAX(D54, DATE(LOHNTABELLE!$G$3, $A$1, 1)) + 1)
        / DAY(EOMONTH(DATE(LOHNTABELLE!$G$3, $A$1, 1), 0)) * F54,
        2
    ),
    ""
)</f>
        <v>138.4</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oXwWMFiH4XQNoGc2tyIfQ1YCE+nJw679XiYLto0n1MMz4FEmXQGzpLMH1CiSL6XE2OpYArbvH5G3+mAXcooWDQ==" saltValue="k1CkIn72saTlPJd1Q/O0hg=="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5">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90" t="s">
        <v>205</v>
      </c>
      <c r="C1" s="302" t="s">
        <v>52</v>
      </c>
      <c r="D1" s="274" t="s">
        <v>206</v>
      </c>
      <c r="E1" s="274" t="s">
        <v>0</v>
      </c>
      <c r="F1" s="274" t="s">
        <v>53</v>
      </c>
      <c r="G1" s="276" t="s">
        <v>54</v>
      </c>
      <c r="H1" s="293" t="s">
        <v>55</v>
      </c>
      <c r="I1" s="278" t="s">
        <v>207</v>
      </c>
      <c r="J1" s="280" t="s">
        <v>56</v>
      </c>
      <c r="K1" s="282" t="s">
        <v>57</v>
      </c>
      <c r="L1" s="284" t="s">
        <v>58</v>
      </c>
      <c r="M1" s="286" t="s">
        <v>59</v>
      </c>
      <c r="N1" s="291" t="s">
        <v>208</v>
      </c>
      <c r="AB1" s="41">
        <f>DATE(LOHNTABELLE!$G$3, $A$1, 1)</f>
        <v>46235</v>
      </c>
    </row>
    <row r="2" spans="1:28" ht="16" customHeight="1" thickBot="1">
      <c r="A2" s="129"/>
      <c r="B2" s="290"/>
      <c r="C2" s="303"/>
      <c r="D2" s="275"/>
      <c r="E2" s="275"/>
      <c r="F2" s="275"/>
      <c r="G2" s="277"/>
      <c r="H2" s="294"/>
      <c r="I2" s="279"/>
      <c r="J2" s="281"/>
      <c r="K2" s="283"/>
      <c r="L2" s="285"/>
      <c r="M2" s="287"/>
      <c r="N2" s="291"/>
      <c r="AB2" s="41">
        <f>EOMONTH(DATE(LOHNTABELLE!$G$3, $A$1, 1), 0)</f>
        <v>46265</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8" t="s">
        <v>61</v>
      </c>
      <c r="P3" s="288" t="s">
        <v>62</v>
      </c>
      <c r="Q3" s="295" t="s">
        <v>63</v>
      </c>
      <c r="R3" s="297"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9"/>
      <c r="P4" s="289"/>
      <c r="Q4" s="296"/>
      <c r="R4" s="298"/>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EINSTELLUNG!I13</f>
        <v>8</v>
      </c>
      <c r="Q5" s="48">
        <f>P5-O5</f>
        <v>-723.23145359292243</v>
      </c>
      <c r="R5" s="52">
        <f>IFERROR(Q5*Q42, 0)</f>
        <v>-11228.231788526498</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99" t="str">
        <f>IF(Q5&lt;0, "Schlecht! Zu wenig Urlaub abgebaut.", IF(Q5&gt;0, "Gut! Mehr Urlaub abgebaut als aufgebaut.", ""))</f>
        <v>Schlecht! Zu wenig Urlaub abgebaut.</v>
      </c>
      <c r="P6" s="300"/>
      <c r="Q6" s="300"/>
      <c r="R6" s="301"/>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54" t="s">
        <v>70</v>
      </c>
      <c r="P8" s="255"/>
      <c r="Q8" s="256">
        <f>SUM(H3:H82)</f>
        <v>7577.4</v>
      </c>
      <c r="R8" s="25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54" t="s">
        <v>72</v>
      </c>
      <c r="P9" s="255"/>
      <c r="Q9" s="256">
        <f>EINSTELLUNG!L29</f>
        <v>8</v>
      </c>
      <c r="R9" s="256"/>
      <c r="S9" s="53">
        <f>IFERROR(Q9/Q8, 0)</f>
        <v>1.0557711088236071E-3</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54" t="s">
        <v>74</v>
      </c>
      <c r="P10" s="255"/>
      <c r="Q10" s="256">
        <f>EINSTELLUNG!I29</f>
        <v>8</v>
      </c>
      <c r="R10" s="25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4" t="s">
        <v>76</v>
      </c>
      <c r="P11" s="255"/>
      <c r="Q11" s="256">
        <f>P5</f>
        <v>8</v>
      </c>
      <c r="R11" s="25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4" t="s">
        <v>80</v>
      </c>
      <c r="P12" s="255"/>
      <c r="Q12" s="256">
        <f>Q8-Q9-Q10-Q11</f>
        <v>7553.4</v>
      </c>
      <c r="R12" s="256"/>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4" t="s">
        <v>82</v>
      </c>
      <c r="P13" s="255"/>
      <c r="Q13" s="256">
        <f>EINSTELLUNG!L13</f>
        <v>8</v>
      </c>
      <c r="R13" s="25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4" t="s">
        <v>84</v>
      </c>
      <c r="P14" s="255"/>
      <c r="Q14" s="256">
        <f>Q12-Q13</f>
        <v>7545.4</v>
      </c>
      <c r="R14" s="25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9" t="str">
        <f>IF(Q14&lt;0, "Schlecht! Zu wenig Stunden für Dienstplan.", IF(Q14&gt;0, "Du hast mehr als genug Stunden für Dienstplan.", ""))</f>
        <v>Du hast mehr als genug Stunden für Dienstplan.</v>
      </c>
      <c r="P15" s="379"/>
      <c r="Q15" s="379"/>
      <c r="R15" s="379"/>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258"/>
      <c r="Q17" s="259">
        <f>SUM(L3:L82)</f>
        <v>117639.8</v>
      </c>
      <c r="R17" s="259"/>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8"/>
      <c r="P18" s="249"/>
      <c r="Q18" s="250"/>
      <c r="R18" s="251"/>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8"/>
      <c r="P19" s="249"/>
      <c r="Q19" s="250"/>
      <c r="R19" s="251"/>
    </row>
    <row r="20" spans="1:29" ht="16" customHeight="1">
      <c r="A20" s="130"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8"/>
      <c r="P20" s="249"/>
      <c r="Q20" s="250"/>
      <c r="R20" s="251"/>
    </row>
    <row r="21" spans="1:29" ht="16" customHeight="1">
      <c r="A21" s="131"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8" t="s">
        <v>371</v>
      </c>
      <c r="P21" s="249"/>
      <c r="Q21" s="250">
        <v>5000</v>
      </c>
      <c r="R21" s="251"/>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8"/>
      <c r="P22" s="249"/>
      <c r="Q22" s="250"/>
      <c r="R22" s="251"/>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8"/>
      <c r="P23" s="249"/>
      <c r="Q23" s="250"/>
      <c r="R23" s="251"/>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8"/>
      <c r="P24" s="249"/>
      <c r="Q24" s="250"/>
      <c r="R24" s="251"/>
      <c r="W24" s="45"/>
    </row>
    <row r="25" spans="1:29" ht="16" customHeight="1" thickBot="1">
      <c r="A25" s="131"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5"/>
      <c r="P25" s="266"/>
      <c r="Q25" s="267"/>
      <c r="R25" s="268"/>
    </row>
    <row r="26" spans="1:29" ht="16" customHeight="1">
      <c r="A26" s="130"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9"/>
      <c r="P26" s="270"/>
      <c r="Q26" s="271"/>
      <c r="R26" s="272"/>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51"/>
      <c r="R27" s="273"/>
      <c r="S27" s="232" t="s">
        <v>99</v>
      </c>
      <c r="T27" s="233"/>
      <c r="U27" s="233"/>
      <c r="V27" s="233"/>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1"/>
      <c r="P28" s="262"/>
      <c r="Q28" s="263"/>
      <c r="R28" s="264"/>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36" t="s">
        <v>102</v>
      </c>
      <c r="P29" s="237"/>
      <c r="Q29" s="238">
        <f>EINSTELLUNG!O13</f>
        <v>8</v>
      </c>
      <c r="R29" s="239"/>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0">
        <v>0</v>
      </c>
      <c r="P31" s="241"/>
      <c r="Q31" s="242">
        <v>0</v>
      </c>
      <c r="R31" s="243"/>
    </row>
    <row r="32" spans="1:29" ht="16" customHeight="1">
      <c r="A32" s="130" t="s">
        <v>106</v>
      </c>
      <c r="B32" s="170">
        <v>401678</v>
      </c>
      <c r="C32" s="139"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4"/>
      <c r="P33" s="245"/>
      <c r="Q33" s="246" t="str">
        <f>EINSTELLUNG!B3</f>
        <v>Budget Zahlen</v>
      </c>
      <c r="R33" s="246"/>
      <c r="S33" s="247" t="str">
        <f>EINSTELLUNG!B19</f>
        <v>Projection/Aktuell Zahlen</v>
      </c>
      <c r="T33" s="247"/>
      <c r="U33" s="247" t="s">
        <v>110</v>
      </c>
      <c r="V33" s="247"/>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4"/>
      <c r="P34" s="245"/>
      <c r="Q34" s="246"/>
      <c r="R34" s="246"/>
      <c r="S34" s="247"/>
      <c r="T34" s="247"/>
      <c r="U34" s="247"/>
      <c r="V34" s="247"/>
    </row>
    <row r="35" spans="1:24" ht="16" customHeight="1">
      <c r="A35" s="130"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2" t="s">
        <v>113</v>
      </c>
      <c r="P35" s="253"/>
      <c r="Q35" s="226">
        <f>EINSTELLUNG!C13</f>
        <v>8</v>
      </c>
      <c r="R35" s="226"/>
      <c r="S35" s="226">
        <f>EINSTELLUNG!C29</f>
        <v>8</v>
      </c>
      <c r="T35" s="226"/>
      <c r="U35" s="230">
        <f>S35-Q35</f>
        <v>0</v>
      </c>
      <c r="V35" s="230"/>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2" t="s">
        <v>115</v>
      </c>
      <c r="P36" s="253"/>
      <c r="Q36" s="226">
        <f>EINSTELLUNG!D13</f>
        <v>8</v>
      </c>
      <c r="R36" s="226"/>
      <c r="S36" s="223" cm="1">
        <f t="array" ref="S36">SumMergedCells(Q17:R29)</f>
        <v>122647.8</v>
      </c>
      <c r="T36" s="225"/>
      <c r="U36" s="230">
        <f t="shared" ref="U36:U41" si="2">S36-Q36</f>
        <v>122639.8</v>
      </c>
      <c r="V36" s="230"/>
    </row>
    <row r="37" spans="1:24" ht="16" customHeight="1">
      <c r="A37" s="131"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2" t="s">
        <v>117</v>
      </c>
      <c r="P37" s="253"/>
      <c r="Q37" s="234">
        <f>IF(ISERROR(Q36/Q35), 0, Q36/Q35)</f>
        <v>1</v>
      </c>
      <c r="R37" s="234"/>
      <c r="S37" s="343">
        <f>IF(ISERROR(S36/S35), 0, S36/S35)</f>
        <v>15330.975</v>
      </c>
      <c r="T37" s="344"/>
      <c r="U37" s="235">
        <f t="shared" si="2"/>
        <v>15329.975</v>
      </c>
      <c r="V37" s="235"/>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52" t="s">
        <v>119</v>
      </c>
      <c r="P38" s="253"/>
      <c r="Q38" s="227">
        <f>EINSTELLUNG!F13</f>
        <v>8</v>
      </c>
      <c r="R38" s="227"/>
      <c r="S38" s="227">
        <f>EINSTELLUNG!F29</f>
        <v>8</v>
      </c>
      <c r="T38" s="227"/>
      <c r="U38" s="231">
        <f t="shared" si="2"/>
        <v>0</v>
      </c>
      <c r="V38" s="231"/>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2" t="s">
        <v>121</v>
      </c>
      <c r="P39" s="253"/>
      <c r="Q39" s="226">
        <f>IF(Q38=0, 0, Q35/Q38)</f>
        <v>1</v>
      </c>
      <c r="R39" s="226"/>
      <c r="S39" s="226">
        <f>IF(S38=0, 0, S35/S38)</f>
        <v>1</v>
      </c>
      <c r="T39" s="226"/>
      <c r="U39" s="230">
        <f t="shared" si="2"/>
        <v>0</v>
      </c>
      <c r="V39" s="230"/>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2" t="s">
        <v>123</v>
      </c>
      <c r="P40" s="253"/>
      <c r="Q40" s="226">
        <f>IF(Q12=0, 0, Q35/Q12)</f>
        <v>1.0591256917414674E-3</v>
      </c>
      <c r="R40" s="226"/>
      <c r="S40" s="226">
        <f>IF(Q12=0, 0, S35/Q12)</f>
        <v>1.0591256917414674E-3</v>
      </c>
      <c r="T40" s="226"/>
      <c r="U40" s="230">
        <f t="shared" si="2"/>
        <v>0</v>
      </c>
      <c r="V40" s="230"/>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2" t="s">
        <v>125</v>
      </c>
      <c r="P41" s="253"/>
      <c r="Q41" s="227">
        <f>IF(Q12=0, 0, Q38/Q12)</f>
        <v>1.0591256917414674E-3</v>
      </c>
      <c r="R41" s="227"/>
      <c r="S41" s="227">
        <f>IF(Q12=0, 0, S38/Q12)</f>
        <v>1.0591256917414674E-3</v>
      </c>
      <c r="T41" s="227"/>
      <c r="U41" s="231">
        <f t="shared" si="2"/>
        <v>0</v>
      </c>
      <c r="V41" s="231"/>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2" t="s">
        <v>127</v>
      </c>
      <c r="P42" s="253"/>
      <c r="Q42" s="223">
        <f>IFERROR(Q17/Q8, 0)</f>
        <v>15.525087760973422</v>
      </c>
      <c r="R42" s="224"/>
      <c r="S42" s="224"/>
      <c r="T42" s="224"/>
      <c r="U42" s="224"/>
      <c r="V42" s="225"/>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138.4</v>
      </c>
      <c r="G54" s="206">
        <v>1616.8</v>
      </c>
      <c r="H54" s="158">
        <f>IF(AND(ISNUMBER(D54), ISNUMBER(F54)),
    ROUNDDOWN(
        MIN(
            IF(OR(ISBLANK(I54), I54=""),
                EOMONTH(DATE(LOHNTABELLE!$G$3, $A$1, 1), 0), I54)
            - MAX(D54, DATE(LOHNTABELLE!$G$3, $A$1, 1)) + 1)
        / DAY(EOMONTH(DATE(LOHNTABELLE!$G$3, $A$1, 1), 0)) * F54,
        2
    ),
    ""
)</f>
        <v>138.4</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RFqnN0+FxVOSafLGrIZVQJMmAkEpyY5dIa6+fpghTgOeH6qtbyHSecei2Rwj8nJJd3R9YJ1iLYuZONrTibOksQ==" saltValue="OidAHurMekKGMY82iMdkIA=="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56">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90" t="s">
        <v>205</v>
      </c>
      <c r="C1" s="302" t="s">
        <v>52</v>
      </c>
      <c r="D1" s="274" t="s">
        <v>206</v>
      </c>
      <c r="E1" s="274" t="s">
        <v>0</v>
      </c>
      <c r="F1" s="274" t="s">
        <v>53</v>
      </c>
      <c r="G1" s="276" t="s">
        <v>54</v>
      </c>
      <c r="H1" s="293" t="s">
        <v>55</v>
      </c>
      <c r="I1" s="278" t="s">
        <v>207</v>
      </c>
      <c r="J1" s="280" t="s">
        <v>56</v>
      </c>
      <c r="K1" s="282" t="s">
        <v>57</v>
      </c>
      <c r="L1" s="284" t="s">
        <v>58</v>
      </c>
      <c r="M1" s="286" t="s">
        <v>59</v>
      </c>
      <c r="N1" s="291" t="s">
        <v>208</v>
      </c>
      <c r="AB1" s="41">
        <f>DATE(LOHNTABELLE!$G$3, $A$1, 1)</f>
        <v>46266</v>
      </c>
    </row>
    <row r="2" spans="1:28" ht="16" customHeight="1" thickBot="1">
      <c r="A2" s="129"/>
      <c r="B2" s="290"/>
      <c r="C2" s="303"/>
      <c r="D2" s="275"/>
      <c r="E2" s="275"/>
      <c r="F2" s="275"/>
      <c r="G2" s="277"/>
      <c r="H2" s="294"/>
      <c r="I2" s="279"/>
      <c r="J2" s="281"/>
      <c r="K2" s="283"/>
      <c r="L2" s="285"/>
      <c r="M2" s="287"/>
      <c r="N2" s="291"/>
      <c r="AB2" s="41">
        <f>EOMONTH(DATE(LOHNTABELLE!$G$3, $A$1, 1), 0)</f>
        <v>46295</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8" t="s">
        <v>61</v>
      </c>
      <c r="P3" s="288" t="s">
        <v>62</v>
      </c>
      <c r="Q3" s="295" t="s">
        <v>63</v>
      </c>
      <c r="R3" s="297"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9"/>
      <c r="P4" s="289"/>
      <c r="Q4" s="296"/>
      <c r="R4" s="298"/>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EINSTELLUNG!I14</f>
        <v>9</v>
      </c>
      <c r="Q5" s="48">
        <f>P5-O5</f>
        <v>-722.23145359292243</v>
      </c>
      <c r="R5" s="52">
        <f>IFERROR(Q5*Q42, 0)</f>
        <v>-11212.706700765524</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99" t="str">
        <f>IF(Q5&lt;0, "Schlecht! Zu wenig Urlaub abgebaut.", IF(Q5&gt;0, "Gut! Mehr Urlaub abgebaut als aufgebaut.", ""))</f>
        <v>Schlecht! Zu wenig Urlaub abgebaut.</v>
      </c>
      <c r="P6" s="300"/>
      <c r="Q6" s="300"/>
      <c r="R6" s="301"/>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54" t="s">
        <v>70</v>
      </c>
      <c r="P8" s="255"/>
      <c r="Q8" s="256">
        <f>SUM(H3:H82)</f>
        <v>7577.4</v>
      </c>
      <c r="R8" s="256"/>
    </row>
    <row r="9" spans="1:28" ht="16" customHeight="1">
      <c r="A9" s="130"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54" t="s">
        <v>72</v>
      </c>
      <c r="P9" s="255"/>
      <c r="Q9" s="256">
        <f>EINSTELLUNG!L30</f>
        <v>9</v>
      </c>
      <c r="R9" s="256"/>
      <c r="S9" s="53">
        <f>IFERROR(Q9/Q8, 0)</f>
        <v>1.1877424974265579E-3</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54" t="s">
        <v>74</v>
      </c>
      <c r="P10" s="255"/>
      <c r="Q10" s="256">
        <f>EINSTELLUNG!I30</f>
        <v>9</v>
      </c>
      <c r="R10" s="256"/>
    </row>
    <row r="11" spans="1:28" ht="16" customHeight="1">
      <c r="A11" s="131"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4" t="s">
        <v>76</v>
      </c>
      <c r="P11" s="255"/>
      <c r="Q11" s="256">
        <f>P5</f>
        <v>9</v>
      </c>
      <c r="R11" s="25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4" t="s">
        <v>78</v>
      </c>
      <c r="P12" s="255"/>
      <c r="Q12" s="260">
        <v>167</v>
      </c>
      <c r="R12" s="260"/>
    </row>
    <row r="13" spans="1:28" ht="16" customHeight="1">
      <c r="A13" s="130"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4" t="s">
        <v>80</v>
      </c>
      <c r="P13" s="255"/>
      <c r="Q13" s="256">
        <f>Q8-Q9-Q10-Q11-Q12</f>
        <v>7383.4</v>
      </c>
      <c r="R13" s="256"/>
    </row>
    <row r="14" spans="1:28" ht="16" customHeight="1">
      <c r="A14" s="131"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4" t="s">
        <v>82</v>
      </c>
      <c r="P14" s="255"/>
      <c r="Q14" s="256">
        <f>EINSTELLUNG!L14</f>
        <v>9</v>
      </c>
      <c r="R14" s="25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54" t="s">
        <v>84</v>
      </c>
      <c r="P15" s="255"/>
      <c r="Q15" s="256">
        <f>Q13-Q14</f>
        <v>7374.4</v>
      </c>
      <c r="R15" s="256"/>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92" t="str">
        <f>IF(Q15&lt;0, "Schlecht! Zu wenig Stunden für Dienstplan.", IF(Q15&gt;0, "Du hast mehr als genug Stunden für Dienstplan.", ""))</f>
        <v>Du hast mehr als genug Stunden für Dienstplan.</v>
      </c>
      <c r="P16" s="292"/>
      <c r="Q16" s="292"/>
      <c r="R16" s="292"/>
      <c r="W16" s="45"/>
    </row>
    <row r="17" spans="1:29" ht="16" customHeight="1">
      <c r="A17" s="131" t="s">
        <v>86</v>
      </c>
      <c r="B17" s="170">
        <v>401432</v>
      </c>
      <c r="C17" s="139"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258"/>
      <c r="Q17" s="259">
        <f>SUM(L3:L82)</f>
        <v>117639.8</v>
      </c>
      <c r="R17" s="259"/>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8"/>
      <c r="P18" s="249"/>
      <c r="Q18" s="250"/>
      <c r="R18" s="251"/>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8"/>
      <c r="P19" s="249"/>
      <c r="Q19" s="250"/>
      <c r="R19" s="251"/>
    </row>
    <row r="20" spans="1:29" ht="16" customHeight="1">
      <c r="A20" s="131"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8"/>
      <c r="P20" s="249"/>
      <c r="Q20" s="250"/>
      <c r="R20" s="251"/>
    </row>
    <row r="21" spans="1:29" ht="16" customHeight="1">
      <c r="A21" s="130"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8" t="s">
        <v>371</v>
      </c>
      <c r="P21" s="249"/>
      <c r="Q21" s="250">
        <v>5000</v>
      </c>
      <c r="R21" s="251"/>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8"/>
      <c r="P22" s="249"/>
      <c r="Q22" s="250"/>
      <c r="R22" s="251"/>
    </row>
    <row r="23" spans="1:29" ht="16" customHeight="1">
      <c r="A23" s="131"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8"/>
      <c r="P23" s="249"/>
      <c r="Q23" s="250"/>
      <c r="R23" s="251"/>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8"/>
      <c r="P24" s="249"/>
      <c r="Q24" s="250"/>
      <c r="R24" s="251"/>
      <c r="W24" s="45"/>
    </row>
    <row r="25" spans="1:29" ht="16" customHeight="1" thickBot="1">
      <c r="A25" s="130"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5"/>
      <c r="P25" s="266"/>
      <c r="Q25" s="267"/>
      <c r="R25" s="268"/>
    </row>
    <row r="26" spans="1:29" ht="16" customHeight="1">
      <c r="A26" s="131"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9"/>
      <c r="P26" s="270"/>
      <c r="Q26" s="271"/>
      <c r="R26" s="272"/>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51"/>
      <c r="R27" s="273"/>
      <c r="S27" s="232" t="s">
        <v>99</v>
      </c>
      <c r="T27" s="233"/>
      <c r="U27" s="233"/>
      <c r="V27" s="233"/>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1"/>
      <c r="P28" s="262"/>
      <c r="Q28" s="263"/>
      <c r="R28" s="264"/>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36" t="s">
        <v>102</v>
      </c>
      <c r="P29" s="237"/>
      <c r="Q29" s="238">
        <f>EINSTELLUNG!O14</f>
        <v>9</v>
      </c>
      <c r="R29" s="239"/>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0">
        <v>0</v>
      </c>
      <c r="P31" s="241"/>
      <c r="Q31" s="242">
        <v>0</v>
      </c>
      <c r="R31" s="243"/>
    </row>
    <row r="32" spans="1:29" ht="16" customHeight="1">
      <c r="A32" s="131" t="s">
        <v>106</v>
      </c>
      <c r="B32" s="170">
        <v>401678</v>
      </c>
      <c r="C32" s="137"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4"/>
      <c r="P33" s="245"/>
      <c r="Q33" s="246" t="str">
        <f>EINSTELLUNG!B3</f>
        <v>Budget Zahlen</v>
      </c>
      <c r="R33" s="246"/>
      <c r="S33" s="247" t="str">
        <f>EINSTELLUNG!B19</f>
        <v>Projection/Aktuell Zahlen</v>
      </c>
      <c r="T33" s="247"/>
      <c r="U33" s="247" t="s">
        <v>110</v>
      </c>
      <c r="V33" s="247"/>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4"/>
      <c r="P34" s="245"/>
      <c r="Q34" s="246"/>
      <c r="R34" s="246"/>
      <c r="S34" s="247"/>
      <c r="T34" s="247"/>
      <c r="U34" s="247"/>
      <c r="V34" s="247"/>
    </row>
    <row r="35" spans="1:24" ht="16" customHeight="1">
      <c r="A35" s="131"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2" t="s">
        <v>113</v>
      </c>
      <c r="P35" s="253"/>
      <c r="Q35" s="226">
        <f>EINSTELLUNG!C14</f>
        <v>9</v>
      </c>
      <c r="R35" s="226"/>
      <c r="S35" s="226">
        <f>EINSTELLUNG!C30</f>
        <v>9</v>
      </c>
      <c r="T35" s="226"/>
      <c r="U35" s="230">
        <f>S35-Q35</f>
        <v>0</v>
      </c>
      <c r="V35" s="230"/>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2" t="s">
        <v>115</v>
      </c>
      <c r="P36" s="253"/>
      <c r="Q36" s="226">
        <f>EINSTELLUNG!D14</f>
        <v>9</v>
      </c>
      <c r="R36" s="226"/>
      <c r="S36" s="223" cm="1">
        <f t="array" ref="S36">SumMergedCells(Q17:R29)</f>
        <v>122648.8</v>
      </c>
      <c r="T36" s="225"/>
      <c r="U36" s="230">
        <f t="shared" ref="U36:U41" si="2">S36-Q36</f>
        <v>122639.8</v>
      </c>
      <c r="V36" s="230"/>
    </row>
    <row r="37" spans="1:24" ht="16" customHeight="1">
      <c r="A37" s="130"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2" t="s">
        <v>117</v>
      </c>
      <c r="P37" s="253"/>
      <c r="Q37" s="234">
        <f>IF(ISERROR(Q36/Q35), 0, Q36/Q35)</f>
        <v>1</v>
      </c>
      <c r="R37" s="234"/>
      <c r="S37" s="234">
        <f>IF(ISERROR(S36/S35), 0, S36/S35)</f>
        <v>13627.644444444444</v>
      </c>
      <c r="T37" s="234"/>
      <c r="U37" s="235">
        <f t="shared" si="2"/>
        <v>13626.644444444444</v>
      </c>
      <c r="V37" s="235"/>
    </row>
    <row r="38" spans="1:24" ht="16" customHeight="1">
      <c r="A38" s="131"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52" t="s">
        <v>119</v>
      </c>
      <c r="P38" s="253"/>
      <c r="Q38" s="227">
        <f>EINSTELLUNG!F14</f>
        <v>9</v>
      </c>
      <c r="R38" s="227"/>
      <c r="S38" s="227">
        <f>EINSTELLUNG!F30</f>
        <v>9</v>
      </c>
      <c r="T38" s="227"/>
      <c r="U38" s="231">
        <f t="shared" si="2"/>
        <v>0</v>
      </c>
      <c r="V38" s="231"/>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2" t="s">
        <v>121</v>
      </c>
      <c r="P39" s="253"/>
      <c r="Q39" s="226">
        <f>IF(Q38=0, 0, Q35/Q38)</f>
        <v>1</v>
      </c>
      <c r="R39" s="226"/>
      <c r="S39" s="226">
        <f>IF(S38=0, 0, S35/S38)</f>
        <v>1</v>
      </c>
      <c r="T39" s="226"/>
      <c r="U39" s="230">
        <f t="shared" si="2"/>
        <v>0</v>
      </c>
      <c r="V39" s="230"/>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2" t="s">
        <v>123</v>
      </c>
      <c r="P40" s="253"/>
      <c r="Q40" s="226">
        <f>IF(Q13=0, 0, Q35/Q13)</f>
        <v>1.2189506189560365E-3</v>
      </c>
      <c r="R40" s="226"/>
      <c r="S40" s="226">
        <f>IF(Q13=0, 0, S35/Q13)</f>
        <v>1.2189506189560365E-3</v>
      </c>
      <c r="T40" s="226"/>
      <c r="U40" s="230">
        <f t="shared" si="2"/>
        <v>0</v>
      </c>
      <c r="V40" s="230"/>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2" t="s">
        <v>125</v>
      </c>
      <c r="P41" s="253"/>
      <c r="Q41" s="227">
        <f>IF(Q13=0, 0, Q38/Q13)</f>
        <v>1.2189506189560365E-3</v>
      </c>
      <c r="R41" s="227"/>
      <c r="S41" s="227">
        <f>IF(Q13=0, 0, S38/Q13)</f>
        <v>1.2189506189560365E-3</v>
      </c>
      <c r="T41" s="227"/>
      <c r="U41" s="231">
        <f t="shared" si="2"/>
        <v>0</v>
      </c>
      <c r="V41" s="231"/>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2" t="s">
        <v>127</v>
      </c>
      <c r="P42" s="253"/>
      <c r="Q42" s="223">
        <f>IFERROR(Q17/Q8, 0)</f>
        <v>15.525087760973422</v>
      </c>
      <c r="R42" s="224"/>
      <c r="S42" s="224"/>
      <c r="T42" s="224"/>
      <c r="U42" s="224"/>
      <c r="V42" s="225"/>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68" t="s">
        <v>370</v>
      </c>
      <c r="D54" s="217">
        <v>46082</v>
      </c>
      <c r="E54" s="134" t="s">
        <v>4</v>
      </c>
      <c r="F54" s="136">
        <v>138.4</v>
      </c>
      <c r="G54" s="206">
        <v>1616.8</v>
      </c>
      <c r="H54" s="158">
        <f>IF(AND(ISNUMBER(D54), ISNUMBER(F54)),
    ROUNDDOWN(
        MIN(
            IF(OR(ISBLANK(I54), I54=""),
                EOMONTH(DATE(LOHNTABELLE!$G$3, $A$1, 1), 0), I54)
            - MAX(D54, DATE(LOHNTABELLE!$G$3, $A$1, 1)) + 1)
        / DAY(EOMONTH(DATE(LOHNTABELLE!$G$3, $A$1, 1), 0)) * F54,
        2
    ),
    ""
)</f>
        <v>138.4</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1"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0"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PrUVX9+vNA6MLX3ERzfn7XqeMEIDUYMGw2tmolxW+eQRVVRVcVM+fsSPUcaA3I+ek6v1ypq8MyvpNlLKqTuYMQ==" saltValue="FAYil+6PAK1t0rBEL9e5E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6">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tabSelected="1"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90" t="s">
        <v>205</v>
      </c>
      <c r="C1" s="302" t="s">
        <v>52</v>
      </c>
      <c r="D1" s="274" t="s">
        <v>206</v>
      </c>
      <c r="E1" s="274" t="s">
        <v>0</v>
      </c>
      <c r="F1" s="274" t="s">
        <v>53</v>
      </c>
      <c r="G1" s="276" t="s">
        <v>54</v>
      </c>
      <c r="H1" s="293" t="s">
        <v>55</v>
      </c>
      <c r="I1" s="278" t="s">
        <v>207</v>
      </c>
      <c r="J1" s="280" t="s">
        <v>56</v>
      </c>
      <c r="K1" s="282" t="s">
        <v>57</v>
      </c>
      <c r="L1" s="284" t="s">
        <v>58</v>
      </c>
      <c r="M1" s="286" t="s">
        <v>59</v>
      </c>
      <c r="N1" s="291" t="s">
        <v>208</v>
      </c>
      <c r="AB1" s="41">
        <f>DATE(LOHNTABELLE!$G$3, $A$1, 1)</f>
        <v>46296</v>
      </c>
    </row>
    <row r="2" spans="1:28" ht="16" customHeight="1" thickBot="1">
      <c r="A2" s="129"/>
      <c r="B2" s="290"/>
      <c r="C2" s="303"/>
      <c r="D2" s="275"/>
      <c r="E2" s="275"/>
      <c r="F2" s="275"/>
      <c r="G2" s="277"/>
      <c r="H2" s="294"/>
      <c r="I2" s="279"/>
      <c r="J2" s="281"/>
      <c r="K2" s="283"/>
      <c r="L2" s="285"/>
      <c r="M2" s="287"/>
      <c r="N2" s="291"/>
      <c r="AB2" s="41">
        <f>EOMONTH(DATE(LOHNTABELLE!$G$3, $A$1, 1), 0)</f>
        <v>46326</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8" t="s">
        <v>61</v>
      </c>
      <c r="P3" s="288" t="s">
        <v>62</v>
      </c>
      <c r="Q3" s="295" t="s">
        <v>63</v>
      </c>
      <c r="R3" s="297"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9"/>
      <c r="P4" s="289"/>
      <c r="Q4" s="296"/>
      <c r="R4" s="298"/>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EINSTELLUNG!I15</f>
        <v>10</v>
      </c>
      <c r="Q5" s="48">
        <f>P5-O5</f>
        <v>-721.23145359292243</v>
      </c>
      <c r="R5" s="52">
        <f>IFERROR(Q5*Q42, 0)</f>
        <v>-11197.18161300455</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99" t="str">
        <f>IF(Q5&lt;0, "Schlecht! Zu wenig Urlaub abgebaut.", IF(Q5&gt;0, "Gut! Mehr Urlaub abgebaut als aufgebaut.", ""))</f>
        <v>Schlecht! Zu wenig Urlaub abgebaut.</v>
      </c>
      <c r="P6" s="300"/>
      <c r="Q6" s="300"/>
      <c r="R6" s="301"/>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54" t="s">
        <v>70</v>
      </c>
      <c r="P8" s="255"/>
      <c r="Q8" s="256">
        <f>SUM(H3:H82)</f>
        <v>7577.4</v>
      </c>
      <c r="R8" s="25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54" t="s">
        <v>72</v>
      </c>
      <c r="P9" s="255"/>
      <c r="Q9" s="256">
        <f>EINSTELLUNG!L31</f>
        <v>10</v>
      </c>
      <c r="R9" s="256"/>
      <c r="S9" s="53">
        <f>IFERROR(Q9/Q8, 0)</f>
        <v>1.3197138860295088E-3</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54" t="s">
        <v>74</v>
      </c>
      <c r="P10" s="255"/>
      <c r="Q10" s="256">
        <f>EINSTELLUNG!I31</f>
        <v>10</v>
      </c>
      <c r="R10" s="25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4" t="s">
        <v>76</v>
      </c>
      <c r="P11" s="255"/>
      <c r="Q11" s="256">
        <f>P5</f>
        <v>10</v>
      </c>
      <c r="R11" s="25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4" t="s">
        <v>78</v>
      </c>
      <c r="P12" s="255"/>
      <c r="Q12" s="260">
        <v>-121</v>
      </c>
      <c r="R12" s="260"/>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4" t="s">
        <v>80</v>
      </c>
      <c r="P13" s="255"/>
      <c r="Q13" s="256">
        <f>Q8-Q9-Q10-Q11-Q12</f>
        <v>7668.4</v>
      </c>
      <c r="R13" s="25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4" t="s">
        <v>82</v>
      </c>
      <c r="P14" s="255"/>
      <c r="Q14" s="256">
        <f>EINSTELLUNG!L15</f>
        <v>10</v>
      </c>
      <c r="R14" s="25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54" t="s">
        <v>84</v>
      </c>
      <c r="P15" s="255"/>
      <c r="Q15" s="256">
        <f>Q13-Q14</f>
        <v>7658.4</v>
      </c>
      <c r="R15" s="256"/>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92" t="str">
        <f>IF(Q15&lt;0, "Schlecht! Zu wenig Stunden für Dienstplan.", IF(Q15&gt;0, "Du hast mehr als genug Stunden für Dienstplan.", ""))</f>
        <v>Du hast mehr als genug Stunden für Dienstplan.</v>
      </c>
      <c r="P16" s="292"/>
      <c r="Q16" s="292"/>
      <c r="R16" s="292"/>
      <c r="W16" s="45"/>
    </row>
    <row r="17" spans="1:29" ht="16" customHeight="1">
      <c r="A17" s="131" t="s">
        <v>86</v>
      </c>
      <c r="B17" s="170">
        <v>401432</v>
      </c>
      <c r="C17" s="139"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258"/>
      <c r="Q17" s="259">
        <f>SUM(L3:L82)</f>
        <v>117639.8</v>
      </c>
      <c r="R17" s="259"/>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8"/>
      <c r="P18" s="249"/>
      <c r="Q18" s="250"/>
      <c r="R18" s="251"/>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8"/>
      <c r="P19" s="249"/>
      <c r="Q19" s="250"/>
      <c r="R19" s="251"/>
    </row>
    <row r="20" spans="1:29" ht="16" customHeight="1">
      <c r="A20" s="130"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8"/>
      <c r="P20" s="249"/>
      <c r="Q20" s="250"/>
      <c r="R20" s="251"/>
    </row>
    <row r="21" spans="1:29" ht="16" customHeight="1">
      <c r="A21" s="131"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8" t="s">
        <v>371</v>
      </c>
      <c r="P21" s="249"/>
      <c r="Q21" s="250">
        <v>5000</v>
      </c>
      <c r="R21" s="251"/>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8"/>
      <c r="P22" s="249"/>
      <c r="Q22" s="250"/>
      <c r="R22" s="251"/>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8"/>
      <c r="P23" s="249"/>
      <c r="Q23" s="250"/>
      <c r="R23" s="251"/>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8"/>
      <c r="P24" s="249"/>
      <c r="Q24" s="250"/>
      <c r="R24" s="251"/>
      <c r="W24" s="45"/>
    </row>
    <row r="25" spans="1:29" ht="16" customHeight="1" thickBot="1">
      <c r="A25" s="131"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5"/>
      <c r="P25" s="266"/>
      <c r="Q25" s="267"/>
      <c r="R25" s="268"/>
    </row>
    <row r="26" spans="1:29" ht="16" customHeight="1">
      <c r="A26" s="130"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9"/>
      <c r="P26" s="270"/>
      <c r="Q26" s="271"/>
      <c r="R26" s="272"/>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51"/>
      <c r="R27" s="273"/>
      <c r="S27" s="232" t="s">
        <v>99</v>
      </c>
      <c r="T27" s="233"/>
      <c r="U27" s="233"/>
      <c r="V27" s="233"/>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1"/>
      <c r="P28" s="262"/>
      <c r="Q28" s="263"/>
      <c r="R28" s="264"/>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36" t="s">
        <v>102</v>
      </c>
      <c r="P29" s="237"/>
      <c r="Q29" s="238">
        <f>EINSTELLUNG!O15</f>
        <v>10</v>
      </c>
      <c r="R29" s="239"/>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0">
        <v>0</v>
      </c>
      <c r="P31" s="241"/>
      <c r="Q31" s="242">
        <v>0</v>
      </c>
      <c r="R31" s="243"/>
    </row>
    <row r="32" spans="1:29" ht="16" customHeight="1">
      <c r="A32" s="130" t="s">
        <v>106</v>
      </c>
      <c r="B32" s="170">
        <v>401678</v>
      </c>
      <c r="C32" s="137"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4"/>
      <c r="P33" s="245"/>
      <c r="Q33" s="246" t="str">
        <f>EINSTELLUNG!B3</f>
        <v>Budget Zahlen</v>
      </c>
      <c r="R33" s="246"/>
      <c r="S33" s="247" t="str">
        <f>EINSTELLUNG!B19</f>
        <v>Projection/Aktuell Zahlen</v>
      </c>
      <c r="T33" s="247"/>
      <c r="U33" s="247" t="s">
        <v>110</v>
      </c>
      <c r="V33" s="247"/>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4"/>
      <c r="P34" s="245"/>
      <c r="Q34" s="246"/>
      <c r="R34" s="246"/>
      <c r="S34" s="247"/>
      <c r="T34" s="247"/>
      <c r="U34" s="247"/>
      <c r="V34" s="247"/>
    </row>
    <row r="35" spans="1:24" ht="16" customHeight="1">
      <c r="A35" s="130"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2" t="s">
        <v>113</v>
      </c>
      <c r="P35" s="253"/>
      <c r="Q35" s="226">
        <f>EINSTELLUNG!C15</f>
        <v>10</v>
      </c>
      <c r="R35" s="226"/>
      <c r="S35" s="226">
        <f>EINSTELLUNG!C31</f>
        <v>10</v>
      </c>
      <c r="T35" s="226"/>
      <c r="U35" s="230">
        <f>S35-Q35</f>
        <v>0</v>
      </c>
      <c r="V35" s="230"/>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2" t="s">
        <v>115</v>
      </c>
      <c r="P36" s="253"/>
      <c r="Q36" s="226">
        <f>EINSTELLUNG!D15</f>
        <v>10</v>
      </c>
      <c r="R36" s="226"/>
      <c r="S36" s="223" cm="1">
        <f t="array" ref="S36">SumMergedCells(Q17:R29)</f>
        <v>122649.8</v>
      </c>
      <c r="T36" s="225"/>
      <c r="U36" s="230">
        <f t="shared" ref="U36:U41" si="2">S36-Q36</f>
        <v>122639.8</v>
      </c>
      <c r="V36" s="230"/>
    </row>
    <row r="37" spans="1:24" ht="16" customHeight="1">
      <c r="A37" s="131"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2" t="s">
        <v>117</v>
      </c>
      <c r="P37" s="253"/>
      <c r="Q37" s="234">
        <f>IF(ISERROR(Q36/Q35), 0, Q36/Q35)</f>
        <v>1</v>
      </c>
      <c r="R37" s="234"/>
      <c r="S37" s="234">
        <f>IF(ISERROR(S36/S35), 0, S36/S35)</f>
        <v>12264.98</v>
      </c>
      <c r="T37" s="234"/>
      <c r="U37" s="235">
        <f t="shared" si="2"/>
        <v>12263.98</v>
      </c>
      <c r="V37" s="235"/>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52" t="s">
        <v>119</v>
      </c>
      <c r="P38" s="253"/>
      <c r="Q38" s="227">
        <f>EINSTELLUNG!F15</f>
        <v>10</v>
      </c>
      <c r="R38" s="227"/>
      <c r="S38" s="227">
        <f>EINSTELLUNG!F31</f>
        <v>10</v>
      </c>
      <c r="T38" s="227"/>
      <c r="U38" s="231">
        <f t="shared" si="2"/>
        <v>0</v>
      </c>
      <c r="V38" s="231"/>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2" t="s">
        <v>121</v>
      </c>
      <c r="P39" s="253"/>
      <c r="Q39" s="226">
        <f>IF(Q38=0, 0, Q35/Q38)</f>
        <v>1</v>
      </c>
      <c r="R39" s="226"/>
      <c r="S39" s="226">
        <f>IF(S38=0, 0, S35/S38)</f>
        <v>1</v>
      </c>
      <c r="T39" s="226"/>
      <c r="U39" s="230">
        <f t="shared" si="2"/>
        <v>0</v>
      </c>
      <c r="V39" s="230"/>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2" t="s">
        <v>123</v>
      </c>
      <c r="P40" s="253"/>
      <c r="Q40" s="226">
        <f>IF(Q13=0, 0, Q35/Q13)</f>
        <v>1.3040529967137866E-3</v>
      </c>
      <c r="R40" s="226"/>
      <c r="S40" s="226">
        <f>IF(Q13=0, 0, S35/Q13)</f>
        <v>1.3040529967137866E-3</v>
      </c>
      <c r="T40" s="226"/>
      <c r="U40" s="230">
        <f t="shared" si="2"/>
        <v>0</v>
      </c>
      <c r="V40" s="230"/>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2" t="s">
        <v>125</v>
      </c>
      <c r="P41" s="253"/>
      <c r="Q41" s="227">
        <f>IF(Q13=0, 0, Q38/Q13)</f>
        <v>1.3040529967137866E-3</v>
      </c>
      <c r="R41" s="227"/>
      <c r="S41" s="227">
        <f>IF(Q13=0, 0, S38/Q13)</f>
        <v>1.3040529967137866E-3</v>
      </c>
      <c r="T41" s="227"/>
      <c r="U41" s="231">
        <f t="shared" si="2"/>
        <v>0</v>
      </c>
      <c r="V41" s="231"/>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2" t="s">
        <v>127</v>
      </c>
      <c r="P42" s="253"/>
      <c r="Q42" s="223">
        <f>IFERROR(Q17/Q8, 0)</f>
        <v>15.525087760973422</v>
      </c>
      <c r="R42" s="224"/>
      <c r="S42" s="224"/>
      <c r="T42" s="224"/>
      <c r="U42" s="224"/>
      <c r="V42" s="225"/>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138.4</v>
      </c>
      <c r="G54" s="206">
        <v>1616.8</v>
      </c>
      <c r="H54" s="158">
        <f>IF(AND(ISNUMBER(D54), ISNUMBER(F54)),
    ROUNDDOWN(
        MIN(
            IF(OR(ISBLANK(I54), I54=""),
                EOMONTH(DATE(LOHNTABELLE!$G$3, $A$1, 1), 0), I54)
            - MAX(D54, DATE(LOHNTABELLE!$G$3, $A$1, 1)) + 1)
        / DAY(EOMONTH(DATE(LOHNTABELLE!$G$3, $A$1, 1), 0)) * F54,
        2
    ),
    ""
)</f>
        <v>138.4</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uuIBAX9vIPWobXKM01dhvX3nbJwDBYROGo4nxy4bzIXmD8uclsGoFLkHAYt6iJXWaOQUC0HkYPJtLS496qmcvg==" saltValue="PHTgNFVc8lKB4hMHMIymE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6">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90" t="s">
        <v>205</v>
      </c>
      <c r="C1" s="302" t="s">
        <v>52</v>
      </c>
      <c r="D1" s="274" t="s">
        <v>206</v>
      </c>
      <c r="E1" s="274" t="s">
        <v>0</v>
      </c>
      <c r="F1" s="274" t="s">
        <v>53</v>
      </c>
      <c r="G1" s="276" t="s">
        <v>54</v>
      </c>
      <c r="H1" s="293" t="s">
        <v>55</v>
      </c>
      <c r="I1" s="278" t="s">
        <v>207</v>
      </c>
      <c r="J1" s="280" t="s">
        <v>56</v>
      </c>
      <c r="K1" s="282" t="s">
        <v>57</v>
      </c>
      <c r="L1" s="284" t="s">
        <v>58</v>
      </c>
      <c r="M1" s="286" t="s">
        <v>59</v>
      </c>
      <c r="N1" s="291" t="s">
        <v>208</v>
      </c>
      <c r="AB1" s="41">
        <f>DATE(LOHNTABELLE!$G$3, $A$1, 1)</f>
        <v>46327</v>
      </c>
    </row>
    <row r="2" spans="1:28" ht="16" customHeight="1" thickBot="1">
      <c r="A2" s="129"/>
      <c r="B2" s="290"/>
      <c r="C2" s="303"/>
      <c r="D2" s="275"/>
      <c r="E2" s="275"/>
      <c r="F2" s="275"/>
      <c r="G2" s="277"/>
      <c r="H2" s="294"/>
      <c r="I2" s="279"/>
      <c r="J2" s="281"/>
      <c r="K2" s="283"/>
      <c r="L2" s="285"/>
      <c r="M2" s="287"/>
      <c r="N2" s="291"/>
      <c r="AB2" s="41">
        <f>EOMONTH(DATE(LOHNTABELLE!$G$3, $A$1, 1), 0)</f>
        <v>46356</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8" t="s">
        <v>61</v>
      </c>
      <c r="P3" s="288" t="s">
        <v>62</v>
      </c>
      <c r="Q3" s="295" t="s">
        <v>63</v>
      </c>
      <c r="R3" s="297"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9"/>
      <c r="P4" s="289"/>
      <c r="Q4" s="296"/>
      <c r="R4" s="298"/>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EINSTELLUNG!I16</f>
        <v>11</v>
      </c>
      <c r="Q5" s="48">
        <f>P5-O5</f>
        <v>-720.23145359292243</v>
      </c>
      <c r="R5" s="52">
        <f>IFERROR(Q5*Q42, 0)</f>
        <v>-11181.656525243578</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99" t="str">
        <f>IF(Q5&lt;0, "Schlecht! Zu wenig Urlaub abgebaut.", IF(Q5&gt;0, "Gut! Mehr Urlaub abgebaut als aufgebaut.", ""))</f>
        <v>Schlecht! Zu wenig Urlaub abgebaut.</v>
      </c>
      <c r="P6" s="300"/>
      <c r="Q6" s="300"/>
      <c r="R6" s="301"/>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54" t="s">
        <v>70</v>
      </c>
      <c r="P8" s="255"/>
      <c r="Q8" s="256">
        <f>SUM(H3:H82)</f>
        <v>7577.4</v>
      </c>
      <c r="R8" s="256"/>
    </row>
    <row r="9" spans="1:28" ht="16" customHeight="1">
      <c r="A9" s="130"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54" t="s">
        <v>72</v>
      </c>
      <c r="P9" s="255"/>
      <c r="Q9" s="256">
        <f>EINSTELLUNG!L32</f>
        <v>11</v>
      </c>
      <c r="R9" s="256"/>
      <c r="S9" s="53">
        <f>IFERROR(Q9/Q8, 0)</f>
        <v>1.4516852746324597E-3</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54" t="s">
        <v>74</v>
      </c>
      <c r="P10" s="255"/>
      <c r="Q10" s="256">
        <f>EINSTELLUNG!I32</f>
        <v>11</v>
      </c>
      <c r="R10" s="256"/>
    </row>
    <row r="11" spans="1:28" ht="16" customHeight="1">
      <c r="A11" s="131"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4" t="s">
        <v>76</v>
      </c>
      <c r="P11" s="255"/>
      <c r="Q11" s="256">
        <f>P5</f>
        <v>11</v>
      </c>
      <c r="R11" s="25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4" t="s">
        <v>80</v>
      </c>
      <c r="P12" s="255"/>
      <c r="Q12" s="256">
        <f>Q8-Q9-Q10-Q11</f>
        <v>7544.4</v>
      </c>
      <c r="R12" s="256"/>
    </row>
    <row r="13" spans="1:28" ht="16" customHeight="1">
      <c r="A13" s="130"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4" t="s">
        <v>82</v>
      </c>
      <c r="P13" s="255"/>
      <c r="Q13" s="256">
        <f>EINSTELLUNG!L16</f>
        <v>11</v>
      </c>
      <c r="R13" s="256"/>
    </row>
    <row r="14" spans="1:28" ht="16" customHeight="1">
      <c r="A14" s="131"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4" t="s">
        <v>84</v>
      </c>
      <c r="P14" s="255"/>
      <c r="Q14" s="256">
        <f>Q12-Q13</f>
        <v>7533.4</v>
      </c>
      <c r="R14" s="25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9" t="str">
        <f>IF(Q14&lt;0, "Schlecht! Zu wenig Stunden für Dienstplan.", IF(Q14&gt;0, "Du hast mehr als genug Stunden für Dienstplan.", ""))</f>
        <v>Du hast mehr als genug Stunden für Dienstplan.</v>
      </c>
      <c r="P15" s="379"/>
      <c r="Q15" s="379"/>
      <c r="R15" s="379"/>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9"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258"/>
      <c r="Q17" s="259">
        <f>SUM(L3:L82)</f>
        <v>117639.8</v>
      </c>
      <c r="R17" s="259"/>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8"/>
      <c r="P18" s="249"/>
      <c r="Q18" s="250"/>
      <c r="R18" s="251"/>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8"/>
      <c r="P19" s="249"/>
      <c r="Q19" s="250"/>
      <c r="R19" s="251"/>
    </row>
    <row r="20" spans="1:29" ht="16" customHeight="1">
      <c r="A20" s="131"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8"/>
      <c r="P20" s="249"/>
      <c r="Q20" s="250"/>
      <c r="R20" s="251"/>
    </row>
    <row r="21" spans="1:29" ht="16" customHeight="1">
      <c r="A21" s="130"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8" t="s">
        <v>371</v>
      </c>
      <c r="P21" s="249"/>
      <c r="Q21" s="250">
        <v>5000</v>
      </c>
      <c r="R21" s="251"/>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8"/>
      <c r="P22" s="249"/>
      <c r="Q22" s="250"/>
      <c r="R22" s="251"/>
    </row>
    <row r="23" spans="1:29" ht="16" customHeight="1">
      <c r="A23" s="131"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8"/>
      <c r="P23" s="249"/>
      <c r="Q23" s="250"/>
      <c r="R23" s="251"/>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8"/>
      <c r="P24" s="249"/>
      <c r="Q24" s="250"/>
      <c r="R24" s="251"/>
      <c r="W24" s="45"/>
    </row>
    <row r="25" spans="1:29" ht="16" customHeight="1" thickBot="1">
      <c r="A25" s="130"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5"/>
      <c r="P25" s="266"/>
      <c r="Q25" s="267"/>
      <c r="R25" s="268"/>
    </row>
    <row r="26" spans="1:29" ht="16" customHeight="1">
      <c r="A26" s="131"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9"/>
      <c r="P26" s="270"/>
      <c r="Q26" s="271"/>
      <c r="R26" s="272"/>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51"/>
      <c r="R27" s="273"/>
      <c r="S27" s="232" t="s">
        <v>99</v>
      </c>
      <c r="T27" s="233"/>
      <c r="U27" s="233"/>
      <c r="V27" s="233"/>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1"/>
      <c r="P28" s="262"/>
      <c r="Q28" s="263"/>
      <c r="R28" s="264"/>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36" t="s">
        <v>102</v>
      </c>
      <c r="P29" s="237"/>
      <c r="Q29" s="238">
        <f>EINSTELLUNG!O16</f>
        <v>11</v>
      </c>
      <c r="R29" s="239"/>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0">
        <v>0</v>
      </c>
      <c r="P31" s="241"/>
      <c r="Q31" s="242">
        <v>0</v>
      </c>
      <c r="R31" s="243"/>
    </row>
    <row r="32" spans="1:29" ht="16" customHeight="1">
      <c r="A32" s="131" t="s">
        <v>106</v>
      </c>
      <c r="B32" s="170">
        <v>401678</v>
      </c>
      <c r="C32" s="137"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4"/>
      <c r="P33" s="245"/>
      <c r="Q33" s="246" t="str">
        <f>EINSTELLUNG!B3</f>
        <v>Budget Zahlen</v>
      </c>
      <c r="R33" s="246"/>
      <c r="S33" s="247" t="str">
        <f>EINSTELLUNG!B19</f>
        <v>Projection/Aktuell Zahlen</v>
      </c>
      <c r="T33" s="247"/>
      <c r="U33" s="247" t="s">
        <v>110</v>
      </c>
      <c r="V33" s="247"/>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4"/>
      <c r="P34" s="245"/>
      <c r="Q34" s="246"/>
      <c r="R34" s="246"/>
      <c r="S34" s="247"/>
      <c r="T34" s="247"/>
      <c r="U34" s="247"/>
      <c r="V34" s="247"/>
    </row>
    <row r="35" spans="1:24" ht="16" customHeight="1">
      <c r="A35" s="131"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2" t="s">
        <v>113</v>
      </c>
      <c r="P35" s="253"/>
      <c r="Q35" s="226">
        <f>EINSTELLUNG!C16</f>
        <v>11</v>
      </c>
      <c r="R35" s="226"/>
      <c r="S35" s="226">
        <f>EINSTELLUNG!C32</f>
        <v>11</v>
      </c>
      <c r="T35" s="226"/>
      <c r="U35" s="230">
        <f>S35-Q35</f>
        <v>0</v>
      </c>
      <c r="V35" s="230"/>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2" t="s">
        <v>115</v>
      </c>
      <c r="P36" s="253"/>
      <c r="Q36" s="226">
        <f>EINSTELLUNG!D16</f>
        <v>11</v>
      </c>
      <c r="R36" s="226"/>
      <c r="S36" s="223" cm="1">
        <f t="array" ref="S36">SumMergedCells(Q17:R29)</f>
        <v>122650.8</v>
      </c>
      <c r="T36" s="225"/>
      <c r="U36" s="230">
        <f t="shared" ref="U36:U41" si="2">S36-Q36</f>
        <v>122639.8</v>
      </c>
      <c r="V36" s="230"/>
    </row>
    <row r="37" spans="1:24" ht="16" customHeight="1">
      <c r="A37" s="130"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2" t="s">
        <v>117</v>
      </c>
      <c r="P37" s="253"/>
      <c r="Q37" s="234">
        <f>IF(ISERROR(Q36/Q35), 0, Q36/Q35)</f>
        <v>1</v>
      </c>
      <c r="R37" s="234"/>
      <c r="S37" s="234">
        <f>IF(ISERROR(S36/S35), 0, S36/S35)</f>
        <v>11150.072727272727</v>
      </c>
      <c r="T37" s="234"/>
      <c r="U37" s="235">
        <f t="shared" si="2"/>
        <v>11149.072727272727</v>
      </c>
      <c r="V37" s="235"/>
    </row>
    <row r="38" spans="1:24" ht="16" customHeight="1">
      <c r="A38" s="131"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52" t="s">
        <v>119</v>
      </c>
      <c r="P38" s="253"/>
      <c r="Q38" s="227">
        <f>EINSTELLUNG!F16</f>
        <v>11</v>
      </c>
      <c r="R38" s="227"/>
      <c r="S38" s="227">
        <f>EINSTELLUNG!F32</f>
        <v>11</v>
      </c>
      <c r="T38" s="227"/>
      <c r="U38" s="231">
        <f t="shared" si="2"/>
        <v>0</v>
      </c>
      <c r="V38" s="231"/>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2" t="s">
        <v>121</v>
      </c>
      <c r="P39" s="253"/>
      <c r="Q39" s="226">
        <f>IF(Q38=0, 0, Q35/Q38)</f>
        <v>1</v>
      </c>
      <c r="R39" s="226"/>
      <c r="S39" s="226">
        <f>IF(S38=0, 0, S35/S38)</f>
        <v>1</v>
      </c>
      <c r="T39" s="226"/>
      <c r="U39" s="230">
        <f t="shared" si="2"/>
        <v>0</v>
      </c>
      <c r="V39" s="230"/>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2" t="s">
        <v>123</v>
      </c>
      <c r="P40" s="253"/>
      <c r="Q40" s="226">
        <f>IF(Q12=0, 0, Q35/Q12)</f>
        <v>1.4580350988812895E-3</v>
      </c>
      <c r="R40" s="226"/>
      <c r="S40" s="226">
        <f>IF(Q12=0, 0, S35/Q12)</f>
        <v>1.4580350988812895E-3</v>
      </c>
      <c r="T40" s="226"/>
      <c r="U40" s="230">
        <f t="shared" si="2"/>
        <v>0</v>
      </c>
      <c r="V40" s="230"/>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2" t="s">
        <v>125</v>
      </c>
      <c r="P41" s="253"/>
      <c r="Q41" s="227">
        <f>IF(Q12=0, 0, Q38/Q12)</f>
        <v>1.4580350988812895E-3</v>
      </c>
      <c r="R41" s="227"/>
      <c r="S41" s="227">
        <f>IF(Q12=0, 0, S38/Q12)</f>
        <v>1.4580350988812895E-3</v>
      </c>
      <c r="T41" s="227"/>
      <c r="U41" s="231">
        <f t="shared" si="2"/>
        <v>0</v>
      </c>
      <c r="V41" s="231"/>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2" t="s">
        <v>127</v>
      </c>
      <c r="P42" s="253"/>
      <c r="Q42" s="223">
        <f>IFERROR(Q17/Q8, 0)</f>
        <v>15.525087760973422</v>
      </c>
      <c r="R42" s="224"/>
      <c r="S42" s="224"/>
      <c r="T42" s="224"/>
      <c r="U42" s="224"/>
      <c r="V42" s="225"/>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138.4</v>
      </c>
      <c r="G54" s="206">
        <v>1616.8</v>
      </c>
      <c r="H54" s="158">
        <f>IF(AND(ISNUMBER(D54), ISNUMBER(F54)),
    ROUNDDOWN(
        MIN(
            IF(OR(ISBLANK(I54), I54=""),
                EOMONTH(DATE(LOHNTABELLE!$G$3, $A$1, 1), 0), I54)
            - MAX(D54, DATE(LOHNTABELLE!$G$3, $A$1, 1)) + 1)
        / DAY(EOMONTH(DATE(LOHNTABELLE!$G$3, $A$1, 1), 0)) * F54,
        2
    ),
    ""
)</f>
        <v>138.4</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1"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0"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xGZiC7n0qTRe4wcO3RO9M57TsYNt5XQgV3QNabFzj3OsVH3ZyhwJ5do7jlGa9xmsDLSaVEi0IV7bEUYE3qrImg==" saltValue="eFeTCWtu1T0hi5isHUmGiQ=="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56">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90" t="s">
        <v>205</v>
      </c>
      <c r="C1" s="302" t="s">
        <v>52</v>
      </c>
      <c r="D1" s="274" t="s">
        <v>206</v>
      </c>
      <c r="E1" s="274" t="s">
        <v>0</v>
      </c>
      <c r="F1" s="274" t="s">
        <v>53</v>
      </c>
      <c r="G1" s="276" t="s">
        <v>54</v>
      </c>
      <c r="H1" s="293" t="s">
        <v>55</v>
      </c>
      <c r="I1" s="278" t="s">
        <v>207</v>
      </c>
      <c r="J1" s="280" t="s">
        <v>56</v>
      </c>
      <c r="K1" s="282" t="s">
        <v>57</v>
      </c>
      <c r="L1" s="284" t="s">
        <v>58</v>
      </c>
      <c r="M1" s="286" t="s">
        <v>59</v>
      </c>
      <c r="N1" s="291" t="s">
        <v>208</v>
      </c>
      <c r="AB1" s="41">
        <f>DATE(LOHNTABELLE!$G$3, $A$1, 1)</f>
        <v>46357</v>
      </c>
    </row>
    <row r="2" spans="1:28" ht="16" customHeight="1" thickBot="1">
      <c r="A2" s="129"/>
      <c r="B2" s="290"/>
      <c r="C2" s="303"/>
      <c r="D2" s="275"/>
      <c r="E2" s="275"/>
      <c r="F2" s="275"/>
      <c r="G2" s="277"/>
      <c r="H2" s="294"/>
      <c r="I2" s="279"/>
      <c r="J2" s="281"/>
      <c r="K2" s="283"/>
      <c r="L2" s="285"/>
      <c r="M2" s="287"/>
      <c r="N2" s="291"/>
      <c r="AB2" s="41">
        <f>EOMONTH(DATE(LOHNTABELLE!$G$3, $A$1, 1), 0)</f>
        <v>46387</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8" t="s">
        <v>61</v>
      </c>
      <c r="P3" s="288" t="s">
        <v>62</v>
      </c>
      <c r="Q3" s="295" t="s">
        <v>63</v>
      </c>
      <c r="R3" s="297"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9"/>
      <c r="P4" s="289"/>
      <c r="Q4" s="296"/>
      <c r="R4" s="298"/>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EINSTELLUNG!I17</f>
        <v>12</v>
      </c>
      <c r="Q5" s="48">
        <f>P5-O5</f>
        <v>-719.23145359292243</v>
      </c>
      <c r="R5" s="52">
        <f>IFERROR(Q5*Q42, 0)</f>
        <v>-11166.131437482603</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99" t="str">
        <f>IF(Q5&lt;0, "Schlecht! Zu wenig Urlaub abgebaut.", IF(Q5&gt;0, "Gut! Mehr Urlaub abgebaut als aufgebaut.", ""))</f>
        <v>Schlecht! Zu wenig Urlaub abgebaut.</v>
      </c>
      <c r="P6" s="300"/>
      <c r="Q6" s="300"/>
      <c r="R6" s="301"/>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54" t="s">
        <v>70</v>
      </c>
      <c r="P8" s="255"/>
      <c r="Q8" s="256">
        <f>SUM(H3:H82)</f>
        <v>7577.4</v>
      </c>
      <c r="R8" s="25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54" t="s">
        <v>72</v>
      </c>
      <c r="P9" s="255"/>
      <c r="Q9" s="256">
        <f>EINSTELLUNG!L33</f>
        <v>12</v>
      </c>
      <c r="R9" s="256"/>
      <c r="S9" s="53">
        <f>IFERROR(Q9/Q8, 0)</f>
        <v>1.5836566632354107E-3</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54" t="s">
        <v>74</v>
      </c>
      <c r="P10" s="255"/>
      <c r="Q10" s="256">
        <f>EINSTELLUNG!I33</f>
        <v>12</v>
      </c>
      <c r="R10" s="25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54" t="s">
        <v>76</v>
      </c>
      <c r="P11" s="255"/>
      <c r="Q11" s="256">
        <f>P5</f>
        <v>12</v>
      </c>
      <c r="R11" s="25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54" t="s">
        <v>78</v>
      </c>
      <c r="P12" s="255"/>
      <c r="Q12" s="260">
        <v>-303</v>
      </c>
      <c r="R12" s="260"/>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54" t="s">
        <v>80</v>
      </c>
      <c r="P13" s="255"/>
      <c r="Q13" s="256">
        <f>Q8-Q9-Q10-Q11-Q12</f>
        <v>7844.4</v>
      </c>
      <c r="R13" s="25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54" t="s">
        <v>82</v>
      </c>
      <c r="P14" s="255"/>
      <c r="Q14" s="256">
        <f>EINSTELLUNG!L17</f>
        <v>12</v>
      </c>
      <c r="R14" s="25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54" t="s">
        <v>84</v>
      </c>
      <c r="P15" s="255"/>
      <c r="Q15" s="256">
        <f>Q13-Q14</f>
        <v>7832.4</v>
      </c>
      <c r="R15" s="256"/>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92" t="str">
        <f>IF(Q15&lt;0, "Schlecht! Zu wenig Stunden für Dienstplan.", IF(Q15&gt;0, "Du hast mehr als genug Stunden für Dienstplan.", ""))</f>
        <v>Du hast mehr als genug Stunden für Dienstplan.</v>
      </c>
      <c r="P16" s="292"/>
      <c r="Q16" s="292"/>
      <c r="R16" s="292"/>
      <c r="W16" s="45"/>
    </row>
    <row r="17" spans="1:29" ht="16" customHeight="1">
      <c r="A17" s="131" t="s">
        <v>86</v>
      </c>
      <c r="B17" s="170">
        <v>401432</v>
      </c>
      <c r="C17" s="137"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7" t="s">
        <v>87</v>
      </c>
      <c r="P17" s="258"/>
      <c r="Q17" s="259">
        <f>SUM(L3:L82)</f>
        <v>117639.8</v>
      </c>
      <c r="R17" s="259"/>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8"/>
      <c r="P18" s="249"/>
      <c r="Q18" s="250"/>
      <c r="R18" s="251"/>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8"/>
      <c r="P19" s="249"/>
      <c r="Q19" s="250"/>
      <c r="R19" s="251"/>
    </row>
    <row r="20" spans="1:29" ht="16" customHeight="1">
      <c r="A20" s="130"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8"/>
      <c r="P20" s="249"/>
      <c r="Q20" s="250"/>
      <c r="R20" s="251"/>
    </row>
    <row r="21" spans="1:29" ht="16" customHeight="1">
      <c r="A21" s="131"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8" t="s">
        <v>371</v>
      </c>
      <c r="P21" s="249"/>
      <c r="Q21" s="250">
        <v>5000</v>
      </c>
      <c r="R21" s="251"/>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8"/>
      <c r="P22" s="249"/>
      <c r="Q22" s="250"/>
      <c r="R22" s="251"/>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8"/>
      <c r="P23" s="249"/>
      <c r="Q23" s="250"/>
      <c r="R23" s="251"/>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8"/>
      <c r="P24" s="249"/>
      <c r="Q24" s="250"/>
      <c r="R24" s="251"/>
      <c r="W24" s="45"/>
    </row>
    <row r="25" spans="1:29" ht="16" customHeight="1" thickBot="1">
      <c r="A25" s="131"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5"/>
      <c r="P25" s="266"/>
      <c r="Q25" s="267"/>
      <c r="R25" s="268"/>
    </row>
    <row r="26" spans="1:29" ht="16" customHeight="1">
      <c r="A26" s="130"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9"/>
      <c r="P26" s="270"/>
      <c r="Q26" s="271"/>
      <c r="R26" s="272"/>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28"/>
      <c r="P27" s="229"/>
      <c r="Q27" s="251"/>
      <c r="R27" s="273"/>
    </row>
    <row r="28" spans="1:29" ht="16" customHeigh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28"/>
      <c r="P28" s="229"/>
      <c r="Q28" s="251"/>
      <c r="R28" s="273"/>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380" t="s">
        <v>102</v>
      </c>
      <c r="P29" s="381"/>
      <c r="Q29" s="382">
        <f>EINSTELLUNG!O17</f>
        <v>12</v>
      </c>
      <c r="R29" s="383"/>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0">
        <v>0</v>
      </c>
      <c r="P31" s="241"/>
      <c r="Q31" s="242">
        <v>0</v>
      </c>
      <c r="R31" s="243"/>
    </row>
    <row r="32" spans="1:29" ht="16" customHeight="1">
      <c r="A32" s="130" t="s">
        <v>106</v>
      </c>
      <c r="B32" s="170">
        <v>401678</v>
      </c>
      <c r="C32" s="137"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44"/>
      <c r="P33" s="245"/>
      <c r="Q33" s="246" t="str">
        <f>EINSTELLUNG!B3</f>
        <v>Budget Zahlen</v>
      </c>
      <c r="R33" s="246"/>
      <c r="S33" s="247" t="str">
        <f>EINSTELLUNG!B19</f>
        <v>Projection/Aktuell Zahlen</v>
      </c>
      <c r="T33" s="247"/>
      <c r="U33" s="247" t="s">
        <v>110</v>
      </c>
      <c r="V33" s="247"/>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44"/>
      <c r="P34" s="245"/>
      <c r="Q34" s="246"/>
      <c r="R34" s="246"/>
      <c r="S34" s="247"/>
      <c r="T34" s="247"/>
      <c r="U34" s="247"/>
      <c r="V34" s="247"/>
    </row>
    <row r="35" spans="1:24" ht="16" customHeight="1">
      <c r="A35" s="130"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2" t="s">
        <v>113</v>
      </c>
      <c r="P35" s="253"/>
      <c r="Q35" s="226">
        <f>EINSTELLUNG!C17</f>
        <v>12</v>
      </c>
      <c r="R35" s="226"/>
      <c r="S35" s="226">
        <f>EINSTELLUNG!C33</f>
        <v>12</v>
      </c>
      <c r="T35" s="226"/>
      <c r="U35" s="230">
        <f>S35-Q35</f>
        <v>0</v>
      </c>
      <c r="V35" s="230"/>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2" t="s">
        <v>115</v>
      </c>
      <c r="P36" s="253"/>
      <c r="Q36" s="226">
        <f>EINSTELLUNG!D17</f>
        <v>12</v>
      </c>
      <c r="R36" s="226"/>
      <c r="S36" s="223" cm="1">
        <f t="array" ref="S36">SumMergedCells(Q17:R29)</f>
        <v>122651.8</v>
      </c>
      <c r="T36" s="225"/>
      <c r="U36" s="230">
        <f t="shared" ref="U36:U41" si="2">S36-Q36</f>
        <v>122639.8</v>
      </c>
      <c r="V36" s="230"/>
    </row>
    <row r="37" spans="1:24" ht="16" customHeight="1">
      <c r="A37" s="131"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2" t="s">
        <v>117</v>
      </c>
      <c r="P37" s="253"/>
      <c r="Q37" s="234">
        <f>IF(ISERROR(Q36/Q35), 0, Q36/Q35)</f>
        <v>1</v>
      </c>
      <c r="R37" s="234"/>
      <c r="S37" s="234">
        <f>IF(ISERROR(S36/S35), 0, S36/S35)</f>
        <v>10220.983333333334</v>
      </c>
      <c r="T37" s="234"/>
      <c r="U37" s="235">
        <f t="shared" si="2"/>
        <v>10219.983333333334</v>
      </c>
      <c r="V37" s="235"/>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52" t="s">
        <v>119</v>
      </c>
      <c r="P38" s="253"/>
      <c r="Q38" s="227">
        <f>EINSTELLUNG!F17</f>
        <v>12</v>
      </c>
      <c r="R38" s="227"/>
      <c r="S38" s="227">
        <f>EINSTELLUNG!F33</f>
        <v>12</v>
      </c>
      <c r="T38" s="227"/>
      <c r="U38" s="231">
        <f t="shared" si="2"/>
        <v>0</v>
      </c>
      <c r="V38" s="231"/>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2" t="s">
        <v>121</v>
      </c>
      <c r="P39" s="253"/>
      <c r="Q39" s="226">
        <f>IF(Q38=0, 0, Q35/Q38)</f>
        <v>1</v>
      </c>
      <c r="R39" s="226"/>
      <c r="S39" s="226">
        <f>IF(S38=0, 0, S35/S38)</f>
        <v>1</v>
      </c>
      <c r="T39" s="226"/>
      <c r="U39" s="230">
        <f t="shared" si="2"/>
        <v>0</v>
      </c>
      <c r="V39" s="230"/>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2" t="s">
        <v>123</v>
      </c>
      <c r="P40" s="253"/>
      <c r="Q40" s="226">
        <f>IF(Q13=0, 0, Q35/Q13)</f>
        <v>1.5297537096527459E-3</v>
      </c>
      <c r="R40" s="226"/>
      <c r="S40" s="226">
        <f>IF(Q13=0, 0, S35/Q13)</f>
        <v>1.5297537096527459E-3</v>
      </c>
      <c r="T40" s="226"/>
      <c r="U40" s="230">
        <f t="shared" si="2"/>
        <v>0</v>
      </c>
      <c r="V40" s="230"/>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2" t="s">
        <v>125</v>
      </c>
      <c r="P41" s="253"/>
      <c r="Q41" s="227">
        <f>IF(Q13=0, 0, Q38/Q13)</f>
        <v>1.5297537096527459E-3</v>
      </c>
      <c r="R41" s="227"/>
      <c r="S41" s="227">
        <f>IF(Q13=0, 0, S38/Q13)</f>
        <v>1.5297537096527459E-3</v>
      </c>
      <c r="T41" s="227"/>
      <c r="U41" s="231">
        <f t="shared" si="2"/>
        <v>0</v>
      </c>
      <c r="V41" s="231"/>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2" t="s">
        <v>127</v>
      </c>
      <c r="P42" s="253"/>
      <c r="Q42" s="223">
        <f>IFERROR(Q17/Q8, 0)</f>
        <v>15.525087760973422</v>
      </c>
      <c r="R42" s="224"/>
      <c r="S42" s="224"/>
      <c r="T42" s="224"/>
      <c r="U42" s="224"/>
      <c r="V42" s="225"/>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138.4</v>
      </c>
      <c r="G54" s="206">
        <v>1616.8</v>
      </c>
      <c r="H54" s="158">
        <f>IF(AND(ISNUMBER(D54), ISNUMBER(F54)),
    ROUNDDOWN(
        MIN(
            IF(OR(ISBLANK(I54), I54=""),
                EOMONTH(DATE(LOHNTABELLE!$G$3, $A$1, 1), 0), I54)
            - MAX(D54, DATE(LOHNTABELLE!$G$3, $A$1, 1)) + 1)
        / DAY(EOMONTH(DATE(LOHNTABELLE!$G$3, $A$1, 1), 0)) * F54,
        2
    ),
    ""
)</f>
        <v>138.4</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cAo0JRGcQu07PXE9q0vWWbzlQXy2T4ajPw7/VVbKsrhBez647y3cof23/i+mO2+8t1XaTHUb7ZCAOX4KvHquSg==" saltValue="oQlLDX93YeHdvSaQh+MeAQ=="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56">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85" t="str">
        <f>"FINANZIELL ÜBERSICHT "&amp;LOHNTABELLE!G3</f>
        <v>FINANZIELL ÜBERSICHT 2026</v>
      </c>
      <c r="C2" s="385"/>
      <c r="D2" s="385"/>
      <c r="E2" s="385"/>
      <c r="F2" s="385"/>
      <c r="G2" s="385"/>
      <c r="H2" s="385"/>
      <c r="I2" s="385"/>
      <c r="J2" s="385"/>
      <c r="K2" s="385"/>
      <c r="L2" s="385"/>
      <c r="M2" s="385"/>
      <c r="N2" s="385"/>
      <c r="O2" s="385"/>
      <c r="P2" s="385"/>
      <c r="Q2" s="385"/>
      <c r="R2" s="2"/>
    </row>
    <row r="3" spans="2:18" ht="15.75" customHeight="1">
      <c r="B3" s="385"/>
      <c r="C3" s="385"/>
      <c r="D3" s="385"/>
      <c r="E3" s="385"/>
      <c r="F3" s="385"/>
      <c r="G3" s="385"/>
      <c r="H3" s="385"/>
      <c r="I3" s="385"/>
      <c r="J3" s="385"/>
      <c r="K3" s="385"/>
      <c r="L3" s="385"/>
      <c r="M3" s="385"/>
      <c r="N3" s="385"/>
      <c r="O3" s="385"/>
      <c r="P3" s="385"/>
      <c r="Q3" s="385"/>
      <c r="R3" s="2"/>
    </row>
    <row r="4" spans="2:18" ht="30" customHeight="1">
      <c r="B4" s="387"/>
      <c r="C4" s="386" t="s">
        <v>30</v>
      </c>
      <c r="D4" s="386"/>
      <c r="E4" s="386"/>
      <c r="F4" s="386" t="s">
        <v>176</v>
      </c>
      <c r="G4" s="386"/>
      <c r="H4" s="386"/>
      <c r="I4" s="386" t="s">
        <v>177</v>
      </c>
      <c r="J4" s="386"/>
      <c r="K4" s="386"/>
      <c r="L4" s="386" t="s">
        <v>178</v>
      </c>
      <c r="M4" s="386" t="s">
        <v>179</v>
      </c>
      <c r="N4" s="388" t="s">
        <v>180</v>
      </c>
      <c r="O4" s="388"/>
      <c r="P4" s="388"/>
      <c r="Q4" s="388" t="s">
        <v>105</v>
      </c>
    </row>
    <row r="5" spans="2:18" ht="30" customHeight="1">
      <c r="B5" s="387"/>
      <c r="C5" s="386"/>
      <c r="D5" s="386"/>
      <c r="E5" s="386"/>
      <c r="F5" s="386"/>
      <c r="G5" s="386"/>
      <c r="H5" s="386"/>
      <c r="I5" s="386"/>
      <c r="J5" s="386"/>
      <c r="K5" s="386"/>
      <c r="L5" s="386"/>
      <c r="M5" s="386"/>
      <c r="N5" s="388"/>
      <c r="O5" s="388"/>
      <c r="P5" s="388"/>
      <c r="Q5" s="388"/>
    </row>
    <row r="6" spans="2:18" ht="30" customHeight="1">
      <c r="B6" s="387"/>
      <c r="C6" s="60" t="s">
        <v>181</v>
      </c>
      <c r="D6" s="60" t="s">
        <v>182</v>
      </c>
      <c r="E6" s="61" t="s">
        <v>183</v>
      </c>
      <c r="F6" s="60" t="s">
        <v>181</v>
      </c>
      <c r="G6" s="60" t="s">
        <v>182</v>
      </c>
      <c r="H6" s="61" t="s">
        <v>183</v>
      </c>
      <c r="I6" s="60" t="s">
        <v>181</v>
      </c>
      <c r="J6" s="60" t="s">
        <v>182</v>
      </c>
      <c r="K6" s="61" t="s">
        <v>183</v>
      </c>
      <c r="L6" s="386"/>
      <c r="M6" s="386"/>
      <c r="N6" s="60" t="s">
        <v>184</v>
      </c>
      <c r="O6" s="60" t="s">
        <v>185</v>
      </c>
      <c r="P6" s="61" t="s">
        <v>183</v>
      </c>
      <c r="Q6" s="388"/>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94403</v>
      </c>
      <c r="H8" s="83">
        <f>G8-F8</f>
        <v>94401</v>
      </c>
      <c r="I8" s="66">
        <f>EINSTELLUNG!E7</f>
        <v>1</v>
      </c>
      <c r="J8" s="66">
        <f>EINSTELLUNG!E23</f>
        <v>47201.5</v>
      </c>
      <c r="K8" s="67">
        <f t="shared" ref="K8:K22" si="0">J8-I8</f>
        <v>47200.5</v>
      </c>
      <c r="L8" s="65">
        <f>Februar!S40</f>
        <v>2.6907036189963677E-4</v>
      </c>
      <c r="M8" s="62">
        <f>Februar!S41</f>
        <v>2.6907036189963677E-4</v>
      </c>
      <c r="N8" s="62">
        <f>Februar!O5</f>
        <v>717.87562795652207</v>
      </c>
      <c r="O8" s="62">
        <f>Februar!P5</f>
        <v>2</v>
      </c>
      <c r="P8" s="85">
        <f t="shared" ref="P8:P23" si="1">O8-N8</f>
        <v>-715.87562795652207</v>
      </c>
      <c r="Q8" s="66">
        <f>Februar!Q31</f>
        <v>0</v>
      </c>
    </row>
    <row r="9" spans="2:18" ht="30" customHeight="1">
      <c r="B9" s="63" t="s">
        <v>188</v>
      </c>
      <c r="C9" s="65">
        <f>EINSTELLUNG!C8</f>
        <v>3</v>
      </c>
      <c r="D9" s="65">
        <f>EINSTELLUNG!C24</f>
        <v>3</v>
      </c>
      <c r="E9" s="83">
        <f>D9-C9</f>
        <v>0</v>
      </c>
      <c r="F9" s="65">
        <f>EINSTELLUNG!D8</f>
        <v>3</v>
      </c>
      <c r="G9" s="65">
        <f>Marz!$S$36</f>
        <v>96425</v>
      </c>
      <c r="H9" s="83">
        <f>G9-F9</f>
        <v>96422</v>
      </c>
      <c r="I9" s="66">
        <f>EINSTELLUNG!E8</f>
        <v>1</v>
      </c>
      <c r="J9" s="66">
        <f>EINSTELLUNG!E24</f>
        <v>32141.666666666668</v>
      </c>
      <c r="K9" s="67">
        <f>J9-I9</f>
        <v>32140.666666666668</v>
      </c>
      <c r="L9" s="65">
        <f>Marz!S40</f>
        <v>3.7276341948310138E-4</v>
      </c>
      <c r="M9" s="62">
        <f>Marz!S41</f>
        <v>3.7276341948310138E-4</v>
      </c>
      <c r="N9" s="62">
        <f>Marz!O5</f>
        <v>734.57041000202264</v>
      </c>
      <c r="O9" s="62">
        <f>Marz!P5</f>
        <v>3</v>
      </c>
      <c r="P9" s="85">
        <f t="shared" si="1"/>
        <v>-731.57041000202264</v>
      </c>
      <c r="Q9" s="66">
        <f>Marz!Q31</f>
        <v>0</v>
      </c>
    </row>
    <row r="10" spans="2:18" ht="30" customHeight="1">
      <c r="B10" s="68" t="s">
        <v>189</v>
      </c>
      <c r="C10" s="69">
        <f>SUM(C7:C9)</f>
        <v>6</v>
      </c>
      <c r="D10" s="69">
        <f>SUM(D7:D9)</f>
        <v>6</v>
      </c>
      <c r="E10" s="84">
        <f>D10-C10</f>
        <v>0</v>
      </c>
      <c r="F10" s="69">
        <f>SUM(F7:F9)</f>
        <v>6</v>
      </c>
      <c r="G10" s="69">
        <f>SUM(G7:G9)</f>
        <v>285935.82880000002</v>
      </c>
      <c r="H10" s="84">
        <f>G10-F10</f>
        <v>285929.82880000002</v>
      </c>
      <c r="I10" s="70">
        <f>AVERAGE(I7:I9)</f>
        <v>1</v>
      </c>
      <c r="J10" s="70">
        <f>AVERAGE(J7:J9)</f>
        <v>58150.331822222222</v>
      </c>
      <c r="K10" s="71">
        <f>J10-I10</f>
        <v>58149.331822222222</v>
      </c>
      <c r="L10" s="69">
        <f>AVERAGE(L7:L9)</f>
        <v>2.584376840173344E-4</v>
      </c>
      <c r="M10" s="64">
        <f>AVERAGE(M7:M9)</f>
        <v>2.584376840173344E-4</v>
      </c>
      <c r="N10" s="64">
        <f>SUM(N7:N9)</f>
        <v>2176.9995787332668</v>
      </c>
      <c r="O10" s="64">
        <f>SUM(O7:O9)</f>
        <v>6</v>
      </c>
      <c r="P10" s="86">
        <f t="shared" si="1"/>
        <v>-2170.9995787332668</v>
      </c>
      <c r="Q10" s="70">
        <f>AVERAGE(Q7:Q9)</f>
        <v>6.5359477124183009E-3</v>
      </c>
    </row>
    <row r="11" spans="2:18" ht="30" customHeight="1">
      <c r="B11" s="63" t="s">
        <v>190</v>
      </c>
      <c r="C11" s="65">
        <f>EINSTELLUNG!C9</f>
        <v>4</v>
      </c>
      <c r="D11" s="65">
        <f>EINSTELLUNG!C25</f>
        <v>4</v>
      </c>
      <c r="E11" s="83">
        <f t="shared" ref="E11:E21" si="2">D11-C11</f>
        <v>0</v>
      </c>
      <c r="F11" s="65">
        <f>EINSTELLUNG!D9</f>
        <v>4</v>
      </c>
      <c r="G11" s="65">
        <f>April!$S$36</f>
        <v>96426</v>
      </c>
      <c r="H11" s="83">
        <f>G11-F11</f>
        <v>96422</v>
      </c>
      <c r="I11" s="66">
        <f>EINSTELLUNG!E9</f>
        <v>1</v>
      </c>
      <c r="J11" s="66">
        <f>EINSTELLUNG!E25</f>
        <v>24106.5</v>
      </c>
      <c r="K11" s="67">
        <f t="shared" si="0"/>
        <v>24105.5</v>
      </c>
      <c r="L11" s="65">
        <f>April!S40</f>
        <v>5.0922978994271165E-4</v>
      </c>
      <c r="M11" s="62">
        <f>April!S41</f>
        <v>5.0922978994271165E-4</v>
      </c>
      <c r="N11" s="62">
        <f>April!O5</f>
        <v>734.57041000202264</v>
      </c>
      <c r="O11" s="62">
        <f>April!P5</f>
        <v>4</v>
      </c>
      <c r="P11" s="85">
        <f t="shared" si="1"/>
        <v>-730.57041000202264</v>
      </c>
      <c r="Q11" s="66">
        <f>April!Q31</f>
        <v>0</v>
      </c>
    </row>
    <row r="12" spans="2:18" ht="30" customHeight="1">
      <c r="B12" s="63" t="s">
        <v>191</v>
      </c>
      <c r="C12" s="65">
        <f>EINSTELLUNG!C10</f>
        <v>5</v>
      </c>
      <c r="D12" s="65">
        <f>EINSTELLUNG!C26</f>
        <v>5</v>
      </c>
      <c r="E12" s="83">
        <f t="shared" si="2"/>
        <v>0</v>
      </c>
      <c r="F12" s="65">
        <f>EINSTELLUNG!D10</f>
        <v>5</v>
      </c>
      <c r="G12" s="65">
        <f>Mai!$S$36</f>
        <v>124528</v>
      </c>
      <c r="H12" s="83">
        <f t="shared" ref="H12:H23" si="3">G12-F12</f>
        <v>124523</v>
      </c>
      <c r="I12" s="66">
        <f>EINSTELLUNG!E10</f>
        <v>1</v>
      </c>
      <c r="J12" s="66">
        <f>EINSTELLUNG!E26</f>
        <v>24905.599999999999</v>
      </c>
      <c r="K12" s="67">
        <f t="shared" si="0"/>
        <v>24904.6</v>
      </c>
      <c r="L12" s="65">
        <f>Mai!S40</f>
        <v>6.5815453468474395E-4</v>
      </c>
      <c r="M12" s="62">
        <f>Mai!S41</f>
        <v>6.5815453468474395E-4</v>
      </c>
      <c r="N12" s="62">
        <f>Mai!O5</f>
        <v>734.57041000202264</v>
      </c>
      <c r="O12" s="62">
        <f>Mai!P5</f>
        <v>5</v>
      </c>
      <c r="P12" s="85">
        <f t="shared" si="1"/>
        <v>-729.57041000202264</v>
      </c>
      <c r="Q12" s="66">
        <f>Mai!Q31</f>
        <v>0</v>
      </c>
    </row>
    <row r="13" spans="2:18" ht="30" customHeight="1">
      <c r="B13" s="63" t="s">
        <v>192</v>
      </c>
      <c r="C13" s="65">
        <f>EINSTELLUNG!C11</f>
        <v>6</v>
      </c>
      <c r="D13" s="65">
        <f>EINSTELLUNG!C27</f>
        <v>6</v>
      </c>
      <c r="E13" s="83">
        <f t="shared" si="2"/>
        <v>0</v>
      </c>
      <c r="F13" s="65">
        <f>EINSTELLUNG!D11</f>
        <v>6</v>
      </c>
      <c r="G13" s="65">
        <f>Juni!$S$36</f>
        <v>124529</v>
      </c>
      <c r="H13" s="83">
        <f t="shared" si="3"/>
        <v>124523</v>
      </c>
      <c r="I13" s="66">
        <f>EINSTELLUNG!E11</f>
        <v>1</v>
      </c>
      <c r="J13" s="66">
        <f>EINSTELLUNG!E27</f>
        <v>20754.833333333332</v>
      </c>
      <c r="K13" s="67">
        <f t="shared" si="0"/>
        <v>20753.833333333332</v>
      </c>
      <c r="L13" s="65">
        <f>Juni!S40</f>
        <v>1.3574660633484163E-2</v>
      </c>
      <c r="M13" s="62">
        <f>Juni!S41</f>
        <v>1.3574660633484163E-2</v>
      </c>
      <c r="N13" s="62">
        <f>Juni!O5</f>
        <v>734.57041000202264</v>
      </c>
      <c r="O13" s="62">
        <f>Juni!P5</f>
        <v>6</v>
      </c>
      <c r="P13" s="85">
        <f t="shared" si="1"/>
        <v>-728.57041000202264</v>
      </c>
      <c r="Q13" s="66">
        <f>Juni!Q31</f>
        <v>0</v>
      </c>
    </row>
    <row r="14" spans="2:18" ht="30" customHeight="1">
      <c r="B14" s="68" t="s">
        <v>193</v>
      </c>
      <c r="C14" s="69">
        <f>SUM(C11:C13)</f>
        <v>15</v>
      </c>
      <c r="D14" s="69">
        <f>SUM(D11:D13)</f>
        <v>15</v>
      </c>
      <c r="E14" s="84">
        <f t="shared" si="2"/>
        <v>0</v>
      </c>
      <c r="F14" s="69">
        <f>SUM(F11:F13)</f>
        <v>15</v>
      </c>
      <c r="G14" s="69">
        <f>SUM(G11:G13)</f>
        <v>345483</v>
      </c>
      <c r="H14" s="84">
        <f t="shared" si="3"/>
        <v>345468</v>
      </c>
      <c r="I14" s="70">
        <f>AVERAGE(I11:I13)</f>
        <v>1</v>
      </c>
      <c r="J14" s="70">
        <f>AVERAGE(J11:J13)</f>
        <v>23255.644444444446</v>
      </c>
      <c r="K14" s="71">
        <f t="shared" si="0"/>
        <v>23254.644444444446</v>
      </c>
      <c r="L14" s="69">
        <f>AVERAGE(L11:L13)</f>
        <v>4.9140149860372063E-3</v>
      </c>
      <c r="M14" s="64">
        <f>AVERAGE(M11:M13)</f>
        <v>4.9140149860372063E-3</v>
      </c>
      <c r="N14" s="64">
        <f>SUM(N11:N13)</f>
        <v>2203.711230006068</v>
      </c>
      <c r="O14" s="64">
        <f>SUM(O11:O13)</f>
        <v>15</v>
      </c>
      <c r="P14" s="86">
        <f t="shared" si="1"/>
        <v>-2188.711230006068</v>
      </c>
      <c r="Q14" s="70">
        <f>AVERAGE(Q11:Q13)</f>
        <v>0</v>
      </c>
    </row>
    <row r="15" spans="2:18" ht="30" customHeight="1">
      <c r="B15" s="63" t="s">
        <v>194</v>
      </c>
      <c r="C15" s="65">
        <f>EINSTELLUNG!C12</f>
        <v>7</v>
      </c>
      <c r="D15" s="65">
        <f>EINSTELLUNG!C28</f>
        <v>7</v>
      </c>
      <c r="E15" s="83">
        <f t="shared" si="2"/>
        <v>0</v>
      </c>
      <c r="F15" s="65">
        <f>EINSTELLUNG!D12</f>
        <v>7</v>
      </c>
      <c r="G15" s="65">
        <f>Juli!$S$36</f>
        <v>122646.8</v>
      </c>
      <c r="H15" s="83">
        <f t="shared" si="3"/>
        <v>122639.8</v>
      </c>
      <c r="I15" s="66">
        <f>EINSTELLUNG!E12</f>
        <v>1</v>
      </c>
      <c r="J15" s="66">
        <f>EINSTELLUNG!E28</f>
        <v>17520.971428571429</v>
      </c>
      <c r="K15" s="67">
        <f t="shared" si="0"/>
        <v>17519.971428571429</v>
      </c>
      <c r="L15" s="65">
        <f>Juli!S40</f>
        <v>9.311730119456195E-4</v>
      </c>
      <c r="M15" s="62">
        <f>Juli!S41</f>
        <v>9.311730119456195E-4</v>
      </c>
      <c r="N15" s="62">
        <f>Juli!O5</f>
        <v>731.23145359292243</v>
      </c>
      <c r="O15" s="62">
        <f>Juli!P5</f>
        <v>7</v>
      </c>
      <c r="P15" s="85">
        <f t="shared" si="1"/>
        <v>-724.23145359292243</v>
      </c>
      <c r="Q15" s="66">
        <f>Juli!Q31</f>
        <v>0</v>
      </c>
    </row>
    <row r="16" spans="2:18" ht="30" customHeight="1">
      <c r="B16" s="63" t="s">
        <v>195</v>
      </c>
      <c r="C16" s="65">
        <f>EINSTELLUNG!C13</f>
        <v>8</v>
      </c>
      <c r="D16" s="65">
        <f>EINSTELLUNG!C29</f>
        <v>8</v>
      </c>
      <c r="E16" s="83">
        <f t="shared" si="2"/>
        <v>0</v>
      </c>
      <c r="F16" s="65">
        <f>EINSTELLUNG!D13</f>
        <v>8</v>
      </c>
      <c r="G16" s="65">
        <f>August!$S$36</f>
        <v>122647.8</v>
      </c>
      <c r="H16" s="83">
        <f t="shared" si="3"/>
        <v>122639.8</v>
      </c>
      <c r="I16" s="66">
        <f>EINSTELLUNG!E13</f>
        <v>1</v>
      </c>
      <c r="J16" s="66">
        <f>EINSTELLUNG!E29</f>
        <v>15330.975</v>
      </c>
      <c r="K16" s="67">
        <f t="shared" si="0"/>
        <v>15329.975</v>
      </c>
      <c r="L16" s="65">
        <f>August!S40</f>
        <v>1.0591256917414674E-3</v>
      </c>
      <c r="M16" s="62">
        <f>August!S41</f>
        <v>1.0591256917414674E-3</v>
      </c>
      <c r="N16" s="62">
        <f>August!O5</f>
        <v>731.23145359292243</v>
      </c>
      <c r="O16" s="62">
        <f>August!P5</f>
        <v>8</v>
      </c>
      <c r="P16" s="85">
        <f t="shared" si="1"/>
        <v>-723.23145359292243</v>
      </c>
      <c r="Q16" s="66">
        <f>August!Q31</f>
        <v>0</v>
      </c>
    </row>
    <row r="17" spans="2:17" ht="30" customHeight="1">
      <c r="B17" s="63" t="s">
        <v>196</v>
      </c>
      <c r="C17" s="65">
        <f>EINSTELLUNG!C14</f>
        <v>9</v>
      </c>
      <c r="D17" s="65">
        <f>EINSTELLUNG!C30</f>
        <v>9</v>
      </c>
      <c r="E17" s="83">
        <f t="shared" si="2"/>
        <v>0</v>
      </c>
      <c r="F17" s="65">
        <f>EINSTELLUNG!D14</f>
        <v>9</v>
      </c>
      <c r="G17" s="65">
        <f>September!$S$36</f>
        <v>122648.8</v>
      </c>
      <c r="H17" s="83">
        <f t="shared" si="3"/>
        <v>122639.8</v>
      </c>
      <c r="I17" s="66">
        <f>EINSTELLUNG!E14</f>
        <v>1</v>
      </c>
      <c r="J17" s="66">
        <f>EINSTELLUNG!E30</f>
        <v>13627.644444444444</v>
      </c>
      <c r="K17" s="67">
        <f t="shared" si="0"/>
        <v>13626.644444444444</v>
      </c>
      <c r="L17" s="65">
        <f>September!S40</f>
        <v>1.2189506189560365E-3</v>
      </c>
      <c r="M17" s="62">
        <f>September!S41</f>
        <v>1.2189506189560365E-3</v>
      </c>
      <c r="N17" s="62">
        <f>September!O5</f>
        <v>731.23145359292243</v>
      </c>
      <c r="O17" s="62">
        <f>September!P5</f>
        <v>9</v>
      </c>
      <c r="P17" s="85">
        <f t="shared" si="1"/>
        <v>-722.23145359292243</v>
      </c>
      <c r="Q17" s="66">
        <f>September!Q31</f>
        <v>0</v>
      </c>
    </row>
    <row r="18" spans="2:17" ht="30" customHeight="1">
      <c r="B18" s="68" t="s">
        <v>197</v>
      </c>
      <c r="C18" s="69">
        <f>SUM(C15:C17)</f>
        <v>24</v>
      </c>
      <c r="D18" s="69">
        <f>SUM(D15:D17)</f>
        <v>24</v>
      </c>
      <c r="E18" s="84">
        <f>D18-C18</f>
        <v>0</v>
      </c>
      <c r="F18" s="69">
        <f>SUM(F15:F17)</f>
        <v>24</v>
      </c>
      <c r="G18" s="69">
        <f>SUM(G15:G17)</f>
        <v>367943.4</v>
      </c>
      <c r="H18" s="84">
        <f t="shared" si="3"/>
        <v>367919.4</v>
      </c>
      <c r="I18" s="70">
        <f>AVERAGE(I15:I17)</f>
        <v>1</v>
      </c>
      <c r="J18" s="70">
        <f>AVERAGE(J15:J17)</f>
        <v>15493.196957671957</v>
      </c>
      <c r="K18" s="71">
        <f t="shared" si="0"/>
        <v>15492.196957671957</v>
      </c>
      <c r="L18" s="69">
        <f>AVERAGE(L15:L17)</f>
        <v>1.0697497742143745E-3</v>
      </c>
      <c r="M18" s="64">
        <f>AVERAGE(M15:M17)</f>
        <v>1.0697497742143745E-3</v>
      </c>
      <c r="N18" s="64">
        <f>SUM(N15:N17)</f>
        <v>2193.6943607787671</v>
      </c>
      <c r="O18" s="64">
        <f>SUM(O15:O17)</f>
        <v>24</v>
      </c>
      <c r="P18" s="86">
        <f t="shared" si="1"/>
        <v>-2169.6943607787671</v>
      </c>
      <c r="Q18" s="70">
        <f>AVERAGE(Q15:Q17)</f>
        <v>0</v>
      </c>
    </row>
    <row r="19" spans="2:17" ht="30" customHeight="1">
      <c r="B19" s="63" t="s">
        <v>198</v>
      </c>
      <c r="C19" s="65">
        <f>EINSTELLUNG!C15</f>
        <v>10</v>
      </c>
      <c r="D19" s="65">
        <f>EINSTELLUNG!C31</f>
        <v>10</v>
      </c>
      <c r="E19" s="83">
        <f>D19-C19</f>
        <v>0</v>
      </c>
      <c r="F19" s="65">
        <f>EINSTELLUNG!D15</f>
        <v>10</v>
      </c>
      <c r="G19" s="65">
        <f>Oktober!$S$36</f>
        <v>122649.8</v>
      </c>
      <c r="H19" s="83">
        <f t="shared" si="3"/>
        <v>122639.8</v>
      </c>
      <c r="I19" s="66">
        <f>EINSTELLUNG!E15</f>
        <v>1</v>
      </c>
      <c r="J19" s="66">
        <f>EINSTELLUNG!E31</f>
        <v>12264.98</v>
      </c>
      <c r="K19" s="67">
        <f t="shared" si="0"/>
        <v>12263.98</v>
      </c>
      <c r="L19" s="65">
        <f>Oktober!S40</f>
        <v>1.3040529967137866E-3</v>
      </c>
      <c r="M19" s="62">
        <f>Oktober!S41</f>
        <v>1.3040529967137866E-3</v>
      </c>
      <c r="N19" s="62">
        <f>Oktober!O5</f>
        <v>731.23145359292243</v>
      </c>
      <c r="O19" s="62">
        <f>Oktober!P5</f>
        <v>10</v>
      </c>
      <c r="P19" s="85">
        <f t="shared" si="1"/>
        <v>-721.23145359292243</v>
      </c>
      <c r="Q19" s="66">
        <f>Oktober!Q31</f>
        <v>0</v>
      </c>
    </row>
    <row r="20" spans="2:17" ht="30" customHeight="1">
      <c r="B20" s="63" t="s">
        <v>199</v>
      </c>
      <c r="C20" s="65">
        <f>EINSTELLUNG!C16</f>
        <v>11</v>
      </c>
      <c r="D20" s="65">
        <f>EINSTELLUNG!C32</f>
        <v>11</v>
      </c>
      <c r="E20" s="83">
        <f>D20-C20</f>
        <v>0</v>
      </c>
      <c r="F20" s="65">
        <f>EINSTELLUNG!D16</f>
        <v>11</v>
      </c>
      <c r="G20" s="65">
        <f>November!$S$36</f>
        <v>122650.8</v>
      </c>
      <c r="H20" s="83">
        <f t="shared" si="3"/>
        <v>122639.8</v>
      </c>
      <c r="I20" s="66">
        <f>EINSTELLUNG!E16</f>
        <v>1</v>
      </c>
      <c r="J20" s="66">
        <f>EINSTELLUNG!E32</f>
        <v>11150.072727272727</v>
      </c>
      <c r="K20" s="67">
        <f t="shared" si="0"/>
        <v>11149.072727272727</v>
      </c>
      <c r="L20" s="65">
        <f>November!S40</f>
        <v>1.4580350988812895E-3</v>
      </c>
      <c r="M20" s="62">
        <f>November!S41</f>
        <v>1.4580350988812895E-3</v>
      </c>
      <c r="N20" s="62">
        <f>November!O5</f>
        <v>731.23145359292243</v>
      </c>
      <c r="O20" s="62">
        <f>November!P5</f>
        <v>11</v>
      </c>
      <c r="P20" s="85">
        <f t="shared" si="1"/>
        <v>-720.23145359292243</v>
      </c>
      <c r="Q20" s="66">
        <f>November!Q31</f>
        <v>0</v>
      </c>
    </row>
    <row r="21" spans="2:17" ht="30" customHeight="1">
      <c r="B21" s="63" t="s">
        <v>200</v>
      </c>
      <c r="C21" s="65">
        <f>EINSTELLUNG!C17</f>
        <v>12</v>
      </c>
      <c r="D21" s="65">
        <f>EINSTELLUNG!C33</f>
        <v>12</v>
      </c>
      <c r="E21" s="83">
        <f t="shared" si="2"/>
        <v>0</v>
      </c>
      <c r="F21" s="65">
        <f>EINSTELLUNG!D17</f>
        <v>12</v>
      </c>
      <c r="G21" s="65">
        <f>Dezember!$S$36</f>
        <v>122651.8</v>
      </c>
      <c r="H21" s="83">
        <f t="shared" si="3"/>
        <v>122639.8</v>
      </c>
      <c r="I21" s="66">
        <f>EINSTELLUNG!E17</f>
        <v>1</v>
      </c>
      <c r="J21" s="66">
        <f>EINSTELLUNG!E33</f>
        <v>10220.983333333334</v>
      </c>
      <c r="K21" s="67">
        <f t="shared" si="0"/>
        <v>10219.983333333334</v>
      </c>
      <c r="L21" s="65">
        <f>Dezember!S40</f>
        <v>1.5297537096527459E-3</v>
      </c>
      <c r="M21" s="62">
        <f>Dezember!S41</f>
        <v>1.5297537096527459E-3</v>
      </c>
      <c r="N21" s="62">
        <f>Dezember!O5</f>
        <v>731.23145359292243</v>
      </c>
      <c r="O21" s="72">
        <f>Dezember!P5</f>
        <v>12</v>
      </c>
      <c r="P21" s="85">
        <f t="shared" si="1"/>
        <v>-719.23145359292243</v>
      </c>
      <c r="Q21" s="66">
        <f>Dezember!Q31</f>
        <v>0</v>
      </c>
    </row>
    <row r="22" spans="2:17" ht="30" customHeight="1">
      <c r="B22" s="68" t="s">
        <v>201</v>
      </c>
      <c r="C22" s="69">
        <f>SUM(C19:C21)</f>
        <v>33</v>
      </c>
      <c r="D22" s="69">
        <f>SUM(D19:D21)</f>
        <v>33</v>
      </c>
      <c r="E22" s="84">
        <f>D22-C22</f>
        <v>0</v>
      </c>
      <c r="F22" s="69">
        <f>SUM(F19:F21)</f>
        <v>33</v>
      </c>
      <c r="G22" s="69">
        <f>SUM(G19:G21)</f>
        <v>367952.4</v>
      </c>
      <c r="H22" s="84">
        <f t="shared" si="3"/>
        <v>367919.4</v>
      </c>
      <c r="I22" s="70">
        <f>AVERAGE(I19:I21)</f>
        <v>1</v>
      </c>
      <c r="J22" s="70">
        <f>AVERAGE(J19:J21)</f>
        <v>11212.012020202019</v>
      </c>
      <c r="K22" s="71">
        <f t="shared" si="0"/>
        <v>11211.012020202019</v>
      </c>
      <c r="L22" s="69">
        <f>AVERAGE(L19:L21)</f>
        <v>1.4306139350826075E-3</v>
      </c>
      <c r="M22" s="64">
        <f>AVERAGE(M19:M21)</f>
        <v>1.4306139350826075E-3</v>
      </c>
      <c r="N22" s="64">
        <f>SUM(N19:N21)</f>
        <v>2193.6943607787671</v>
      </c>
      <c r="O22" s="64">
        <f>SUM(O19:O21)</f>
        <v>33</v>
      </c>
      <c r="P22" s="86">
        <f>O22-N22</f>
        <v>-2160.6943607787671</v>
      </c>
      <c r="Q22" s="70">
        <f>AVERAGE(Q19:Q21)</f>
        <v>0</v>
      </c>
    </row>
    <row r="23" spans="2:17" ht="30" customHeight="1">
      <c r="B23" s="73">
        <f>LOHNTABELLE!G3</f>
        <v>2026</v>
      </c>
      <c r="C23" s="74">
        <f>SUM(C10,C14,C18,C22)</f>
        <v>78</v>
      </c>
      <c r="D23" s="74">
        <f>SUM(D10,D14,D18,D22)</f>
        <v>78</v>
      </c>
      <c r="E23" s="84">
        <f>D23-C23</f>
        <v>0</v>
      </c>
      <c r="F23" s="74">
        <f>SUM(F10,F14,F18,F22)</f>
        <v>78</v>
      </c>
      <c r="G23" s="74">
        <f>SUM(G10,G14,G18,G22)</f>
        <v>1367314.6288000001</v>
      </c>
      <c r="H23" s="84">
        <f t="shared" si="3"/>
        <v>1367236.6288000001</v>
      </c>
      <c r="I23" s="75">
        <f>AVERAGE(I10,I14,I18,I22)</f>
        <v>1</v>
      </c>
      <c r="J23" s="75">
        <f>AVERAGE(J10,J14,J18,J22)</f>
        <v>27027.79631113516</v>
      </c>
      <c r="K23" s="71">
        <f>J23-I23</f>
        <v>27026.79631113516</v>
      </c>
      <c r="L23" s="74">
        <f>AVERAGE(L22,L18,L14,L10)</f>
        <v>1.9182040948378808E-3</v>
      </c>
      <c r="M23" s="76">
        <f>AVERAGE(M10,M14,M18,M22)</f>
        <v>1.9182040948378808E-3</v>
      </c>
      <c r="N23" s="76">
        <f>SUM(N10,N14,N18,N22)</f>
        <v>8768.0995302968695</v>
      </c>
      <c r="O23" s="76">
        <f>SUM(O10,O14,O18,O22)</f>
        <v>78</v>
      </c>
      <c r="P23" s="86">
        <f t="shared" si="1"/>
        <v>-8690.0995302968695</v>
      </c>
      <c r="Q23" s="75">
        <f>AVERAGE(Q22,Q18,Q14,Q10)</f>
        <v>1.6339869281045752E-3</v>
      </c>
    </row>
    <row r="24" spans="2:17" ht="15">
      <c r="O24" s="4"/>
    </row>
    <row r="25" spans="2:17">
      <c r="B25" s="384" t="s">
        <v>204</v>
      </c>
      <c r="C25" s="384"/>
      <c r="D25" s="384"/>
      <c r="E25" s="384"/>
    </row>
    <row r="26" spans="2:17">
      <c r="B26" s="384"/>
      <c r="C26" s="384"/>
      <c r="D26" s="384"/>
      <c r="E26" s="384"/>
    </row>
    <row r="27" spans="2:17">
      <c r="B27" s="384"/>
      <c r="C27" s="384"/>
      <c r="D27" s="384"/>
      <c r="E27" s="384"/>
    </row>
  </sheetData>
  <sheetProtection algorithmName="SHA-512" hashValue="CTQFYBg1AUESfqMt9Soe65Lp7KjLe4bRgxIicg4H1NpWgzNcwSofLya6MmMWzKLDr/rPeP9Fs5maX4ddl+uOVw==" saltValue="qpDuEJeQF2nYqb46zRNwmQ=="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2"/>
  <sheetViews>
    <sheetView workbookViewId="0">
      <selection activeCell="F18" sqref="F18"/>
    </sheetView>
  </sheetViews>
  <sheetFormatPr baseColWidth="10" defaultRowHeight="15"/>
  <cols>
    <col min="1" max="1" width="6.5" bestFit="1" customWidth="1"/>
    <col min="2" max="2" width="10.33203125" bestFit="1" customWidth="1"/>
    <col min="3" max="3" width="15.33203125" bestFit="1" customWidth="1"/>
    <col min="4" max="4" width="13.1640625" style="180" bestFit="1" customWidth="1"/>
    <col min="5" max="5" width="13.6640625" style="180" bestFit="1" customWidth="1"/>
    <col min="6" max="6" width="21.1640625" bestFit="1" customWidth="1"/>
    <col min="7" max="7" width="19.5" bestFit="1" customWidth="1"/>
    <col min="8" max="8" width="13.5" style="182" bestFit="1" customWidth="1"/>
    <col min="9" max="9" width="10.1640625" style="182" bestFit="1" customWidth="1"/>
    <col min="10" max="10" width="12" style="182" bestFit="1" customWidth="1"/>
    <col min="11" max="11" width="15.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sheetData>
  <sheetProtection algorithmName="SHA-512" hashValue="b+tMSSZa8QEFa9NlMjiMvRIBhKBjLSIYTH2WukOSqHd5Khz2wkHGXG3UBLyi75L9fDGFhiomTNQaD1z0EjsWUA==" saltValue="CPuu/4YVrhdMG9uL3nPKfQ=="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0"/>
  <sheetViews>
    <sheetView showGridLines="0" topLeftCell="A6" zoomScale="120" zoomScaleNormal="120" workbookViewId="0">
      <selection activeCell="H40" sqref="H40"/>
    </sheetView>
  </sheetViews>
  <sheetFormatPr baseColWidth="10" defaultColWidth="10.83203125" defaultRowHeight="15" customHeight="1"/>
  <cols>
    <col min="1" max="1" width="32.6640625" style="191" customWidth="1"/>
    <col min="2" max="5" width="16.6640625" style="191" customWidth="1"/>
    <col min="6" max="7" width="18.6640625" style="191" customWidth="1"/>
    <col min="8" max="8" width="22.6640625" style="191" customWidth="1"/>
    <col min="9" max="12" width="36.6640625" style="191" customWidth="1"/>
    <col min="13" max="16384" width="10.83203125" style="191"/>
  </cols>
  <sheetData>
    <row r="1" spans="1:12" ht="15" customHeight="1">
      <c r="A1" s="391" t="s">
        <v>237</v>
      </c>
      <c r="B1" s="392"/>
      <c r="C1" s="392"/>
      <c r="D1" s="392"/>
      <c r="E1" s="392"/>
      <c r="F1" s="201"/>
      <c r="G1" s="201"/>
      <c r="H1" s="201"/>
      <c r="I1" s="201"/>
      <c r="J1" s="201"/>
      <c r="K1" s="201"/>
      <c r="L1" s="201"/>
    </row>
    <row r="2" spans="1:12" ht="15" customHeight="1">
      <c r="A2" s="202" t="s">
        <v>238</v>
      </c>
      <c r="B2" s="202">
        <v>2026</v>
      </c>
      <c r="C2" s="201"/>
      <c r="D2" s="201"/>
      <c r="E2" s="201"/>
      <c r="F2" s="201"/>
      <c r="G2" s="201"/>
      <c r="H2" s="201"/>
      <c r="I2" s="201"/>
      <c r="J2" s="201"/>
      <c r="K2" s="201"/>
      <c r="L2" s="201"/>
    </row>
    <row r="3" spans="1:12" ht="15" customHeight="1">
      <c r="A3" s="201"/>
      <c r="B3" s="201"/>
      <c r="C3" s="201"/>
      <c r="D3" s="201"/>
      <c r="E3" s="201"/>
      <c r="F3" s="201"/>
      <c r="G3" s="201"/>
      <c r="H3" s="201"/>
      <c r="I3" s="201"/>
      <c r="J3" s="201"/>
      <c r="K3" s="201"/>
      <c r="L3" s="201"/>
    </row>
    <row r="4" spans="1:12" ht="15" customHeight="1">
      <c r="A4" s="393" t="s">
        <v>246</v>
      </c>
      <c r="B4" s="394"/>
      <c r="C4" s="394"/>
      <c r="D4" s="394"/>
      <c r="E4" s="394"/>
      <c r="F4" s="201"/>
      <c r="G4" s="201"/>
      <c r="H4" s="201"/>
      <c r="I4" s="201"/>
      <c r="J4" s="201"/>
      <c r="K4" s="201"/>
      <c r="L4" s="201"/>
    </row>
    <row r="5" spans="1:12" ht="42" customHeight="1">
      <c r="A5" s="395" t="s">
        <v>349</v>
      </c>
      <c r="B5" s="395"/>
      <c r="C5" s="395"/>
      <c r="D5" s="395"/>
      <c r="E5" s="395"/>
      <c r="F5" s="201"/>
      <c r="G5" s="201"/>
      <c r="H5" s="201"/>
      <c r="I5" s="201"/>
      <c r="J5" s="201"/>
      <c r="K5" s="201"/>
      <c r="L5" s="201"/>
    </row>
    <row r="6" spans="1:12" ht="42" customHeight="1">
      <c r="A6" s="395"/>
      <c r="B6" s="395"/>
      <c r="C6" s="395"/>
      <c r="D6" s="395"/>
      <c r="E6" s="395"/>
      <c r="F6" s="201"/>
      <c r="G6" s="201"/>
      <c r="H6" s="201"/>
      <c r="I6" s="201"/>
      <c r="J6" s="201"/>
      <c r="K6" s="201"/>
      <c r="L6" s="201"/>
    </row>
    <row r="7" spans="1:12" ht="15" customHeight="1">
      <c r="A7" s="201"/>
      <c r="B7" s="201"/>
      <c r="C7" s="201"/>
      <c r="D7" s="201"/>
      <c r="E7" s="201"/>
      <c r="F7" s="201"/>
      <c r="G7" s="201"/>
      <c r="H7" s="201"/>
      <c r="I7" s="201"/>
      <c r="J7" s="201"/>
      <c r="K7" s="201"/>
      <c r="L7" s="201"/>
    </row>
    <row r="8" spans="1:12" ht="15" customHeight="1">
      <c r="A8" s="203" t="s">
        <v>239</v>
      </c>
      <c r="B8" s="203" t="s">
        <v>240</v>
      </c>
      <c r="C8" s="203" t="s">
        <v>350</v>
      </c>
      <c r="D8" s="203"/>
      <c r="E8" s="203"/>
      <c r="F8" s="201"/>
      <c r="G8" s="201"/>
      <c r="H8" s="201"/>
      <c r="I8" s="201"/>
      <c r="J8" s="201"/>
      <c r="K8" s="201"/>
      <c r="L8" s="201"/>
    </row>
    <row r="9" spans="1:12" ht="15" customHeight="1">
      <c r="A9" s="204" t="s">
        <v>241</v>
      </c>
      <c r="B9" s="192">
        <v>1</v>
      </c>
      <c r="C9" s="390" t="s">
        <v>247</v>
      </c>
      <c r="D9" s="390"/>
      <c r="E9" s="390"/>
      <c r="F9" s="201"/>
      <c r="G9" s="201"/>
      <c r="H9" s="201"/>
      <c r="I9" s="201"/>
      <c r="J9" s="201"/>
      <c r="K9" s="201"/>
      <c r="L9" s="201"/>
    </row>
    <row r="10" spans="1:12" ht="15" customHeight="1">
      <c r="A10" s="204" t="s">
        <v>258</v>
      </c>
      <c r="B10" s="199">
        <v>1.937984496124031E-2</v>
      </c>
      <c r="C10" s="390" t="s">
        <v>259</v>
      </c>
      <c r="D10" s="390"/>
      <c r="E10" s="390"/>
      <c r="F10" s="201"/>
      <c r="G10" s="201"/>
      <c r="H10" s="201"/>
      <c r="I10" s="201"/>
      <c r="J10" s="201"/>
      <c r="K10" s="201"/>
      <c r="L10" s="201"/>
    </row>
    <row r="11" spans="1:12" ht="15" customHeight="1">
      <c r="A11" s="204" t="s">
        <v>244</v>
      </c>
      <c r="B11" s="200">
        <v>0.625</v>
      </c>
      <c r="C11" s="390" t="s">
        <v>351</v>
      </c>
      <c r="D11" s="390"/>
      <c r="E11" s="390"/>
      <c r="F11" s="201"/>
      <c r="G11" s="201"/>
      <c r="H11" s="201"/>
      <c r="I11" s="201"/>
      <c r="J11" s="201"/>
      <c r="K11" s="201"/>
      <c r="L11" s="201"/>
    </row>
    <row r="12" spans="1:12" ht="15" customHeight="1">
      <c r="A12" s="204" t="s">
        <v>314</v>
      </c>
      <c r="B12" s="200">
        <v>0.625</v>
      </c>
      <c r="C12" s="390" t="s">
        <v>248</v>
      </c>
      <c r="D12" s="390"/>
      <c r="E12" s="390"/>
      <c r="F12" s="201"/>
      <c r="G12" s="201"/>
      <c r="H12" s="201"/>
      <c r="I12" s="201"/>
      <c r="J12" s="201"/>
      <c r="K12" s="201"/>
      <c r="L12" s="201"/>
    </row>
    <row r="13" spans="1:12" ht="15" customHeight="1">
      <c r="A13" s="204" t="s">
        <v>249</v>
      </c>
      <c r="B13" s="192">
        <v>0</v>
      </c>
      <c r="C13" s="390" t="s">
        <v>250</v>
      </c>
      <c r="D13" s="390"/>
      <c r="E13" s="390"/>
      <c r="F13" s="201"/>
      <c r="G13" s="201"/>
      <c r="H13" s="201"/>
      <c r="I13" s="201"/>
      <c r="J13" s="201"/>
      <c r="K13" s="201"/>
      <c r="L13" s="201"/>
    </row>
    <row r="14" spans="1:12" ht="15" customHeight="1">
      <c r="A14" s="204" t="s">
        <v>245</v>
      </c>
      <c r="B14" s="192">
        <v>0</v>
      </c>
      <c r="C14" s="390" t="s">
        <v>251</v>
      </c>
      <c r="D14" s="390"/>
      <c r="E14" s="390"/>
      <c r="F14" s="201"/>
      <c r="G14" s="201"/>
      <c r="H14" s="201"/>
      <c r="I14" s="201"/>
      <c r="J14" s="201"/>
      <c r="K14" s="201"/>
      <c r="L14" s="201"/>
    </row>
    <row r="15" spans="1:12" ht="15" customHeight="1">
      <c r="A15" s="204" t="s">
        <v>252</v>
      </c>
      <c r="B15" s="192">
        <v>0</v>
      </c>
      <c r="C15" s="390" t="s">
        <v>352</v>
      </c>
      <c r="D15" s="390"/>
      <c r="E15" s="390"/>
      <c r="F15" s="201"/>
      <c r="G15" s="201"/>
      <c r="H15" s="201"/>
      <c r="I15" s="201"/>
      <c r="J15" s="201"/>
      <c r="K15" s="201"/>
      <c r="L15" s="201"/>
    </row>
    <row r="16" spans="1:12" ht="15" customHeight="1">
      <c r="A16" s="204" t="s">
        <v>242</v>
      </c>
      <c r="B16" s="192">
        <v>0</v>
      </c>
      <c r="C16" s="390" t="s">
        <v>353</v>
      </c>
      <c r="D16" s="390"/>
      <c r="E16" s="390"/>
      <c r="F16" s="201"/>
      <c r="G16" s="201"/>
      <c r="H16" s="201"/>
      <c r="I16" s="201"/>
      <c r="J16" s="201"/>
      <c r="K16" s="201"/>
      <c r="L16" s="201"/>
    </row>
    <row r="17" spans="1:12" ht="15" customHeight="1">
      <c r="A17" s="204" t="s">
        <v>354</v>
      </c>
      <c r="B17" s="192">
        <v>0</v>
      </c>
      <c r="C17" s="390" t="s">
        <v>315</v>
      </c>
      <c r="D17" s="390"/>
      <c r="E17" s="390"/>
      <c r="F17" s="201"/>
      <c r="G17" s="201"/>
      <c r="H17" s="201"/>
      <c r="I17" s="201"/>
      <c r="J17" s="201"/>
      <c r="K17" s="201"/>
      <c r="L17" s="201"/>
    </row>
    <row r="18" spans="1:12" ht="15" customHeight="1" thickBot="1">
      <c r="A18" s="201"/>
      <c r="B18" s="201"/>
      <c r="C18" s="201"/>
      <c r="D18" s="201"/>
      <c r="E18" s="201"/>
      <c r="F18" s="201"/>
      <c r="G18" s="201"/>
      <c r="H18" s="201"/>
      <c r="I18" s="201"/>
      <c r="J18" s="201"/>
      <c r="K18" s="201"/>
      <c r="L18" s="201"/>
    </row>
    <row r="19" spans="1:12" ht="24" customHeight="1" thickBot="1">
      <c r="A19" s="194" t="s">
        <v>355</v>
      </c>
      <c r="B19" s="222" t="s">
        <v>368</v>
      </c>
      <c r="C19" s="201"/>
      <c r="D19" s="201"/>
      <c r="E19" s="201"/>
      <c r="F19" s="201"/>
      <c r="G19" s="201"/>
      <c r="H19" s="201"/>
      <c r="I19" s="201"/>
      <c r="J19" s="201"/>
      <c r="K19" s="201"/>
      <c r="L19" s="201"/>
    </row>
    <row r="20" spans="1:12" ht="15" customHeight="1">
      <c r="A20" s="201"/>
      <c r="B20" s="201"/>
      <c r="C20" s="201"/>
      <c r="D20" s="201"/>
      <c r="E20" s="201"/>
      <c r="F20" s="201"/>
      <c r="G20" s="201"/>
      <c r="H20" s="201"/>
      <c r="I20" s="201"/>
      <c r="J20" s="201"/>
      <c r="K20" s="201"/>
      <c r="L20" s="201"/>
    </row>
    <row r="21" spans="1:12" ht="48" customHeight="1">
      <c r="A21" s="399" t="s">
        <v>253</v>
      </c>
      <c r="B21" s="389" t="s">
        <v>369</v>
      </c>
      <c r="C21" s="389"/>
      <c r="D21" s="389"/>
      <c r="E21" s="389"/>
      <c r="F21" s="201"/>
      <c r="G21" s="201"/>
      <c r="H21" s="201"/>
      <c r="I21" s="201"/>
      <c r="J21" s="201"/>
      <c r="K21" s="201"/>
      <c r="L21" s="201"/>
    </row>
    <row r="22" spans="1:12" ht="48" customHeight="1">
      <c r="A22" s="398"/>
      <c r="B22" s="389"/>
      <c r="C22" s="389"/>
      <c r="D22" s="389"/>
      <c r="E22" s="389"/>
      <c r="F22" s="201"/>
      <c r="G22" s="201"/>
      <c r="H22" s="201"/>
      <c r="I22" s="201"/>
      <c r="J22" s="201"/>
      <c r="K22" s="201"/>
      <c r="L22" s="201"/>
    </row>
    <row r="23" spans="1:12" ht="15" customHeight="1">
      <c r="A23" s="201"/>
      <c r="B23" s="201"/>
      <c r="C23" s="201"/>
      <c r="D23" s="201"/>
      <c r="E23" s="201"/>
      <c r="F23" s="201"/>
      <c r="G23" s="201"/>
      <c r="H23" s="201"/>
      <c r="I23" s="201"/>
      <c r="J23" s="201"/>
      <c r="K23" s="201"/>
      <c r="L23" s="201"/>
    </row>
    <row r="24" spans="1:12" ht="15" customHeight="1">
      <c r="A24" s="201"/>
      <c r="B24" s="201"/>
      <c r="C24" s="201"/>
      <c r="D24" s="201"/>
      <c r="E24" s="201"/>
      <c r="F24" s="201"/>
      <c r="G24" s="201"/>
      <c r="H24" s="201"/>
      <c r="I24" s="201"/>
      <c r="J24" s="201"/>
      <c r="K24" s="201"/>
      <c r="L24" s="201"/>
    </row>
    <row r="25" spans="1:12" ht="15" customHeight="1">
      <c r="A25" s="396" t="s">
        <v>356</v>
      </c>
      <c r="B25" s="392"/>
      <c r="C25" s="392"/>
      <c r="D25" s="392"/>
      <c r="E25" s="392"/>
      <c r="F25" s="392"/>
      <c r="G25" s="392"/>
      <c r="H25" s="392"/>
      <c r="I25" s="392"/>
      <c r="J25" s="201"/>
      <c r="K25" s="201"/>
      <c r="L25" s="201"/>
    </row>
    <row r="26" spans="1:12" ht="15" customHeight="1">
      <c r="A26" s="201"/>
      <c r="B26" s="201"/>
      <c r="C26" s="201"/>
      <c r="D26" s="201"/>
      <c r="E26" s="201"/>
      <c r="F26" s="201"/>
      <c r="G26" s="201"/>
      <c r="H26" s="201"/>
      <c r="I26" s="201"/>
      <c r="J26" s="201"/>
      <c r="K26" s="201"/>
      <c r="L26" s="201"/>
    </row>
    <row r="27" spans="1:12" ht="15" customHeight="1">
      <c r="A27" s="195" t="s">
        <v>231</v>
      </c>
      <c r="B27" s="195" t="s">
        <v>255</v>
      </c>
      <c r="C27" s="195" t="s">
        <v>260</v>
      </c>
      <c r="D27" s="195" t="s">
        <v>244</v>
      </c>
      <c r="E27" s="195" t="s">
        <v>316</v>
      </c>
      <c r="F27" s="195" t="s">
        <v>357</v>
      </c>
      <c r="G27" s="195" t="s">
        <v>347</v>
      </c>
      <c r="H27" s="195"/>
      <c r="I27" s="195"/>
      <c r="J27" s="201"/>
      <c r="K27" s="201"/>
      <c r="L27" s="201"/>
    </row>
    <row r="28" spans="1:12" ht="42" customHeight="1">
      <c r="A28" s="196" t="s">
        <v>317</v>
      </c>
      <c r="B28" s="196">
        <v>1</v>
      </c>
      <c r="C28" s="197">
        <v>1.9607843137254902E-2</v>
      </c>
      <c r="D28" s="198">
        <v>0.625</v>
      </c>
      <c r="E28" s="198">
        <v>0.625</v>
      </c>
      <c r="F28" s="193" t="s">
        <v>358</v>
      </c>
      <c r="G28" s="390" t="s">
        <v>319</v>
      </c>
      <c r="H28" s="390"/>
      <c r="I28" s="390"/>
      <c r="J28" s="201"/>
      <c r="K28" s="201"/>
      <c r="L28" s="201"/>
    </row>
    <row r="29" spans="1:12" ht="15" customHeight="1">
      <c r="A29" s="201"/>
      <c r="B29" s="201"/>
      <c r="C29" s="201"/>
      <c r="D29" s="201"/>
      <c r="E29" s="201"/>
      <c r="F29" s="201"/>
      <c r="G29" s="201"/>
      <c r="H29" s="201"/>
      <c r="I29" s="201"/>
      <c r="J29" s="201"/>
      <c r="K29" s="201"/>
      <c r="L29" s="201"/>
    </row>
    <row r="30" spans="1:12" ht="15" customHeight="1">
      <c r="A30" s="201"/>
      <c r="B30" s="201"/>
      <c r="C30" s="201"/>
      <c r="D30" s="201"/>
      <c r="E30" s="201"/>
      <c r="F30" s="201"/>
      <c r="G30" s="201"/>
      <c r="H30" s="201"/>
      <c r="I30" s="201"/>
      <c r="J30" s="201"/>
      <c r="K30" s="201"/>
      <c r="L30" s="201"/>
    </row>
    <row r="31" spans="1:12" ht="15" customHeight="1">
      <c r="A31" s="201"/>
      <c r="B31" s="201"/>
      <c r="C31" s="201"/>
      <c r="D31" s="201"/>
      <c r="E31" s="201"/>
      <c r="F31" s="201"/>
      <c r="G31" s="201"/>
      <c r="H31" s="201"/>
      <c r="I31" s="201"/>
      <c r="J31" s="201"/>
      <c r="K31" s="201"/>
      <c r="L31" s="201"/>
    </row>
    <row r="32" spans="1:12" ht="15" customHeight="1">
      <c r="A32" s="397" t="s">
        <v>359</v>
      </c>
      <c r="B32" s="398"/>
      <c r="C32" s="398"/>
      <c r="D32" s="398"/>
      <c r="E32" s="398"/>
      <c r="F32" s="201"/>
      <c r="G32" s="201"/>
      <c r="H32" s="201"/>
      <c r="I32" s="201"/>
      <c r="J32" s="201"/>
      <c r="K32" s="201"/>
      <c r="L32" s="201"/>
    </row>
    <row r="33" spans="1:12" ht="38" customHeight="1">
      <c r="A33" s="203" t="s">
        <v>258</v>
      </c>
      <c r="B33" s="389" t="s">
        <v>261</v>
      </c>
      <c r="C33" s="389"/>
      <c r="D33" s="389"/>
      <c r="E33" s="389"/>
      <c r="F33" s="201"/>
      <c r="G33" s="201"/>
      <c r="H33" s="201"/>
      <c r="I33" s="201"/>
      <c r="J33" s="201"/>
      <c r="K33" s="201"/>
      <c r="L33" s="201"/>
    </row>
    <row r="34" spans="1:12" ht="38" customHeight="1">
      <c r="A34" s="203" t="s">
        <v>244</v>
      </c>
      <c r="B34" s="389" t="s">
        <v>360</v>
      </c>
      <c r="C34" s="389"/>
      <c r="D34" s="389"/>
      <c r="E34" s="389"/>
      <c r="F34" s="201"/>
      <c r="G34" s="201"/>
      <c r="H34" s="201"/>
      <c r="I34" s="201"/>
      <c r="J34" s="201"/>
      <c r="K34" s="201"/>
      <c r="L34" s="201"/>
    </row>
    <row r="35" spans="1:12" ht="38" customHeight="1">
      <c r="A35" s="203" t="s">
        <v>314</v>
      </c>
      <c r="B35" s="389" t="s">
        <v>361</v>
      </c>
      <c r="C35" s="389"/>
      <c r="D35" s="389"/>
      <c r="E35" s="389"/>
      <c r="F35" s="201"/>
      <c r="G35" s="201"/>
      <c r="H35" s="201"/>
      <c r="I35" s="201"/>
      <c r="J35" s="201"/>
      <c r="K35" s="201"/>
      <c r="L35" s="201"/>
    </row>
    <row r="36" spans="1:12" ht="38" customHeight="1">
      <c r="A36" s="203" t="s">
        <v>256</v>
      </c>
      <c r="B36" s="389" t="s">
        <v>362</v>
      </c>
      <c r="C36" s="389"/>
      <c r="D36" s="389"/>
      <c r="E36" s="389"/>
      <c r="F36" s="201"/>
      <c r="G36" s="201"/>
      <c r="H36" s="201"/>
      <c r="I36" s="201"/>
      <c r="J36" s="201"/>
      <c r="K36" s="201"/>
      <c r="L36" s="201"/>
    </row>
    <row r="37" spans="1:12" ht="38" customHeight="1">
      <c r="A37" s="203" t="s">
        <v>245</v>
      </c>
      <c r="B37" s="389" t="s">
        <v>363</v>
      </c>
      <c r="C37" s="389"/>
      <c r="D37" s="389"/>
      <c r="E37" s="389"/>
      <c r="F37" s="201"/>
      <c r="G37" s="201"/>
      <c r="H37" s="201"/>
      <c r="I37" s="201"/>
      <c r="J37" s="201"/>
      <c r="K37" s="201"/>
      <c r="L37" s="201"/>
    </row>
    <row r="38" spans="1:12" ht="38" customHeight="1">
      <c r="A38" s="203" t="s">
        <v>257</v>
      </c>
      <c r="B38" s="389" t="s">
        <v>364</v>
      </c>
      <c r="C38" s="389"/>
      <c r="D38" s="389"/>
      <c r="E38" s="389"/>
      <c r="F38" s="201"/>
      <c r="G38" s="201"/>
      <c r="H38" s="201"/>
      <c r="I38" s="201"/>
      <c r="J38" s="201"/>
      <c r="K38" s="201"/>
      <c r="L38" s="201"/>
    </row>
    <row r="39" spans="1:12" ht="38" customHeight="1">
      <c r="A39" s="203" t="s">
        <v>254</v>
      </c>
      <c r="B39" s="389" t="s">
        <v>365</v>
      </c>
      <c r="C39" s="389"/>
      <c r="D39" s="389"/>
      <c r="E39" s="389"/>
      <c r="F39" s="201"/>
      <c r="G39" s="201"/>
      <c r="H39" s="201"/>
      <c r="I39" s="201"/>
      <c r="J39" s="201"/>
      <c r="K39" s="201"/>
      <c r="L39" s="201"/>
    </row>
    <row r="40" spans="1:12" ht="38" customHeight="1">
      <c r="A40" s="203" t="s">
        <v>366</v>
      </c>
      <c r="B40" s="389" t="s">
        <v>367</v>
      </c>
      <c r="C40" s="389"/>
      <c r="D40" s="389"/>
      <c r="E40" s="389"/>
      <c r="F40" s="201"/>
      <c r="G40" s="201"/>
      <c r="H40" s="201"/>
      <c r="I40" s="201"/>
      <c r="J40" s="201"/>
      <c r="K40" s="201"/>
      <c r="L40" s="201"/>
    </row>
  </sheetData>
  <sheetProtection algorithmName="SHA-512" hashValue="6TAyO5CnFWuDLspsx4zL+PMkRHPErxZAwWhx7nE1OBTz/Xe1FTi+oB8KBY2Ehj8lR/6eC0NieECymiHWQOV57g==" saltValue="vvpyUZdWt0jy5L3VIysr9A==" spinCount="100000" sheet="1" objects="1" scenarios="1" sort="0" autoFilter="0"/>
  <mergeCells count="25">
    <mergeCell ref="A25:I25"/>
    <mergeCell ref="A32:E32"/>
    <mergeCell ref="C11:E11"/>
    <mergeCell ref="C12:E12"/>
    <mergeCell ref="C13:E13"/>
    <mergeCell ref="C16:E16"/>
    <mergeCell ref="C17:E17"/>
    <mergeCell ref="C14:E14"/>
    <mergeCell ref="C15:E15"/>
    <mergeCell ref="A21:A22"/>
    <mergeCell ref="B21:E22"/>
    <mergeCell ref="A1:E1"/>
    <mergeCell ref="A4:E4"/>
    <mergeCell ref="A5:E6"/>
    <mergeCell ref="C9:E9"/>
    <mergeCell ref="C10:E10"/>
    <mergeCell ref="B39:E39"/>
    <mergeCell ref="B40:E40"/>
    <mergeCell ref="B37:E37"/>
    <mergeCell ref="B38:E38"/>
    <mergeCell ref="G28:I28"/>
    <mergeCell ref="B33:E33"/>
    <mergeCell ref="B34:E34"/>
    <mergeCell ref="B35:E35"/>
    <mergeCell ref="B36:E36"/>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jfib3bz82WX64k4V0Tc65Mm5V8rmKdEhp21IlH7OL2Pe0tK0cN5w/eNnsHTDEb+05ckwpJXw6cakA3WK6aV9jA==" saltValue="sLtNMlQ66BOQaZuC3Q8vJw=="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IX13"/>
  <sheetViews>
    <sheetView workbookViewId="0"/>
  </sheetViews>
  <sheetFormatPr baseColWidth="10" defaultRowHeight="15"/>
  <sheetData>
    <row r="1" spans="1:934">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row>
    <row r="2" spans="1:934">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row>
    <row r="3" spans="1:934">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row>
    <row r="4" spans="1:934">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row>
    <row r="5" spans="1:934">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row>
    <row r="6" spans="1:934">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row>
    <row r="7" spans="1:934">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row>
    <row r="8" spans="1:934">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row>
    <row r="9" spans="1:934">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row>
    <row r="10" spans="1:934">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row>
    <row r="11" spans="1:934">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row>
    <row r="12" spans="1:934">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row>
    <row r="13" spans="1:934">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row>
  </sheetData>
  <sheetProtection algorithmName="SHA-512" hashValue="M6IEYggTXL+09Ujy1zxvhxci5W4o7ct4U7eVELZ9z2P7+x6en2YFzOtT908DdIBDDAzoqYAQEl6U0Q7nxHi0sQ==" saltValue="Iq+pW194aR1WeeiH6XEVAQ=="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648</vt:i4>
      </vt:variant>
    </vt:vector>
  </HeadingPairs>
  <TitlesOfParts>
    <vt:vector size="665"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KV_DD_APRIL_6</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KV_DD_AUGUST_6</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KV_DD_DEZEMBER_6</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KV_DD_FEBRUAR_6</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KV_DD_JULI_6</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KV_DD_JUNI_6</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KV_DD_MAI_6</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KV_DD_MARZ_6</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KV_DD_NOVEMBER_6</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KV_DD_OKTOBER_6</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KV_DD_SEPTEMBER_6</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2026-05-07T10:08:23Z</dcterms:modified>
  <cp:category/>
  <cp:contentStatus/>
</cp:coreProperties>
</file>
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5AA2C23B-681E-448A-A8FE-61E102555BDC}" xr6:coauthVersionLast="47" xr6:coauthVersionMax="47" xr10:uidLastSave="{00000000-0000-0000-0000-000000000000}"/>
  <bookViews>
    <workbookView xWindow="38290" yWindow="-110" windowWidth="38620" windowHeight="21100" tabRatio="677" firstSheet="1" activeTab="20"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1" i="35" l="1"/>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D25" i="2"/>
  <c r="D24" i="2"/>
  <c r="K3" i="35" l="1"/>
  <c r="K4" i="35"/>
  <c r="K5" i="35"/>
  <c r="K6" i="35"/>
  <c r="K7" i="35"/>
  <c r="K8" i="35"/>
  <c r="K9" i="35"/>
  <c r="K10" i="35"/>
  <c r="K11" i="35"/>
  <c r="K12" i="35"/>
  <c r="K13" i="35"/>
  <c r="K14" i="35"/>
  <c r="K15" i="35"/>
  <c r="K18" i="35"/>
  <c r="K21" i="35"/>
  <c r="K24" i="35"/>
  <c r="K28" i="35"/>
  <c r="K38" i="35"/>
  <c r="K44" i="35"/>
  <c r="K49" i="35"/>
  <c r="K55" i="35"/>
  <c r="K34" i="36"/>
  <c r="K43" i="36"/>
  <c r="K51" i="36"/>
  <c r="K58" i="36"/>
  <c r="K16" i="33"/>
  <c r="K29" i="33"/>
  <c r="K37" i="33"/>
  <c r="K48" i="33"/>
  <c r="K6" i="32"/>
  <c r="K22" i="32"/>
  <c r="K31" i="32"/>
  <c r="K55" i="32"/>
  <c r="K43" i="31"/>
  <c r="K60" i="31"/>
  <c r="K33" i="30"/>
  <c r="K53" i="30"/>
  <c r="K27" i="37"/>
  <c r="K41" i="37"/>
  <c r="K59" i="37"/>
  <c r="K30" i="36"/>
  <c r="K37" i="36"/>
  <c r="K42" i="36"/>
  <c r="K53" i="36"/>
  <c r="K13" i="33"/>
  <c r="K25" i="33"/>
  <c r="K34" i="33"/>
  <c r="K44" i="33"/>
  <c r="K53" i="33"/>
  <c r="K12" i="32"/>
  <c r="K25" i="32"/>
  <c r="K54" i="32"/>
  <c r="K41" i="31"/>
  <c r="K61" i="31"/>
  <c r="K37" i="30"/>
  <c r="K49" i="30"/>
  <c r="K10" i="37"/>
  <c r="K32" i="37"/>
  <c r="K44" i="37"/>
  <c r="K64" i="26"/>
  <c r="K3" i="36"/>
  <c r="K4" i="36"/>
  <c r="K5" i="36"/>
  <c r="K6" i="36"/>
  <c r="K7" i="36"/>
  <c r="K8" i="36"/>
  <c r="K9" i="36"/>
  <c r="K10" i="36"/>
  <c r="K11" i="36"/>
  <c r="K12" i="36"/>
  <c r="K13" i="36"/>
  <c r="K14" i="36"/>
  <c r="K15" i="36"/>
  <c r="K16" i="36"/>
  <c r="K17" i="36"/>
  <c r="K18" i="36"/>
  <c r="K19" i="36"/>
  <c r="K20" i="36"/>
  <c r="K21" i="36"/>
  <c r="K22" i="36"/>
  <c r="K23" i="36"/>
  <c r="K24" i="36"/>
  <c r="K25" i="36"/>
  <c r="K33" i="36"/>
  <c r="K38" i="36"/>
  <c r="K44" i="36"/>
  <c r="K50" i="36"/>
  <c r="K55" i="36"/>
  <c r="K21" i="33"/>
  <c r="K32" i="33"/>
  <c r="K41" i="33"/>
  <c r="K56" i="33"/>
  <c r="K5" i="32"/>
  <c r="K20" i="32"/>
  <c r="K47" i="32"/>
  <c r="K56" i="32"/>
  <c r="K39" i="31"/>
  <c r="K53" i="31"/>
  <c r="K40" i="30"/>
  <c r="K48" i="30"/>
  <c r="K24" i="37"/>
  <c r="K35" i="37"/>
  <c r="K8" i="33"/>
  <c r="K20" i="33"/>
  <c r="K31" i="33"/>
  <c r="K43" i="33"/>
  <c r="K52" i="33"/>
  <c r="K7" i="32"/>
  <c r="K19" i="32"/>
  <c r="K46" i="32"/>
  <c r="K58" i="32"/>
  <c r="K44" i="31"/>
  <c r="K56" i="31"/>
  <c r="K34" i="30"/>
  <c r="K57" i="30"/>
  <c r="K29" i="37"/>
  <c r="K46" i="37"/>
  <c r="K8" i="27"/>
  <c r="K3" i="33"/>
  <c r="K4" i="33"/>
  <c r="K5" i="33"/>
  <c r="K6" i="33"/>
  <c r="K9" i="33"/>
  <c r="K18" i="33"/>
  <c r="K22" i="33"/>
  <c r="K35" i="33"/>
  <c r="K42" i="33"/>
  <c r="K8" i="32"/>
  <c r="K18" i="32"/>
  <c r="K24" i="32"/>
  <c r="K49" i="32"/>
  <c r="K61" i="32"/>
  <c r="K40" i="31"/>
  <c r="K54" i="31"/>
  <c r="K32" i="30"/>
  <c r="K47" i="30"/>
  <c r="K63" i="30"/>
  <c r="K25" i="37"/>
  <c r="K39" i="37"/>
  <c r="K57" i="37"/>
  <c r="K65" i="26"/>
  <c r="K58" i="33"/>
  <c r="K59" i="33"/>
  <c r="K60" i="33"/>
  <c r="K61" i="33"/>
  <c r="K15" i="32"/>
  <c r="K29" i="32"/>
  <c r="K53" i="32"/>
  <c r="K42" i="31"/>
  <c r="K62" i="31"/>
  <c r="K43" i="30"/>
  <c r="K61" i="30"/>
  <c r="K8" i="37"/>
  <c r="K31" i="37"/>
  <c r="K42" i="37"/>
  <c r="K60" i="37"/>
  <c r="K3" i="32"/>
  <c r="K60" i="32"/>
  <c r="K51" i="31"/>
  <c r="K30" i="30"/>
  <c r="K56" i="30"/>
  <c r="K19" i="37"/>
  <c r="K50" i="37"/>
  <c r="K32" i="32"/>
  <c r="K33" i="32"/>
  <c r="K34" i="32"/>
  <c r="K35" i="32"/>
  <c r="K36" i="32"/>
  <c r="K37" i="32"/>
  <c r="K38" i="32"/>
  <c r="K39" i="32"/>
  <c r="K40" i="32"/>
  <c r="K41" i="32"/>
  <c r="K42" i="32"/>
  <c r="K43" i="32"/>
  <c r="K44" i="32"/>
  <c r="K45" i="32"/>
  <c r="K57" i="31"/>
  <c r="K12" i="37"/>
  <c r="K6" i="27"/>
  <c r="K3" i="31"/>
  <c r="K45" i="30"/>
  <c r="K21" i="37"/>
  <c r="K56" i="37"/>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47" i="31"/>
  <c r="K38" i="30"/>
  <c r="K62" i="30"/>
  <c r="K20" i="37"/>
  <c r="K38" i="37"/>
  <c r="K59" i="26"/>
  <c r="K41" i="30"/>
  <c r="K16" i="37"/>
  <c r="K54" i="37"/>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7" i="37"/>
  <c r="K40" i="37"/>
  <c r="K5" i="27"/>
  <c r="K23" i="37"/>
  <c r="K43" i="37"/>
  <c r="K63" i="26"/>
  <c r="K3" i="37"/>
  <c r="K4" i="37"/>
  <c r="K5" i="37"/>
  <c r="K6" i="37"/>
  <c r="K14" i="37"/>
  <c r="K49" i="37"/>
  <c r="K4" i="27"/>
  <c r="K61" i="37"/>
  <c r="K62" i="37"/>
  <c r="K63" i="37"/>
  <c r="K64" i="37"/>
  <c r="K3" i="28"/>
  <c r="K6" i="28"/>
  <c r="K8" i="28"/>
  <c r="K9" i="28"/>
  <c r="K11" i="28"/>
  <c r="K14" i="28"/>
  <c r="K16" i="28"/>
  <c r="K18" i="28"/>
  <c r="K20" i="28"/>
  <c r="K22" i="28"/>
  <c r="K24" i="28"/>
  <c r="K26" i="28"/>
  <c r="K28" i="28"/>
  <c r="K30" i="28"/>
  <c r="K32" i="28"/>
  <c r="K33" i="28"/>
  <c r="K61" i="26"/>
  <c r="K4" i="28"/>
  <c r="K5" i="28"/>
  <c r="K7" i="28"/>
  <c r="K10" i="28"/>
  <c r="K12" i="28"/>
  <c r="K13" i="28"/>
  <c r="K15" i="28"/>
  <c r="K17" i="28"/>
  <c r="K19" i="28"/>
  <c r="K21" i="28"/>
  <c r="K23" i="28"/>
  <c r="K25" i="28"/>
  <c r="K27" i="28"/>
  <c r="K29" i="28"/>
  <c r="K31" i="28"/>
  <c r="K34" i="28"/>
  <c r="K62" i="26"/>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7"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44" i="30"/>
  <c r="K59" i="30"/>
  <c r="K30" i="37"/>
  <c r="K45" i="37"/>
  <c r="K31" i="30"/>
  <c r="K51" i="30"/>
  <c r="K15" i="37"/>
  <c r="K37" i="37"/>
  <c r="K23" i="35"/>
  <c r="K39" i="35"/>
  <c r="K57" i="35"/>
  <c r="K12" i="33"/>
  <c r="K54" i="33"/>
  <c r="K59" i="31"/>
  <c r="K16" i="35"/>
  <c r="K27" i="35"/>
  <c r="K36" i="35"/>
  <c r="K48" i="35"/>
  <c r="K35" i="36"/>
  <c r="K47" i="36"/>
  <c r="K60" i="36"/>
  <c r="K14" i="33"/>
  <c r="K30" i="33"/>
  <c r="K47" i="33"/>
  <c r="K16" i="32"/>
  <c r="K50" i="32"/>
  <c r="K46" i="31"/>
  <c r="K39" i="30"/>
  <c r="K9" i="37"/>
  <c r="K33" i="37"/>
  <c r="K17" i="35"/>
  <c r="K25" i="35"/>
  <c r="K32" i="35"/>
  <c r="K40" i="35"/>
  <c r="K53" i="35"/>
  <c r="K29" i="36"/>
  <c r="K40" i="36"/>
  <c r="K59" i="36"/>
  <c r="K24" i="33"/>
  <c r="K46" i="33"/>
  <c r="K14" i="32"/>
  <c r="K26" i="32"/>
  <c r="K57" i="32"/>
  <c r="K45" i="31"/>
  <c r="K42" i="30"/>
  <c r="K13" i="37"/>
  <c r="K52" i="37"/>
  <c r="K60" i="26"/>
  <c r="K19" i="35"/>
  <c r="K33" i="35"/>
  <c r="K42" i="35"/>
  <c r="K56" i="35"/>
  <c r="K27" i="36"/>
  <c r="K49" i="36"/>
  <c r="K10" i="33"/>
  <c r="K33" i="33"/>
  <c r="K50" i="33"/>
  <c r="K9" i="32"/>
  <c r="K27" i="32"/>
  <c r="K52" i="31"/>
  <c r="K58" i="30"/>
  <c r="K18" i="37"/>
  <c r="K53" i="37"/>
  <c r="K3" i="27"/>
  <c r="K20" i="35"/>
  <c r="K31" i="35"/>
  <c r="K41" i="35"/>
  <c r="K54" i="35"/>
  <c r="K36" i="36"/>
  <c r="K46" i="36"/>
  <c r="K56" i="36"/>
  <c r="K7" i="33"/>
  <c r="K19" i="33"/>
  <c r="K38" i="33"/>
  <c r="K55" i="33"/>
  <c r="K10" i="32"/>
  <c r="K48" i="32"/>
  <c r="K50" i="31"/>
  <c r="K50" i="30"/>
  <c r="K11" i="37"/>
  <c r="K48" i="37"/>
  <c r="K22" i="35"/>
  <c r="K37" i="35"/>
  <c r="K50" i="35"/>
  <c r="K60" i="35"/>
  <c r="K26" i="36"/>
  <c r="K52" i="36"/>
  <c r="K23" i="33"/>
  <c r="K40" i="33"/>
  <c r="K4" i="32"/>
  <c r="K23" i="32"/>
  <c r="K62" i="32"/>
  <c r="K49" i="31"/>
  <c r="K52" i="30"/>
  <c r="K22" i="37"/>
  <c r="K55" i="37"/>
  <c r="K26" i="35"/>
  <c r="K46" i="35"/>
  <c r="K58" i="35"/>
  <c r="K28" i="36"/>
  <c r="K45" i="36"/>
  <c r="K57" i="36"/>
  <c r="K11" i="33"/>
  <c r="K26" i="33"/>
  <c r="K49" i="33"/>
  <c r="K17" i="32"/>
  <c r="K51" i="32"/>
  <c r="K48" i="31"/>
  <c r="K55" i="30"/>
  <c r="K17" i="37"/>
  <c r="K47" i="37"/>
  <c r="K29" i="35"/>
  <c r="K34" i="35"/>
  <c r="K45" i="35"/>
  <c r="K51" i="35"/>
  <c r="K59" i="35"/>
  <c r="K32" i="36"/>
  <c r="K39" i="36"/>
  <c r="K48" i="36"/>
  <c r="K61" i="36"/>
  <c r="K17" i="33"/>
  <c r="K28" i="33"/>
  <c r="K36" i="33"/>
  <c r="K45" i="33"/>
  <c r="K57" i="33"/>
  <c r="K13" i="32"/>
  <c r="K28" i="32"/>
  <c r="K59" i="32"/>
  <c r="K4" i="31"/>
  <c r="K55" i="31"/>
  <c r="K35" i="30"/>
  <c r="K46" i="30"/>
  <c r="K60" i="30"/>
  <c r="K26" i="37"/>
  <c r="K34" i="37"/>
  <c r="K58" i="37"/>
  <c r="K30" i="35"/>
  <c r="K35" i="35"/>
  <c r="K43" i="35"/>
  <c r="K47" i="35"/>
  <c r="K52" i="35"/>
  <c r="K31" i="36"/>
  <c r="K41" i="36"/>
  <c r="K54" i="36"/>
  <c r="K15" i="33"/>
  <c r="K27" i="33"/>
  <c r="K39" i="33"/>
  <c r="K51" i="33"/>
  <c r="K11" i="32"/>
  <c r="K21" i="32"/>
  <c r="K30" i="32"/>
  <c r="K52" i="32"/>
  <c r="K5" i="31"/>
  <c r="K58" i="31"/>
  <c r="K36" i="30"/>
  <c r="K54" i="30"/>
  <c r="K28" i="37"/>
  <c r="K36" i="37"/>
  <c r="K51" i="37"/>
  <c r="K54" i="25"/>
  <c r="K63" i="25"/>
  <c r="K51" i="25"/>
  <c r="K61" i="25"/>
  <c r="K57" i="25"/>
  <c r="K53" i="25"/>
  <c r="K44" i="25"/>
  <c r="K50" i="25"/>
  <c r="K58" i="25"/>
  <c r="K52" i="25"/>
  <c r="K46" i="25"/>
  <c r="K59" i="25"/>
  <c r="K45" i="25"/>
  <c r="K43" i="25"/>
  <c r="K48" i="25"/>
  <c r="K60"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55" i="25"/>
  <c r="K56" i="25"/>
  <c r="K62" i="25"/>
  <c r="K47" i="25"/>
  <c r="K49" i="25"/>
  <c r="K64"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45" i="25"/>
  <c r="L19" i="25"/>
  <c r="L47" i="25"/>
  <c r="L22" i="25"/>
  <c r="L23" i="25"/>
  <c r="L31" i="25"/>
  <c r="L50" i="25"/>
  <c r="L43" i="25"/>
  <c r="L44" i="25"/>
  <c r="L15" i="25"/>
  <c r="L5" i="25"/>
  <c r="L35" i="25"/>
  <c r="L48" i="25"/>
  <c r="L42" i="25"/>
  <c r="L12" i="25"/>
  <c r="L4" i="25"/>
  <c r="L59" i="25"/>
  <c r="L46"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38" i="25"/>
  <c r="L9" i="25"/>
  <c r="L12" i="3"/>
  <c r="L4" i="3"/>
  <c r="L17" i="3"/>
  <c r="L48" i="3"/>
  <c r="L40" i="3"/>
  <c r="L8" i="3"/>
  <c r="L55" i="3"/>
  <c r="L47" i="3"/>
  <c r="L39" i="3"/>
  <c r="L7" i="3"/>
  <c r="L54" i="3"/>
  <c r="L22" i="3"/>
  <c r="L51" i="3"/>
  <c r="L43" i="3"/>
  <c r="L35" i="3"/>
  <c r="L27" i="3"/>
  <c r="L19" i="3"/>
  <c r="L11" i="3"/>
  <c r="L3" i="3"/>
  <c r="L63" i="25"/>
  <c r="L58" i="25"/>
  <c r="L25" i="25"/>
  <c r="L64" i="25"/>
  <c r="L39" i="25"/>
  <c r="L28" i="25"/>
  <c r="L55" i="25"/>
  <c r="L8" i="25"/>
  <c r="L30" i="25"/>
  <c r="L32" i="25"/>
  <c r="L33" i="25"/>
  <c r="L20" i="25"/>
  <c r="L37" i="25"/>
  <c r="L16" i="25"/>
  <c r="L62" i="25"/>
  <c r="L21" i="25"/>
  <c r="L14" i="25"/>
  <c r="L51" i="25"/>
  <c r="L10" i="25"/>
  <c r="L17" i="25"/>
  <c r="L7" i="25"/>
  <c r="L53" i="25"/>
  <c r="L40" i="25"/>
  <c r="L57" i="25"/>
  <c r="L54" i="25"/>
  <c r="L13" i="25"/>
  <c r="L61" i="25"/>
  <c r="L56" i="25"/>
  <c r="L52" i="25"/>
  <c r="L29" i="25"/>
  <c r="L60" i="25"/>
  <c r="L27" i="25"/>
  <c r="L26" i="25"/>
  <c r="L36" i="25"/>
  <c r="L18" i="25"/>
  <c r="L11" i="25"/>
  <c r="L41" i="25"/>
  <c r="L34" i="25"/>
  <c r="L24" i="25"/>
  <c r="L3" i="25"/>
  <c r="L67" i="26"/>
  <c r="L66" i="26"/>
  <c r="L68" i="26"/>
  <c r="L66" i="27"/>
  <c r="L71" i="26"/>
  <c r="L72" i="26"/>
  <c r="L76" i="26"/>
  <c r="L77" i="26"/>
  <c r="L82" i="26"/>
  <c r="L25" i="26"/>
  <c r="L54" i="26"/>
  <c r="L23" i="26"/>
  <c r="L19" i="26"/>
  <c r="L31" i="26"/>
  <c r="L62" i="26"/>
  <c r="L29" i="26"/>
  <c r="L26" i="26"/>
  <c r="L24" i="26"/>
  <c r="L69" i="26"/>
  <c r="L75" i="26"/>
  <c r="L78" i="26"/>
  <c r="L81" i="26"/>
  <c r="L79" i="26"/>
  <c r="L74" i="26"/>
  <c r="L73" i="26"/>
  <c r="L70" i="26"/>
  <c r="L80" i="26"/>
  <c r="L73" i="3"/>
  <c r="L57" i="3"/>
  <c r="L82" i="28"/>
  <c r="L81" i="28"/>
  <c r="L22" i="26"/>
  <c r="L39" i="26"/>
  <c r="L68" i="27"/>
  <c r="L67" i="27"/>
  <c r="L69" i="28"/>
  <c r="L68" i="28"/>
  <c r="L80" i="28"/>
  <c r="L72" i="27"/>
  <c r="L69" i="27"/>
  <c r="L77" i="27"/>
  <c r="L74" i="27"/>
  <c r="L71" i="27"/>
  <c r="L70" i="27"/>
  <c r="L73" i="27"/>
  <c r="L76" i="27"/>
  <c r="L39" i="37"/>
  <c r="L14" i="37"/>
  <c r="L16" i="37"/>
  <c r="L53" i="37"/>
  <c r="L41" i="37"/>
  <c r="L49" i="26"/>
  <c r="L9" i="26"/>
  <c r="L57" i="26"/>
  <c r="L55" i="26"/>
  <c r="L45" i="26"/>
  <c r="L8" i="26"/>
  <c r="L27" i="26"/>
  <c r="L4" i="26"/>
  <c r="L17" i="26"/>
  <c r="L11" i="26"/>
  <c r="L28" i="26"/>
  <c r="L21" i="26"/>
  <c r="L50" i="26"/>
  <c r="L59" i="26"/>
  <c r="L53" i="26"/>
  <c r="L40" i="26"/>
  <c r="L65" i="26"/>
  <c r="L58" i="26"/>
  <c r="L13" i="26"/>
  <c r="L14" i="26"/>
  <c r="L35" i="26"/>
  <c r="L20" i="26"/>
  <c r="L30" i="26"/>
  <c r="L43" i="26"/>
  <c r="L44" i="26"/>
  <c r="L56" i="26"/>
  <c r="L5" i="26"/>
  <c r="L42" i="26"/>
  <c r="L63" i="26"/>
  <c r="L6" i="26"/>
  <c r="L41" i="26"/>
  <c r="L47" i="26"/>
  <c r="L38" i="26"/>
  <c r="L37" i="26"/>
  <c r="L3" i="26"/>
  <c r="L32" i="26"/>
  <c r="L16" i="26"/>
  <c r="L36" i="26"/>
  <c r="L15" i="26"/>
  <c r="L10" i="26"/>
  <c r="L48" i="26"/>
  <c r="L64" i="26"/>
  <c r="L18" i="26"/>
  <c r="L46" i="26"/>
  <c r="L33" i="26"/>
  <c r="L52" i="26"/>
  <c r="L7" i="26"/>
  <c r="L61" i="26"/>
  <c r="L12" i="26"/>
  <c r="L51" i="26"/>
  <c r="L60" i="26"/>
  <c r="L34" i="26"/>
  <c r="L21" i="37"/>
  <c r="L82" i="27"/>
  <c r="L80" i="27"/>
  <c r="L78" i="30"/>
  <c r="L80" i="30"/>
  <c r="L81" i="30"/>
  <c r="L82" i="30"/>
  <c r="L79" i="30"/>
  <c r="L12" i="27"/>
  <c r="L81" i="27"/>
  <c r="L78" i="27"/>
  <c r="L79" i="27"/>
  <c r="L34" i="27"/>
  <c r="L44" i="37"/>
  <c r="L34" i="37"/>
  <c r="L64" i="37"/>
  <c r="L38" i="37"/>
  <c r="L13" i="37"/>
  <c r="L9" i="37"/>
  <c r="L47" i="37"/>
  <c r="L52" i="37"/>
  <c r="L37" i="37"/>
  <c r="L76" i="30"/>
  <c r="L65" i="30"/>
  <c r="L66" i="30"/>
  <c r="L73" i="28"/>
  <c r="L78" i="28"/>
  <c r="L74" i="28"/>
  <c r="L72" i="28"/>
  <c r="L79" i="28"/>
  <c r="L71" i="28"/>
  <c r="L77" i="28"/>
  <c r="L70" i="28"/>
  <c r="L76" i="28"/>
  <c r="L75" i="28"/>
  <c r="L67" i="28"/>
  <c r="L75" i="27"/>
  <c r="L7" i="37"/>
  <c r="L45" i="37"/>
  <c r="L46" i="37"/>
  <c r="L10" i="37"/>
  <c r="L54" i="37"/>
  <c r="L63" i="37"/>
  <c r="L36" i="37"/>
  <c r="L40" i="37"/>
  <c r="L30" i="37"/>
  <c r="L58" i="37"/>
  <c r="L59" i="37"/>
  <c r="L55" i="37"/>
  <c r="L64" i="30"/>
  <c r="L67" i="30"/>
  <c r="L70" i="30"/>
  <c r="L73" i="30"/>
  <c r="L68" i="30"/>
  <c r="L69" i="30"/>
  <c r="L72" i="30"/>
  <c r="L77" i="30"/>
  <c r="L75" i="30"/>
  <c r="L74" i="30"/>
  <c r="L71" i="30"/>
  <c r="L65" i="37"/>
  <c r="L66" i="37"/>
  <c r="L79" i="37"/>
  <c r="L68" i="37"/>
  <c r="L78" i="37"/>
  <c r="L67" i="37"/>
  <c r="L80" i="37"/>
  <c r="L70" i="37"/>
  <c r="L69" i="37"/>
  <c r="L9" i="28"/>
  <c r="L49" i="37"/>
  <c r="L50" i="37"/>
  <c r="L27" i="37"/>
  <c r="L24" i="37"/>
  <c r="L56" i="37"/>
  <c r="L60" i="37"/>
  <c r="L62" i="37"/>
  <c r="L3" i="37"/>
  <c r="L4" i="37"/>
  <c r="L5" i="37"/>
  <c r="L6" i="37"/>
  <c r="L15" i="37"/>
  <c r="L22" i="37"/>
  <c r="L23" i="37"/>
  <c r="L28" i="37"/>
  <c r="L25" i="37"/>
  <c r="L32" i="37"/>
  <c r="L29" i="37"/>
  <c r="L19" i="37"/>
  <c r="L33" i="37"/>
  <c r="L35" i="37"/>
  <c r="L8" i="37"/>
  <c r="L17" i="37"/>
  <c r="L42" i="37"/>
  <c r="L43" i="37"/>
  <c r="L48" i="37"/>
  <c r="L51" i="37"/>
  <c r="L26" i="37"/>
  <c r="L11" i="37"/>
  <c r="L31" i="37"/>
  <c r="L57" i="37"/>
  <c r="L61" i="37"/>
  <c r="L18" i="37"/>
  <c r="L12" i="37"/>
  <c r="L20" i="37"/>
  <c r="L76" i="37"/>
  <c r="L77" i="37"/>
  <c r="L82" i="37"/>
  <c r="L71" i="37"/>
  <c r="L72" i="37"/>
  <c r="L73" i="37"/>
  <c r="L74" i="37"/>
  <c r="L75" i="37"/>
  <c r="L81" i="37"/>
  <c r="L54" i="28"/>
  <c r="L38" i="28"/>
  <c r="L55" i="28"/>
  <c r="L34" i="28"/>
  <c r="L45" i="28"/>
  <c r="L23" i="28"/>
  <c r="L19" i="28"/>
  <c r="L32" i="28"/>
  <c r="L30" i="28"/>
  <c r="L16" i="28"/>
  <c r="L49" i="28"/>
  <c r="L51" i="28"/>
  <c r="L4" i="28"/>
  <c r="L20" i="28"/>
  <c r="L35" i="28"/>
  <c r="L41" i="28"/>
  <c r="L21" i="28"/>
  <c r="L64" i="28"/>
  <c r="L37" i="28"/>
  <c r="L10" i="28"/>
  <c r="L22" i="28"/>
  <c r="L24" i="28"/>
  <c r="L7" i="28"/>
  <c r="L46" i="28"/>
  <c r="L58" i="28"/>
  <c r="L62" i="28"/>
  <c r="L12" i="28"/>
  <c r="L39" i="28"/>
  <c r="L29" i="28"/>
  <c r="L42" i="28"/>
  <c r="L63" i="28"/>
  <c r="L26" i="28"/>
  <c r="L33" i="28"/>
  <c r="L60" i="28"/>
  <c r="L13" i="28"/>
  <c r="L66" i="28"/>
  <c r="L43" i="28"/>
  <c r="L5" i="28"/>
  <c r="L56" i="28"/>
  <c r="L17" i="28"/>
  <c r="L59" i="28"/>
  <c r="L31" i="28"/>
  <c r="L27" i="28"/>
  <c r="L28" i="28"/>
  <c r="L48" i="28"/>
  <c r="L40" i="28"/>
  <c r="L14" i="28"/>
  <c r="L50" i="28"/>
  <c r="L52" i="28"/>
  <c r="L11" i="28"/>
  <c r="L57" i="28"/>
  <c r="L36" i="28"/>
  <c r="L3" i="28"/>
  <c r="L53" i="28"/>
  <c r="L18" i="28"/>
  <c r="L65" i="28"/>
  <c r="L44" i="28"/>
  <c r="L15" i="28"/>
  <c r="L61" i="28"/>
  <c r="L6" i="28"/>
  <c r="L25" i="28"/>
  <c r="L8" i="28"/>
  <c r="L47" i="28"/>
  <c r="L18" i="27"/>
  <c r="L20" i="27"/>
  <c r="L63" i="27"/>
  <c r="L22" i="27"/>
  <c r="L9" i="27"/>
  <c r="L57" i="27"/>
  <c r="L14" i="27"/>
  <c r="L30" i="27"/>
  <c r="L60" i="27"/>
  <c r="L43" i="27"/>
  <c r="L16" i="27"/>
  <c r="L51" i="27"/>
  <c r="L10" i="27"/>
  <c r="L11" i="27"/>
  <c r="L7" i="27"/>
  <c r="L59" i="27"/>
  <c r="L42" i="27"/>
  <c r="L26" i="27"/>
  <c r="L27" i="27"/>
  <c r="L56" i="27"/>
  <c r="L47" i="27"/>
  <c r="L40" i="27"/>
  <c r="L25" i="27"/>
  <c r="L49" i="27"/>
  <c r="L13" i="27"/>
  <c r="L23" i="27"/>
  <c r="L8" i="27"/>
  <c r="L50" i="27"/>
  <c r="L31" i="27"/>
  <c r="L6" i="27"/>
  <c r="L15" i="27"/>
  <c r="L48" i="27"/>
  <c r="L64" i="27"/>
  <c r="L46" i="27"/>
  <c r="L24" i="27"/>
  <c r="L53" i="27"/>
  <c r="L54" i="27"/>
  <c r="L61" i="27"/>
  <c r="L55" i="27"/>
  <c r="L19" i="27"/>
  <c r="L32" i="27"/>
  <c r="L37" i="27"/>
  <c r="L38" i="27"/>
  <c r="L44" i="27"/>
  <c r="L58" i="27"/>
  <c r="L52" i="27"/>
  <c r="L5" i="27"/>
  <c r="L28" i="27"/>
  <c r="L62" i="27"/>
  <c r="L45" i="27"/>
  <c r="L39" i="27"/>
  <c r="L33" i="27"/>
  <c r="L65" i="27"/>
  <c r="L17" i="27"/>
  <c r="L21" i="27"/>
  <c r="L29" i="27"/>
  <c r="L36" i="27"/>
  <c r="L4" i="27"/>
  <c r="L35" i="27"/>
  <c r="L41" i="27"/>
  <c r="L3" i="27"/>
  <c r="L28" i="30"/>
  <c r="L38" i="30"/>
  <c r="L41" i="30"/>
  <c r="L43" i="30"/>
  <c r="L17" i="30"/>
  <c r="L54" i="30"/>
  <c r="L51" i="30"/>
  <c r="L35" i="30"/>
  <c r="L16" i="30"/>
  <c r="L11" i="30"/>
  <c r="L42" i="30"/>
  <c r="L22" i="30"/>
  <c r="L44" i="30"/>
  <c r="L62" i="30"/>
  <c r="L7" i="30"/>
  <c r="L3" i="30"/>
  <c r="L52" i="30"/>
  <c r="L20" i="30"/>
  <c r="L14" i="30"/>
  <c r="L46" i="30"/>
  <c r="L19" i="30"/>
  <c r="L32" i="30"/>
  <c r="L21" i="30"/>
  <c r="L45" i="30"/>
  <c r="L13" i="30"/>
  <c r="L15" i="30"/>
  <c r="L6" i="30"/>
  <c r="L60" i="30"/>
  <c r="L36" i="30"/>
  <c r="L27" i="30"/>
  <c r="L10" i="30"/>
  <c r="L26" i="30"/>
  <c r="L4" i="30"/>
  <c r="L12" i="30"/>
  <c r="L33" i="30"/>
  <c r="L63" i="30"/>
  <c r="L18" i="30"/>
  <c r="L47" i="30"/>
  <c r="L9" i="30"/>
  <c r="L49" i="30"/>
  <c r="L40" i="30"/>
  <c r="L30" i="30"/>
  <c r="L25" i="30"/>
  <c r="L29" i="30"/>
  <c r="L8" i="30"/>
  <c r="L39" i="30"/>
  <c r="L56" i="30"/>
  <c r="L50" i="30"/>
  <c r="L31" i="30"/>
  <c r="L24" i="30"/>
  <c r="L57" i="30"/>
  <c r="L59" i="30"/>
  <c r="L5" i="30"/>
  <c r="L37" i="30"/>
  <c r="L48" i="30"/>
  <c r="L53" i="30"/>
  <c r="L23" i="30"/>
  <c r="L61" i="30"/>
  <c r="L55" i="30"/>
  <c r="L34" i="30"/>
  <c r="L58" i="30"/>
  <c r="L49"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4"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6" i="35" l="1"/>
  <c r="L31" i="35"/>
  <c r="L44" i="35"/>
  <c r="L51" i="35"/>
  <c r="L20" i="35"/>
  <c r="L45" i="35"/>
  <c r="L57" i="35"/>
  <c r="L27" i="35"/>
  <c r="L29" i="35"/>
  <c r="L59" i="35"/>
  <c r="L24" i="35"/>
  <c r="L40" i="35"/>
  <c r="L19" i="35"/>
  <c r="L26" i="35"/>
  <c r="L30" i="35"/>
  <c r="L58" i="35"/>
  <c r="L15" i="35"/>
  <c r="L23" i="35"/>
  <c r="L21" i="35"/>
  <c r="L50" i="35"/>
  <c r="L34" i="35"/>
  <c r="L36" i="35"/>
  <c r="L61" i="35"/>
  <c r="L12" i="35"/>
  <c r="L48" i="35"/>
  <c r="L32" i="35"/>
  <c r="L53" i="35"/>
  <c r="L52" i="35"/>
  <c r="L22" i="35"/>
  <c r="L9" i="35"/>
  <c r="L33" i="35"/>
  <c r="L41" i="35"/>
  <c r="L18" i="35"/>
  <c r="L56" i="35"/>
  <c r="L46" i="35"/>
  <c r="L37" i="35"/>
  <c r="L13" i="35"/>
  <c r="L47" i="35"/>
  <c r="L6" i="35"/>
  <c r="L35" i="35"/>
  <c r="L55" i="35"/>
  <c r="L7" i="35"/>
  <c r="L43" i="35"/>
  <c r="L28" i="35"/>
  <c r="L11" i="35"/>
  <c r="L25" i="35"/>
  <c r="L14" i="35"/>
  <c r="L38" i="35"/>
  <c r="L42" i="35"/>
  <c r="L17" i="35"/>
  <c r="L10" i="35"/>
  <c r="L8" i="35"/>
  <c r="L39" i="35"/>
  <c r="L5" i="35"/>
  <c r="L4" i="35"/>
  <c r="L3" i="35"/>
  <c r="L61" i="36"/>
  <c r="L52" i="36"/>
  <c r="L9" i="36"/>
  <c r="L33" i="36"/>
  <c r="L41" i="36"/>
  <c r="L24" i="36"/>
  <c r="L57" i="36"/>
  <c r="L56" i="36"/>
  <c r="L49" i="36"/>
  <c r="L36" i="36"/>
  <c r="L50" i="36"/>
  <c r="L46" i="36"/>
  <c r="L37" i="36"/>
  <c r="L13" i="36"/>
  <c r="L47" i="36"/>
  <c r="L6" i="36"/>
  <c r="L35" i="36"/>
  <c r="L55" i="36"/>
  <c r="L28" i="36"/>
  <c r="L11" i="36"/>
  <c r="L25" i="36"/>
  <c r="L14" i="36"/>
  <c r="L48" i="36"/>
  <c r="L16" i="36"/>
  <c r="L42" i="36"/>
  <c r="L17" i="36"/>
  <c r="L10" i="36"/>
  <c r="L8" i="36"/>
  <c r="L39" i="36"/>
  <c r="L58" i="36"/>
  <c r="L40" i="36"/>
  <c r="L54" i="36"/>
  <c r="L19" i="36"/>
  <c r="L31" i="36"/>
  <c r="L26" i="36"/>
  <c r="L44" i="36"/>
  <c r="L30" i="36"/>
  <c r="L4" i="36"/>
  <c r="L12" i="36"/>
  <c r="L59" i="36"/>
  <c r="L15" i="36"/>
  <c r="L20" i="36"/>
  <c r="L23" i="36"/>
  <c r="L45" i="36"/>
  <c r="L21" i="36"/>
  <c r="L3" i="36"/>
  <c r="L58" i="31"/>
  <c r="L35" i="31"/>
  <c r="L50" i="31"/>
  <c r="L37" i="31"/>
  <c r="L58" i="32"/>
  <c r="L35" i="32"/>
  <c r="L50" i="32"/>
  <c r="L37" i="32"/>
  <c r="L16" i="31"/>
  <c r="L38" i="31"/>
  <c r="L48" i="31"/>
  <c r="L36" i="31"/>
  <c r="L16" i="32"/>
  <c r="L38" i="32"/>
  <c r="L48" i="32"/>
  <c r="L36" i="32"/>
  <c r="L51" i="31"/>
  <c r="L44" i="31"/>
  <c r="L31" i="31"/>
  <c r="L14" i="31"/>
  <c r="L51" i="32"/>
  <c r="L44" i="32"/>
  <c r="L31" i="32"/>
  <c r="L14" i="32"/>
  <c r="L56" i="31"/>
  <c r="L12" i="31"/>
  <c r="L49" i="31"/>
  <c r="L15" i="31"/>
  <c r="L56" i="32"/>
  <c r="L12" i="32"/>
  <c r="L49" i="32"/>
  <c r="L15" i="32"/>
  <c r="L59" i="31"/>
  <c r="L28" i="31"/>
  <c r="L8" i="31"/>
  <c r="L59" i="32"/>
  <c r="L28" i="32"/>
  <c r="L8" i="32"/>
  <c r="L47" i="31"/>
  <c r="L13" i="31"/>
  <c r="L20" i="31"/>
  <c r="L47" i="32"/>
  <c r="L13" i="32"/>
  <c r="L20" i="32"/>
  <c r="L23" i="31"/>
  <c r="L29" i="31"/>
  <c r="L41" i="31"/>
  <c r="L23" i="32"/>
  <c r="L29" i="32"/>
  <c r="L41" i="32"/>
  <c r="L60" i="31"/>
  <c r="L25" i="31"/>
  <c r="L6" i="31"/>
  <c r="L60" i="32"/>
  <c r="L25" i="32"/>
  <c r="L6" i="32"/>
  <c r="L52" i="31"/>
  <c r="L61" i="31"/>
  <c r="L43" i="31"/>
  <c r="L19" i="31"/>
  <c r="L10" i="31"/>
  <c r="L27" i="31"/>
  <c r="L7" i="31"/>
  <c r="L11" i="31"/>
  <c r="L52" i="32"/>
  <c r="L61" i="32"/>
  <c r="L43" i="32"/>
  <c r="L19" i="32"/>
  <c r="L10" i="32"/>
  <c r="L27" i="32"/>
  <c r="L7" i="32"/>
  <c r="L11" i="32"/>
  <c r="L62" i="31"/>
  <c r="L53" i="31"/>
  <c r="L30" i="31"/>
  <c r="L32" i="31"/>
  <c r="L34" i="31"/>
  <c r="L45" i="31"/>
  <c r="L18" i="31"/>
  <c r="L5" i="31"/>
  <c r="L62" i="32"/>
  <c r="L53" i="32"/>
  <c r="L30" i="32"/>
  <c r="L32" i="32"/>
  <c r="L34" i="32"/>
  <c r="L45" i="32"/>
  <c r="L18" i="32"/>
  <c r="L5" i="32"/>
  <c r="L55" i="31"/>
  <c r="L54" i="31"/>
  <c r="L26" i="31"/>
  <c r="L22" i="31"/>
  <c r="L24" i="31"/>
  <c r="L46" i="31"/>
  <c r="L17" i="31"/>
  <c r="L4" i="31"/>
  <c r="L55" i="32"/>
  <c r="L54" i="32"/>
  <c r="L26" i="32"/>
  <c r="L22" i="32"/>
  <c r="L24" i="32"/>
  <c r="L46" i="32"/>
  <c r="L17" i="32"/>
  <c r="L4" i="32"/>
  <c r="L39" i="31"/>
  <c r="L57" i="31"/>
  <c r="L33" i="31"/>
  <c r="L9" i="31"/>
  <c r="L21" i="31"/>
  <c r="L42" i="31"/>
  <c r="L40" i="31"/>
  <c r="L3" i="31"/>
  <c r="L39" i="32"/>
  <c r="L57" i="32"/>
  <c r="L33" i="32"/>
  <c r="L9" i="32"/>
  <c r="L21" i="32"/>
  <c r="L42" i="32"/>
  <c r="L40" i="32"/>
  <c r="L3" i="32"/>
  <c r="L56" i="33"/>
  <c r="L9" i="33"/>
  <c r="L41" i="33"/>
  <c r="L38" i="36"/>
  <c r="L46" i="33"/>
  <c r="L13" i="33"/>
  <c r="L6" i="33"/>
  <c r="L59" i="33"/>
  <c r="L24" i="33"/>
  <c r="L40" i="33"/>
  <c r="L51" i="33"/>
  <c r="L42" i="33"/>
  <c r="L10" i="33"/>
  <c r="L39" i="33"/>
  <c r="L16" i="33"/>
  <c r="L37" i="33"/>
  <c r="L47" i="33"/>
  <c r="L35" i="33"/>
  <c r="L53" i="36"/>
  <c r="L55" i="33"/>
  <c r="L12" i="33"/>
  <c r="L48" i="33"/>
  <c r="L32" i="33"/>
  <c r="L22" i="36"/>
  <c r="L18" i="36"/>
  <c r="L38" i="33"/>
  <c r="L22" i="33"/>
  <c r="L33" i="33"/>
  <c r="L18" i="33"/>
  <c r="L60" i="33"/>
  <c r="L17" i="33"/>
  <c r="L8" i="33"/>
  <c r="L5" i="33"/>
  <c r="L57" i="33"/>
  <c r="L58" i="33"/>
  <c r="L34" i="33"/>
  <c r="L27" i="33"/>
  <c r="L49" i="33"/>
  <c r="L29" i="33"/>
  <c r="L36" i="33"/>
  <c r="L34" i="36"/>
  <c r="L50" i="33"/>
  <c r="L7" i="33"/>
  <c r="L43" i="33"/>
  <c r="L28" i="33"/>
  <c r="L11" i="33"/>
  <c r="L25" i="33"/>
  <c r="L14" i="33"/>
  <c r="L7" i="36"/>
  <c r="L43" i="36"/>
  <c r="L61" i="33"/>
  <c r="L52" i="33"/>
  <c r="L19" i="33"/>
  <c r="L31" i="33"/>
  <c r="L26" i="33"/>
  <c r="L44" i="33"/>
  <c r="L30" i="33"/>
  <c r="L4" i="33"/>
  <c r="L51" i="36"/>
  <c r="L54" i="33"/>
  <c r="L53" i="33"/>
  <c r="L15" i="33"/>
  <c r="L20" i="33"/>
  <c r="L23" i="33"/>
  <c r="L45" i="33"/>
  <c r="L21"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27" i="36"/>
  <c r="L29" i="36"/>
  <c r="L32"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<sst xmlns="http://schemas.openxmlformats.org/spreadsheetml/2006/main" count="4581" uniqueCount="417">
  <si>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</si>
  <si>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</si>
  <si>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</si>
  <si>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</si>
  <si>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</si>
  <si>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</si>
  <si>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</si>
  <si>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</si>
  <si>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</si>
  <si>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</si>
  <si>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</si>
  <si>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</si>
  <si>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</si>
  <si>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</si>
  <si>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</si>
  <si>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</si>
  <si>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</si>
  <si>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</si>
  <si>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</si>
  <si>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</si>
  <si>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</si>
  <si>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</si>
  <si>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</si>
  <si>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</si>
  <si>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</si>
  <si>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</si>
  <si>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</si>
  <si>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</si>
  <si>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</si>
  <si>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</si>
  <si>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</si>
  <si>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</si>
  <si>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</si>
  <si>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</si>
  <si>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</si>
  <si>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</si>
  <si>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</si>
  <si>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</si>
  <si>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</si>
  <si>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</si>
  <si>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</si>
  <si>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</si>
  <si>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</si>
  <si>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</si>
  <si>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</si>
  <si>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</si>
  <si>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</si>
  <si>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</si>
  <si>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</si>
  <si>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</si>
  <si>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</si>
  <si>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</si>
  <si>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</si>
  <si>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</si>
  <si>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</si>
  <si>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</si>
  <si>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</si>
  <si>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</si>
  <si>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</si>
  <si>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</si>
  <si>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</si>
  <si>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</si>
  <si>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</si>
  <si>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</si>
  <si>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</si>
  <si>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</si>
  <si>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</si>
  <si>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</si>
  <si>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</si>
  <si>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</si>
  <si>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</si>
  <si>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</si>
  <si>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</si>
  <si>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</si>
  <si>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</si>
  <si>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</si>
  <si>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</si>
  <si>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</si>
  <si>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</si>
  <si>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</si>
  <si>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</si>
  <si>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</si>
  <si>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</si>
  <si>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</si>
  <si>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</si>
  <si>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</si>
  <si>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</si>
  <si>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</si>
  <si>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</si>
  <si>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</si>
  <si>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</si>
  <si>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</si>
  <si>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</si>
  <si>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</si>
  <si>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</si>
  <si>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</si>
  <si>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</si>
  <si>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</si>
  <si>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</si>
  <si>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</si>
  <si>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</si>
  <si>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</si>
  <si>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</si>
  <si>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</si>
  <si>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</si>
  <si>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</si>
  <si>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</si>
  <si>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</si>
  <si>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</si>
  <si>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</si>
  <si>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</si>
  <si>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</si>
  <si>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</si>
  <si>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</si>
  <si>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</si>
  <si>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</si>
  <si>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</si>
  <si>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</si>
  <si>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</si>
  <si>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</si>
  <si>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</si>
  <si>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</si>
  <si>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</si>
  <si>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</si>
  <si>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</si>
  <si>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</si>
  <si>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</si>
  <si>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</si>
  <si>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</si>
  <si>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</si>
  <si>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</si>
  <si>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</si>
  <si>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</si>
  <si>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</si>
  <si>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</si>
  <si>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</si>
  <si>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</si>
  <si>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</si>
  <si>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</si>
  <si>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</si>
  <si>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</si>
  <si>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</si>
  <si>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</si>
  <si>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</si>
  <si>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</si>
  <si>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</si>
  <si>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</si>
  <si>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</si>
  <si>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</si>
  <si>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</si>
  <si>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</si>
  <si>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</si>
  <si>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</si>
  <si>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</si>
  <si>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</si>
  <si>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</si>
  <si>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</si>
  <si>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</si>
  <si>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</si>
  <si>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</si>
  <si>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</si>
  <si>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</si>
  <si>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</si>
  <si>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</si>
  <si>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</si>
  <si>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</si>
  <si>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</si>
  <si>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</si>
  <si>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</si>
  <si>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</si>
  <si>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</si>
  <si>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</si>
  <si>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</si>
  <si>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</si>
  <si>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</si>
  <si>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</si>
  <si>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</si>
  <si>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</si>
  <si>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</si>
  <si>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</si>
  <si>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</si>
  <si>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</si>
  <si>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</si>
  <si>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</si>
  <si>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</si>
  <si>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</si>
  <si>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</si>
  <si>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</si>
  <si>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</si>
  <si>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</si>
  <si>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</si>
  <si>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</si>
  <si>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</si>
  <si>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</si>
  <si>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</si>
  <si>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</si>
  <si>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</si>
  <si>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</si>
  <si>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</si>
  <si>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</si>
  <si>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</si>
  <si>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</si>
  <si>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</si>
  <si>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</si>
  <si>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</si>
  <si>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</si>
  <si>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</si>
  <si>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</si>
  <si>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</si>
  <si>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</si>
  <si>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</si>
  <si>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</si>
  <si>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</si>
  <si>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</si>
  <si>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</si>
  <si>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</si>
  <si>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</si>
  <si>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</si>
  <si>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</si>
  <si>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</si>
  <si>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</si>
  <si>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</si>
  <si>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</si>
  <si>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</si>
  <si>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</si>
  <si>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</si>
  <si>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</si>
  <si>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</si>
  <si>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</si>
  <si>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</si>
  <si>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</si>
  <si>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</si>
  <si>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</si>
  <si>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</si>
  <si>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</si>
  <si>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</si>
  <si>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</si>
  <si>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</si>
  <si>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</si>
  <si>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</si>
  <si>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</si>
  <si>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</si>
  <si>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</si>
  <si>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</si>
  <si>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</si>
  <si>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</si>
  <si>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</si>
  <si>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</si>
  <si>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</si>
  <si>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</si>
  <si>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</si>
  <si>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</si>
  <si>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</si>
  <si>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</si>
  <si>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</si>
  <si>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</si>
  <si>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</si>
  <si>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</si>
  <si>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</si>
  <si>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</si>
  <si>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</si>
  <si>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</si>
  <si>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</si>
  <si>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</si>
  <si>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</si>
  <si>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</si>
  <si>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</si>
  <si>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</si>
  <si>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</si>
  <si>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</si>
  <si>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</si>
  <si>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</si>
  <si>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</si>
  <si>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</si>
  <si>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</si>
  <si>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</si>
  <si>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</si>
  <si>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</si>
  <si>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</si>
  <si>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</si>
  <si>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</si>
  <si>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</si>
  <si>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</si>
  <si>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</si>
  <si>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</si>
  <si>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</si>
  <si>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</si>
  <si>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</si>
  <si>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</si>
  <si>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</si>
  <si>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</si>
  <si>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</si>
  <si>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</si>
  <si>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</si>
  <si>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</si>
  <si>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</si>
  <si>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</si>
  <si>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</si>
  <si>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</si>
  <si>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</si>
  <si>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</si>
  <si>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</si>
  <si>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</si>
  <si>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</si>
  <si>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</si>
  <si>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</si>
  <si>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</si>
  <si>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</si>
  <si>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</si>
  <si>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</si>
  <si>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</si>
  <si>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</si>
  <si>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</si>
  <si>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</si>
  <si>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</si>
  <si>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</si>
  <si>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</si>
  <si>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</si>
  <si>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</si>
  <si>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</si>
  <si>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</si>
  <si>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</si>
  <si>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</si>
  <si>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</si>
  <si>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</si>
  <si>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</si>
  <si>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</si>
  <si>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</si>
  <si>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</si>
  <si>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</si>
  <si>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</si>
  <si>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</si>
  <si>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</si>
  <si>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</si>
  <si>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</si>
  <si>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</si>
  <si>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</si>
  <si>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</si>
  <si>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</si>
  <si>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</si>
  <si>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</si>
  <si>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</si>
  <si>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</si>
  <si>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</si>
  <si>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</si>
  <si>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</si>
  <si>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</si>
  <si>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</si>
  <si>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</si>
  <si>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</si>
  <si>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</si>
  <si>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</si>
  <si>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</si>
  <si>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</si>
  <si>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</si>
  <si>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</si>
  <si>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</si>
  <si>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</si>
  <si>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</si>
  <si>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</si>
  <si>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</si>
  <si>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</si>
  <si>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</si>
  <si>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</si>
  <si>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</si>
  <si>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</si>
  <si>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</si>
  <si>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</si>
  <si>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</si>
  <si>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</si>
  <si>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</si>
  <si>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</si>
  <si>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</si>
  <si>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</si>
  <si>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</si>
  <si>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</si>
  <si>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</si>
  <si>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</si>
  <si>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</si>
  <si>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</si>
  <si>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</si>
  <si>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</si>
  <si>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</si>
  <si>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</si>
  <si>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</si>
  <si>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</si>
  <si>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</si>
  <si>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</si>
  <si>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</si>
  <si>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</si>
  <si>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</si>
  <si>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</si>
  <si>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</si>
  <si>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</si>
  <si>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</si>
  <si>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</si>
  <si>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</si>
  <si>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</si>
  <si>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</si>
  <si>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</si>
  <si>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</si>
  <si>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</si>
  <si>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</si>
  <si>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</si>
  <si>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</si>
  <si>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</si>
  <si>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Personalsheet â€” Admin</t>
  </si>
  <si>
    <t>Alt+F8 â†’ PID_ToggleAdminSheet  |  Nur Entwickler / Release</t>
  </si>
  <si>
    <t>Jahr:</t>
  </si>
  <si>
    <t>Excel:</t>
  </si>
  <si>
    <t>18.06.2026</t>
  </si>
  <si>
    <t>Bewertung Jahresfluktuation</t>
  </si>
  <si>
    <t>Sehr gut / stabil</t>
  </si>
  <si>
    <t>Monat Dezember, Name: Rigo Janos, Grund: Unberechtigter vorzeitiger Austritt</t>
  </si>
  <si>
    <t>Ø Verlust-Score</t>
  </si>
  <si>
    <t>Sehr gut</t>
  </si>
  <si>
    <t>Jahresfluktuation (YTD): 14,16% - Bewertung: Sehr gut / stabil. Basis: 11 Austritt(e) im Jahr 2026, bezogen auf den durchschnittlichen Personalbestand.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</si>
</sst>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0">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4" xfId="0" applyNumberFormat="1" applyFont="1" applyFill="1" applyBorder="1" applyAlignment="1" applyProtection="1">
      <alignment horizontal="center" vertical="center" wrapText="1"/>
      <protection locked="0"/>
    </xf>
    <xf numFmtId="166" fontId="47" fillId="4" borderId="54"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4" xfId="0" applyNumberFormat="1" applyFont="1" applyFill="1" applyBorder="1" applyAlignment="1" applyProtection="1">
      <alignment horizontal="center" vertical="center" wrapText="1"/>
      <protection locked="0"/>
    </xf>
    <xf numFmtId="166" fontId="47" fillId="2" borderId="54"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4" xfId="0" applyNumberFormat="1" applyFont="1" applyFill="1" applyBorder="1" applyAlignment="1" applyProtection="1">
      <alignment horizontal="center" vertical="center" wrapText="1"/>
      <protection locked="0"/>
    </xf>
    <xf numFmtId="166" fontId="47" fillId="7" borderId="54"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169" fontId="47" fillId="4" borderId="54" xfId="0" applyNumberFormat="1" applyFont="1" applyFill="1" applyBorder="1" applyAlignment="1">
      <alignment horizontal="center" vertical="center" wrapText="1"/>
    </xf>
    <xf numFmtId="0" fontId="47" fillId="4" borderId="54" xfId="0" applyFont="1" applyFill="1" applyBorder="1" applyAlignment="1">
      <alignment horizontal="center" vertical="center" wrapText="1"/>
    </xf>
    <xf numFmtId="0" fontId="47" fillId="4" borderId="54"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4" xfId="0" applyNumberFormat="1" applyFont="1" applyFill="1" applyBorder="1" applyAlignment="1">
      <alignment horizontal="center" vertical="center" wrapText="1"/>
    </xf>
    <xf numFmtId="0" fontId="47" fillId="2" borderId="54" xfId="0" applyFont="1" applyFill="1" applyBorder="1" applyAlignment="1">
      <alignment horizontal="center" vertical="center" wrapText="1"/>
    </xf>
    <xf numFmtId="0" fontId="47" fillId="2" borderId="54"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4" xfId="0" applyNumberFormat="1" applyFont="1" applyFill="1" applyBorder="1" applyAlignment="1">
      <alignment horizontal="center" vertical="center" wrapText="1"/>
    </xf>
    <xf numFmtId="0" fontId="47" fillId="7" borderId="54" xfId="0" applyFont="1" applyFill="1" applyBorder="1" applyAlignment="1">
      <alignment horizontal="center" vertical="center" wrapText="1"/>
    </xf>
    <xf numFmtId="0" fontId="47" fillId="7" borderId="54"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5"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5"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5"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6"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6"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6"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57" fillId="0" borderId="0" xfId="0" applyFont="1"/>
    <xf numFmtId="2" fontId="38" fillId="8" borderId="19" xfId="0" applyNumberFormat="1" applyFont="1" applyFill="1" applyBorder="1" applyAlignment="1" applyProtection="1">
      <alignment horizontal="center"/>
      <protection locked="0"/>
    </xf>
    <xf numFmtId="0" fontId="3" fillId="0" borderId="0" xfId="0" applyFont="1"/>
    <xf numFmtId="0" fontId="45" fillId="0" borderId="0" xfId="0" applyFont="1" applyAlignment="1">
      <alignment horizontal="right" vertical="center"/>
    </xf>
    <xf numFmtId="168" fontId="13" fillId="0" borderId="0" xfId="0" applyNumberFormat="1" applyFont="1"/>
    <xf numFmtId="0" fontId="46" fillId="0" borderId="6" xfId="0" applyFont="1" applyBorder="1" applyAlignment="1">
      <alignment horizontal="right" vertical="center"/>
    </xf>
    <xf numFmtId="49" fontId="53" fillId="0" borderId="22" xfId="0" applyNumberFormat="1" applyFont="1" applyBorder="1" applyAlignment="1">
      <alignment horizontal="center" vertical="center"/>
    </xf>
    <xf numFmtId="166" fontId="41" fillId="7" borderId="23" xfId="0" applyNumberFormat="1" applyFont="1" applyFill="1" applyBorder="1" applyAlignment="1">
      <alignment horizontal="center" vertical="center"/>
    </xf>
    <xf numFmtId="2" fontId="41" fillId="7" borderId="23" xfId="0" applyNumberFormat="1" applyFont="1" applyFill="1" applyBorder="1" applyAlignment="1">
      <alignment horizontal="center" vertical="center"/>
    </xf>
    <xf numFmtId="170" fontId="41" fillId="7" borderId="23" xfId="0" applyNumberFormat="1" applyFont="1" applyFill="1" applyBorder="1" applyAlignment="1">
      <alignment horizontal="center" vertical="center"/>
    </xf>
    <xf numFmtId="0" fontId="20" fillId="2" borderId="0" xfId="0" applyFont="1" applyFill="1" applyAlignment="1">
      <alignment vertical="center"/>
    </xf>
    <xf numFmtId="0" fontId="13" fillId="0" borderId="0" xfId="0" applyFont="1"/>
    <xf numFmtId="49" fontId="53" fillId="0" borderId="21" xfId="0" applyNumberFormat="1" applyFont="1" applyBorder="1" applyAlignment="1">
      <alignment horizontal="center" vertical="center"/>
    </xf>
    <xf numFmtId="166" fontId="41" fillId="7" borderId="19" xfId="0" applyNumberFormat="1" applyFont="1" applyFill="1" applyBorder="1" applyAlignment="1">
      <alignment horizontal="center" vertical="center"/>
    </xf>
    <xf numFmtId="2" fontId="41" fillId="7" borderId="19" xfId="0" applyNumberFormat="1" applyFont="1" applyFill="1" applyBorder="1" applyAlignment="1">
      <alignment horizontal="center" vertical="center"/>
    </xf>
    <xf numFmtId="170" fontId="41" fillId="7" borderId="19" xfId="0" applyNumberFormat="1" applyFont="1" applyFill="1" applyBorder="1" applyAlignment="1">
      <alignment horizontal="center" vertical="center"/>
    </xf>
    <xf numFmtId="2" fontId="35" fillId="4" borderId="9" xfId="0" applyNumberFormat="1" applyFont="1" applyFill="1" applyBorder="1" applyAlignment="1">
      <alignment horizontal="center" vertical="center" wrapText="1"/>
    </xf>
    <xf numFmtId="2" fontId="35" fillId="4" borderId="1" xfId="0" applyNumberFormat="1" applyFont="1" applyFill="1" applyBorder="1" applyAlignment="1">
      <alignment horizontal="center" vertical="center" wrapText="1"/>
    </xf>
    <xf numFmtId="167" fontId="35" fillId="4" borderId="1" xfId="0" applyNumberFormat="1" applyFont="1" applyFill="1" applyBorder="1" applyAlignment="1">
      <alignment horizontal="center" vertical="center" wrapText="1"/>
    </xf>
    <xf numFmtId="10" fontId="49" fillId="2" borderId="9" xfId="0" applyNumberFormat="1" applyFont="1" applyFill="1" applyBorder="1" applyAlignment="1">
      <alignment horizontal="center" vertical="center" wrapText="1"/>
    </xf>
    <xf numFmtId="2" fontId="41" fillId="7" borderId="25" xfId="0" applyNumberFormat="1" applyFont="1" applyFill="1" applyBorder="1" applyAlignment="1">
      <alignment horizontal="center" vertical="center"/>
    </xf>
    <xf numFmtId="0" fontId="40" fillId="2" borderId="0" xfId="0" applyFont="1" applyFill="1" applyAlignment="1">
      <alignment vertical="center"/>
    </xf>
    <xf numFmtId="0" fontId="48" fillId="2" borderId="0" xfId="0" applyFont="1" applyFill="1" applyAlignment="1">
      <alignment horizontal="left" vertical="center" wrapText="1"/>
    </xf>
    <xf numFmtId="0" fontId="4" fillId="0" borderId="0" xfId="0" applyFont="1"/>
    <xf numFmtId="0" fontId="6" fillId="0" borderId="0" xfId="0" applyFont="1"/>
    <xf numFmtId="0" fontId="20" fillId="2" borderId="0" xfId="0" applyFont="1" applyFill="1" applyAlignment="1">
      <alignment horizontal="left" vertical="top" wrapText="1"/>
    </xf>
    <xf numFmtId="49" fontId="53" fillId="0" borderId="24" xfId="0" applyNumberFormat="1" applyFont="1" applyBorder="1" applyAlignment="1">
      <alignment horizontal="center" vertical="center"/>
    </xf>
    <xf numFmtId="166" fontId="41" fillId="7" borderId="25" xfId="0" applyNumberFormat="1" applyFont="1" applyFill="1" applyBorder="1" applyAlignment="1">
      <alignment horizontal="center" vertical="center"/>
    </xf>
    <xf numFmtId="170" fontId="41" fillId="7" borderId="25" xfId="0" applyNumberFormat="1" applyFont="1" applyFill="1" applyBorder="1" applyAlignment="1">
      <alignment horizontal="center" vertical="center"/>
    </xf>
    <xf numFmtId="16" fontId="4" fillId="0" borderId="0" xfId="0" applyNumberFormat="1" applyFont="1" applyAlignment="1">
      <alignment horizontal="right"/>
    </xf>
    <xf numFmtId="0" fontId="4" fillId="0" borderId="0" xfId="0" applyFont="1" applyAlignment="1">
      <alignment horizontal="right"/>
    </xf>
    <xf numFmtId="10" fontId="49" fillId="2" borderId="66" xfId="0" applyNumberFormat="1" applyFont="1" applyFill="1" applyBorder="1" applyAlignment="1">
      <alignment horizontal="center" vertical="center" wrapText="1"/>
    </xf>
    <xf numFmtId="0" fontId="3" fillId="3" borderId="0" xfId="0" applyFont="1" applyFill="1"/>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49" fontId="53" fillId="0" borderId="0" xfId="0" applyNumberFormat="1" applyFont="1" applyAlignment="1">
      <alignment horizontal="center"/>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46" fillId="0" borderId="0" xfId="0" applyFont="1" applyAlignment="1">
      <alignment horizontal="left" vertical="center"/>
    </xf>
    <xf numFmtId="0" fontId="7" fillId="0" borderId="0" xfId="0" applyFont="1" applyAlignment="1">
      <alignment vertical="center"/>
    </xf>
    <xf numFmtId="0" fontId="31" fillId="4" borderId="19" xfId="0" applyFont="1" applyFill="1" applyBorder="1" applyAlignment="1">
      <alignment horizontal="center" vertical="center" wrapText="1"/>
    </xf>
    <xf numFmtId="0" fontId="32" fillId="2" borderId="21" xfId="0" applyFont="1" applyFill="1" applyBorder="1" applyAlignment="1">
      <alignment horizontal="center" vertical="center"/>
    </xf>
    <xf numFmtId="166" fontId="32" fillId="2" borderId="19" xfId="0" applyNumberFormat="1" applyFont="1" applyFill="1" applyBorder="1" applyAlignment="1">
      <alignment horizontal="center" vertical="center"/>
    </xf>
    <xf numFmtId="10" fontId="32" fillId="2" borderId="19" xfId="0" applyNumberFormat="1" applyFont="1" applyFill="1" applyBorder="1" applyAlignment="1">
      <alignment horizontal="center" vertical="center"/>
    </xf>
    <xf numFmtId="4" fontId="32" fillId="2" borderId="19" xfId="0" applyNumberFormat="1" applyFont="1" applyFill="1" applyBorder="1" applyAlignment="1">
      <alignment horizontal="center" vertical="center"/>
    </xf>
    <xf numFmtId="10" fontId="32" fillId="2" borderId="31" xfId="0" applyNumberFormat="1" applyFont="1" applyFill="1" applyBorder="1" applyAlignment="1">
      <alignment horizontal="center" vertical="center"/>
    </xf>
    <xf numFmtId="0" fontId="32" fillId="8" borderId="21" xfId="0" applyFont="1" applyFill="1" applyBorder="1" applyAlignment="1">
      <alignment horizontal="center" vertical="center"/>
    </xf>
    <xf numFmtId="166" fontId="32" fillId="8" borderId="19" xfId="0" applyNumberFormat="1" applyFont="1" applyFill="1" applyBorder="1" applyAlignment="1">
      <alignment horizontal="center" vertical="center"/>
    </xf>
    <xf numFmtId="10" fontId="32" fillId="8" borderId="19" xfId="0" applyNumberFormat="1" applyFont="1" applyFill="1" applyBorder="1" applyAlignment="1">
      <alignment horizontal="center" vertical="center"/>
    </xf>
    <xf numFmtId="4" fontId="32" fillId="8" borderId="19" xfId="0" applyNumberFormat="1" applyFont="1" applyFill="1" applyBorder="1" applyAlignment="1">
      <alignment horizontal="center" vertical="center"/>
    </xf>
    <xf numFmtId="10" fontId="32" fillId="8" borderId="31" xfId="0" applyNumberFormat="1" applyFont="1" applyFill="1" applyBorder="1" applyAlignment="1">
      <alignment horizontal="center" vertical="center"/>
    </xf>
    <xf numFmtId="0" fontId="31" fillId="7" borderId="21" xfId="0" applyFont="1" applyFill="1" applyBorder="1" applyAlignment="1">
      <alignment horizontal="center" vertical="center"/>
    </xf>
    <xf numFmtId="166" fontId="31" fillId="7" borderId="19" xfId="0" applyNumberFormat="1" applyFont="1" applyFill="1" applyBorder="1" applyAlignment="1">
      <alignment horizontal="center" vertical="center"/>
    </xf>
    <xf numFmtId="10" fontId="31" fillId="7" borderId="19" xfId="0" applyNumberFormat="1" applyFont="1" applyFill="1" applyBorder="1" applyAlignment="1">
      <alignment horizontal="center" vertical="center"/>
    </xf>
    <xf numFmtId="4" fontId="31" fillId="7" borderId="19" xfId="0" applyNumberFormat="1" applyFont="1" applyFill="1" applyBorder="1" applyAlignment="1">
      <alignment horizontal="center" vertical="center"/>
    </xf>
    <xf numFmtId="10" fontId="31" fillId="7" borderId="31" xfId="0" applyNumberFormat="1" applyFont="1" applyFill="1" applyBorder="1" applyAlignment="1">
      <alignment horizontal="center" vertical="center"/>
    </xf>
    <xf numFmtId="0" fontId="31" fillId="7" borderId="24" xfId="0" applyFont="1" applyFill="1" applyBorder="1" applyAlignment="1">
      <alignment horizontal="center" vertical="center"/>
    </xf>
    <xf numFmtId="166" fontId="31" fillId="7" borderId="25" xfId="0" applyNumberFormat="1" applyFont="1" applyFill="1" applyBorder="1" applyAlignment="1">
      <alignment horizontal="center" vertical="center"/>
    </xf>
    <xf numFmtId="10" fontId="31" fillId="7" borderId="25" xfId="0" applyNumberFormat="1" applyFont="1" applyFill="1" applyBorder="1" applyAlignment="1">
      <alignment horizontal="center" vertical="center"/>
    </xf>
    <xf numFmtId="4" fontId="31" fillId="7" borderId="25" xfId="0" applyNumberFormat="1" applyFont="1" applyFill="1" applyBorder="1" applyAlignment="1">
      <alignment horizontal="center" vertical="center"/>
    </xf>
    <xf numFmtId="10" fontId="31" fillId="7" borderId="26" xfId="0" applyNumberFormat="1" applyFont="1" applyFill="1" applyBorder="1" applyAlignment="1">
      <alignment horizontal="center" vertical="center"/>
    </xf>
    <xf numFmtId="0" fontId="12" fillId="2" borderId="0" xfId="0" applyFont="1" applyFill="1"/>
    <xf numFmtId="0" fontId="16" fillId="0" borderId="0" xfId="0" applyFont="1" applyAlignment="1">
      <alignment horizontal="center" vertical="center" wrapText="1"/>
    </xf>
    <xf numFmtId="0" fontId="24" fillId="4" borderId="22" xfId="0" applyFont="1" applyFill="1" applyBorder="1" applyAlignment="1">
      <alignment horizontal="center" vertical="center"/>
    </xf>
    <xf numFmtId="0" fontId="24" fillId="4" borderId="23" xfId="0" applyFont="1" applyFill="1" applyBorder="1" applyAlignment="1">
      <alignment horizontal="center" vertical="center"/>
    </xf>
    <xf numFmtId="0" fontId="24" fillId="4" borderId="29" xfId="0" applyFont="1" applyFill="1" applyBorder="1" applyAlignment="1">
      <alignment horizontal="center" vertical="center"/>
    </xf>
    <xf numFmtId="0" fontId="24" fillId="4" borderId="30" xfId="0" applyFont="1" applyFill="1" applyBorder="1" applyAlignment="1">
      <alignment horizontal="center" vertical="center"/>
    </xf>
    <xf numFmtId="0" fontId="21" fillId="0" borderId="0" xfId="0" applyFont="1"/>
    <xf numFmtId="0" fontId="20" fillId="0" borderId="21" xfId="0" applyFont="1" applyBorder="1" applyAlignment="1">
      <alignment horizontal="center" vertical="center"/>
    </xf>
    <xf numFmtId="0" fontId="20" fillId="0" borderId="19" xfId="0" applyFont="1" applyBorder="1" applyAlignment="1">
      <alignment horizontal="center" vertical="center"/>
    </xf>
    <xf numFmtId="4" fontId="20" fillId="0" borderId="19" xfId="0" applyNumberFormat="1" applyFont="1" applyBorder="1" applyAlignment="1">
      <alignment horizontal="center" vertical="center"/>
    </xf>
    <xf numFmtId="166" fontId="20" fillId="0" borderId="19" xfId="0" applyNumberFormat="1" applyFont="1" applyBorder="1" applyAlignment="1">
      <alignment horizontal="center" vertical="center"/>
    </xf>
    <xf numFmtId="166" fontId="20" fillId="0" borderId="20" xfId="0" applyNumberFormat="1" applyFont="1" applyBorder="1" applyAlignment="1">
      <alignment horizontal="center" vertical="center"/>
    </xf>
    <xf numFmtId="0" fontId="20" fillId="8" borderId="21" xfId="0" applyFont="1" applyFill="1" applyBorder="1" applyAlignment="1">
      <alignment horizontal="center" vertical="center"/>
    </xf>
    <xf numFmtId="0" fontId="20" fillId="8" borderId="19" xfId="0" applyFont="1" applyFill="1" applyBorder="1" applyAlignment="1">
      <alignment horizontal="center" vertical="center"/>
    </xf>
    <xf numFmtId="4" fontId="20" fillId="8" borderId="19" xfId="0" applyNumberFormat="1" applyFont="1" applyFill="1" applyBorder="1" applyAlignment="1">
      <alignment horizontal="center" vertical="center"/>
    </xf>
    <xf numFmtId="166" fontId="20" fillId="8" borderId="19" xfId="0" applyNumberFormat="1" applyFont="1" applyFill="1" applyBorder="1" applyAlignment="1">
      <alignment horizontal="center" vertical="center"/>
    </xf>
    <xf numFmtId="166" fontId="20" fillId="8" borderId="20" xfId="0" applyNumberFormat="1" applyFont="1"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4" fontId="20" fillId="8" borderId="25" xfId="0" applyNumberFormat="1" applyFont="1" applyFill="1" applyBorder="1" applyAlignment="1">
      <alignment horizontal="center" vertical="center"/>
    </xf>
    <xf numFmtId="166" fontId="20" fillId="8" borderId="25" xfId="0" applyNumberFormat="1" applyFont="1" applyFill="1" applyBorder="1" applyAlignment="1">
      <alignment horizontal="center" vertical="center"/>
    </xf>
    <xf numFmtId="166" fontId="20" fillId="8" borderId="27" xfId="0" applyNumberFormat="1" applyFont="1" applyFill="1" applyBorder="1" applyAlignment="1">
      <alignment horizontal="center" vertical="center"/>
    </xf>
    <xf numFmtId="0" fontId="20" fillId="0" borderId="0" xfId="0" applyFont="1" applyAlignment="1">
      <alignment vertical="center"/>
    </xf>
    <xf numFmtId="0" fontId="17" fillId="0" borderId="0" xfId="0" applyFont="1" applyAlignment="1">
      <alignment vertical="center"/>
    </xf>
    <xf numFmtId="10" fontId="17" fillId="0" borderId="47" xfId="0" applyNumberFormat="1" applyFont="1" applyBorder="1" applyAlignment="1">
      <alignment horizontal="center" vertical="center"/>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0" xfId="0" applyFont="1" applyFill="1" applyAlignment="1">
      <alignment horizontal="left" vertical="center" wrapText="1"/>
    </xf>
    <xf numFmtId="0" fontId="25" fillId="5" borderId="0" xfId="0" applyFont="1" applyFill="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5" fillId="5" borderId="68" xfId="0" applyFont="1" applyFill="1" applyBorder="1" applyAlignment="1">
      <alignment horizontal="center" vertical="center" wrapText="1"/>
    </xf>
    <xf numFmtId="0" fontId="35" fillId="4" borderId="7" xfId="0" applyFont="1" applyFill="1" applyBorder="1" applyAlignment="1">
      <alignment horizontal="center" vertical="center" wrapText="1"/>
    </xf>
    <xf numFmtId="0" fontId="35" fillId="4" borderId="6" xfId="0" applyFont="1" applyFill="1" applyBorder="1" applyAlignment="1">
      <alignment horizontal="center" vertical="center" wrapText="1"/>
    </xf>
    <xf numFmtId="166" fontId="20" fillId="2" borderId="20" xfId="0" applyNumberFormat="1" applyFont="1" applyFill="1" applyBorder="1" applyAlignment="1">
      <alignment horizontal="center" vertical="center"/>
    </xf>
    <xf numFmtId="166" fontId="20" fillId="2" borderId="31" xfId="0" applyNumberFormat="1" applyFont="1" applyFill="1" applyBorder="1" applyAlignment="1">
      <alignment horizontal="center" vertical="center"/>
    </xf>
    <xf numFmtId="0" fontId="43" fillId="7" borderId="24" xfId="0" applyFont="1" applyFill="1" applyBorder="1" applyAlignment="1">
      <alignment horizontal="center" vertical="center"/>
    </xf>
    <xf numFmtId="0" fontId="43" fillId="7" borderId="25" xfId="0" applyFont="1" applyFill="1" applyBorder="1" applyAlignment="1">
      <alignment horizontal="center" vertical="center"/>
    </xf>
    <xf numFmtId="2" fontId="41" fillId="7" borderId="25" xfId="0" applyNumberFormat="1" applyFont="1" applyFill="1" applyBorder="1" applyAlignment="1">
      <alignment horizontal="center" vertical="center"/>
    </xf>
    <xf numFmtId="2" fontId="41" fillId="7" borderId="26" xfId="0" applyNumberFormat="1" applyFont="1" applyFill="1" applyBorder="1" applyAlignment="1">
      <alignment horizontal="center" vertical="center"/>
    </xf>
    <xf numFmtId="0" fontId="35" fillId="2" borderId="53" xfId="0" applyFont="1" applyFill="1" applyBorder="1" applyAlignment="1">
      <alignment horizontal="center" vertical="center" wrapText="1"/>
    </xf>
    <xf numFmtId="0" fontId="35" fillId="2" borderId="51" xfId="0" applyFont="1" applyFill="1" applyBorder="1" applyAlignment="1">
      <alignment horizontal="center" vertical="center" wrapText="1"/>
    </xf>
    <xf numFmtId="0" fontId="35" fillId="2" borderId="65" xfId="0" applyFont="1" applyFill="1" applyBorder="1" applyAlignment="1">
      <alignment horizontal="center" vertical="center" wrapText="1"/>
    </xf>
    <xf numFmtId="0" fontId="51" fillId="2" borderId="0" xfId="0" applyFont="1" applyFill="1" applyAlignment="1">
      <alignment horizontal="center" vertical="center"/>
    </xf>
    <xf numFmtId="0" fontId="35" fillId="7" borderId="21" xfId="0" applyFont="1" applyFill="1" applyBorder="1" applyAlignment="1">
      <alignment horizontal="left" vertical="center" indent="1"/>
    </xf>
    <xf numFmtId="0" fontId="35" fillId="7" borderId="19" xfId="0" applyFont="1" applyFill="1" applyBorder="1" applyAlignment="1">
      <alignment horizontal="left" vertical="center" indent="1"/>
    </xf>
    <xf numFmtId="0" fontId="43" fillId="7" borderId="22" xfId="0" applyFont="1" applyFill="1" applyBorder="1" applyAlignment="1">
      <alignment horizontal="center" vertical="center"/>
    </xf>
    <xf numFmtId="0" fontId="43" fillId="7" borderId="23" xfId="0" applyFont="1" applyFill="1" applyBorder="1" applyAlignment="1">
      <alignment horizontal="center" vertical="center"/>
    </xf>
    <xf numFmtId="2" fontId="41" fillId="7" borderId="23" xfId="0" applyNumberFormat="1" applyFont="1" applyFill="1" applyBorder="1" applyAlignment="1">
      <alignment horizontal="center" vertical="center"/>
    </xf>
    <xf numFmtId="2" fontId="41" fillId="7" borderId="33" xfId="0" applyNumberFormat="1" applyFont="1" applyFill="1" applyBorder="1" applyAlignment="1">
      <alignment horizontal="center" vertical="center"/>
    </xf>
    <xf numFmtId="0" fontId="43" fillId="7" borderId="21" xfId="0" applyFont="1" applyFill="1" applyBorder="1" applyAlignment="1">
      <alignment horizontal="center" vertical="center"/>
    </xf>
    <xf numFmtId="0" fontId="43" fillId="7" borderId="19" xfId="0" applyFont="1" applyFill="1" applyBorder="1" applyAlignment="1">
      <alignment horizontal="center" vertical="center"/>
    </xf>
    <xf numFmtId="166" fontId="41" fillId="7" borderId="19" xfId="0" applyNumberFormat="1" applyFont="1" applyFill="1" applyBorder="1" applyAlignment="1">
      <alignment horizontal="center" vertical="center"/>
    </xf>
    <xf numFmtId="166" fontId="41" fillId="7" borderId="31" xfId="0" applyNumberFormat="1" applyFont="1" applyFill="1" applyBorder="1" applyAlignment="1">
      <alignment horizontal="center"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166" fontId="41" fillId="7" borderId="50" xfId="0" applyNumberFormat="1" applyFont="1" applyFill="1" applyBorder="1" applyAlignment="1">
      <alignment horizontal="center" vertical="center"/>
    </xf>
    <xf numFmtId="166" fontId="41" fillId="7" borderId="33" xfId="0" applyNumberFormat="1" applyFont="1" applyFill="1" applyBorder="1" applyAlignment="1">
      <alignment horizontal="center" vertical="center"/>
    </xf>
    <xf numFmtId="0" fontId="43" fillId="7" borderId="46" xfId="0" applyFont="1" applyFill="1" applyBorder="1" applyAlignment="1">
      <alignment horizontal="center" vertical="center"/>
    </xf>
    <xf numFmtId="0" fontId="43" fillId="7" borderId="47" xfId="0" applyFont="1" applyFill="1" applyBorder="1" applyAlignment="1">
      <alignment horizontal="center" vertical="center"/>
    </xf>
    <xf numFmtId="166" fontId="41" fillId="7" borderId="47" xfId="0" applyNumberFormat="1" applyFont="1" applyFill="1" applyBorder="1" applyAlignment="1">
      <alignment horizontal="center" vertical="center"/>
    </xf>
    <xf numFmtId="166" fontId="41" fillId="7" borderId="48" xfId="0" applyNumberFormat="1" applyFont="1" applyFill="1" applyBorder="1" applyAlignment="1">
      <alignment horizontal="center" vertical="center"/>
    </xf>
    <xf numFmtId="0" fontId="50" fillId="2" borderId="4" xfId="0" applyFont="1" applyFill="1" applyBorder="1" applyAlignment="1">
      <alignment horizontal="center" vertical="center" wrapText="1"/>
    </xf>
    <xf numFmtId="0" fontId="50" fillId="2" borderId="3" xfId="0" applyFont="1" applyFill="1" applyBorder="1" applyAlignment="1">
      <alignment horizontal="center" vertical="center" wrapText="1"/>
    </xf>
    <xf numFmtId="0" fontId="50" fillId="2" borderId="5" xfId="0" applyFont="1" applyFill="1" applyBorder="1" applyAlignment="1">
      <alignment horizontal="center" vertical="center" wrapText="1"/>
    </xf>
    <xf numFmtId="2" fontId="41" fillId="7" borderId="19" xfId="0" applyNumberFormat="1" applyFont="1" applyFill="1" applyBorder="1" applyAlignment="1">
      <alignment horizontal="center" vertical="center"/>
    </xf>
    <xf numFmtId="2" fontId="41" fillId="7" borderId="31" xfId="0" applyNumberFormat="1" applyFont="1" applyFill="1" applyBorder="1" applyAlignment="1">
      <alignment horizontal="center" vertical="center"/>
    </xf>
    <xf numFmtId="2" fontId="4" fillId="0" borderId="0" xfId="0" applyNumberFormat="1" applyFont="1" applyAlignment="1">
      <alignment horizontal="center"/>
    </xf>
    <xf numFmtId="0" fontId="35" fillId="4" borderId="4" xfId="0" applyFont="1" applyFill="1" applyBorder="1" applyAlignment="1">
      <alignment horizontal="center" vertical="center" wrapText="1"/>
    </xf>
    <xf numFmtId="0" fontId="35" fillId="4" borderId="2" xfId="0" applyFont="1" applyFill="1" applyBorder="1" applyAlignment="1">
      <alignment horizontal="center" vertical="center" wrapText="1"/>
    </xf>
    <xf numFmtId="166" fontId="4" fillId="0" borderId="0" xfId="0" applyNumberFormat="1" applyFont="1" applyAlignment="1">
      <alignment horizontal="center"/>
    </xf>
    <xf numFmtId="0" fontId="49" fillId="2" borderId="0" xfId="0" applyFont="1" applyFill="1" applyAlignment="1">
      <alignment horizontal="left" wrapText="1"/>
    </xf>
    <xf numFmtId="0" fontId="24" fillId="2" borderId="0" xfId="0" applyFont="1" applyFill="1" applyAlignment="1">
      <alignment horizontal="left" vertical="center" wrapText="1"/>
    </xf>
    <xf numFmtId="0" fontId="52" fillId="2" borderId="0" xfId="0" applyFont="1" applyFill="1" applyAlignment="1">
      <alignment horizontal="left" vertical="center" wrapText="1"/>
    </xf>
    <xf numFmtId="10" fontId="41" fillId="7" borderId="19" xfId="0" applyNumberFormat="1" applyFont="1" applyFill="1" applyBorder="1" applyAlignment="1">
      <alignment horizontal="center" vertical="center"/>
    </xf>
    <xf numFmtId="10" fontId="41" fillId="7" borderId="31" xfId="0" applyNumberFormat="1" applyFont="1" applyFill="1" applyBorder="1" applyAlignment="1">
      <alignment horizontal="center" vertical="center"/>
    </xf>
    <xf numFmtId="0" fontId="35" fillId="4" borderId="23" xfId="0" applyFont="1" applyFill="1" applyBorder="1" applyAlignment="1">
      <alignment horizontal="center" vertical="center" wrapText="1"/>
    </xf>
    <xf numFmtId="0" fontId="35" fillId="4" borderId="19" xfId="0" applyFont="1" applyFill="1" applyBorder="1" applyAlignment="1">
      <alignment horizontal="center" vertical="center" wrapText="1"/>
    </xf>
    <xf numFmtId="0" fontId="35" fillId="4" borderId="33" xfId="0" applyFont="1" applyFill="1" applyBorder="1" applyAlignment="1">
      <alignment horizontal="center" vertical="center" wrapText="1"/>
    </xf>
    <xf numFmtId="0" fontId="35" fillId="4" borderId="31" xfId="0" applyFont="1" applyFill="1" applyBorder="1" applyAlignment="1">
      <alignment horizontal="center" vertical="center" wrapText="1"/>
    </xf>
    <xf numFmtId="10" fontId="41" fillId="7" borderId="49" xfId="0" applyNumberFormat="1" applyFont="1" applyFill="1" applyBorder="1" applyAlignment="1">
      <alignment horizontal="center" vertical="center"/>
    </xf>
    <xf numFmtId="2" fontId="41" fillId="7" borderId="45" xfId="0" applyNumberFormat="1" applyFont="1" applyFill="1" applyBorder="1" applyAlignment="1">
      <alignment horizontal="center" vertical="center"/>
    </xf>
    <xf numFmtId="1" fontId="35" fillId="4" borderId="22" xfId="0" applyNumberFormat="1" applyFont="1" applyFill="1" applyBorder="1" applyAlignment="1">
      <alignment horizontal="center" vertical="center" wrapText="1"/>
    </xf>
    <xf numFmtId="1" fontId="35" fillId="4" borderId="46" xfId="0" applyNumberFormat="1"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0" fillId="2" borderId="22" xfId="0" applyFont="1" applyFill="1" applyBorder="1" applyAlignment="1">
      <alignment vertical="center"/>
    </xf>
    <xf numFmtId="0" fontId="20" fillId="2" borderId="23" xfId="0" applyFont="1" applyFill="1" applyBorder="1" applyAlignment="1">
      <alignment vertical="center"/>
    </xf>
    <xf numFmtId="0" fontId="20" fillId="2" borderId="21" xfId="0" applyFont="1" applyFill="1" applyBorder="1" applyAlignment="1">
      <alignment vertical="center"/>
    </xf>
    <xf numFmtId="0" fontId="20" fillId="2" borderId="19" xfId="0" applyFont="1" applyFill="1" applyBorder="1" applyAlignment="1">
      <alignment vertical="center"/>
    </xf>
    <xf numFmtId="0" fontId="35" fillId="4" borderId="47" xfId="0" applyFont="1" applyFill="1" applyBorder="1" applyAlignment="1">
      <alignment horizontal="center" vertical="center" wrapText="1"/>
    </xf>
    <xf numFmtId="166" fontId="41" fillId="7" borderId="27" xfId="0" applyNumberFormat="1" applyFont="1" applyFill="1" applyBorder="1" applyAlignment="1">
      <alignment horizontal="center" vertical="center"/>
    </xf>
    <xf numFmtId="166" fontId="41" fillId="7" borderId="26" xfId="0" applyNumberFormat="1" applyFont="1" applyFill="1" applyBorder="1" applyAlignment="1">
      <alignment horizontal="center" vertical="center"/>
    </xf>
    <xf numFmtId="1" fontId="54" fillId="4" borderId="0" xfId="0" applyNumberFormat="1" applyFont="1" applyFill="1" applyAlignment="1">
      <alignment horizontal="center" vertical="center" wrapText="1"/>
    </xf>
    <xf numFmtId="0" fontId="35" fillId="4" borderId="48" xfId="0" applyFont="1" applyFill="1" applyBorder="1" applyAlignment="1">
      <alignment horizontal="center" vertical="center" wrapText="1"/>
    </xf>
    <xf numFmtId="10" fontId="43" fillId="7" borderId="44" xfId="0" applyNumberFormat="1" applyFont="1" applyFill="1" applyBorder="1" applyAlignment="1">
      <alignment horizontal="center" vertical="center"/>
    </xf>
    <xf numFmtId="0" fontId="43" fillId="7" borderId="49" xfId="0" applyFont="1" applyFill="1" applyBorder="1" applyAlignment="1">
      <alignment horizontal="center" vertical="center"/>
    </xf>
    <xf numFmtId="1" fontId="54" fillId="4" borderId="22" xfId="0" applyNumberFormat="1" applyFont="1" applyFill="1" applyBorder="1" applyAlignment="1">
      <alignment horizontal="center" vertical="center" wrapText="1"/>
    </xf>
    <xf numFmtId="0" fontId="35" fillId="2" borderId="12" xfId="0" applyFont="1" applyFill="1" applyBorder="1" applyAlignment="1">
      <alignment horizontal="center" vertical="center" wrapText="1"/>
    </xf>
    <xf numFmtId="0" fontId="35" fillId="2" borderId="13" xfId="0" applyFont="1" applyFill="1" applyBorder="1" applyAlignment="1">
      <alignment horizontal="center" vertical="center" wrapText="1"/>
    </xf>
    <xf numFmtId="1" fontId="35" fillId="4" borderId="23" xfId="0" applyNumberFormat="1" applyFont="1" applyFill="1" applyBorder="1" applyAlignment="1">
      <alignment horizontal="center" vertical="center" wrapText="1"/>
    </xf>
    <xf numFmtId="1" fontId="35" fillId="4" borderId="47" xfId="0" applyNumberFormat="1" applyFont="1" applyFill="1" applyBorder="1" applyAlignment="1">
      <alignment horizontal="center" vertical="center" wrapText="1"/>
    </xf>
    <xf numFmtId="0" fontId="43" fillId="7" borderId="61" xfId="0" applyFont="1" applyFill="1" applyBorder="1" applyAlignment="1">
      <alignment horizontal="center" vertical="center"/>
    </xf>
    <xf numFmtId="0" fontId="43" fillId="7" borderId="60" xfId="0" applyFont="1" applyFill="1" applyBorder="1" applyAlignment="1">
      <alignment horizontal="center" vertical="center"/>
    </xf>
    <xf numFmtId="0" fontId="35" fillId="7" borderId="60" xfId="0" applyFont="1" applyFill="1" applyBorder="1" applyAlignment="1">
      <alignment horizontal="left" vertical="center" indent="1"/>
    </xf>
    <xf numFmtId="10" fontId="43" fillId="7" borderId="63" xfId="0" applyNumberFormat="1" applyFont="1" applyFill="1" applyBorder="1" applyAlignment="1">
      <alignment horizontal="center"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43" fillId="7" borderId="62" xfId="0" applyFont="1" applyFill="1" applyBorder="1" applyAlignment="1">
      <alignment horizontal="center" vertical="center"/>
    </xf>
    <xf numFmtId="0" fontId="42" fillId="2" borderId="64" xfId="0" applyFont="1" applyFill="1" applyBorder="1" applyAlignment="1">
      <alignment horizontal="left" vertical="center" wrapText="1" indent="1"/>
    </xf>
    <xf numFmtId="0" fontId="42" fillId="2" borderId="51" xfId="0" applyFont="1" applyFill="1" applyBorder="1" applyAlignment="1">
      <alignment horizontal="left" vertical="center" wrapText="1" indent="1"/>
    </xf>
    <xf numFmtId="0" fontId="42" fillId="2" borderId="65" xfId="0" applyFont="1" applyFill="1" applyBorder="1" applyAlignment="1">
      <alignment horizontal="left" vertical="center" wrapText="1" indent="1"/>
    </xf>
    <xf numFmtId="0" fontId="43" fillId="7" borderId="59" xfId="0" applyFont="1" applyFill="1" applyBorder="1" applyAlignment="1">
      <alignment horizontal="center" vertical="center"/>
    </xf>
    <xf numFmtId="2" fontId="41" fillId="7" borderId="20" xfId="0" applyNumberFormat="1" applyFont="1" applyFill="1" applyBorder="1" applyAlignment="1">
      <alignment horizontal="center" vertical="center"/>
    </xf>
    <xf numFmtId="2" fontId="41" fillId="7" borderId="42" xfId="0" applyNumberFormat="1" applyFont="1" applyFill="1" applyBorder="1" applyAlignment="1">
      <alignment horizontal="center" vertical="center"/>
    </xf>
    <xf numFmtId="0" fontId="35" fillId="2" borderId="64" xfId="0" applyFont="1" applyFill="1" applyBorder="1" applyAlignment="1">
      <alignment horizontal="center" vertical="center" wrapText="1"/>
    </xf>
    <xf numFmtId="0" fontId="35" fillId="2" borderId="10" xfId="0" applyFont="1" applyFill="1" applyBorder="1" applyAlignment="1">
      <alignment horizontal="center" vertical="center" wrapText="1"/>
    </xf>
    <xf numFmtId="0" fontId="35" fillId="2" borderId="0" xfId="0" applyFont="1" applyFill="1" applyAlignment="1">
      <alignment horizontal="center" vertical="center" wrapText="1"/>
    </xf>
    <xf numFmtId="0" fontId="30" fillId="5" borderId="5" xfId="0" applyFont="1" applyFill="1" applyBorder="1" applyAlignment="1">
      <alignment horizontal="center" vertical="center" wrapText="1"/>
    </xf>
    <xf numFmtId="0" fontId="30" fillId="5" borderId="7" xfId="0" applyFont="1" applyFill="1" applyBorder="1" applyAlignment="1">
      <alignment horizontal="center" vertical="center" wrapText="1"/>
    </xf>
    <xf numFmtId="0" fontId="30" fillId="5" borderId="4" xfId="0" applyFont="1" applyFill="1" applyBorder="1" applyAlignment="1">
      <alignment horizontal="center" vertical="center" wrapText="1"/>
    </xf>
    <xf numFmtId="0" fontId="30" fillId="5" borderId="58" xfId="0" applyFont="1" applyFill="1" applyBorder="1" applyAlignment="1">
      <alignment horizontal="center" vertical="center" wrapText="1"/>
    </xf>
    <xf numFmtId="0" fontId="30" fillId="5" borderId="16" xfId="0" applyFont="1" applyFill="1" applyBorder="1" applyAlignment="1">
      <alignment horizontal="center" vertical="center" wrapText="1"/>
    </xf>
    <xf numFmtId="0" fontId="30" fillId="5" borderId="57" xfId="0" applyFont="1" applyFill="1" applyBorder="1" applyAlignment="1">
      <alignment horizontal="center" vertical="center" wrapText="1"/>
    </xf>
    <xf numFmtId="0" fontId="31" fillId="4" borderId="23"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22" xfId="0" applyFont="1" applyFill="1" applyBorder="1" applyAlignment="1">
      <alignment horizontal="center" vertical="center" wrapText="1"/>
    </xf>
    <xf numFmtId="0" fontId="31" fillId="4" borderId="21" xfId="0" applyFont="1" applyFill="1" applyBorder="1" applyAlignment="1">
      <alignment horizontal="center" vertical="center" wrapText="1"/>
    </xf>
    <xf numFmtId="0" fontId="31" fillId="4" borderId="33" xfId="0" applyFont="1" applyFill="1" applyBorder="1" applyAlignment="1">
      <alignment horizontal="center" vertical="center" wrapText="1"/>
    </xf>
    <xf numFmtId="0" fontId="31" fillId="4" borderId="31" xfId="0" applyFont="1" applyFill="1" applyBorder="1" applyAlignment="1">
      <alignment horizontal="center" vertical="center" wrapText="1"/>
    </xf>
    <xf numFmtId="0" fontId="22" fillId="5" borderId="12" xfId="0" applyFont="1" applyFill="1" applyBorder="1" applyAlignment="1">
      <alignment horizontal="center" vertical="center" wrapText="1"/>
    </xf>
    <xf numFmtId="0" fontId="22" fillId="5" borderId="13" xfId="0" applyFont="1" applyFill="1" applyBorder="1" applyAlignment="1">
      <alignment horizontal="center" vertical="center" wrapText="1"/>
    </xf>
    <xf numFmtId="0" fontId="22" fillId="5" borderId="14" xfId="0" applyFont="1" applyFill="1" applyBorder="1" applyAlignment="1">
      <alignment horizontal="center" vertical="center" wrapText="1"/>
    </xf>
    <xf numFmtId="0" fontId="23" fillId="6" borderId="10" xfId="0" applyFont="1" applyFill="1" applyBorder="1" applyAlignment="1">
      <alignment horizontal="left" vertical="center" wrapText="1"/>
    </xf>
    <xf numFmtId="0" fontId="23" fillId="6" borderId="0" xfId="0" applyFont="1" applyFill="1" applyAlignment="1">
      <alignment horizontal="left" vertical="center" wrapText="1"/>
    </xf>
    <xf numFmtId="0" fontId="23" fillId="6" borderId="11" xfId="0" applyFont="1" applyFill="1" applyBorder="1" applyAlignment="1">
      <alignment horizontal="left" vertical="center" wrapText="1"/>
    </xf>
    <xf numFmtId="0" fontId="35" fillId="7" borderId="15" xfId="0" applyFont="1" applyFill="1" applyBorder="1" applyAlignment="1">
      <alignment horizontal="center" vertical="center" wrapText="1"/>
    </xf>
    <xf numFmtId="0" fontId="35" fillId="7" borderId="16" xfId="0" applyFont="1" applyFill="1" applyBorder="1" applyAlignment="1">
      <alignment horizontal="center" vertical="center" wrapText="1"/>
    </xf>
    <xf numFmtId="0" fontId="23" fillId="9" borderId="34" xfId="0" applyFont="1" applyFill="1" applyBorder="1" applyAlignment="1">
      <alignment horizontal="left" vertical="center" wrapText="1"/>
    </xf>
    <xf numFmtId="0" fontId="23" fillId="9" borderId="35" xfId="0" applyFont="1" applyFill="1" applyBorder="1" applyAlignment="1">
      <alignment horizontal="left" vertical="center" wrapText="1"/>
    </xf>
    <xf numFmtId="0" fontId="23" fillId="9" borderId="36" xfId="0" applyFont="1" applyFill="1" applyBorder="1" applyAlignment="1">
      <alignment horizontal="left" vertical="center" wrapText="1"/>
    </xf>
    <xf numFmtId="0" fontId="24" fillId="4" borderId="37" xfId="0" applyFont="1" applyFill="1" applyBorder="1" applyAlignment="1">
      <alignment horizontal="center" vertical="center"/>
    </xf>
    <xf numFmtId="0" fontId="24" fillId="4" borderId="38" xfId="0" applyFont="1" applyFill="1" applyBorder="1" applyAlignment="1">
      <alignment horizontal="center" vertical="center"/>
    </xf>
    <xf numFmtId="0" fontId="24" fillId="4" borderId="39" xfId="0" applyFont="1" applyFill="1" applyBorder="1" applyAlignment="1">
      <alignment horizontal="center" vertical="center"/>
    </xf>
    <xf numFmtId="0" fontId="20" fillId="0" borderId="40" xfId="0" applyFont="1" applyBorder="1" applyAlignment="1">
      <alignment horizontal="center" vertical="center" wrapText="1"/>
    </xf>
    <xf numFmtId="0" fontId="20" fillId="0" borderId="41" xfId="0" applyFont="1" applyBorder="1" applyAlignment="1">
      <alignment horizontal="center" vertical="center" wrapText="1"/>
    </xf>
    <xf numFmtId="0" fontId="20" fillId="0" borderId="42" xfId="0" applyFont="1" applyBorder="1" applyAlignment="1">
      <alignment horizontal="center" vertical="center" wrapText="1"/>
    </xf>
    <xf numFmtId="0" fontId="20" fillId="8" borderId="40" xfId="0" applyFont="1" applyFill="1" applyBorder="1" applyAlignment="1">
      <alignment horizontal="center" vertical="center" wrapText="1"/>
    </xf>
    <xf numFmtId="0" fontId="20" fillId="8" borderId="41" xfId="0" applyFont="1" applyFill="1" applyBorder="1" applyAlignment="1">
      <alignment horizontal="center" vertical="center" wrapText="1"/>
    </xf>
    <xf numFmtId="0" fontId="20" fillId="8" borderId="42" xfId="0" applyFont="1" applyFill="1" applyBorder="1" applyAlignment="1">
      <alignment horizontal="center" vertical="center" wrapText="1"/>
    </xf>
    <xf numFmtId="0" fontId="20" fillId="8" borderId="28" xfId="0" applyFont="1" applyFill="1" applyBorder="1" applyAlignment="1">
      <alignment horizontal="center" vertical="center" wrapText="1"/>
    </xf>
    <xf numFmtId="0" fontId="20" fillId="8" borderId="32" xfId="0" applyFont="1" applyFill="1" applyBorder="1" applyAlignment="1">
      <alignment horizontal="center" vertical="center" wrapText="1"/>
    </xf>
    <xf numFmtId="0" fontId="20" fillId="8" borderId="43" xfId="0" applyFont="1" applyFill="1" applyBorder="1" applyAlignment="1">
      <alignment horizontal="center" vertical="center" wrapText="1"/>
    </xf>
    <xf numFmtId="0" fontId="35" fillId="7" borderId="16" xfId="0" applyFont="1" applyFill="1" applyBorder="1" applyAlignment="1">
      <alignment horizontal="center" vertical="center"/>
    </xf>
    <xf numFmtId="0" fontId="35" fillId="7" borderId="17" xfId="0"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Dezember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D466-4AB0-A7E1-359E432665C5}"/>
            </c:ext>
          </c:extLst>
        </c:ser>
        <c:dLbls>
          <c:showLegendKey val="0"/>
          <c:showVal val="0"/>
          <c:showCatName val="0"/>
          <c:showSerName val="0"/>
          <c:showPercent val="0"/>
          <c:showBubbleSize val="0"/>
        </c:dLbls>
        <c:gapWidth val="150"/>
        <c:axId val="1793989711"/>
        <c:axId val="1793992111"/>
      </c:barChart>
      <c:catAx>
        <c:axId val="1793989711"/>
        <c:scaling>
          <c:orientation val="minMax"/>
        </c:scaling>
        <c:delete val="0"/>
        <c:axPos val="b"/>
        <c:numFmt formatCode="General" sourceLinked="1"/>
        <c:majorTickMark val="out"/>
        <c:minorTickMark val="none"/>
        <c:tickLblPos val="nextTo"/>
        <c:crossAx val="1793992111"/>
        <c:crosses val="autoZero"/>
        <c:auto val="1"/>
        <c:lblAlgn val="ctr"/>
        <c:lblOffset val="100"/>
        <c:noMultiLvlLbl val="0"/>
      </c:catAx>
      <c:valAx>
        <c:axId val="1793992111"/>
        <c:scaling>
          <c:orientation val="minMax"/>
        </c:scaling>
        <c:delete val="0"/>
        <c:axPos val="l"/>
        <c:majorGridlines/>
        <c:numFmt formatCode="General" sourceLinked="1"/>
        <c:majorTickMark val="out"/>
        <c:minorTickMark val="none"/>
        <c:tickLblPos val="nextTo"/>
        <c:crossAx val="17939897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2</c:v>
                </c:pt>
                <c:pt idx="3">
                  <c:v>4</c:v>
                </c:pt>
                <c:pt idx="4">
                  <c:v>1</c:v>
                </c:pt>
              </c:numCache>
            </c:numRef>
          </c:val>
          <c:extLst>
            <c:ext xmlns:c16="http://schemas.microsoft.com/office/drawing/2014/chart" uri="{C3380CC4-5D6E-409C-BE32-E72D297353CC}">
              <c16:uniqueId val="{00000000-609B-412E-8FC6-29719DB2678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2</c:v>
                </c:pt>
                <c:pt idx="3">
                  <c:v>1</c:v>
                </c:pt>
                <c:pt idx="4">
                  <c:v>3</c:v>
                </c:pt>
              </c:numCache>
            </c:numRef>
          </c:val>
          <c:extLst>
            <c:ext xmlns:c16="http://schemas.microsoft.com/office/drawing/2014/chart" uri="{C3380CC4-5D6E-409C-BE32-E72D297353CC}">
              <c16:uniqueId val="{00000000-2473-46C8-BC2C-88C4A3677A06}"/>
            </c:ext>
          </c:extLst>
        </c:ser>
        <c:dLbls>
          <c:showLegendKey val="0"/>
          <c:showVal val="0"/>
          <c:showCatName val="0"/>
          <c:showSerName val="0"/>
          <c:showPercent val="0"/>
          <c:showBubbleSize val="0"/>
        </c:dLbls>
        <c:gapWidth val="150"/>
        <c:axId val="1793527935"/>
        <c:axId val="1793527455"/>
      </c:barChart>
      <c:catAx>
        <c:axId val="1793527935"/>
        <c:scaling>
          <c:orientation val="minMax"/>
        </c:scaling>
        <c:delete val="0"/>
        <c:axPos val="l"/>
        <c:numFmt formatCode="General" sourceLinked="1"/>
        <c:majorTickMark val="out"/>
        <c:minorTickMark val="none"/>
        <c:tickLblPos val="nextTo"/>
        <c:crossAx val="1793527455"/>
        <c:crosses val="autoZero"/>
        <c:auto val="1"/>
        <c:lblAlgn val="ctr"/>
        <c:lblOffset val="100"/>
        <c:noMultiLvlLbl val="0"/>
      </c:catAx>
      <c:valAx>
        <c:axId val="1793527455"/>
        <c:scaling>
          <c:orientation val="minMax"/>
        </c:scaling>
        <c:delete val="0"/>
        <c:axPos val="b"/>
        <c:majorGridlines/>
        <c:numFmt formatCode="General" sourceLinked="1"/>
        <c:majorTickMark val="out"/>
        <c:minorTickMark val="none"/>
        <c:tickLblPos val="nextTo"/>
        <c:crossAx val="179352793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2" name="btn_Admin_Smoke">
          <a:extLst>
            <a:ext uri="{FF2B5EF4-FFF2-40B4-BE49-F238E27FC236}">
              <a16:creationId xmlns:a16="http://schemas.microsoft.com/office/drawing/2014/main" id="{6C5818C7-3D8B-5299-AF16-E0A09B56CDA4}"/>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 name="btn_Admin_Refresh">
          <a:extLst>
            <a:ext uri="{FF2B5EF4-FFF2-40B4-BE49-F238E27FC236}">
              <a16:creationId xmlns:a16="http://schemas.microsoft.com/office/drawing/2014/main" id="{8AB0C373-052A-92F1-7A33-186DC785AFFD}"/>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4" name="btn_Admin_Quick">
          <a:extLst>
            <a:ext uri="{FF2B5EF4-FFF2-40B4-BE49-F238E27FC236}">
              <a16:creationId xmlns:a16="http://schemas.microsoft.com/office/drawing/2014/main" id="{6F1F0D4B-2F41-1EE2-9C52-0F1AD3CF27BA}"/>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5" name="btn_Admin_Format">
          <a:extLst>
            <a:ext uri="{FF2B5EF4-FFF2-40B4-BE49-F238E27FC236}">
              <a16:creationId xmlns:a16="http://schemas.microsoft.com/office/drawing/2014/main" id="{217E33A9-404A-754C-DA8C-5B64C62A95F7}"/>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6" name="btn_Admin_Import">
          <a:extLst>
            <a:ext uri="{FF2B5EF4-FFF2-40B4-BE49-F238E27FC236}">
              <a16:creationId xmlns:a16="http://schemas.microsoft.com/office/drawing/2014/main" id="{C1F41009-DF94-E4D1-A198-02E2468F5AAC}"/>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7" name="btn_Admin_Perf">
          <a:extLst>
            <a:ext uri="{FF2B5EF4-FFF2-40B4-BE49-F238E27FC236}">
              <a16:creationId xmlns:a16="http://schemas.microsoft.com/office/drawing/2014/main" id="{E898008C-91B6-A57A-152C-F5DDE36582D6}"/>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8" name="btn_Admin_Protect">
          <a:extLst>
            <a:ext uri="{FF2B5EF4-FFF2-40B4-BE49-F238E27FC236}">
              <a16:creationId xmlns:a16="http://schemas.microsoft.com/office/drawing/2014/main" id="{9FBB2E33-D699-2ED9-2DA4-93DA811C389B}"/>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9" name="btn_Admin_Unprotect">
          <a:extLst>
            <a:ext uri="{FF2B5EF4-FFF2-40B4-BE49-F238E27FC236}">
              <a16:creationId xmlns:a16="http://schemas.microsoft.com/office/drawing/2014/main" id="{F0AF53FB-E0DC-3424-2A06-FCF2A32872AB}"/>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10" name="btn_Admin_ShowTech">
          <a:extLst>
            <a:ext uri="{FF2B5EF4-FFF2-40B4-BE49-F238E27FC236}">
              <a16:creationId xmlns:a16="http://schemas.microsoft.com/office/drawing/2014/main" id="{9644ADF4-CD86-AA53-33E1-D3DD2D2FDA19}"/>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11" name="btn_Admin_HideTech">
          <a:extLst>
            <a:ext uri="{FF2B5EF4-FFF2-40B4-BE49-F238E27FC236}">
              <a16:creationId xmlns:a16="http://schemas.microsoft.com/office/drawing/2014/main" id="{63F7D16C-F252-EE49-585C-8E0EA439AF8D}"/>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12" name="btn_Admin_Lohn">
          <a:extLst>
            <a:ext uri="{FF2B5EF4-FFF2-40B4-BE49-F238E27FC236}">
              <a16:creationId xmlns:a16="http://schemas.microsoft.com/office/drawing/2014/main" id="{FD5B49E0-F6D7-7B5D-9BB0-652FA911682F}"/>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13" name="btn_Admin_ResetHours">
          <a:extLst>
            <a:ext uri="{FF2B5EF4-FFF2-40B4-BE49-F238E27FC236}">
              <a16:creationId xmlns:a16="http://schemas.microsoft.com/office/drawing/2014/main" id="{69E82A53-B9CE-1F1C-C631-71BE47F0A2F5}"/>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14" name="btn_Admin_SmokeSheet">
          <a:extLst>
            <a:ext uri="{FF2B5EF4-FFF2-40B4-BE49-F238E27FC236}">
              <a16:creationId xmlns:a16="http://schemas.microsoft.com/office/drawing/2014/main" id="{2F1B8382-FE67-43DB-C170-03B83425AD62}"/>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15" name="btn_Admin_Hide">
          <a:extLst>
            <a:ext uri="{FF2B5EF4-FFF2-40B4-BE49-F238E27FC236}">
              <a16:creationId xmlns:a16="http://schemas.microsoft.com/office/drawing/2014/main" id="{97E1D85F-9532-A363-D873-CDA8CBE6E301}"/>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1574801</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1206500</xdr:colOff>
      <xdr:row>43</xdr:row>
      <xdr:rowOff>0</xdr:rowOff>
    </xdr:to>
    <xdr:graphicFrame macro="">
      <xdr:nvGraphicFramePr>
        <xdr:cNvPr id="2" name="Diagramm 1">
          <a:extLst>
            <a:ext uri="{FF2B5EF4-FFF2-40B4-BE49-F238E27FC236}">
              <a16:creationId xmlns:a16="http://schemas.microsoft.com/office/drawing/2014/main" id="{78CF4749-F356-482A-302D-BF5FB41A0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29</xdr:row>
      <xdr:rowOff>0</xdr:rowOff>
    </xdr:from>
    <xdr:to>
      <xdr:col>4</xdr:col>
      <xdr:colOff>1498600</xdr:colOff>
      <xdr:row>43</xdr:row>
      <xdr:rowOff>0</xdr:rowOff>
    </xdr:to>
    <xdr:graphicFrame macro="">
      <xdr:nvGraphicFramePr>
        <xdr:cNvPr id="3" name="Diagramm 2">
          <a:extLst>
            <a:ext uri="{FF2B5EF4-FFF2-40B4-BE49-F238E27FC236}">
              <a16:creationId xmlns:a16="http://schemas.microsoft.com/office/drawing/2014/main" id="{2F743F14-A74F-8F5D-AE34-F0D563882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1498600</xdr:colOff>
      <xdr:row>57</xdr:row>
      <xdr:rowOff>152400</xdr:rowOff>
    </xdr:to>
    <xdr:graphicFrame macro="">
      <xdr:nvGraphicFramePr>
        <xdr:cNvPr id="4" name="Diagramm 3">
          <a:extLst>
            <a:ext uri="{FF2B5EF4-FFF2-40B4-BE49-F238E27FC236}">
              <a16:creationId xmlns:a16="http://schemas.microsoft.com/office/drawing/2014/main" id="{D1216DD4-E059-418D-67AE-1C45035BED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customWidth="1"/>
    <col min="2" max="5" width="22.6328125" customWidth="1"/>
  </cols>
  <sheetData>
    <row r="1" spans="2:5" ht="21">
      <c r="B1" s="279" t="s">
        <v>406</v>
      </c>
      <c r="C1" s="280"/>
      <c r="D1" s="280"/>
      <c r="E1" s="280"/>
    </row>
    <row r="2" spans="2:5">
      <c r="B2" s="281" t="s">
        <v>407</v>
      </c>
      <c r="C2" s="282"/>
      <c r="D2" s="282"/>
      <c r="E2" s="282"/>
    </row>
    <row r="3" spans="2:5">
      <c r="B3" s="135" t="s">
        <v>408</v>
      </c>
      <c r="C3" s="135">
        <v>2026</v>
      </c>
      <c r="D3" s="135" t="s">
        <v>409</v>
      </c>
      <c r="E3" s="135">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4" activePane="bottomLeft" state="frozen"/>
      <selection pane="bottomLeft" activeCell="J14" sqref="J14"/>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283" t="s">
        <v>279</v>
      </c>
      <c r="B1" s="283"/>
      <c r="C1" s="283"/>
      <c r="D1" s="283"/>
      <c r="E1" s="283"/>
      <c r="F1" s="283"/>
      <c r="G1" s="283"/>
      <c r="H1" s="283"/>
      <c r="I1" s="283"/>
      <c r="J1" s="283"/>
    </row>
    <row r="2" spans="1:15" ht="24" customHeight="1">
      <c r="A2" s="168"/>
      <c r="B2" s="168"/>
      <c r="C2" s="168"/>
      <c r="D2" s="168"/>
      <c r="E2" s="168"/>
      <c r="F2" s="168"/>
      <c r="G2" s="168"/>
      <c r="H2" s="169"/>
      <c r="I2" s="170"/>
      <c r="J2" s="170"/>
      <c r="L2" s="284" t="s">
        <v>393</v>
      </c>
      <c r="M2" s="284"/>
      <c r="N2" s="284"/>
      <c r="O2" s="81"/>
    </row>
    <row r="3" spans="1:15" ht="18" customHeight="1" thickBot="1">
      <c r="A3" s="68" t="s">
        <v>284</v>
      </c>
      <c r="B3" s="68" t="s">
        <v>351</v>
      </c>
      <c r="C3" s="68" t="s">
        <v>352</v>
      </c>
      <c r="D3" s="68" t="s">
        <v>288</v>
      </c>
      <c r="E3" s="68" t="s">
        <v>285</v>
      </c>
      <c r="F3" s="68" t="s">
        <v>353</v>
      </c>
      <c r="G3" s="68" t="s">
        <v>286</v>
      </c>
      <c r="H3" s="69" t="s">
        <v>1</v>
      </c>
      <c r="I3" s="68" t="s">
        <v>287</v>
      </c>
      <c r="J3" s="68" t="s">
        <v>354</v>
      </c>
    </row>
    <row r="4" spans="1:15" ht="24" customHeight="1" thickBot="1">
      <c r="A4" s="291" t="s">
        <v>402</v>
      </c>
      <c r="B4" s="292"/>
      <c r="C4" s="292"/>
      <c r="D4" s="293"/>
      <c r="E4" s="293"/>
      <c r="F4" s="293"/>
      <c r="G4" s="294"/>
      <c r="H4" s="295"/>
      <c r="I4" s="293"/>
      <c r="J4" s="296"/>
    </row>
    <row r="5" spans="1:15" ht="24" customHeight="1">
      <c r="A5" s="118" t="s">
        <v>401</v>
      </c>
      <c r="B5" s="100">
        <v>46143</v>
      </c>
      <c r="C5" s="100">
        <v>46507</v>
      </c>
      <c r="D5" s="101" t="s">
        <v>289</v>
      </c>
      <c r="E5" s="101" t="s">
        <v>2</v>
      </c>
      <c r="F5" s="101" t="s">
        <v>280</v>
      </c>
      <c r="G5" s="82">
        <v>173</v>
      </c>
      <c r="H5" s="83">
        <v>2900</v>
      </c>
      <c r="I5" s="102" t="str">
        <f t="shared" ref="I5:I36" si="0">IF($A5="","",IF(OR($B5="",$C5="",$D5="",$E5="",$F5=""),"Stammdaten fehlen",IF(AND($G5="",$H5=""),"Werte fehlen",IF($G5="","Monatsstunden fehlen",IF($H5="","Monatslohn fehlt","OK")))))</f>
        <v>OK</v>
      </c>
      <c r="J5" s="124" t="str">
        <f t="shared" ref="J5:J36" si="1">IF($G5="","",IF(COUNTIFS($A:$A,$A5,$D:$D,$D5,$G:$G,$G5)&gt;1,"Doppelte Monatsstunden",""))</f>
        <v/>
      </c>
    </row>
    <row r="6" spans="1:15" ht="24" customHeight="1">
      <c r="A6" s="119" t="s">
        <v>401</v>
      </c>
      <c r="B6" s="103">
        <v>46143</v>
      </c>
      <c r="C6" s="103">
        <v>46507</v>
      </c>
      <c r="D6" s="104" t="s">
        <v>289</v>
      </c>
      <c r="E6" s="104" t="s">
        <v>2</v>
      </c>
      <c r="F6" s="104" t="s">
        <v>280</v>
      </c>
      <c r="G6" s="84">
        <v>172</v>
      </c>
      <c r="H6" s="85">
        <v>3452</v>
      </c>
      <c r="I6" s="105" t="str">
        <f t="shared" si="0"/>
        <v>OK</v>
      </c>
      <c r="J6" s="125" t="str">
        <f t="shared" si="1"/>
        <v/>
      </c>
      <c r="K6" t="s">
        <v>400</v>
      </c>
    </row>
    <row r="7" spans="1:15" ht="24" customHeight="1">
      <c r="A7" s="119" t="s">
        <v>401</v>
      </c>
      <c r="B7" s="103">
        <v>46143</v>
      </c>
      <c r="C7" s="103">
        <v>46507</v>
      </c>
      <c r="D7" s="104" t="s">
        <v>289</v>
      </c>
      <c r="E7" s="104" t="s">
        <v>2</v>
      </c>
      <c r="F7" s="104" t="s">
        <v>280</v>
      </c>
      <c r="G7" s="84">
        <v>170</v>
      </c>
      <c r="H7" s="85">
        <v>4321</v>
      </c>
      <c r="I7" s="105" t="str">
        <f t="shared" si="0"/>
        <v>OK</v>
      </c>
      <c r="J7" s="125" t="str">
        <f t="shared" si="1"/>
        <v/>
      </c>
      <c r="K7" t="s">
        <v>400</v>
      </c>
    </row>
    <row r="8" spans="1:15" ht="24" customHeight="1">
      <c r="A8" s="119" t="s">
        <v>401</v>
      </c>
      <c r="B8" s="103">
        <v>46143</v>
      </c>
      <c r="C8" s="103">
        <v>46507</v>
      </c>
      <c r="D8" s="104" t="s">
        <v>289</v>
      </c>
      <c r="E8" s="104" t="s">
        <v>2</v>
      </c>
      <c r="F8" s="104" t="s">
        <v>280</v>
      </c>
      <c r="G8" s="84">
        <v>166</v>
      </c>
      <c r="H8" s="85">
        <v>2454</v>
      </c>
      <c r="I8" s="105" t="str">
        <f t="shared" si="0"/>
        <v>OK</v>
      </c>
      <c r="J8" s="125" t="str">
        <f t="shared" si="1"/>
        <v/>
      </c>
      <c r="K8" t="s">
        <v>400</v>
      </c>
    </row>
    <row r="9" spans="1:15" ht="24" customHeight="1">
      <c r="A9" s="119" t="s">
        <v>401</v>
      </c>
      <c r="B9" s="103">
        <v>46143</v>
      </c>
      <c r="C9" s="103">
        <v>46507</v>
      </c>
      <c r="D9" s="104" t="s">
        <v>289</v>
      </c>
      <c r="E9" s="104" t="s">
        <v>2</v>
      </c>
      <c r="F9" s="104" t="s">
        <v>280</v>
      </c>
      <c r="G9" s="84">
        <v>151.38</v>
      </c>
      <c r="H9" s="85">
        <v>2500</v>
      </c>
      <c r="I9" s="105" t="str">
        <f t="shared" si="0"/>
        <v>OK</v>
      </c>
      <c r="J9" s="125" t="str">
        <f t="shared" si="1"/>
        <v/>
      </c>
    </row>
    <row r="10" spans="1:15" ht="24" customHeight="1">
      <c r="A10" s="119" t="s">
        <v>401</v>
      </c>
      <c r="B10" s="103">
        <v>46143</v>
      </c>
      <c r="C10" s="103">
        <v>46507</v>
      </c>
      <c r="D10" s="104" t="s">
        <v>289</v>
      </c>
      <c r="E10" s="104" t="s">
        <v>2</v>
      </c>
      <c r="F10" s="104" t="s">
        <v>280</v>
      </c>
      <c r="G10" s="84">
        <v>138.4</v>
      </c>
      <c r="H10" s="85">
        <v>2400</v>
      </c>
      <c r="I10" s="105" t="str">
        <f t="shared" si="0"/>
        <v>OK</v>
      </c>
      <c r="J10" s="125" t="str">
        <f t="shared" si="1"/>
        <v/>
      </c>
    </row>
    <row r="11" spans="1:15" ht="24" customHeight="1">
      <c r="A11" s="119" t="s">
        <v>401</v>
      </c>
      <c r="B11" s="103">
        <v>46143</v>
      </c>
      <c r="C11" s="103">
        <v>46507</v>
      </c>
      <c r="D11" s="104" t="s">
        <v>289</v>
      </c>
      <c r="E11" s="104" t="s">
        <v>2</v>
      </c>
      <c r="F11" s="104" t="s">
        <v>280</v>
      </c>
      <c r="G11" s="84">
        <v>129.75</v>
      </c>
      <c r="H11" s="85">
        <v>2300</v>
      </c>
      <c r="I11" s="105" t="str">
        <f t="shared" si="0"/>
        <v>OK</v>
      </c>
      <c r="J11" s="125" t="str">
        <f t="shared" si="1"/>
        <v/>
      </c>
    </row>
    <row r="12" spans="1:15" ht="24" customHeight="1">
      <c r="A12" s="119" t="s">
        <v>401</v>
      </c>
      <c r="B12" s="103">
        <v>46143</v>
      </c>
      <c r="C12" s="103">
        <v>46507</v>
      </c>
      <c r="D12" s="104" t="s">
        <v>289</v>
      </c>
      <c r="E12" s="104" t="s">
        <v>2</v>
      </c>
      <c r="F12" s="104" t="s">
        <v>280</v>
      </c>
      <c r="G12" s="84">
        <v>108.13</v>
      </c>
      <c r="H12" s="85">
        <v>2200</v>
      </c>
      <c r="I12" s="105" t="str">
        <f t="shared" si="0"/>
        <v>OK</v>
      </c>
      <c r="J12" s="125" t="str">
        <f t="shared" si="1"/>
        <v/>
      </c>
    </row>
    <row r="13" spans="1:15" ht="24" customHeight="1">
      <c r="A13" s="119" t="s">
        <v>401</v>
      </c>
      <c r="B13" s="103">
        <v>46143</v>
      </c>
      <c r="C13" s="103">
        <v>46507</v>
      </c>
      <c r="D13" s="104" t="s">
        <v>289</v>
      </c>
      <c r="E13" s="104" t="s">
        <v>2</v>
      </c>
      <c r="F13" s="104" t="s">
        <v>280</v>
      </c>
      <c r="G13" s="84">
        <v>105</v>
      </c>
      <c r="H13" s="85">
        <v>2333</v>
      </c>
      <c r="I13" s="105" t="str">
        <f t="shared" si="0"/>
        <v>OK</v>
      </c>
      <c r="J13" s="125" t="str">
        <f t="shared" si="1"/>
        <v/>
      </c>
    </row>
    <row r="14" spans="1:15" ht="24" customHeight="1">
      <c r="A14" s="119" t="s">
        <v>401</v>
      </c>
      <c r="B14" s="103">
        <v>46143</v>
      </c>
      <c r="C14" s="103">
        <v>46507</v>
      </c>
      <c r="D14" s="104" t="s">
        <v>289</v>
      </c>
      <c r="E14" s="104" t="s">
        <v>2</v>
      </c>
      <c r="F14" s="104" t="s">
        <v>280</v>
      </c>
      <c r="G14" s="84">
        <v>103.8</v>
      </c>
      <c r="H14" s="85">
        <v>2222</v>
      </c>
      <c r="I14" s="105" t="str">
        <f t="shared" si="0"/>
        <v>OK</v>
      </c>
      <c r="J14" s="125" t="str">
        <f t="shared" si="1"/>
        <v/>
      </c>
    </row>
    <row r="15" spans="1:15" ht="24" customHeight="1">
      <c r="A15" s="119" t="s">
        <v>401</v>
      </c>
      <c r="B15" s="103">
        <v>46143</v>
      </c>
      <c r="C15" s="103">
        <v>46507</v>
      </c>
      <c r="D15" s="104" t="s">
        <v>289</v>
      </c>
      <c r="E15" s="104" t="s">
        <v>2</v>
      </c>
      <c r="F15" s="104" t="s">
        <v>280</v>
      </c>
      <c r="G15" s="84">
        <v>86.5</v>
      </c>
      <c r="H15" s="85">
        <v>2152</v>
      </c>
      <c r="I15" s="105" t="str">
        <f t="shared" si="0"/>
        <v>OK</v>
      </c>
      <c r="J15" s="125" t="str">
        <f t="shared" si="1"/>
        <v/>
      </c>
    </row>
    <row r="16" spans="1:15" ht="24" customHeight="1">
      <c r="A16" s="119" t="s">
        <v>401</v>
      </c>
      <c r="B16" s="103">
        <v>46143</v>
      </c>
      <c r="C16" s="103">
        <v>46507</v>
      </c>
      <c r="D16" s="104" t="s">
        <v>289</v>
      </c>
      <c r="E16" s="104" t="s">
        <v>2</v>
      </c>
      <c r="F16" s="104" t="s">
        <v>280</v>
      </c>
      <c r="G16" s="84">
        <v>69.2</v>
      </c>
      <c r="H16" s="85">
        <v>2654</v>
      </c>
      <c r="I16" s="105" t="str">
        <f t="shared" si="0"/>
        <v>OK</v>
      </c>
      <c r="J16" s="125" t="str">
        <f t="shared" si="1"/>
        <v/>
      </c>
    </row>
    <row r="17" spans="1:11" ht="24" customHeight="1">
      <c r="A17" s="119" t="s">
        <v>401</v>
      </c>
      <c r="B17" s="103">
        <v>46143</v>
      </c>
      <c r="C17" s="103">
        <v>46507</v>
      </c>
      <c r="D17" s="104" t="s">
        <v>289</v>
      </c>
      <c r="E17" s="104" t="s">
        <v>2</v>
      </c>
      <c r="F17" s="104" t="s">
        <v>280</v>
      </c>
      <c r="G17" s="84">
        <v>51.9</v>
      </c>
      <c r="H17" s="85">
        <v>2120</v>
      </c>
      <c r="I17" s="105" t="str">
        <f t="shared" si="0"/>
        <v>OK</v>
      </c>
      <c r="J17" s="125" t="str">
        <f t="shared" si="1"/>
        <v/>
      </c>
    </row>
    <row r="18" spans="1:11" ht="24" customHeight="1">
      <c r="A18" s="119" t="s">
        <v>401</v>
      </c>
      <c r="B18" s="103">
        <v>46143</v>
      </c>
      <c r="C18" s="103">
        <v>46507</v>
      </c>
      <c r="D18" s="104" t="s">
        <v>289</v>
      </c>
      <c r="E18" s="104" t="s">
        <v>2</v>
      </c>
      <c r="F18" s="104" t="s">
        <v>280</v>
      </c>
      <c r="G18" s="84">
        <v>47.58</v>
      </c>
      <c r="H18" s="85">
        <v>2562</v>
      </c>
      <c r="I18" s="105" t="str">
        <f t="shared" si="0"/>
        <v>OK</v>
      </c>
      <c r="J18" s="125" t="str">
        <f t="shared" si="1"/>
        <v/>
      </c>
    </row>
    <row r="19" spans="1:11" ht="24" customHeight="1">
      <c r="A19" s="119" t="s">
        <v>401</v>
      </c>
      <c r="B19" s="103">
        <v>46143</v>
      </c>
      <c r="C19" s="103">
        <v>46507</v>
      </c>
      <c r="D19" s="104" t="s">
        <v>289</v>
      </c>
      <c r="E19" s="104" t="s">
        <v>2</v>
      </c>
      <c r="F19" s="104" t="s">
        <v>280</v>
      </c>
      <c r="G19" s="84">
        <v>43.25</v>
      </c>
      <c r="H19" s="85">
        <v>2021</v>
      </c>
      <c r="I19" s="105" t="str">
        <f t="shared" si="0"/>
        <v>OK</v>
      </c>
      <c r="J19" s="125" t="str">
        <f t="shared" si="1"/>
        <v/>
      </c>
    </row>
    <row r="20" spans="1:11" ht="24" customHeight="1">
      <c r="A20" s="119" t="s">
        <v>401</v>
      </c>
      <c r="B20" s="103">
        <v>46143</v>
      </c>
      <c r="C20" s="103">
        <v>46507</v>
      </c>
      <c r="D20" s="104" t="s">
        <v>289</v>
      </c>
      <c r="E20" s="104" t="s">
        <v>2</v>
      </c>
      <c r="F20" s="104" t="s">
        <v>280</v>
      </c>
      <c r="G20" s="84">
        <v>40</v>
      </c>
      <c r="H20" s="85">
        <v>600</v>
      </c>
      <c r="I20" s="105" t="str">
        <f t="shared" si="0"/>
        <v>OK</v>
      </c>
      <c r="J20" s="125" t="str">
        <f t="shared" si="1"/>
        <v/>
      </c>
      <c r="K20" t="s">
        <v>400</v>
      </c>
    </row>
    <row r="21" spans="1:11" ht="24" customHeight="1">
      <c r="A21" s="119" t="s">
        <v>401</v>
      </c>
      <c r="B21" s="103">
        <v>46143</v>
      </c>
      <c r="C21" s="103">
        <v>46507</v>
      </c>
      <c r="D21" s="104" t="s">
        <v>289</v>
      </c>
      <c r="E21" s="104" t="s">
        <v>2</v>
      </c>
      <c r="F21" s="104" t="s">
        <v>280</v>
      </c>
      <c r="G21" s="84">
        <v>39</v>
      </c>
      <c r="H21" s="85">
        <v>444</v>
      </c>
      <c r="I21" s="105" t="str">
        <f t="shared" si="0"/>
        <v>OK</v>
      </c>
      <c r="J21" s="125" t="str">
        <f t="shared" si="1"/>
        <v/>
      </c>
      <c r="K21" t="s">
        <v>400</v>
      </c>
    </row>
    <row r="22" spans="1:11" ht="24" customHeight="1" thickBot="1">
      <c r="A22" s="119" t="s">
        <v>401</v>
      </c>
      <c r="B22" s="103">
        <v>46143</v>
      </c>
      <c r="C22" s="103">
        <v>46507</v>
      </c>
      <c r="D22" s="104" t="s">
        <v>289</v>
      </c>
      <c r="E22" s="104" t="s">
        <v>2</v>
      </c>
      <c r="F22" s="104" t="s">
        <v>280</v>
      </c>
      <c r="G22" s="84">
        <v>34.6</v>
      </c>
      <c r="H22" s="85">
        <v>1254</v>
      </c>
      <c r="I22" s="105" t="str">
        <f t="shared" si="0"/>
        <v>OK</v>
      </c>
      <c r="J22" s="125" t="str">
        <f t="shared" si="1"/>
        <v/>
      </c>
    </row>
    <row r="23" spans="1:11" ht="24" customHeight="1">
      <c r="A23" s="118" t="s">
        <v>401</v>
      </c>
      <c r="B23" s="100">
        <v>46143</v>
      </c>
      <c r="C23" s="100">
        <v>46507</v>
      </c>
      <c r="D23" s="101" t="s">
        <v>3</v>
      </c>
      <c r="E23" s="101" t="s">
        <v>2</v>
      </c>
      <c r="F23" s="101" t="s">
        <v>281</v>
      </c>
      <c r="G23" s="82">
        <v>173</v>
      </c>
      <c r="H23" s="83"/>
      <c r="I23" s="102" t="str">
        <f t="shared" si="0"/>
        <v>Monatslohn fehlt</v>
      </c>
      <c r="J23" s="124" t="str">
        <f t="shared" si="1"/>
        <v/>
      </c>
    </row>
    <row r="24" spans="1:11" ht="24" customHeight="1">
      <c r="A24" s="119" t="s">
        <v>401</v>
      </c>
      <c r="B24" s="103">
        <v>46143</v>
      </c>
      <c r="C24" s="103">
        <v>46507</v>
      </c>
      <c r="D24" s="104" t="s">
        <v>3</v>
      </c>
      <c r="E24" s="104" t="s">
        <v>2</v>
      </c>
      <c r="F24" s="104" t="s">
        <v>281</v>
      </c>
      <c r="G24" s="84">
        <v>151.38</v>
      </c>
      <c r="H24" s="85"/>
      <c r="I24" s="105" t="str">
        <f t="shared" si="0"/>
        <v>Monatslohn fehlt</v>
      </c>
      <c r="J24" s="125" t="str">
        <f t="shared" si="1"/>
        <v/>
      </c>
    </row>
    <row r="25" spans="1:11" ht="24" customHeight="1">
      <c r="A25" s="119" t="s">
        <v>401</v>
      </c>
      <c r="B25" s="103">
        <v>46143</v>
      </c>
      <c r="C25" s="103">
        <v>46507</v>
      </c>
      <c r="D25" s="104" t="s">
        <v>3</v>
      </c>
      <c r="E25" s="104" t="s">
        <v>2</v>
      </c>
      <c r="F25" s="104" t="s">
        <v>281</v>
      </c>
      <c r="G25" s="84">
        <v>138.4</v>
      </c>
      <c r="H25" s="85"/>
      <c r="I25" s="105" t="str">
        <f t="shared" si="0"/>
        <v>Monatslohn fehlt</v>
      </c>
      <c r="J25" s="125" t="str">
        <f t="shared" si="1"/>
        <v/>
      </c>
    </row>
    <row r="26" spans="1:11" ht="24" customHeight="1">
      <c r="A26" s="119" t="s">
        <v>401</v>
      </c>
      <c r="B26" s="103">
        <v>46143</v>
      </c>
      <c r="C26" s="103">
        <v>46507</v>
      </c>
      <c r="D26" s="104" t="s">
        <v>3</v>
      </c>
      <c r="E26" s="104" t="s">
        <v>2</v>
      </c>
      <c r="F26" s="104" t="s">
        <v>281</v>
      </c>
      <c r="G26" s="84">
        <v>129.75</v>
      </c>
      <c r="H26" s="85"/>
      <c r="I26" s="105" t="str">
        <f t="shared" si="0"/>
        <v>Monatslohn fehlt</v>
      </c>
      <c r="J26" s="125" t="str">
        <f t="shared" si="1"/>
        <v/>
      </c>
    </row>
    <row r="27" spans="1:11" ht="24" customHeight="1">
      <c r="A27" s="119" t="s">
        <v>401</v>
      </c>
      <c r="B27" s="103">
        <v>46143</v>
      </c>
      <c r="C27" s="103">
        <v>46507</v>
      </c>
      <c r="D27" s="104" t="s">
        <v>3</v>
      </c>
      <c r="E27" s="104" t="s">
        <v>2</v>
      </c>
      <c r="F27" s="104" t="s">
        <v>281</v>
      </c>
      <c r="G27" s="84">
        <v>108.13</v>
      </c>
      <c r="H27" s="85"/>
      <c r="I27" s="105" t="str">
        <f t="shared" si="0"/>
        <v>Monatslohn fehlt</v>
      </c>
      <c r="J27" s="125" t="str">
        <f t="shared" si="1"/>
        <v/>
      </c>
    </row>
    <row r="28" spans="1:11" ht="24" customHeight="1">
      <c r="A28" s="119" t="s">
        <v>401</v>
      </c>
      <c r="B28" s="103">
        <v>46143</v>
      </c>
      <c r="C28" s="103">
        <v>46507</v>
      </c>
      <c r="D28" s="104" t="s">
        <v>3</v>
      </c>
      <c r="E28" s="104" t="s">
        <v>2</v>
      </c>
      <c r="F28" s="104" t="s">
        <v>281</v>
      </c>
      <c r="G28" s="84">
        <v>103.8</v>
      </c>
      <c r="H28" s="85"/>
      <c r="I28" s="105" t="str">
        <f t="shared" si="0"/>
        <v>Monatslohn fehlt</v>
      </c>
      <c r="J28" s="125" t="str">
        <f t="shared" si="1"/>
        <v/>
      </c>
    </row>
    <row r="29" spans="1:11" ht="24" customHeight="1">
      <c r="A29" s="119" t="s">
        <v>401</v>
      </c>
      <c r="B29" s="103">
        <v>46143</v>
      </c>
      <c r="C29" s="103">
        <v>46507</v>
      </c>
      <c r="D29" s="104" t="s">
        <v>3</v>
      </c>
      <c r="E29" s="104" t="s">
        <v>2</v>
      </c>
      <c r="F29" s="104" t="s">
        <v>281</v>
      </c>
      <c r="G29" s="84">
        <v>86.5</v>
      </c>
      <c r="H29" s="85"/>
      <c r="I29" s="105" t="str">
        <f t="shared" si="0"/>
        <v>Monatslohn fehlt</v>
      </c>
      <c r="J29" s="125" t="str">
        <f t="shared" si="1"/>
        <v/>
      </c>
    </row>
    <row r="30" spans="1:11" ht="24" customHeight="1">
      <c r="A30" s="119" t="s">
        <v>401</v>
      </c>
      <c r="B30" s="103">
        <v>46143</v>
      </c>
      <c r="C30" s="103">
        <v>46507</v>
      </c>
      <c r="D30" s="104" t="s">
        <v>3</v>
      </c>
      <c r="E30" s="104" t="s">
        <v>2</v>
      </c>
      <c r="F30" s="104" t="s">
        <v>281</v>
      </c>
      <c r="G30" s="84">
        <v>69.2</v>
      </c>
      <c r="H30" s="85"/>
      <c r="I30" s="105" t="str">
        <f t="shared" si="0"/>
        <v>Monatslohn fehlt</v>
      </c>
      <c r="J30" s="125" t="str">
        <f t="shared" si="1"/>
        <v/>
      </c>
    </row>
    <row r="31" spans="1:11" ht="24" customHeight="1">
      <c r="A31" s="119" t="s">
        <v>401</v>
      </c>
      <c r="B31" s="103">
        <v>46143</v>
      </c>
      <c r="C31" s="103">
        <v>46507</v>
      </c>
      <c r="D31" s="104" t="s">
        <v>3</v>
      </c>
      <c r="E31" s="104" t="s">
        <v>2</v>
      </c>
      <c r="F31" s="104" t="s">
        <v>281</v>
      </c>
      <c r="G31" s="84">
        <v>51.9</v>
      </c>
      <c r="H31" s="85"/>
      <c r="I31" s="105" t="str">
        <f t="shared" si="0"/>
        <v>Monatslohn fehlt</v>
      </c>
      <c r="J31" s="125" t="str">
        <f t="shared" si="1"/>
        <v/>
      </c>
    </row>
    <row r="32" spans="1:11" ht="24" customHeight="1">
      <c r="A32" s="119" t="s">
        <v>401</v>
      </c>
      <c r="B32" s="103">
        <v>46143</v>
      </c>
      <c r="C32" s="103">
        <v>46507</v>
      </c>
      <c r="D32" s="104" t="s">
        <v>3</v>
      </c>
      <c r="E32" s="104" t="s">
        <v>2</v>
      </c>
      <c r="F32" s="104" t="s">
        <v>281</v>
      </c>
      <c r="G32" s="84">
        <v>47.58</v>
      </c>
      <c r="H32" s="85"/>
      <c r="I32" s="105" t="str">
        <f t="shared" si="0"/>
        <v>Monatslohn fehlt</v>
      </c>
      <c r="J32" s="125" t="str">
        <f t="shared" si="1"/>
        <v/>
      </c>
    </row>
    <row r="33" spans="1:10" ht="24" customHeight="1">
      <c r="A33" s="119" t="s">
        <v>401</v>
      </c>
      <c r="B33" s="103">
        <v>46143</v>
      </c>
      <c r="C33" s="103">
        <v>46507</v>
      </c>
      <c r="D33" s="104" t="s">
        <v>3</v>
      </c>
      <c r="E33" s="104" t="s">
        <v>2</v>
      </c>
      <c r="F33" s="104" t="s">
        <v>281</v>
      </c>
      <c r="G33" s="84">
        <v>43.25</v>
      </c>
      <c r="H33" s="85"/>
      <c r="I33" s="105" t="str">
        <f t="shared" si="0"/>
        <v>Monatslohn fehlt</v>
      </c>
      <c r="J33" s="125" t="str">
        <f t="shared" si="1"/>
        <v/>
      </c>
    </row>
    <row r="34" spans="1:10" ht="24" customHeight="1">
      <c r="A34" s="119" t="s">
        <v>401</v>
      </c>
      <c r="B34" s="103">
        <v>46143</v>
      </c>
      <c r="C34" s="103">
        <v>46507</v>
      </c>
      <c r="D34" s="104" t="s">
        <v>3</v>
      </c>
      <c r="E34" s="104" t="s">
        <v>2</v>
      </c>
      <c r="F34" s="104" t="s">
        <v>281</v>
      </c>
      <c r="G34" s="84">
        <v>34.6</v>
      </c>
      <c r="H34" s="85"/>
      <c r="I34" s="105" t="str">
        <f t="shared" si="0"/>
        <v>Monatslohn fehlt</v>
      </c>
      <c r="J34" s="125" t="str">
        <f t="shared" si="1"/>
        <v/>
      </c>
    </row>
    <row r="35" spans="1:10" ht="24" customHeight="1" thickBot="1">
      <c r="A35" s="119" t="s">
        <v>401</v>
      </c>
      <c r="B35" s="103">
        <v>46143</v>
      </c>
      <c r="C35" s="103">
        <v>46507</v>
      </c>
      <c r="D35" s="104" t="s">
        <v>3</v>
      </c>
      <c r="E35" s="104" t="s">
        <v>2</v>
      </c>
      <c r="F35" s="104" t="s">
        <v>281</v>
      </c>
      <c r="G35" s="84">
        <v>32.01</v>
      </c>
      <c r="H35" s="85"/>
      <c r="I35" s="105" t="str">
        <f t="shared" si="0"/>
        <v>Monatslohn fehlt</v>
      </c>
      <c r="J35" s="125" t="str">
        <f t="shared" si="1"/>
        <v/>
      </c>
    </row>
    <row r="36" spans="1:10" ht="24" customHeight="1">
      <c r="A36" s="118" t="s">
        <v>401</v>
      </c>
      <c r="B36" s="100">
        <v>46143</v>
      </c>
      <c r="C36" s="100">
        <v>46507</v>
      </c>
      <c r="D36" s="101" t="s">
        <v>4</v>
      </c>
      <c r="E36" s="101" t="s">
        <v>2</v>
      </c>
      <c r="F36" s="101" t="s">
        <v>282</v>
      </c>
      <c r="G36" s="82">
        <v>173</v>
      </c>
      <c r="H36" s="83"/>
      <c r="I36" s="102" t="str">
        <f t="shared" si="0"/>
        <v>Monatslohn fehlt</v>
      </c>
      <c r="J36" s="124" t="str">
        <f t="shared" si="1"/>
        <v/>
      </c>
    </row>
    <row r="37" spans="1:10" ht="24" customHeight="1">
      <c r="A37" s="119" t="s">
        <v>401</v>
      </c>
      <c r="B37" s="103">
        <v>46143</v>
      </c>
      <c r="C37" s="103">
        <v>46507</v>
      </c>
      <c r="D37" s="104" t="s">
        <v>4</v>
      </c>
      <c r="E37" s="104" t="s">
        <v>2</v>
      </c>
      <c r="F37" s="104" t="s">
        <v>282</v>
      </c>
      <c r="G37" s="84">
        <v>151.38</v>
      </c>
      <c r="H37" s="85"/>
      <c r="I37" s="105" t="str">
        <f t="shared" ref="I37:I68" si="2">IF($A37="","",IF(OR($B37="",$C37="",$D37="",$E37="",$F37=""),"Stammdaten fehlen",IF(AND($G37="",$H37=""),"Werte fehlen",IF($G37="","Monatsstunden fehlen",IF($H37="","Monatslohn fehlt","OK")))))</f>
        <v>Monatslohn fehlt</v>
      </c>
      <c r="J37" s="125" t="str">
        <f t="shared" ref="J37:J68" si="3">IF($G37="","",IF(COUNTIFS($A:$A,$A37,$D:$D,$D37,$G:$G,$G37)&gt;1,"Doppelte Monatsstunden",""))</f>
        <v/>
      </c>
    </row>
    <row r="38" spans="1:10" ht="24" customHeight="1">
      <c r="A38" s="119" t="s">
        <v>401</v>
      </c>
      <c r="B38" s="103">
        <v>46143</v>
      </c>
      <c r="C38" s="103">
        <v>46507</v>
      </c>
      <c r="D38" s="104" t="s">
        <v>4</v>
      </c>
      <c r="E38" s="104" t="s">
        <v>2</v>
      </c>
      <c r="F38" s="104" t="s">
        <v>282</v>
      </c>
      <c r="G38" s="84">
        <v>138.4</v>
      </c>
      <c r="H38" s="85"/>
      <c r="I38" s="105" t="str">
        <f t="shared" si="2"/>
        <v>Monatslohn fehlt</v>
      </c>
      <c r="J38" s="125" t="str">
        <f t="shared" si="3"/>
        <v/>
      </c>
    </row>
    <row r="39" spans="1:10" ht="24" customHeight="1">
      <c r="A39" s="119" t="s">
        <v>401</v>
      </c>
      <c r="B39" s="103">
        <v>46143</v>
      </c>
      <c r="C39" s="103">
        <v>46507</v>
      </c>
      <c r="D39" s="104" t="s">
        <v>4</v>
      </c>
      <c r="E39" s="104" t="s">
        <v>2</v>
      </c>
      <c r="F39" s="104" t="s">
        <v>282</v>
      </c>
      <c r="G39" s="84">
        <v>129.75</v>
      </c>
      <c r="H39" s="85"/>
      <c r="I39" s="105" t="str">
        <f t="shared" si="2"/>
        <v>Monatslohn fehlt</v>
      </c>
      <c r="J39" s="125" t="str">
        <f t="shared" si="3"/>
        <v/>
      </c>
    </row>
    <row r="40" spans="1:10" ht="24" customHeight="1">
      <c r="A40" s="119" t="s">
        <v>401</v>
      </c>
      <c r="B40" s="103">
        <v>46143</v>
      </c>
      <c r="C40" s="103">
        <v>46507</v>
      </c>
      <c r="D40" s="104" t="s">
        <v>4</v>
      </c>
      <c r="E40" s="104" t="s">
        <v>2</v>
      </c>
      <c r="F40" s="104" t="s">
        <v>282</v>
      </c>
      <c r="G40" s="84">
        <v>108.13</v>
      </c>
      <c r="H40" s="85"/>
      <c r="I40" s="105" t="str">
        <f t="shared" si="2"/>
        <v>Monatslohn fehlt</v>
      </c>
      <c r="J40" s="125" t="str">
        <f t="shared" si="3"/>
        <v/>
      </c>
    </row>
    <row r="41" spans="1:10" ht="24" customHeight="1">
      <c r="A41" s="119" t="s">
        <v>401</v>
      </c>
      <c r="B41" s="103">
        <v>46143</v>
      </c>
      <c r="C41" s="103">
        <v>46507</v>
      </c>
      <c r="D41" s="104" t="s">
        <v>4</v>
      </c>
      <c r="E41" s="104" t="s">
        <v>2</v>
      </c>
      <c r="F41" s="104" t="s">
        <v>282</v>
      </c>
      <c r="G41" s="84">
        <v>103.8</v>
      </c>
      <c r="H41" s="85"/>
      <c r="I41" s="105" t="str">
        <f t="shared" si="2"/>
        <v>Monatslohn fehlt</v>
      </c>
      <c r="J41" s="125" t="str">
        <f t="shared" si="3"/>
        <v/>
      </c>
    </row>
    <row r="42" spans="1:10" ht="24" customHeight="1">
      <c r="A42" s="119" t="s">
        <v>401</v>
      </c>
      <c r="B42" s="103">
        <v>46143</v>
      </c>
      <c r="C42" s="103">
        <v>46507</v>
      </c>
      <c r="D42" s="104" t="s">
        <v>4</v>
      </c>
      <c r="E42" s="104" t="s">
        <v>2</v>
      </c>
      <c r="F42" s="104" t="s">
        <v>282</v>
      </c>
      <c r="G42" s="84">
        <v>86.5</v>
      </c>
      <c r="H42" s="85"/>
      <c r="I42" s="105" t="str">
        <f t="shared" si="2"/>
        <v>Monatslohn fehlt</v>
      </c>
      <c r="J42" s="125" t="str">
        <f t="shared" si="3"/>
        <v/>
      </c>
    </row>
    <row r="43" spans="1:10" ht="24" customHeight="1">
      <c r="A43" s="119" t="s">
        <v>401</v>
      </c>
      <c r="B43" s="103">
        <v>46143</v>
      </c>
      <c r="C43" s="103">
        <v>46507</v>
      </c>
      <c r="D43" s="104" t="s">
        <v>4</v>
      </c>
      <c r="E43" s="104" t="s">
        <v>2</v>
      </c>
      <c r="F43" s="104" t="s">
        <v>282</v>
      </c>
      <c r="G43" s="84">
        <v>69.2</v>
      </c>
      <c r="H43" s="85"/>
      <c r="I43" s="105" t="str">
        <f t="shared" si="2"/>
        <v>Monatslohn fehlt</v>
      </c>
      <c r="J43" s="125" t="str">
        <f t="shared" si="3"/>
        <v/>
      </c>
    </row>
    <row r="44" spans="1:10" ht="24" customHeight="1">
      <c r="A44" s="119" t="s">
        <v>401</v>
      </c>
      <c r="B44" s="103">
        <v>46143</v>
      </c>
      <c r="C44" s="103">
        <v>46507</v>
      </c>
      <c r="D44" s="104" t="s">
        <v>4</v>
      </c>
      <c r="E44" s="104" t="s">
        <v>2</v>
      </c>
      <c r="F44" s="104" t="s">
        <v>282</v>
      </c>
      <c r="G44" s="84">
        <v>51.9</v>
      </c>
      <c r="H44" s="85"/>
      <c r="I44" s="105" t="str">
        <f t="shared" si="2"/>
        <v>Monatslohn fehlt</v>
      </c>
      <c r="J44" s="125" t="str">
        <f t="shared" si="3"/>
        <v/>
      </c>
    </row>
    <row r="45" spans="1:10" ht="24" customHeight="1">
      <c r="A45" s="119" t="s">
        <v>401</v>
      </c>
      <c r="B45" s="103">
        <v>46143</v>
      </c>
      <c r="C45" s="103">
        <v>46507</v>
      </c>
      <c r="D45" s="104" t="s">
        <v>4</v>
      </c>
      <c r="E45" s="104" t="s">
        <v>2</v>
      </c>
      <c r="F45" s="104" t="s">
        <v>282</v>
      </c>
      <c r="G45" s="84">
        <v>47.58</v>
      </c>
      <c r="H45" s="85"/>
      <c r="I45" s="105" t="str">
        <f t="shared" si="2"/>
        <v>Monatslohn fehlt</v>
      </c>
      <c r="J45" s="125" t="str">
        <f t="shared" si="3"/>
        <v/>
      </c>
    </row>
    <row r="46" spans="1:10" ht="24" customHeight="1">
      <c r="A46" s="119" t="s">
        <v>401</v>
      </c>
      <c r="B46" s="103">
        <v>46143</v>
      </c>
      <c r="C46" s="103">
        <v>46507</v>
      </c>
      <c r="D46" s="104" t="s">
        <v>4</v>
      </c>
      <c r="E46" s="104" t="s">
        <v>2</v>
      </c>
      <c r="F46" s="104" t="s">
        <v>282</v>
      </c>
      <c r="G46" s="84">
        <v>43.25</v>
      </c>
      <c r="H46" s="85"/>
      <c r="I46" s="105" t="str">
        <f t="shared" si="2"/>
        <v>Monatslohn fehlt</v>
      </c>
      <c r="J46" s="125" t="str">
        <f t="shared" si="3"/>
        <v/>
      </c>
    </row>
    <row r="47" spans="1:10" ht="24" customHeight="1">
      <c r="A47" s="119" t="s">
        <v>401</v>
      </c>
      <c r="B47" s="103">
        <v>46143</v>
      </c>
      <c r="C47" s="103">
        <v>46507</v>
      </c>
      <c r="D47" s="104" t="s">
        <v>4</v>
      </c>
      <c r="E47" s="104" t="s">
        <v>2</v>
      </c>
      <c r="F47" s="104" t="s">
        <v>282</v>
      </c>
      <c r="G47" s="84">
        <v>34.6</v>
      </c>
      <c r="H47" s="85"/>
      <c r="I47" s="105" t="str">
        <f t="shared" si="2"/>
        <v>Monatslohn fehlt</v>
      </c>
      <c r="J47" s="125" t="str">
        <f t="shared" si="3"/>
        <v/>
      </c>
    </row>
    <row r="48" spans="1:10" ht="24" customHeight="1" thickBot="1">
      <c r="A48" s="119" t="s">
        <v>401</v>
      </c>
      <c r="B48" s="103">
        <v>46143</v>
      </c>
      <c r="C48" s="103">
        <v>46507</v>
      </c>
      <c r="D48" s="104" t="s">
        <v>4</v>
      </c>
      <c r="E48" s="104" t="s">
        <v>2</v>
      </c>
      <c r="F48" s="104" t="s">
        <v>282</v>
      </c>
      <c r="G48" s="84">
        <v>32.01</v>
      </c>
      <c r="H48" s="85"/>
      <c r="I48" s="105" t="str">
        <f t="shared" si="2"/>
        <v>Monatslohn fehlt</v>
      </c>
      <c r="J48" s="125" t="str">
        <f t="shared" si="3"/>
        <v/>
      </c>
    </row>
    <row r="49" spans="1:10" ht="24" customHeight="1">
      <c r="A49" s="118" t="s">
        <v>401</v>
      </c>
      <c r="B49" s="100">
        <v>46143</v>
      </c>
      <c r="C49" s="100">
        <v>46507</v>
      </c>
      <c r="D49" s="101" t="s">
        <v>5</v>
      </c>
      <c r="E49" s="101" t="s">
        <v>2</v>
      </c>
      <c r="F49" s="101" t="s">
        <v>283</v>
      </c>
      <c r="G49" s="82">
        <v>173</v>
      </c>
      <c r="H49" s="83"/>
      <c r="I49" s="102" t="str">
        <f t="shared" si="2"/>
        <v>Monatslohn fehlt</v>
      </c>
      <c r="J49" s="124" t="str">
        <f t="shared" si="3"/>
        <v/>
      </c>
    </row>
    <row r="50" spans="1:10" ht="24" customHeight="1">
      <c r="A50" s="119" t="s">
        <v>401</v>
      </c>
      <c r="B50" s="103">
        <v>46143</v>
      </c>
      <c r="C50" s="103">
        <v>46507</v>
      </c>
      <c r="D50" s="104" t="s">
        <v>5</v>
      </c>
      <c r="E50" s="104" t="s">
        <v>2</v>
      </c>
      <c r="F50" s="104" t="s">
        <v>283</v>
      </c>
      <c r="G50" s="84">
        <v>151.38</v>
      </c>
      <c r="H50" s="85"/>
      <c r="I50" s="105" t="str">
        <f t="shared" si="2"/>
        <v>Monatslohn fehlt</v>
      </c>
      <c r="J50" s="125" t="str">
        <f t="shared" si="3"/>
        <v/>
      </c>
    </row>
    <row r="51" spans="1:10" ht="24" customHeight="1">
      <c r="A51" s="119" t="s">
        <v>401</v>
      </c>
      <c r="B51" s="103">
        <v>46143</v>
      </c>
      <c r="C51" s="103">
        <v>46507</v>
      </c>
      <c r="D51" s="104" t="s">
        <v>5</v>
      </c>
      <c r="E51" s="104" t="s">
        <v>2</v>
      </c>
      <c r="F51" s="104" t="s">
        <v>283</v>
      </c>
      <c r="G51" s="84">
        <v>138.4</v>
      </c>
      <c r="H51" s="85"/>
      <c r="I51" s="105" t="str">
        <f t="shared" si="2"/>
        <v>Monatslohn fehlt</v>
      </c>
      <c r="J51" s="125" t="str">
        <f t="shared" si="3"/>
        <v/>
      </c>
    </row>
    <row r="52" spans="1:10" ht="24" customHeight="1">
      <c r="A52" s="119" t="s">
        <v>401</v>
      </c>
      <c r="B52" s="103">
        <v>46143</v>
      </c>
      <c r="C52" s="103">
        <v>46507</v>
      </c>
      <c r="D52" s="104" t="s">
        <v>5</v>
      </c>
      <c r="E52" s="104" t="s">
        <v>2</v>
      </c>
      <c r="F52" s="104" t="s">
        <v>283</v>
      </c>
      <c r="G52" s="84">
        <v>129.75</v>
      </c>
      <c r="H52" s="85"/>
      <c r="I52" s="105" t="str">
        <f t="shared" si="2"/>
        <v>Monatslohn fehlt</v>
      </c>
      <c r="J52" s="125" t="str">
        <f t="shared" si="3"/>
        <v/>
      </c>
    </row>
    <row r="53" spans="1:10" ht="24" customHeight="1">
      <c r="A53" s="119" t="s">
        <v>401</v>
      </c>
      <c r="B53" s="103">
        <v>46143</v>
      </c>
      <c r="C53" s="103">
        <v>46507</v>
      </c>
      <c r="D53" s="104" t="s">
        <v>5</v>
      </c>
      <c r="E53" s="104" t="s">
        <v>2</v>
      </c>
      <c r="F53" s="104" t="s">
        <v>283</v>
      </c>
      <c r="G53" s="84">
        <v>108.13</v>
      </c>
      <c r="H53" s="85"/>
      <c r="I53" s="105" t="str">
        <f t="shared" si="2"/>
        <v>Monatslohn fehlt</v>
      </c>
      <c r="J53" s="125" t="str">
        <f t="shared" si="3"/>
        <v/>
      </c>
    </row>
    <row r="54" spans="1:10" ht="24" customHeight="1">
      <c r="A54" s="119" t="s">
        <v>401</v>
      </c>
      <c r="B54" s="103">
        <v>46143</v>
      </c>
      <c r="C54" s="103">
        <v>46507</v>
      </c>
      <c r="D54" s="104" t="s">
        <v>5</v>
      </c>
      <c r="E54" s="104" t="s">
        <v>2</v>
      </c>
      <c r="F54" s="104" t="s">
        <v>283</v>
      </c>
      <c r="G54" s="84">
        <v>103.8</v>
      </c>
      <c r="H54" s="85"/>
      <c r="I54" s="105" t="str">
        <f t="shared" si="2"/>
        <v>Monatslohn fehlt</v>
      </c>
      <c r="J54" s="125" t="str">
        <f t="shared" si="3"/>
        <v/>
      </c>
    </row>
    <row r="55" spans="1:10" ht="24" customHeight="1">
      <c r="A55" s="119" t="s">
        <v>401</v>
      </c>
      <c r="B55" s="103">
        <v>46143</v>
      </c>
      <c r="C55" s="103">
        <v>46507</v>
      </c>
      <c r="D55" s="104" t="s">
        <v>5</v>
      </c>
      <c r="E55" s="104" t="s">
        <v>2</v>
      </c>
      <c r="F55" s="104" t="s">
        <v>283</v>
      </c>
      <c r="G55" s="84">
        <v>86.5</v>
      </c>
      <c r="H55" s="85"/>
      <c r="I55" s="105" t="str">
        <f t="shared" si="2"/>
        <v>Monatslohn fehlt</v>
      </c>
      <c r="J55" s="125" t="str">
        <f t="shared" si="3"/>
        <v/>
      </c>
    </row>
    <row r="56" spans="1:10" ht="24" customHeight="1">
      <c r="A56" s="119" t="s">
        <v>401</v>
      </c>
      <c r="B56" s="103">
        <v>46143</v>
      </c>
      <c r="C56" s="103">
        <v>46507</v>
      </c>
      <c r="D56" s="104" t="s">
        <v>5</v>
      </c>
      <c r="E56" s="104" t="s">
        <v>2</v>
      </c>
      <c r="F56" s="104" t="s">
        <v>283</v>
      </c>
      <c r="G56" s="84">
        <v>69.2</v>
      </c>
      <c r="H56" s="85"/>
      <c r="I56" s="105" t="str">
        <f t="shared" si="2"/>
        <v>Monatslohn fehlt</v>
      </c>
      <c r="J56" s="125" t="str">
        <f t="shared" si="3"/>
        <v/>
      </c>
    </row>
    <row r="57" spans="1:10" ht="24" customHeight="1">
      <c r="A57" s="119" t="s">
        <v>401</v>
      </c>
      <c r="B57" s="103">
        <v>46143</v>
      </c>
      <c r="C57" s="103">
        <v>46507</v>
      </c>
      <c r="D57" s="104" t="s">
        <v>5</v>
      </c>
      <c r="E57" s="104" t="s">
        <v>2</v>
      </c>
      <c r="F57" s="104" t="s">
        <v>283</v>
      </c>
      <c r="G57" s="84">
        <v>51.9</v>
      </c>
      <c r="H57" s="85"/>
      <c r="I57" s="105" t="str">
        <f t="shared" si="2"/>
        <v>Monatslohn fehlt</v>
      </c>
      <c r="J57" s="125" t="str">
        <f t="shared" si="3"/>
        <v/>
      </c>
    </row>
    <row r="58" spans="1:10" ht="24" customHeight="1">
      <c r="A58" s="119" t="s">
        <v>401</v>
      </c>
      <c r="B58" s="103">
        <v>46143</v>
      </c>
      <c r="C58" s="103">
        <v>46507</v>
      </c>
      <c r="D58" s="104" t="s">
        <v>5</v>
      </c>
      <c r="E58" s="104" t="s">
        <v>2</v>
      </c>
      <c r="F58" s="104" t="s">
        <v>283</v>
      </c>
      <c r="G58" s="84">
        <v>47.58</v>
      </c>
      <c r="H58" s="85"/>
      <c r="I58" s="105" t="str">
        <f t="shared" si="2"/>
        <v>Monatslohn fehlt</v>
      </c>
      <c r="J58" s="125" t="str">
        <f t="shared" si="3"/>
        <v/>
      </c>
    </row>
    <row r="59" spans="1:10" ht="24" customHeight="1">
      <c r="A59" s="119" t="s">
        <v>401</v>
      </c>
      <c r="B59" s="103">
        <v>46143</v>
      </c>
      <c r="C59" s="103">
        <v>46507</v>
      </c>
      <c r="D59" s="104" t="s">
        <v>5</v>
      </c>
      <c r="E59" s="104" t="s">
        <v>2</v>
      </c>
      <c r="F59" s="104" t="s">
        <v>283</v>
      </c>
      <c r="G59" s="84">
        <v>43.25</v>
      </c>
      <c r="H59" s="85"/>
      <c r="I59" s="105" t="str">
        <f t="shared" si="2"/>
        <v>Monatslohn fehlt</v>
      </c>
      <c r="J59" s="125" t="str">
        <f t="shared" si="3"/>
        <v/>
      </c>
    </row>
    <row r="60" spans="1:10" ht="24" customHeight="1">
      <c r="A60" s="119" t="s">
        <v>401</v>
      </c>
      <c r="B60" s="103">
        <v>46143</v>
      </c>
      <c r="C60" s="103">
        <v>46507</v>
      </c>
      <c r="D60" s="104" t="s">
        <v>5</v>
      </c>
      <c r="E60" s="104" t="s">
        <v>2</v>
      </c>
      <c r="F60" s="104" t="s">
        <v>283</v>
      </c>
      <c r="G60" s="84">
        <v>34.6</v>
      </c>
      <c r="H60" s="85"/>
      <c r="I60" s="105" t="str">
        <f t="shared" si="2"/>
        <v>Monatslohn fehlt</v>
      </c>
      <c r="J60" s="125" t="str">
        <f t="shared" si="3"/>
        <v/>
      </c>
    </row>
    <row r="61" spans="1:10" ht="24" customHeight="1" thickBot="1">
      <c r="A61" s="119" t="s">
        <v>401</v>
      </c>
      <c r="B61" s="103">
        <v>46143</v>
      </c>
      <c r="C61" s="103">
        <v>46507</v>
      </c>
      <c r="D61" s="104" t="s">
        <v>5</v>
      </c>
      <c r="E61" s="104" t="s">
        <v>2</v>
      </c>
      <c r="F61" s="104" t="s">
        <v>283</v>
      </c>
      <c r="G61" s="84">
        <v>32.01</v>
      </c>
      <c r="H61" s="85"/>
      <c r="I61" s="105" t="str">
        <f t="shared" si="2"/>
        <v>Monatslohn fehlt</v>
      </c>
      <c r="J61" s="125" t="str">
        <f t="shared" si="3"/>
        <v/>
      </c>
    </row>
    <row r="62" spans="1:10" ht="24" customHeight="1">
      <c r="A62" s="120" t="s">
        <v>401</v>
      </c>
      <c r="B62" s="106">
        <v>46143</v>
      </c>
      <c r="C62" s="106">
        <v>46507</v>
      </c>
      <c r="D62" s="107" t="s">
        <v>290</v>
      </c>
      <c r="E62" s="107" t="s">
        <v>6</v>
      </c>
      <c r="F62" s="107" t="s">
        <v>280</v>
      </c>
      <c r="G62" s="86">
        <v>173</v>
      </c>
      <c r="H62" s="87"/>
      <c r="I62" s="108" t="str">
        <f t="shared" si="2"/>
        <v>Monatslohn fehlt</v>
      </c>
      <c r="J62" s="126" t="str">
        <f t="shared" si="3"/>
        <v/>
      </c>
    </row>
    <row r="63" spans="1:10" ht="24" customHeight="1">
      <c r="A63" s="121" t="s">
        <v>401</v>
      </c>
      <c r="B63" s="109">
        <v>46143</v>
      </c>
      <c r="C63" s="109">
        <v>46507</v>
      </c>
      <c r="D63" s="110" t="s">
        <v>290</v>
      </c>
      <c r="E63" s="110" t="s">
        <v>6</v>
      </c>
      <c r="F63" s="110" t="s">
        <v>280</v>
      </c>
      <c r="G63" s="88">
        <v>151.38</v>
      </c>
      <c r="H63" s="89"/>
      <c r="I63" s="111" t="str">
        <f t="shared" si="2"/>
        <v>Monatslohn fehlt</v>
      </c>
      <c r="J63" s="127" t="str">
        <f t="shared" si="3"/>
        <v/>
      </c>
    </row>
    <row r="64" spans="1:10" ht="24" customHeight="1">
      <c r="A64" s="121" t="s">
        <v>401</v>
      </c>
      <c r="B64" s="109">
        <v>46143</v>
      </c>
      <c r="C64" s="109">
        <v>46507</v>
      </c>
      <c r="D64" s="110" t="s">
        <v>290</v>
      </c>
      <c r="E64" s="110" t="s">
        <v>6</v>
      </c>
      <c r="F64" s="110" t="s">
        <v>280</v>
      </c>
      <c r="G64" s="88">
        <v>138.4</v>
      </c>
      <c r="H64" s="89"/>
      <c r="I64" s="111" t="str">
        <f t="shared" si="2"/>
        <v>Monatslohn fehlt</v>
      </c>
      <c r="J64" s="127" t="str">
        <f t="shared" si="3"/>
        <v/>
      </c>
    </row>
    <row r="65" spans="1:10" ht="24" customHeight="1">
      <c r="A65" s="121" t="s">
        <v>401</v>
      </c>
      <c r="B65" s="109">
        <v>46143</v>
      </c>
      <c r="C65" s="109">
        <v>46507</v>
      </c>
      <c r="D65" s="110" t="s">
        <v>290</v>
      </c>
      <c r="E65" s="110" t="s">
        <v>6</v>
      </c>
      <c r="F65" s="110" t="s">
        <v>280</v>
      </c>
      <c r="G65" s="88">
        <v>129.75</v>
      </c>
      <c r="H65" s="89"/>
      <c r="I65" s="111" t="str">
        <f t="shared" si="2"/>
        <v>Monatslohn fehlt</v>
      </c>
      <c r="J65" s="127" t="str">
        <f t="shared" si="3"/>
        <v/>
      </c>
    </row>
    <row r="66" spans="1:10" ht="24" customHeight="1">
      <c r="A66" s="121" t="s">
        <v>401</v>
      </c>
      <c r="B66" s="109">
        <v>46143</v>
      </c>
      <c r="C66" s="109">
        <v>46507</v>
      </c>
      <c r="D66" s="110" t="s">
        <v>290</v>
      </c>
      <c r="E66" s="110" t="s">
        <v>6</v>
      </c>
      <c r="F66" s="110" t="s">
        <v>280</v>
      </c>
      <c r="G66" s="88">
        <v>108.13</v>
      </c>
      <c r="H66" s="89"/>
      <c r="I66" s="111" t="str">
        <f t="shared" si="2"/>
        <v>Monatslohn fehlt</v>
      </c>
      <c r="J66" s="127" t="str">
        <f t="shared" si="3"/>
        <v/>
      </c>
    </row>
    <row r="67" spans="1:10" ht="24" customHeight="1">
      <c r="A67" s="121" t="s">
        <v>401</v>
      </c>
      <c r="B67" s="109">
        <v>46143</v>
      </c>
      <c r="C67" s="109">
        <v>46507</v>
      </c>
      <c r="D67" s="110" t="s">
        <v>290</v>
      </c>
      <c r="E67" s="110" t="s">
        <v>6</v>
      </c>
      <c r="F67" s="110" t="s">
        <v>280</v>
      </c>
      <c r="G67" s="88">
        <v>103.8</v>
      </c>
      <c r="H67" s="89"/>
      <c r="I67" s="111" t="str">
        <f t="shared" si="2"/>
        <v>Monatslohn fehlt</v>
      </c>
      <c r="J67" s="127" t="str">
        <f t="shared" si="3"/>
        <v/>
      </c>
    </row>
    <row r="68" spans="1:10" ht="24" customHeight="1">
      <c r="A68" s="121" t="s">
        <v>401</v>
      </c>
      <c r="B68" s="109">
        <v>46143</v>
      </c>
      <c r="C68" s="109">
        <v>46507</v>
      </c>
      <c r="D68" s="110" t="s">
        <v>290</v>
      </c>
      <c r="E68" s="110" t="s">
        <v>6</v>
      </c>
      <c r="F68" s="110" t="s">
        <v>280</v>
      </c>
      <c r="G68" s="88">
        <v>86.5</v>
      </c>
      <c r="H68" s="89"/>
      <c r="I68" s="111" t="str">
        <f t="shared" si="2"/>
        <v>Monatslohn fehlt</v>
      </c>
      <c r="J68" s="127" t="str">
        <f t="shared" si="3"/>
        <v/>
      </c>
    </row>
    <row r="69" spans="1:10" ht="24" customHeight="1">
      <c r="A69" s="121" t="s">
        <v>401</v>
      </c>
      <c r="B69" s="109">
        <v>46143</v>
      </c>
      <c r="C69" s="109">
        <v>46507</v>
      </c>
      <c r="D69" s="110" t="s">
        <v>290</v>
      </c>
      <c r="E69" s="110" t="s">
        <v>6</v>
      </c>
      <c r="F69" s="110" t="s">
        <v>280</v>
      </c>
      <c r="G69" s="88">
        <v>69.2</v>
      </c>
      <c r="H69" s="89"/>
      <c r="I69" s="111" t="str">
        <f t="shared" ref="I69:I100" si="4">IF($A69="","",IF(OR($B69="",$C69="",$D69="",$E69="",$F69=""),"Stammdaten fehlen",IF(AND($G69="",$H69=""),"Werte fehlen",IF($G69="","Monatsstunden fehlen",IF($H69="","Monatslohn fehlt","OK")))))</f>
        <v>Monatslohn fehlt</v>
      </c>
      <c r="J69" s="127" t="str">
        <f t="shared" ref="J69:J100" si="5">IF($G69="","",IF(COUNTIFS($A:$A,$A69,$D:$D,$D69,$G:$G,$G69)&gt;1,"Doppelte Monatsstunden",""))</f>
        <v/>
      </c>
    </row>
    <row r="70" spans="1:10" ht="24" customHeight="1">
      <c r="A70" s="121" t="s">
        <v>401</v>
      </c>
      <c r="B70" s="109">
        <v>46143</v>
      </c>
      <c r="C70" s="109">
        <v>46507</v>
      </c>
      <c r="D70" s="110" t="s">
        <v>290</v>
      </c>
      <c r="E70" s="110" t="s">
        <v>6</v>
      </c>
      <c r="F70" s="110" t="s">
        <v>280</v>
      </c>
      <c r="G70" s="88">
        <v>51.9</v>
      </c>
      <c r="H70" s="89"/>
      <c r="I70" s="111" t="str">
        <f t="shared" si="4"/>
        <v>Monatslohn fehlt</v>
      </c>
      <c r="J70" s="127" t="str">
        <f t="shared" si="5"/>
        <v/>
      </c>
    </row>
    <row r="71" spans="1:10" ht="24" customHeight="1">
      <c r="A71" s="121" t="s">
        <v>401</v>
      </c>
      <c r="B71" s="109">
        <v>46143</v>
      </c>
      <c r="C71" s="109">
        <v>46507</v>
      </c>
      <c r="D71" s="110" t="s">
        <v>290</v>
      </c>
      <c r="E71" s="110" t="s">
        <v>6</v>
      </c>
      <c r="F71" s="110" t="s">
        <v>280</v>
      </c>
      <c r="G71" s="88">
        <v>47.58</v>
      </c>
      <c r="H71" s="89"/>
      <c r="I71" s="111" t="str">
        <f t="shared" si="4"/>
        <v>Monatslohn fehlt</v>
      </c>
      <c r="J71" s="127" t="str">
        <f t="shared" si="5"/>
        <v/>
      </c>
    </row>
    <row r="72" spans="1:10" ht="24" customHeight="1">
      <c r="A72" s="121" t="s">
        <v>401</v>
      </c>
      <c r="B72" s="109">
        <v>46143</v>
      </c>
      <c r="C72" s="109">
        <v>46507</v>
      </c>
      <c r="D72" s="110" t="s">
        <v>290</v>
      </c>
      <c r="E72" s="110" t="s">
        <v>6</v>
      </c>
      <c r="F72" s="110" t="s">
        <v>280</v>
      </c>
      <c r="G72" s="88">
        <v>43.25</v>
      </c>
      <c r="H72" s="89"/>
      <c r="I72" s="111" t="str">
        <f t="shared" si="4"/>
        <v>Monatslohn fehlt</v>
      </c>
      <c r="J72" s="127" t="str">
        <f t="shared" si="5"/>
        <v/>
      </c>
    </row>
    <row r="73" spans="1:10" ht="24" customHeight="1">
      <c r="A73" s="121" t="s">
        <v>401</v>
      </c>
      <c r="B73" s="109">
        <v>46143</v>
      </c>
      <c r="C73" s="109">
        <v>46507</v>
      </c>
      <c r="D73" s="110" t="s">
        <v>290</v>
      </c>
      <c r="E73" s="110" t="s">
        <v>6</v>
      </c>
      <c r="F73" s="110" t="s">
        <v>280</v>
      </c>
      <c r="G73" s="88">
        <v>34.6</v>
      </c>
      <c r="H73" s="89"/>
      <c r="I73" s="111" t="str">
        <f t="shared" si="4"/>
        <v>Monatslohn fehlt</v>
      </c>
      <c r="J73" s="127" t="str">
        <f t="shared" si="5"/>
        <v/>
      </c>
    </row>
    <row r="74" spans="1:10" ht="24" customHeight="1" thickBot="1">
      <c r="A74" s="121" t="s">
        <v>401</v>
      </c>
      <c r="B74" s="109">
        <v>46143</v>
      </c>
      <c r="C74" s="109">
        <v>46507</v>
      </c>
      <c r="D74" s="110" t="s">
        <v>290</v>
      </c>
      <c r="E74" s="110" t="s">
        <v>6</v>
      </c>
      <c r="F74" s="110" t="s">
        <v>280</v>
      </c>
      <c r="G74" s="88">
        <v>32.01</v>
      </c>
      <c r="H74" s="89"/>
      <c r="I74" s="111" t="str">
        <f t="shared" si="4"/>
        <v>Monatslohn fehlt</v>
      </c>
      <c r="J74" s="127" t="str">
        <f t="shared" si="5"/>
        <v/>
      </c>
    </row>
    <row r="75" spans="1:10" ht="24" customHeight="1">
      <c r="A75" s="120" t="s">
        <v>401</v>
      </c>
      <c r="B75" s="106">
        <v>46143</v>
      </c>
      <c r="C75" s="106">
        <v>46507</v>
      </c>
      <c r="D75" s="107" t="s">
        <v>7</v>
      </c>
      <c r="E75" s="107" t="s">
        <v>6</v>
      </c>
      <c r="F75" s="107" t="s">
        <v>281</v>
      </c>
      <c r="G75" s="86">
        <v>173</v>
      </c>
      <c r="H75" s="87"/>
      <c r="I75" s="108" t="str">
        <f t="shared" si="4"/>
        <v>Monatslohn fehlt</v>
      </c>
      <c r="J75" s="126" t="str">
        <f t="shared" si="5"/>
        <v/>
      </c>
    </row>
    <row r="76" spans="1:10" ht="24" customHeight="1">
      <c r="A76" s="121" t="s">
        <v>401</v>
      </c>
      <c r="B76" s="109">
        <v>46143</v>
      </c>
      <c r="C76" s="109">
        <v>46507</v>
      </c>
      <c r="D76" s="110" t="s">
        <v>7</v>
      </c>
      <c r="E76" s="110" t="s">
        <v>6</v>
      </c>
      <c r="F76" s="110" t="s">
        <v>281</v>
      </c>
      <c r="G76" s="88">
        <v>151.38</v>
      </c>
      <c r="H76" s="89"/>
      <c r="I76" s="111" t="str">
        <f t="shared" si="4"/>
        <v>Monatslohn fehlt</v>
      </c>
      <c r="J76" s="127" t="str">
        <f t="shared" si="5"/>
        <v/>
      </c>
    </row>
    <row r="77" spans="1:10" ht="24" customHeight="1">
      <c r="A77" s="121" t="s">
        <v>401</v>
      </c>
      <c r="B77" s="109">
        <v>46143</v>
      </c>
      <c r="C77" s="109">
        <v>46507</v>
      </c>
      <c r="D77" s="110" t="s">
        <v>7</v>
      </c>
      <c r="E77" s="110" t="s">
        <v>6</v>
      </c>
      <c r="F77" s="110" t="s">
        <v>281</v>
      </c>
      <c r="G77" s="88">
        <v>138.4</v>
      </c>
      <c r="H77" s="89"/>
      <c r="I77" s="111" t="str">
        <f t="shared" si="4"/>
        <v>Monatslohn fehlt</v>
      </c>
      <c r="J77" s="127" t="str">
        <f t="shared" si="5"/>
        <v/>
      </c>
    </row>
    <row r="78" spans="1:10" ht="24" customHeight="1">
      <c r="A78" s="121" t="s">
        <v>401</v>
      </c>
      <c r="B78" s="109">
        <v>46143</v>
      </c>
      <c r="C78" s="109">
        <v>46507</v>
      </c>
      <c r="D78" s="110" t="s">
        <v>7</v>
      </c>
      <c r="E78" s="110" t="s">
        <v>6</v>
      </c>
      <c r="F78" s="110" t="s">
        <v>281</v>
      </c>
      <c r="G78" s="88">
        <v>129.75</v>
      </c>
      <c r="H78" s="89"/>
      <c r="I78" s="111" t="str">
        <f t="shared" si="4"/>
        <v>Monatslohn fehlt</v>
      </c>
      <c r="J78" s="127" t="str">
        <f t="shared" si="5"/>
        <v/>
      </c>
    </row>
    <row r="79" spans="1:10" ht="24" customHeight="1">
      <c r="A79" s="121" t="s">
        <v>401</v>
      </c>
      <c r="B79" s="109">
        <v>46143</v>
      </c>
      <c r="C79" s="109">
        <v>46507</v>
      </c>
      <c r="D79" s="110" t="s">
        <v>7</v>
      </c>
      <c r="E79" s="110" t="s">
        <v>6</v>
      </c>
      <c r="F79" s="110" t="s">
        <v>281</v>
      </c>
      <c r="G79" s="88">
        <v>108.13</v>
      </c>
      <c r="H79" s="89"/>
      <c r="I79" s="111" t="str">
        <f t="shared" si="4"/>
        <v>Monatslohn fehlt</v>
      </c>
      <c r="J79" s="127" t="str">
        <f t="shared" si="5"/>
        <v/>
      </c>
    </row>
    <row r="80" spans="1:10" ht="24" customHeight="1">
      <c r="A80" s="121" t="s">
        <v>401</v>
      </c>
      <c r="B80" s="109">
        <v>46143</v>
      </c>
      <c r="C80" s="109">
        <v>46507</v>
      </c>
      <c r="D80" s="110" t="s">
        <v>7</v>
      </c>
      <c r="E80" s="110" t="s">
        <v>6</v>
      </c>
      <c r="F80" s="110" t="s">
        <v>281</v>
      </c>
      <c r="G80" s="88">
        <v>103.8</v>
      </c>
      <c r="H80" s="89"/>
      <c r="I80" s="111" t="str">
        <f t="shared" si="4"/>
        <v>Monatslohn fehlt</v>
      </c>
      <c r="J80" s="127" t="str">
        <f t="shared" si="5"/>
        <v/>
      </c>
    </row>
    <row r="81" spans="1:10" ht="24" customHeight="1">
      <c r="A81" s="121" t="s">
        <v>401</v>
      </c>
      <c r="B81" s="109">
        <v>46143</v>
      </c>
      <c r="C81" s="109">
        <v>46507</v>
      </c>
      <c r="D81" s="110" t="s">
        <v>7</v>
      </c>
      <c r="E81" s="110" t="s">
        <v>6</v>
      </c>
      <c r="F81" s="110" t="s">
        <v>281</v>
      </c>
      <c r="G81" s="88">
        <v>86.5</v>
      </c>
      <c r="H81" s="89"/>
      <c r="I81" s="111" t="str">
        <f t="shared" si="4"/>
        <v>Monatslohn fehlt</v>
      </c>
      <c r="J81" s="127" t="str">
        <f t="shared" si="5"/>
        <v/>
      </c>
    </row>
    <row r="82" spans="1:10" ht="24" customHeight="1">
      <c r="A82" s="121" t="s">
        <v>401</v>
      </c>
      <c r="B82" s="109">
        <v>46143</v>
      </c>
      <c r="C82" s="109">
        <v>46507</v>
      </c>
      <c r="D82" s="110" t="s">
        <v>7</v>
      </c>
      <c r="E82" s="110" t="s">
        <v>6</v>
      </c>
      <c r="F82" s="110" t="s">
        <v>281</v>
      </c>
      <c r="G82" s="88">
        <v>69.2</v>
      </c>
      <c r="H82" s="89"/>
      <c r="I82" s="111" t="str">
        <f t="shared" si="4"/>
        <v>Monatslohn fehlt</v>
      </c>
      <c r="J82" s="127" t="str">
        <f t="shared" si="5"/>
        <v/>
      </c>
    </row>
    <row r="83" spans="1:10" ht="24" customHeight="1">
      <c r="A83" s="121" t="s">
        <v>401</v>
      </c>
      <c r="B83" s="109">
        <v>46143</v>
      </c>
      <c r="C83" s="109">
        <v>46507</v>
      </c>
      <c r="D83" s="110" t="s">
        <v>7</v>
      </c>
      <c r="E83" s="110" t="s">
        <v>6</v>
      </c>
      <c r="F83" s="110" t="s">
        <v>281</v>
      </c>
      <c r="G83" s="88">
        <v>51.9</v>
      </c>
      <c r="H83" s="89"/>
      <c r="I83" s="111" t="str">
        <f t="shared" si="4"/>
        <v>Monatslohn fehlt</v>
      </c>
      <c r="J83" s="127" t="str">
        <f t="shared" si="5"/>
        <v/>
      </c>
    </row>
    <row r="84" spans="1:10" ht="24" customHeight="1">
      <c r="A84" s="121" t="s">
        <v>401</v>
      </c>
      <c r="B84" s="109">
        <v>46143</v>
      </c>
      <c r="C84" s="109">
        <v>46507</v>
      </c>
      <c r="D84" s="110" t="s">
        <v>7</v>
      </c>
      <c r="E84" s="110" t="s">
        <v>6</v>
      </c>
      <c r="F84" s="110" t="s">
        <v>281</v>
      </c>
      <c r="G84" s="88">
        <v>47.58</v>
      </c>
      <c r="H84" s="89"/>
      <c r="I84" s="111" t="str">
        <f t="shared" si="4"/>
        <v>Monatslohn fehlt</v>
      </c>
      <c r="J84" s="127" t="str">
        <f t="shared" si="5"/>
        <v/>
      </c>
    </row>
    <row r="85" spans="1:10" ht="24" customHeight="1">
      <c r="A85" s="121" t="s">
        <v>401</v>
      </c>
      <c r="B85" s="109">
        <v>46143</v>
      </c>
      <c r="C85" s="109">
        <v>46507</v>
      </c>
      <c r="D85" s="110" t="s">
        <v>7</v>
      </c>
      <c r="E85" s="110" t="s">
        <v>6</v>
      </c>
      <c r="F85" s="110" t="s">
        <v>281</v>
      </c>
      <c r="G85" s="88">
        <v>43.25</v>
      </c>
      <c r="H85" s="89"/>
      <c r="I85" s="111" t="str">
        <f t="shared" si="4"/>
        <v>Monatslohn fehlt</v>
      </c>
      <c r="J85" s="127" t="str">
        <f t="shared" si="5"/>
        <v/>
      </c>
    </row>
    <row r="86" spans="1:10" ht="24" customHeight="1">
      <c r="A86" s="121" t="s">
        <v>401</v>
      </c>
      <c r="B86" s="109">
        <v>46143</v>
      </c>
      <c r="C86" s="109">
        <v>46507</v>
      </c>
      <c r="D86" s="110" t="s">
        <v>7</v>
      </c>
      <c r="E86" s="110" t="s">
        <v>6</v>
      </c>
      <c r="F86" s="110" t="s">
        <v>281</v>
      </c>
      <c r="G86" s="88">
        <v>34.6</v>
      </c>
      <c r="H86" s="89"/>
      <c r="I86" s="111" t="str">
        <f t="shared" si="4"/>
        <v>Monatslohn fehlt</v>
      </c>
      <c r="J86" s="127" t="str">
        <f t="shared" si="5"/>
        <v/>
      </c>
    </row>
    <row r="87" spans="1:10" ht="24" customHeight="1" thickBot="1">
      <c r="A87" s="121" t="s">
        <v>401</v>
      </c>
      <c r="B87" s="109">
        <v>46143</v>
      </c>
      <c r="C87" s="109">
        <v>46507</v>
      </c>
      <c r="D87" s="110" t="s">
        <v>7</v>
      </c>
      <c r="E87" s="110" t="s">
        <v>6</v>
      </c>
      <c r="F87" s="110" t="s">
        <v>281</v>
      </c>
      <c r="G87" s="88">
        <v>32.01</v>
      </c>
      <c r="H87" s="89"/>
      <c r="I87" s="111" t="str">
        <f t="shared" si="4"/>
        <v>Monatslohn fehlt</v>
      </c>
      <c r="J87" s="127" t="str">
        <f t="shared" si="5"/>
        <v/>
      </c>
    </row>
    <row r="88" spans="1:10" ht="24" customHeight="1">
      <c r="A88" s="120" t="s">
        <v>401</v>
      </c>
      <c r="B88" s="106">
        <v>46143</v>
      </c>
      <c r="C88" s="106">
        <v>46507</v>
      </c>
      <c r="D88" s="107" t="s">
        <v>8</v>
      </c>
      <c r="E88" s="107" t="s">
        <v>6</v>
      </c>
      <c r="F88" s="107" t="s">
        <v>282</v>
      </c>
      <c r="G88" s="86">
        <v>173</v>
      </c>
      <c r="H88" s="87"/>
      <c r="I88" s="108" t="str">
        <f t="shared" si="4"/>
        <v>Monatslohn fehlt</v>
      </c>
      <c r="J88" s="126" t="str">
        <f t="shared" si="5"/>
        <v/>
      </c>
    </row>
    <row r="89" spans="1:10" ht="24" customHeight="1">
      <c r="A89" s="121" t="s">
        <v>401</v>
      </c>
      <c r="B89" s="109">
        <v>46143</v>
      </c>
      <c r="C89" s="109">
        <v>46507</v>
      </c>
      <c r="D89" s="110" t="s">
        <v>8</v>
      </c>
      <c r="E89" s="110" t="s">
        <v>6</v>
      </c>
      <c r="F89" s="110" t="s">
        <v>282</v>
      </c>
      <c r="G89" s="88">
        <v>151.38</v>
      </c>
      <c r="H89" s="89"/>
      <c r="I89" s="111" t="str">
        <f t="shared" si="4"/>
        <v>Monatslohn fehlt</v>
      </c>
      <c r="J89" s="127" t="str">
        <f t="shared" si="5"/>
        <v/>
      </c>
    </row>
    <row r="90" spans="1:10" ht="24" customHeight="1">
      <c r="A90" s="121" t="s">
        <v>401</v>
      </c>
      <c r="B90" s="109">
        <v>46143</v>
      </c>
      <c r="C90" s="109">
        <v>46507</v>
      </c>
      <c r="D90" s="110" t="s">
        <v>8</v>
      </c>
      <c r="E90" s="110" t="s">
        <v>6</v>
      </c>
      <c r="F90" s="110" t="s">
        <v>282</v>
      </c>
      <c r="G90" s="88">
        <v>138.4</v>
      </c>
      <c r="H90" s="89"/>
      <c r="I90" s="111" t="str">
        <f t="shared" si="4"/>
        <v>Monatslohn fehlt</v>
      </c>
      <c r="J90" s="127" t="str">
        <f t="shared" si="5"/>
        <v/>
      </c>
    </row>
    <row r="91" spans="1:10" ht="24" customHeight="1">
      <c r="A91" s="121" t="s">
        <v>401</v>
      </c>
      <c r="B91" s="109">
        <v>46143</v>
      </c>
      <c r="C91" s="109">
        <v>46507</v>
      </c>
      <c r="D91" s="110" t="s">
        <v>8</v>
      </c>
      <c r="E91" s="110" t="s">
        <v>6</v>
      </c>
      <c r="F91" s="110" t="s">
        <v>282</v>
      </c>
      <c r="G91" s="88">
        <v>129.75</v>
      </c>
      <c r="H91" s="89"/>
      <c r="I91" s="111" t="str">
        <f t="shared" si="4"/>
        <v>Monatslohn fehlt</v>
      </c>
      <c r="J91" s="127" t="str">
        <f t="shared" si="5"/>
        <v/>
      </c>
    </row>
    <row r="92" spans="1:10" ht="24" customHeight="1">
      <c r="A92" s="121" t="s">
        <v>401</v>
      </c>
      <c r="B92" s="109">
        <v>46143</v>
      </c>
      <c r="C92" s="109">
        <v>46507</v>
      </c>
      <c r="D92" s="110" t="s">
        <v>8</v>
      </c>
      <c r="E92" s="110" t="s">
        <v>6</v>
      </c>
      <c r="F92" s="110" t="s">
        <v>282</v>
      </c>
      <c r="G92" s="88">
        <v>108.13</v>
      </c>
      <c r="H92" s="89"/>
      <c r="I92" s="111" t="str">
        <f t="shared" si="4"/>
        <v>Monatslohn fehlt</v>
      </c>
      <c r="J92" s="127" t="str">
        <f t="shared" si="5"/>
        <v/>
      </c>
    </row>
    <row r="93" spans="1:10" ht="24" customHeight="1">
      <c r="A93" s="121" t="s">
        <v>401</v>
      </c>
      <c r="B93" s="109">
        <v>46143</v>
      </c>
      <c r="C93" s="109">
        <v>46507</v>
      </c>
      <c r="D93" s="110" t="s">
        <v>8</v>
      </c>
      <c r="E93" s="110" t="s">
        <v>6</v>
      </c>
      <c r="F93" s="110" t="s">
        <v>282</v>
      </c>
      <c r="G93" s="88">
        <v>103.8</v>
      </c>
      <c r="H93" s="89"/>
      <c r="I93" s="111" t="str">
        <f t="shared" si="4"/>
        <v>Monatslohn fehlt</v>
      </c>
      <c r="J93" s="127" t="str">
        <f t="shared" si="5"/>
        <v/>
      </c>
    </row>
    <row r="94" spans="1:10" ht="24" customHeight="1">
      <c r="A94" s="121" t="s">
        <v>401</v>
      </c>
      <c r="B94" s="109">
        <v>46143</v>
      </c>
      <c r="C94" s="109">
        <v>46507</v>
      </c>
      <c r="D94" s="110" t="s">
        <v>8</v>
      </c>
      <c r="E94" s="110" t="s">
        <v>6</v>
      </c>
      <c r="F94" s="110" t="s">
        <v>282</v>
      </c>
      <c r="G94" s="88">
        <v>86.5</v>
      </c>
      <c r="H94" s="89"/>
      <c r="I94" s="111" t="str">
        <f t="shared" si="4"/>
        <v>Monatslohn fehlt</v>
      </c>
      <c r="J94" s="127" t="str">
        <f t="shared" si="5"/>
        <v/>
      </c>
    </row>
    <row r="95" spans="1:10" ht="24" customHeight="1">
      <c r="A95" s="121" t="s">
        <v>401</v>
      </c>
      <c r="B95" s="109">
        <v>46143</v>
      </c>
      <c r="C95" s="109">
        <v>46507</v>
      </c>
      <c r="D95" s="110" t="s">
        <v>8</v>
      </c>
      <c r="E95" s="110" t="s">
        <v>6</v>
      </c>
      <c r="F95" s="110" t="s">
        <v>282</v>
      </c>
      <c r="G95" s="88">
        <v>69.2</v>
      </c>
      <c r="H95" s="89"/>
      <c r="I95" s="111" t="str">
        <f t="shared" si="4"/>
        <v>Monatslohn fehlt</v>
      </c>
      <c r="J95" s="127" t="str">
        <f t="shared" si="5"/>
        <v/>
      </c>
    </row>
    <row r="96" spans="1:10" ht="24" customHeight="1">
      <c r="A96" s="121" t="s">
        <v>401</v>
      </c>
      <c r="B96" s="109">
        <v>46143</v>
      </c>
      <c r="C96" s="109">
        <v>46507</v>
      </c>
      <c r="D96" s="110" t="s">
        <v>8</v>
      </c>
      <c r="E96" s="110" t="s">
        <v>6</v>
      </c>
      <c r="F96" s="110" t="s">
        <v>282</v>
      </c>
      <c r="G96" s="88">
        <v>51.9</v>
      </c>
      <c r="H96" s="89"/>
      <c r="I96" s="111" t="str">
        <f t="shared" si="4"/>
        <v>Monatslohn fehlt</v>
      </c>
      <c r="J96" s="127" t="str">
        <f t="shared" si="5"/>
        <v/>
      </c>
    </row>
    <row r="97" spans="1:10" ht="24" customHeight="1">
      <c r="A97" s="121" t="s">
        <v>401</v>
      </c>
      <c r="B97" s="109">
        <v>46143</v>
      </c>
      <c r="C97" s="109">
        <v>46507</v>
      </c>
      <c r="D97" s="110" t="s">
        <v>8</v>
      </c>
      <c r="E97" s="110" t="s">
        <v>6</v>
      </c>
      <c r="F97" s="110" t="s">
        <v>282</v>
      </c>
      <c r="G97" s="88">
        <v>47.58</v>
      </c>
      <c r="H97" s="89"/>
      <c r="I97" s="111" t="str">
        <f t="shared" si="4"/>
        <v>Monatslohn fehlt</v>
      </c>
      <c r="J97" s="127" t="str">
        <f t="shared" si="5"/>
        <v/>
      </c>
    </row>
    <row r="98" spans="1:10" ht="24" customHeight="1">
      <c r="A98" s="121" t="s">
        <v>401</v>
      </c>
      <c r="B98" s="109">
        <v>46143</v>
      </c>
      <c r="C98" s="109">
        <v>46507</v>
      </c>
      <c r="D98" s="110" t="s">
        <v>8</v>
      </c>
      <c r="E98" s="110" t="s">
        <v>6</v>
      </c>
      <c r="F98" s="110" t="s">
        <v>282</v>
      </c>
      <c r="G98" s="88">
        <v>43.25</v>
      </c>
      <c r="H98" s="89"/>
      <c r="I98" s="111" t="str">
        <f t="shared" si="4"/>
        <v>Monatslohn fehlt</v>
      </c>
      <c r="J98" s="127" t="str">
        <f t="shared" si="5"/>
        <v/>
      </c>
    </row>
    <row r="99" spans="1:10" ht="24" customHeight="1">
      <c r="A99" s="121" t="s">
        <v>401</v>
      </c>
      <c r="B99" s="109">
        <v>46143</v>
      </c>
      <c r="C99" s="109">
        <v>46507</v>
      </c>
      <c r="D99" s="110" t="s">
        <v>8</v>
      </c>
      <c r="E99" s="110" t="s">
        <v>6</v>
      </c>
      <c r="F99" s="110" t="s">
        <v>282</v>
      </c>
      <c r="G99" s="88">
        <v>34.6</v>
      </c>
      <c r="H99" s="89"/>
      <c r="I99" s="111" t="str">
        <f t="shared" si="4"/>
        <v>Monatslohn fehlt</v>
      </c>
      <c r="J99" s="127" t="str">
        <f t="shared" si="5"/>
        <v/>
      </c>
    </row>
    <row r="100" spans="1:10" ht="24" customHeight="1" thickBot="1">
      <c r="A100" s="121" t="s">
        <v>401</v>
      </c>
      <c r="B100" s="109">
        <v>46143</v>
      </c>
      <c r="C100" s="109">
        <v>46507</v>
      </c>
      <c r="D100" s="110" t="s">
        <v>8</v>
      </c>
      <c r="E100" s="110" t="s">
        <v>6</v>
      </c>
      <c r="F100" s="110" t="s">
        <v>282</v>
      </c>
      <c r="G100" s="88">
        <v>32.01</v>
      </c>
      <c r="H100" s="89"/>
      <c r="I100" s="111" t="str">
        <f t="shared" si="4"/>
        <v>Monatslohn fehlt</v>
      </c>
      <c r="J100" s="127" t="str">
        <f t="shared" si="5"/>
        <v/>
      </c>
    </row>
    <row r="101" spans="1:10" ht="24" customHeight="1">
      <c r="A101" s="120" t="s">
        <v>401</v>
      </c>
      <c r="B101" s="106">
        <v>46143</v>
      </c>
      <c r="C101" s="106">
        <v>46507</v>
      </c>
      <c r="D101" s="107" t="s">
        <v>9</v>
      </c>
      <c r="E101" s="107" t="s">
        <v>6</v>
      </c>
      <c r="F101" s="107" t="s">
        <v>283</v>
      </c>
      <c r="G101" s="86">
        <v>173</v>
      </c>
      <c r="H101" s="87"/>
      <c r="I101" s="108" t="str">
        <f t="shared" ref="I101:I132" si="6">IF($A101="","",IF(OR($B101="",$C101="",$D101="",$E101="",$F101=""),"Stammdaten fehlen",IF(AND($G101="",$H101=""),"Werte fehlen",IF($G101="","Monatsstunden fehlen",IF($H101="","Monatslohn fehlt","OK")))))</f>
        <v>Monatslohn fehlt</v>
      </c>
      <c r="J101" s="126" t="str">
        <f t="shared" ref="J101:J132" si="7">IF($G101="","",IF(COUNTIFS($A:$A,$A101,$D:$D,$D101,$G:$G,$G101)&gt;1,"Doppelte Monatsstunden",""))</f>
        <v/>
      </c>
    </row>
    <row r="102" spans="1:10" ht="24" customHeight="1">
      <c r="A102" s="121" t="s">
        <v>401</v>
      </c>
      <c r="B102" s="109">
        <v>46143</v>
      </c>
      <c r="C102" s="109">
        <v>46507</v>
      </c>
      <c r="D102" s="110" t="s">
        <v>9</v>
      </c>
      <c r="E102" s="110" t="s">
        <v>6</v>
      </c>
      <c r="F102" s="110" t="s">
        <v>283</v>
      </c>
      <c r="G102" s="88">
        <v>151.38</v>
      </c>
      <c r="H102" s="89"/>
      <c r="I102" s="111" t="str">
        <f t="shared" si="6"/>
        <v>Monatslohn fehlt</v>
      </c>
      <c r="J102" s="127" t="str">
        <f t="shared" si="7"/>
        <v/>
      </c>
    </row>
    <row r="103" spans="1:10" ht="24" customHeight="1">
      <c r="A103" s="121" t="s">
        <v>401</v>
      </c>
      <c r="B103" s="109">
        <v>46143</v>
      </c>
      <c r="C103" s="109">
        <v>46507</v>
      </c>
      <c r="D103" s="110" t="s">
        <v>9</v>
      </c>
      <c r="E103" s="110" t="s">
        <v>6</v>
      </c>
      <c r="F103" s="110" t="s">
        <v>283</v>
      </c>
      <c r="G103" s="88">
        <v>138.4</v>
      </c>
      <c r="H103" s="89"/>
      <c r="I103" s="111" t="str">
        <f t="shared" si="6"/>
        <v>Monatslohn fehlt</v>
      </c>
      <c r="J103" s="127" t="str">
        <f t="shared" si="7"/>
        <v/>
      </c>
    </row>
    <row r="104" spans="1:10" ht="24" customHeight="1">
      <c r="A104" s="121" t="s">
        <v>401</v>
      </c>
      <c r="B104" s="109">
        <v>46143</v>
      </c>
      <c r="C104" s="109">
        <v>46507</v>
      </c>
      <c r="D104" s="110" t="s">
        <v>9</v>
      </c>
      <c r="E104" s="110" t="s">
        <v>6</v>
      </c>
      <c r="F104" s="110" t="s">
        <v>283</v>
      </c>
      <c r="G104" s="88">
        <v>129.75</v>
      </c>
      <c r="H104" s="89"/>
      <c r="I104" s="111" t="str">
        <f t="shared" si="6"/>
        <v>Monatslohn fehlt</v>
      </c>
      <c r="J104" s="127" t="str">
        <f t="shared" si="7"/>
        <v/>
      </c>
    </row>
    <row r="105" spans="1:10" ht="24" customHeight="1">
      <c r="A105" s="121" t="s">
        <v>401</v>
      </c>
      <c r="B105" s="109">
        <v>46143</v>
      </c>
      <c r="C105" s="109">
        <v>46507</v>
      </c>
      <c r="D105" s="110" t="s">
        <v>9</v>
      </c>
      <c r="E105" s="110" t="s">
        <v>6</v>
      </c>
      <c r="F105" s="110" t="s">
        <v>283</v>
      </c>
      <c r="G105" s="88">
        <v>108.13</v>
      </c>
      <c r="H105" s="89"/>
      <c r="I105" s="111" t="str">
        <f t="shared" si="6"/>
        <v>Monatslohn fehlt</v>
      </c>
      <c r="J105" s="127" t="str">
        <f t="shared" si="7"/>
        <v/>
      </c>
    </row>
    <row r="106" spans="1:10" ht="24" customHeight="1">
      <c r="A106" s="121" t="s">
        <v>401</v>
      </c>
      <c r="B106" s="109">
        <v>46143</v>
      </c>
      <c r="C106" s="109">
        <v>46507</v>
      </c>
      <c r="D106" s="110" t="s">
        <v>9</v>
      </c>
      <c r="E106" s="110" t="s">
        <v>6</v>
      </c>
      <c r="F106" s="110" t="s">
        <v>283</v>
      </c>
      <c r="G106" s="88">
        <v>103.8</v>
      </c>
      <c r="H106" s="89"/>
      <c r="I106" s="111" t="str">
        <f t="shared" si="6"/>
        <v>Monatslohn fehlt</v>
      </c>
      <c r="J106" s="127" t="str">
        <f t="shared" si="7"/>
        <v/>
      </c>
    </row>
    <row r="107" spans="1:10" ht="24" customHeight="1">
      <c r="A107" s="121" t="s">
        <v>401</v>
      </c>
      <c r="B107" s="109">
        <v>46143</v>
      </c>
      <c r="C107" s="109">
        <v>46507</v>
      </c>
      <c r="D107" s="110" t="s">
        <v>9</v>
      </c>
      <c r="E107" s="110" t="s">
        <v>6</v>
      </c>
      <c r="F107" s="110" t="s">
        <v>283</v>
      </c>
      <c r="G107" s="88">
        <v>86.5</v>
      </c>
      <c r="H107" s="89"/>
      <c r="I107" s="111" t="str">
        <f t="shared" si="6"/>
        <v>Monatslohn fehlt</v>
      </c>
      <c r="J107" s="127" t="str">
        <f t="shared" si="7"/>
        <v/>
      </c>
    </row>
    <row r="108" spans="1:10" ht="24" customHeight="1">
      <c r="A108" s="121" t="s">
        <v>401</v>
      </c>
      <c r="B108" s="109">
        <v>46143</v>
      </c>
      <c r="C108" s="109">
        <v>46507</v>
      </c>
      <c r="D108" s="110" t="s">
        <v>9</v>
      </c>
      <c r="E108" s="110" t="s">
        <v>6</v>
      </c>
      <c r="F108" s="110" t="s">
        <v>283</v>
      </c>
      <c r="G108" s="88">
        <v>69.2</v>
      </c>
      <c r="H108" s="89"/>
      <c r="I108" s="111" t="str">
        <f t="shared" si="6"/>
        <v>Monatslohn fehlt</v>
      </c>
      <c r="J108" s="127" t="str">
        <f t="shared" si="7"/>
        <v/>
      </c>
    </row>
    <row r="109" spans="1:10" ht="24" customHeight="1">
      <c r="A109" s="121" t="s">
        <v>401</v>
      </c>
      <c r="B109" s="109">
        <v>46143</v>
      </c>
      <c r="C109" s="109">
        <v>46507</v>
      </c>
      <c r="D109" s="110" t="s">
        <v>9</v>
      </c>
      <c r="E109" s="110" t="s">
        <v>6</v>
      </c>
      <c r="F109" s="110" t="s">
        <v>283</v>
      </c>
      <c r="G109" s="88">
        <v>51.9</v>
      </c>
      <c r="H109" s="89"/>
      <c r="I109" s="111" t="str">
        <f t="shared" si="6"/>
        <v>Monatslohn fehlt</v>
      </c>
      <c r="J109" s="127" t="str">
        <f t="shared" si="7"/>
        <v/>
      </c>
    </row>
    <row r="110" spans="1:10" ht="24" customHeight="1">
      <c r="A110" s="121" t="s">
        <v>401</v>
      </c>
      <c r="B110" s="109">
        <v>46143</v>
      </c>
      <c r="C110" s="109">
        <v>46507</v>
      </c>
      <c r="D110" s="110" t="s">
        <v>9</v>
      </c>
      <c r="E110" s="110" t="s">
        <v>6</v>
      </c>
      <c r="F110" s="110" t="s">
        <v>283</v>
      </c>
      <c r="G110" s="88">
        <v>47.58</v>
      </c>
      <c r="H110" s="89"/>
      <c r="I110" s="111" t="str">
        <f t="shared" si="6"/>
        <v>Monatslohn fehlt</v>
      </c>
      <c r="J110" s="127" t="str">
        <f t="shared" si="7"/>
        <v/>
      </c>
    </row>
    <row r="111" spans="1:10" ht="24" customHeight="1">
      <c r="A111" s="121" t="s">
        <v>401</v>
      </c>
      <c r="B111" s="109">
        <v>46143</v>
      </c>
      <c r="C111" s="109">
        <v>46507</v>
      </c>
      <c r="D111" s="110" t="s">
        <v>9</v>
      </c>
      <c r="E111" s="110" t="s">
        <v>6</v>
      </c>
      <c r="F111" s="110" t="s">
        <v>283</v>
      </c>
      <c r="G111" s="88">
        <v>43.25</v>
      </c>
      <c r="H111" s="89"/>
      <c r="I111" s="111" t="str">
        <f t="shared" si="6"/>
        <v>Monatslohn fehlt</v>
      </c>
      <c r="J111" s="127" t="str">
        <f t="shared" si="7"/>
        <v/>
      </c>
    </row>
    <row r="112" spans="1:10" ht="24" customHeight="1">
      <c r="A112" s="121" t="s">
        <v>401</v>
      </c>
      <c r="B112" s="109">
        <v>46143</v>
      </c>
      <c r="C112" s="109">
        <v>46507</v>
      </c>
      <c r="D112" s="110" t="s">
        <v>9</v>
      </c>
      <c r="E112" s="110" t="s">
        <v>6</v>
      </c>
      <c r="F112" s="110" t="s">
        <v>283</v>
      </c>
      <c r="G112" s="88">
        <v>34.6</v>
      </c>
      <c r="H112" s="89"/>
      <c r="I112" s="111" t="str">
        <f t="shared" si="6"/>
        <v>Monatslohn fehlt</v>
      </c>
      <c r="J112" s="127" t="str">
        <f t="shared" si="7"/>
        <v/>
      </c>
    </row>
    <row r="113" spans="1:10" ht="24" customHeight="1" thickBot="1">
      <c r="A113" s="121" t="s">
        <v>401</v>
      </c>
      <c r="B113" s="109">
        <v>46143</v>
      </c>
      <c r="C113" s="109">
        <v>46507</v>
      </c>
      <c r="D113" s="110" t="s">
        <v>9</v>
      </c>
      <c r="E113" s="110" t="s">
        <v>6</v>
      </c>
      <c r="F113" s="110" t="s">
        <v>283</v>
      </c>
      <c r="G113" s="88">
        <v>32.01</v>
      </c>
      <c r="H113" s="89"/>
      <c r="I113" s="111" t="str">
        <f t="shared" si="6"/>
        <v>Monatslohn fehlt</v>
      </c>
      <c r="J113" s="127" t="str">
        <f t="shared" si="7"/>
        <v/>
      </c>
    </row>
    <row r="114" spans="1:10" ht="24" customHeight="1">
      <c r="A114" s="122" t="s">
        <v>401</v>
      </c>
      <c r="B114" s="112">
        <v>46143</v>
      </c>
      <c r="C114" s="112">
        <v>46507</v>
      </c>
      <c r="D114" s="113" t="s">
        <v>291</v>
      </c>
      <c r="E114" s="113" t="s">
        <v>10</v>
      </c>
      <c r="F114" s="113" t="s">
        <v>280</v>
      </c>
      <c r="G114" s="90">
        <v>173</v>
      </c>
      <c r="H114" s="91"/>
      <c r="I114" s="114" t="str">
        <f t="shared" si="6"/>
        <v>Monatslohn fehlt</v>
      </c>
      <c r="J114" s="128" t="str">
        <f t="shared" si="7"/>
        <v/>
      </c>
    </row>
    <row r="115" spans="1:10" ht="24" customHeight="1">
      <c r="A115" s="123" t="s">
        <v>401</v>
      </c>
      <c r="B115" s="115">
        <v>46143</v>
      </c>
      <c r="C115" s="115">
        <v>46507</v>
      </c>
      <c r="D115" s="116" t="s">
        <v>291</v>
      </c>
      <c r="E115" s="116" t="s">
        <v>10</v>
      </c>
      <c r="F115" s="116" t="s">
        <v>280</v>
      </c>
      <c r="G115" s="92">
        <v>151.38</v>
      </c>
      <c r="H115" s="93"/>
      <c r="I115" s="117" t="str">
        <f t="shared" si="6"/>
        <v>Monatslohn fehlt</v>
      </c>
      <c r="J115" s="129" t="str">
        <f t="shared" si="7"/>
        <v/>
      </c>
    </row>
    <row r="116" spans="1:10" ht="24" customHeight="1">
      <c r="A116" s="123" t="s">
        <v>401</v>
      </c>
      <c r="B116" s="115">
        <v>46143</v>
      </c>
      <c r="C116" s="115">
        <v>46507</v>
      </c>
      <c r="D116" s="116" t="s">
        <v>291</v>
      </c>
      <c r="E116" s="116" t="s">
        <v>10</v>
      </c>
      <c r="F116" s="116" t="s">
        <v>280</v>
      </c>
      <c r="G116" s="92">
        <v>138.4</v>
      </c>
      <c r="H116" s="93"/>
      <c r="I116" s="117" t="str">
        <f t="shared" si="6"/>
        <v>Monatslohn fehlt</v>
      </c>
      <c r="J116" s="129" t="str">
        <f t="shared" si="7"/>
        <v/>
      </c>
    </row>
    <row r="117" spans="1:10" ht="24" customHeight="1">
      <c r="A117" s="123" t="s">
        <v>401</v>
      </c>
      <c r="B117" s="115">
        <v>46143</v>
      </c>
      <c r="C117" s="115">
        <v>46507</v>
      </c>
      <c r="D117" s="116" t="s">
        <v>291</v>
      </c>
      <c r="E117" s="116" t="s">
        <v>10</v>
      </c>
      <c r="F117" s="116" t="s">
        <v>280</v>
      </c>
      <c r="G117" s="92">
        <v>129.75</v>
      </c>
      <c r="H117" s="93"/>
      <c r="I117" s="117" t="str">
        <f t="shared" si="6"/>
        <v>Monatslohn fehlt</v>
      </c>
      <c r="J117" s="129" t="str">
        <f t="shared" si="7"/>
        <v/>
      </c>
    </row>
    <row r="118" spans="1:10" ht="24" customHeight="1">
      <c r="A118" s="123" t="s">
        <v>401</v>
      </c>
      <c r="B118" s="115">
        <v>46143</v>
      </c>
      <c r="C118" s="115">
        <v>46507</v>
      </c>
      <c r="D118" s="116" t="s">
        <v>291</v>
      </c>
      <c r="E118" s="116" t="s">
        <v>10</v>
      </c>
      <c r="F118" s="116" t="s">
        <v>280</v>
      </c>
      <c r="G118" s="92">
        <v>108.13</v>
      </c>
      <c r="H118" s="93"/>
      <c r="I118" s="117" t="str">
        <f t="shared" si="6"/>
        <v>Monatslohn fehlt</v>
      </c>
      <c r="J118" s="129" t="str">
        <f t="shared" si="7"/>
        <v/>
      </c>
    </row>
    <row r="119" spans="1:10" ht="24" customHeight="1">
      <c r="A119" s="123" t="s">
        <v>401</v>
      </c>
      <c r="B119" s="115">
        <v>46143</v>
      </c>
      <c r="C119" s="115">
        <v>46507</v>
      </c>
      <c r="D119" s="116" t="s">
        <v>291</v>
      </c>
      <c r="E119" s="116" t="s">
        <v>10</v>
      </c>
      <c r="F119" s="116" t="s">
        <v>280</v>
      </c>
      <c r="G119" s="92">
        <v>103.8</v>
      </c>
      <c r="H119" s="93"/>
      <c r="I119" s="117" t="str">
        <f t="shared" si="6"/>
        <v>Monatslohn fehlt</v>
      </c>
      <c r="J119" s="129" t="str">
        <f t="shared" si="7"/>
        <v/>
      </c>
    </row>
    <row r="120" spans="1:10" ht="24" customHeight="1">
      <c r="A120" s="123" t="s">
        <v>401</v>
      </c>
      <c r="B120" s="115">
        <v>46143</v>
      </c>
      <c r="C120" s="115">
        <v>46507</v>
      </c>
      <c r="D120" s="116" t="s">
        <v>291</v>
      </c>
      <c r="E120" s="116" t="s">
        <v>10</v>
      </c>
      <c r="F120" s="116" t="s">
        <v>280</v>
      </c>
      <c r="G120" s="92">
        <v>86.5</v>
      </c>
      <c r="H120" s="93"/>
      <c r="I120" s="117" t="str">
        <f t="shared" si="6"/>
        <v>Monatslohn fehlt</v>
      </c>
      <c r="J120" s="129" t="str">
        <f t="shared" si="7"/>
        <v/>
      </c>
    </row>
    <row r="121" spans="1:10" ht="24" customHeight="1">
      <c r="A121" s="123" t="s">
        <v>401</v>
      </c>
      <c r="B121" s="115">
        <v>46143</v>
      </c>
      <c r="C121" s="115">
        <v>46507</v>
      </c>
      <c r="D121" s="116" t="s">
        <v>291</v>
      </c>
      <c r="E121" s="116" t="s">
        <v>10</v>
      </c>
      <c r="F121" s="116" t="s">
        <v>280</v>
      </c>
      <c r="G121" s="92">
        <v>69.2</v>
      </c>
      <c r="H121" s="93"/>
      <c r="I121" s="117" t="str">
        <f t="shared" si="6"/>
        <v>Monatslohn fehlt</v>
      </c>
      <c r="J121" s="129" t="str">
        <f t="shared" si="7"/>
        <v/>
      </c>
    </row>
    <row r="122" spans="1:10" ht="24" customHeight="1">
      <c r="A122" s="123" t="s">
        <v>401</v>
      </c>
      <c r="B122" s="115">
        <v>46143</v>
      </c>
      <c r="C122" s="115">
        <v>46507</v>
      </c>
      <c r="D122" s="116" t="s">
        <v>291</v>
      </c>
      <c r="E122" s="116" t="s">
        <v>10</v>
      </c>
      <c r="F122" s="116" t="s">
        <v>280</v>
      </c>
      <c r="G122" s="92">
        <v>51.9</v>
      </c>
      <c r="H122" s="93"/>
      <c r="I122" s="117" t="str">
        <f t="shared" si="6"/>
        <v>Monatslohn fehlt</v>
      </c>
      <c r="J122" s="129" t="str">
        <f t="shared" si="7"/>
        <v/>
      </c>
    </row>
    <row r="123" spans="1:10" ht="24" customHeight="1">
      <c r="A123" s="123" t="s">
        <v>401</v>
      </c>
      <c r="B123" s="115">
        <v>46143</v>
      </c>
      <c r="C123" s="115">
        <v>46507</v>
      </c>
      <c r="D123" s="116" t="s">
        <v>291</v>
      </c>
      <c r="E123" s="116" t="s">
        <v>10</v>
      </c>
      <c r="F123" s="116" t="s">
        <v>280</v>
      </c>
      <c r="G123" s="92">
        <v>47.58</v>
      </c>
      <c r="H123" s="93"/>
      <c r="I123" s="117" t="str">
        <f t="shared" si="6"/>
        <v>Monatslohn fehlt</v>
      </c>
      <c r="J123" s="129" t="str">
        <f t="shared" si="7"/>
        <v/>
      </c>
    </row>
    <row r="124" spans="1:10" ht="24" customHeight="1">
      <c r="A124" s="123" t="s">
        <v>401</v>
      </c>
      <c r="B124" s="115">
        <v>46143</v>
      </c>
      <c r="C124" s="115">
        <v>46507</v>
      </c>
      <c r="D124" s="116" t="s">
        <v>291</v>
      </c>
      <c r="E124" s="116" t="s">
        <v>10</v>
      </c>
      <c r="F124" s="116" t="s">
        <v>280</v>
      </c>
      <c r="G124" s="92">
        <v>43.25</v>
      </c>
      <c r="H124" s="93"/>
      <c r="I124" s="117" t="str">
        <f t="shared" si="6"/>
        <v>Monatslohn fehlt</v>
      </c>
      <c r="J124" s="129" t="str">
        <f t="shared" si="7"/>
        <v/>
      </c>
    </row>
    <row r="125" spans="1:10" ht="24" customHeight="1">
      <c r="A125" s="123" t="s">
        <v>401</v>
      </c>
      <c r="B125" s="115">
        <v>46143</v>
      </c>
      <c r="C125" s="115">
        <v>46507</v>
      </c>
      <c r="D125" s="116" t="s">
        <v>291</v>
      </c>
      <c r="E125" s="116" t="s">
        <v>10</v>
      </c>
      <c r="F125" s="116" t="s">
        <v>280</v>
      </c>
      <c r="G125" s="92">
        <v>34.6</v>
      </c>
      <c r="H125" s="93"/>
      <c r="I125" s="117" t="str">
        <f t="shared" si="6"/>
        <v>Monatslohn fehlt</v>
      </c>
      <c r="J125" s="129" t="str">
        <f t="shared" si="7"/>
        <v/>
      </c>
    </row>
    <row r="126" spans="1:10" ht="24" customHeight="1" thickBot="1">
      <c r="A126" s="123" t="s">
        <v>401</v>
      </c>
      <c r="B126" s="115">
        <v>46143</v>
      </c>
      <c r="C126" s="115">
        <v>46507</v>
      </c>
      <c r="D126" s="116" t="s">
        <v>291</v>
      </c>
      <c r="E126" s="116" t="s">
        <v>10</v>
      </c>
      <c r="F126" s="116" t="s">
        <v>280</v>
      </c>
      <c r="G126" s="92">
        <v>32.01</v>
      </c>
      <c r="H126" s="93"/>
      <c r="I126" s="117" t="str">
        <f t="shared" si="6"/>
        <v>Monatslohn fehlt</v>
      </c>
      <c r="J126" s="129" t="str">
        <f t="shared" si="7"/>
        <v/>
      </c>
    </row>
    <row r="127" spans="1:10" ht="24" customHeight="1">
      <c r="A127" s="122" t="s">
        <v>401</v>
      </c>
      <c r="B127" s="112">
        <v>46143</v>
      </c>
      <c r="C127" s="112">
        <v>46507</v>
      </c>
      <c r="D127" s="113" t="s">
        <v>11</v>
      </c>
      <c r="E127" s="113" t="s">
        <v>10</v>
      </c>
      <c r="F127" s="113" t="s">
        <v>281</v>
      </c>
      <c r="G127" s="90">
        <v>173</v>
      </c>
      <c r="H127" s="91"/>
      <c r="I127" s="114" t="str">
        <f t="shared" si="6"/>
        <v>Monatslohn fehlt</v>
      </c>
      <c r="J127" s="128" t="str">
        <f t="shared" si="7"/>
        <v/>
      </c>
    </row>
    <row r="128" spans="1:10" ht="24" customHeight="1">
      <c r="A128" s="123" t="s">
        <v>401</v>
      </c>
      <c r="B128" s="115">
        <v>46143</v>
      </c>
      <c r="C128" s="115">
        <v>46507</v>
      </c>
      <c r="D128" s="116" t="s">
        <v>11</v>
      </c>
      <c r="E128" s="116" t="s">
        <v>10</v>
      </c>
      <c r="F128" s="116" t="s">
        <v>281</v>
      </c>
      <c r="G128" s="92">
        <v>151.38</v>
      </c>
      <c r="H128" s="93"/>
      <c r="I128" s="117" t="str">
        <f t="shared" si="6"/>
        <v>Monatslohn fehlt</v>
      </c>
      <c r="J128" s="129" t="str">
        <f t="shared" si="7"/>
        <v/>
      </c>
    </row>
    <row r="129" spans="1:10" ht="24" customHeight="1">
      <c r="A129" s="123" t="s">
        <v>401</v>
      </c>
      <c r="B129" s="115">
        <v>46143</v>
      </c>
      <c r="C129" s="115">
        <v>46507</v>
      </c>
      <c r="D129" s="116" t="s">
        <v>11</v>
      </c>
      <c r="E129" s="116" t="s">
        <v>10</v>
      </c>
      <c r="F129" s="116" t="s">
        <v>281</v>
      </c>
      <c r="G129" s="92">
        <v>138.4</v>
      </c>
      <c r="H129" s="93"/>
      <c r="I129" s="117" t="str">
        <f t="shared" si="6"/>
        <v>Monatslohn fehlt</v>
      </c>
      <c r="J129" s="129" t="str">
        <f t="shared" si="7"/>
        <v/>
      </c>
    </row>
    <row r="130" spans="1:10" ht="24" customHeight="1">
      <c r="A130" s="123" t="s">
        <v>401</v>
      </c>
      <c r="B130" s="115">
        <v>46143</v>
      </c>
      <c r="C130" s="115">
        <v>46507</v>
      </c>
      <c r="D130" s="116" t="s">
        <v>11</v>
      </c>
      <c r="E130" s="116" t="s">
        <v>10</v>
      </c>
      <c r="F130" s="116" t="s">
        <v>281</v>
      </c>
      <c r="G130" s="92">
        <v>129.75</v>
      </c>
      <c r="H130" s="93"/>
      <c r="I130" s="117" t="str">
        <f t="shared" si="6"/>
        <v>Monatslohn fehlt</v>
      </c>
      <c r="J130" s="129" t="str">
        <f t="shared" si="7"/>
        <v/>
      </c>
    </row>
    <row r="131" spans="1:10" ht="24" customHeight="1">
      <c r="A131" s="123" t="s">
        <v>401</v>
      </c>
      <c r="B131" s="115">
        <v>46143</v>
      </c>
      <c r="C131" s="115">
        <v>46507</v>
      </c>
      <c r="D131" s="116" t="s">
        <v>11</v>
      </c>
      <c r="E131" s="116" t="s">
        <v>10</v>
      </c>
      <c r="F131" s="116" t="s">
        <v>281</v>
      </c>
      <c r="G131" s="92">
        <v>108.13</v>
      </c>
      <c r="H131" s="93"/>
      <c r="I131" s="117" t="str">
        <f t="shared" si="6"/>
        <v>Monatslohn fehlt</v>
      </c>
      <c r="J131" s="129" t="str">
        <f t="shared" si="7"/>
        <v/>
      </c>
    </row>
    <row r="132" spans="1:10" ht="24" customHeight="1">
      <c r="A132" s="123" t="s">
        <v>401</v>
      </c>
      <c r="B132" s="115">
        <v>46143</v>
      </c>
      <c r="C132" s="115">
        <v>46507</v>
      </c>
      <c r="D132" s="116" t="s">
        <v>11</v>
      </c>
      <c r="E132" s="116" t="s">
        <v>10</v>
      </c>
      <c r="F132" s="116" t="s">
        <v>281</v>
      </c>
      <c r="G132" s="92">
        <v>103.8</v>
      </c>
      <c r="H132" s="93"/>
      <c r="I132" s="117" t="str">
        <f t="shared" si="6"/>
        <v>Monatslohn fehlt</v>
      </c>
      <c r="J132" s="129" t="str">
        <f t="shared" si="7"/>
        <v/>
      </c>
    </row>
    <row r="133" spans="1:10" ht="24" customHeight="1">
      <c r="A133" s="123" t="s">
        <v>401</v>
      </c>
      <c r="B133" s="115">
        <v>46143</v>
      </c>
      <c r="C133" s="115">
        <v>46507</v>
      </c>
      <c r="D133" s="116" t="s">
        <v>11</v>
      </c>
      <c r="E133" s="116" t="s">
        <v>10</v>
      </c>
      <c r="F133" s="116" t="s">
        <v>281</v>
      </c>
      <c r="G133" s="92">
        <v>86.5</v>
      </c>
      <c r="H133" s="93"/>
      <c r="I133" s="117" t="str">
        <f t="shared" ref="I133:I165" si="8">IF($A133="","",IF(OR($B133="",$C133="",$D133="",$E133="",$F133=""),"Stammdaten fehlen",IF(AND($G133="",$H133=""),"Werte fehlen",IF($G133="","Monatsstunden fehlen",IF($H133="","Monatslohn fehlt","OK")))))</f>
        <v>Monatslohn fehlt</v>
      </c>
      <c r="J133" s="129" t="str">
        <f t="shared" ref="J133:J165" si="9">IF($G133="","",IF(COUNTIFS($A:$A,$A133,$D:$D,$D133,$G:$G,$G133)&gt;1,"Doppelte Monatsstunden",""))</f>
        <v/>
      </c>
    </row>
    <row r="134" spans="1:10" ht="24" customHeight="1">
      <c r="A134" s="123" t="s">
        <v>401</v>
      </c>
      <c r="B134" s="115">
        <v>46143</v>
      </c>
      <c r="C134" s="115">
        <v>46507</v>
      </c>
      <c r="D134" s="116" t="s">
        <v>11</v>
      </c>
      <c r="E134" s="116" t="s">
        <v>10</v>
      </c>
      <c r="F134" s="116" t="s">
        <v>281</v>
      </c>
      <c r="G134" s="92">
        <v>69.2</v>
      </c>
      <c r="H134" s="93"/>
      <c r="I134" s="117" t="str">
        <f t="shared" si="8"/>
        <v>Monatslohn fehlt</v>
      </c>
      <c r="J134" s="129" t="str">
        <f t="shared" si="9"/>
        <v/>
      </c>
    </row>
    <row r="135" spans="1:10" ht="24" customHeight="1">
      <c r="A135" s="123" t="s">
        <v>401</v>
      </c>
      <c r="B135" s="115">
        <v>46143</v>
      </c>
      <c r="C135" s="115">
        <v>46507</v>
      </c>
      <c r="D135" s="116" t="s">
        <v>11</v>
      </c>
      <c r="E135" s="116" t="s">
        <v>10</v>
      </c>
      <c r="F135" s="116" t="s">
        <v>281</v>
      </c>
      <c r="G135" s="92">
        <v>51.9</v>
      </c>
      <c r="H135" s="93"/>
      <c r="I135" s="117" t="str">
        <f t="shared" si="8"/>
        <v>Monatslohn fehlt</v>
      </c>
      <c r="J135" s="129" t="str">
        <f t="shared" si="9"/>
        <v/>
      </c>
    </row>
    <row r="136" spans="1:10" ht="24" customHeight="1">
      <c r="A136" s="123" t="s">
        <v>401</v>
      </c>
      <c r="B136" s="115">
        <v>46143</v>
      </c>
      <c r="C136" s="115">
        <v>46507</v>
      </c>
      <c r="D136" s="116" t="s">
        <v>11</v>
      </c>
      <c r="E136" s="116" t="s">
        <v>10</v>
      </c>
      <c r="F136" s="116" t="s">
        <v>281</v>
      </c>
      <c r="G136" s="92">
        <v>47.58</v>
      </c>
      <c r="H136" s="93"/>
      <c r="I136" s="117" t="str">
        <f t="shared" si="8"/>
        <v>Monatslohn fehlt</v>
      </c>
      <c r="J136" s="129" t="str">
        <f t="shared" si="9"/>
        <v/>
      </c>
    </row>
    <row r="137" spans="1:10" ht="24" customHeight="1">
      <c r="A137" s="123" t="s">
        <v>401</v>
      </c>
      <c r="B137" s="115">
        <v>46143</v>
      </c>
      <c r="C137" s="115">
        <v>46507</v>
      </c>
      <c r="D137" s="116" t="s">
        <v>11</v>
      </c>
      <c r="E137" s="116" t="s">
        <v>10</v>
      </c>
      <c r="F137" s="116" t="s">
        <v>281</v>
      </c>
      <c r="G137" s="92">
        <v>43.25</v>
      </c>
      <c r="H137" s="93"/>
      <c r="I137" s="117" t="str">
        <f t="shared" si="8"/>
        <v>Monatslohn fehlt</v>
      </c>
      <c r="J137" s="129" t="str">
        <f t="shared" si="9"/>
        <v/>
      </c>
    </row>
    <row r="138" spans="1:10" ht="24" customHeight="1">
      <c r="A138" s="123" t="s">
        <v>401</v>
      </c>
      <c r="B138" s="115">
        <v>46143</v>
      </c>
      <c r="C138" s="115">
        <v>46507</v>
      </c>
      <c r="D138" s="116" t="s">
        <v>11</v>
      </c>
      <c r="E138" s="116" t="s">
        <v>10</v>
      </c>
      <c r="F138" s="116" t="s">
        <v>281</v>
      </c>
      <c r="G138" s="92">
        <v>34.6</v>
      </c>
      <c r="H138" s="93"/>
      <c r="I138" s="117" t="str">
        <f t="shared" si="8"/>
        <v>Monatslohn fehlt</v>
      </c>
      <c r="J138" s="129" t="str">
        <f t="shared" si="9"/>
        <v/>
      </c>
    </row>
    <row r="139" spans="1:10" ht="24" customHeight="1" thickBot="1">
      <c r="A139" s="123" t="s">
        <v>401</v>
      </c>
      <c r="B139" s="115">
        <v>46143</v>
      </c>
      <c r="C139" s="115">
        <v>46507</v>
      </c>
      <c r="D139" s="116" t="s">
        <v>11</v>
      </c>
      <c r="E139" s="116" t="s">
        <v>10</v>
      </c>
      <c r="F139" s="116" t="s">
        <v>281</v>
      </c>
      <c r="G139" s="92">
        <v>32.01</v>
      </c>
      <c r="H139" s="93"/>
      <c r="I139" s="117" t="str">
        <f t="shared" si="8"/>
        <v>Monatslohn fehlt</v>
      </c>
      <c r="J139" s="129" t="str">
        <f t="shared" si="9"/>
        <v/>
      </c>
    </row>
    <row r="140" spans="1:10" ht="24" customHeight="1">
      <c r="A140" s="122" t="s">
        <v>401</v>
      </c>
      <c r="B140" s="112">
        <v>46143</v>
      </c>
      <c r="C140" s="112">
        <v>46507</v>
      </c>
      <c r="D140" s="113" t="s">
        <v>12</v>
      </c>
      <c r="E140" s="113" t="s">
        <v>10</v>
      </c>
      <c r="F140" s="113" t="s">
        <v>282</v>
      </c>
      <c r="G140" s="90">
        <v>173</v>
      </c>
      <c r="H140" s="91"/>
      <c r="I140" s="114" t="str">
        <f t="shared" si="8"/>
        <v>Monatslohn fehlt</v>
      </c>
      <c r="J140" s="128" t="str">
        <f t="shared" si="9"/>
        <v/>
      </c>
    </row>
    <row r="141" spans="1:10" ht="24" customHeight="1">
      <c r="A141" s="123" t="s">
        <v>401</v>
      </c>
      <c r="B141" s="115">
        <v>46143</v>
      </c>
      <c r="C141" s="115">
        <v>46507</v>
      </c>
      <c r="D141" s="116" t="s">
        <v>12</v>
      </c>
      <c r="E141" s="116" t="s">
        <v>10</v>
      </c>
      <c r="F141" s="116" t="s">
        <v>282</v>
      </c>
      <c r="G141" s="92">
        <v>151.38</v>
      </c>
      <c r="H141" s="93"/>
      <c r="I141" s="117" t="str">
        <f t="shared" si="8"/>
        <v>Monatslohn fehlt</v>
      </c>
      <c r="J141" s="129" t="str">
        <f t="shared" si="9"/>
        <v/>
      </c>
    </row>
    <row r="142" spans="1:10" ht="24" customHeight="1">
      <c r="A142" s="123" t="s">
        <v>401</v>
      </c>
      <c r="B142" s="115">
        <v>46143</v>
      </c>
      <c r="C142" s="115">
        <v>46507</v>
      </c>
      <c r="D142" s="116" t="s">
        <v>12</v>
      </c>
      <c r="E142" s="116" t="s">
        <v>10</v>
      </c>
      <c r="F142" s="116" t="s">
        <v>282</v>
      </c>
      <c r="G142" s="92">
        <v>138.4</v>
      </c>
      <c r="H142" s="93"/>
      <c r="I142" s="117" t="str">
        <f t="shared" si="8"/>
        <v>Monatslohn fehlt</v>
      </c>
      <c r="J142" s="129" t="str">
        <f t="shared" si="9"/>
        <v/>
      </c>
    </row>
    <row r="143" spans="1:10" ht="24" customHeight="1">
      <c r="A143" s="123" t="s">
        <v>401</v>
      </c>
      <c r="B143" s="115">
        <v>46143</v>
      </c>
      <c r="C143" s="115">
        <v>46507</v>
      </c>
      <c r="D143" s="116" t="s">
        <v>12</v>
      </c>
      <c r="E143" s="116" t="s">
        <v>10</v>
      </c>
      <c r="F143" s="116" t="s">
        <v>282</v>
      </c>
      <c r="G143" s="92">
        <v>129.75</v>
      </c>
      <c r="H143" s="93"/>
      <c r="I143" s="117" t="str">
        <f t="shared" si="8"/>
        <v>Monatslohn fehlt</v>
      </c>
      <c r="J143" s="129" t="str">
        <f t="shared" si="9"/>
        <v/>
      </c>
    </row>
    <row r="144" spans="1:10" ht="24" customHeight="1">
      <c r="A144" s="123" t="s">
        <v>401</v>
      </c>
      <c r="B144" s="115">
        <v>46143</v>
      </c>
      <c r="C144" s="115">
        <v>46507</v>
      </c>
      <c r="D144" s="116" t="s">
        <v>12</v>
      </c>
      <c r="E144" s="116" t="s">
        <v>10</v>
      </c>
      <c r="F144" s="116" t="s">
        <v>282</v>
      </c>
      <c r="G144" s="92">
        <v>108.13</v>
      </c>
      <c r="H144" s="93"/>
      <c r="I144" s="117" t="str">
        <f t="shared" si="8"/>
        <v>Monatslohn fehlt</v>
      </c>
      <c r="J144" s="129" t="str">
        <f t="shared" si="9"/>
        <v/>
      </c>
    </row>
    <row r="145" spans="1:10" ht="24" customHeight="1">
      <c r="A145" s="123" t="s">
        <v>401</v>
      </c>
      <c r="B145" s="115">
        <v>46143</v>
      </c>
      <c r="C145" s="115">
        <v>46507</v>
      </c>
      <c r="D145" s="116" t="s">
        <v>12</v>
      </c>
      <c r="E145" s="116" t="s">
        <v>10</v>
      </c>
      <c r="F145" s="116" t="s">
        <v>282</v>
      </c>
      <c r="G145" s="92">
        <v>103.8</v>
      </c>
      <c r="H145" s="93"/>
      <c r="I145" s="117" t="str">
        <f t="shared" si="8"/>
        <v>Monatslohn fehlt</v>
      </c>
      <c r="J145" s="129" t="str">
        <f t="shared" si="9"/>
        <v/>
      </c>
    </row>
    <row r="146" spans="1:10" ht="24" customHeight="1">
      <c r="A146" s="123" t="s">
        <v>401</v>
      </c>
      <c r="B146" s="115">
        <v>46143</v>
      </c>
      <c r="C146" s="115">
        <v>46507</v>
      </c>
      <c r="D146" s="116" t="s">
        <v>12</v>
      </c>
      <c r="E146" s="116" t="s">
        <v>10</v>
      </c>
      <c r="F146" s="116" t="s">
        <v>282</v>
      </c>
      <c r="G146" s="92">
        <v>86.5</v>
      </c>
      <c r="H146" s="93"/>
      <c r="I146" s="117" t="str">
        <f t="shared" si="8"/>
        <v>Monatslohn fehlt</v>
      </c>
      <c r="J146" s="129" t="str">
        <f t="shared" si="9"/>
        <v/>
      </c>
    </row>
    <row r="147" spans="1:10" ht="24" customHeight="1">
      <c r="A147" s="123" t="s">
        <v>401</v>
      </c>
      <c r="B147" s="115">
        <v>46143</v>
      </c>
      <c r="C147" s="115">
        <v>46507</v>
      </c>
      <c r="D147" s="116" t="s">
        <v>12</v>
      </c>
      <c r="E147" s="116" t="s">
        <v>10</v>
      </c>
      <c r="F147" s="116" t="s">
        <v>282</v>
      </c>
      <c r="G147" s="92">
        <v>69.2</v>
      </c>
      <c r="H147" s="93"/>
      <c r="I147" s="117" t="str">
        <f t="shared" si="8"/>
        <v>Monatslohn fehlt</v>
      </c>
      <c r="J147" s="129" t="str">
        <f t="shared" si="9"/>
        <v/>
      </c>
    </row>
    <row r="148" spans="1:10" ht="24" customHeight="1">
      <c r="A148" s="123" t="s">
        <v>401</v>
      </c>
      <c r="B148" s="115">
        <v>46143</v>
      </c>
      <c r="C148" s="115">
        <v>46507</v>
      </c>
      <c r="D148" s="116" t="s">
        <v>12</v>
      </c>
      <c r="E148" s="116" t="s">
        <v>10</v>
      </c>
      <c r="F148" s="116" t="s">
        <v>282</v>
      </c>
      <c r="G148" s="92">
        <v>51.9</v>
      </c>
      <c r="H148" s="93"/>
      <c r="I148" s="117" t="str">
        <f t="shared" si="8"/>
        <v>Monatslohn fehlt</v>
      </c>
      <c r="J148" s="129" t="str">
        <f t="shared" si="9"/>
        <v/>
      </c>
    </row>
    <row r="149" spans="1:10" ht="24" customHeight="1">
      <c r="A149" s="123" t="s">
        <v>401</v>
      </c>
      <c r="B149" s="115">
        <v>46143</v>
      </c>
      <c r="C149" s="115">
        <v>46507</v>
      </c>
      <c r="D149" s="116" t="s">
        <v>12</v>
      </c>
      <c r="E149" s="116" t="s">
        <v>10</v>
      </c>
      <c r="F149" s="116" t="s">
        <v>282</v>
      </c>
      <c r="G149" s="92">
        <v>47.58</v>
      </c>
      <c r="H149" s="93"/>
      <c r="I149" s="117" t="str">
        <f t="shared" si="8"/>
        <v>Monatslohn fehlt</v>
      </c>
      <c r="J149" s="129" t="str">
        <f t="shared" si="9"/>
        <v/>
      </c>
    </row>
    <row r="150" spans="1:10" ht="24" customHeight="1">
      <c r="A150" s="123" t="s">
        <v>401</v>
      </c>
      <c r="B150" s="115">
        <v>46143</v>
      </c>
      <c r="C150" s="115">
        <v>46507</v>
      </c>
      <c r="D150" s="116" t="s">
        <v>12</v>
      </c>
      <c r="E150" s="116" t="s">
        <v>10</v>
      </c>
      <c r="F150" s="116" t="s">
        <v>282</v>
      </c>
      <c r="G150" s="92">
        <v>43.25</v>
      </c>
      <c r="H150" s="93"/>
      <c r="I150" s="117" t="str">
        <f t="shared" si="8"/>
        <v>Monatslohn fehlt</v>
      </c>
      <c r="J150" s="129" t="str">
        <f t="shared" si="9"/>
        <v/>
      </c>
    </row>
    <row r="151" spans="1:10" ht="24" customHeight="1">
      <c r="A151" s="123" t="s">
        <v>401</v>
      </c>
      <c r="B151" s="115">
        <v>46143</v>
      </c>
      <c r="C151" s="115">
        <v>46507</v>
      </c>
      <c r="D151" s="116" t="s">
        <v>12</v>
      </c>
      <c r="E151" s="116" t="s">
        <v>10</v>
      </c>
      <c r="F151" s="116" t="s">
        <v>282</v>
      </c>
      <c r="G151" s="92">
        <v>34.6</v>
      </c>
      <c r="H151" s="93"/>
      <c r="I151" s="117" t="str">
        <f t="shared" si="8"/>
        <v>Monatslohn fehlt</v>
      </c>
      <c r="J151" s="129" t="str">
        <f t="shared" si="9"/>
        <v/>
      </c>
    </row>
    <row r="152" spans="1:10" ht="24" customHeight="1" thickBot="1">
      <c r="A152" s="123" t="s">
        <v>401</v>
      </c>
      <c r="B152" s="115">
        <v>46143</v>
      </c>
      <c r="C152" s="115">
        <v>46507</v>
      </c>
      <c r="D152" s="116" t="s">
        <v>12</v>
      </c>
      <c r="E152" s="116" t="s">
        <v>10</v>
      </c>
      <c r="F152" s="116" t="s">
        <v>282</v>
      </c>
      <c r="G152" s="92">
        <v>32.01</v>
      </c>
      <c r="H152" s="93"/>
      <c r="I152" s="117" t="str">
        <f t="shared" si="8"/>
        <v>Monatslohn fehlt</v>
      </c>
      <c r="J152" s="129" t="str">
        <f t="shared" si="9"/>
        <v/>
      </c>
    </row>
    <row r="153" spans="1:10" ht="24" customHeight="1">
      <c r="A153" s="122" t="s">
        <v>401</v>
      </c>
      <c r="B153" s="112">
        <v>46143</v>
      </c>
      <c r="C153" s="112">
        <v>46507</v>
      </c>
      <c r="D153" s="113" t="s">
        <v>13</v>
      </c>
      <c r="E153" s="113" t="s">
        <v>10</v>
      </c>
      <c r="F153" s="113" t="s">
        <v>283</v>
      </c>
      <c r="G153" s="90">
        <v>173</v>
      </c>
      <c r="H153" s="91"/>
      <c r="I153" s="114" t="str">
        <f t="shared" si="8"/>
        <v>Monatslohn fehlt</v>
      </c>
      <c r="J153" s="128" t="str">
        <f t="shared" si="9"/>
        <v/>
      </c>
    </row>
    <row r="154" spans="1:10" ht="24" customHeight="1">
      <c r="A154" s="123" t="s">
        <v>401</v>
      </c>
      <c r="B154" s="115">
        <v>46143</v>
      </c>
      <c r="C154" s="115">
        <v>46507</v>
      </c>
      <c r="D154" s="116" t="s">
        <v>13</v>
      </c>
      <c r="E154" s="116" t="s">
        <v>10</v>
      </c>
      <c r="F154" s="116" t="s">
        <v>283</v>
      </c>
      <c r="G154" s="92">
        <v>151.38</v>
      </c>
      <c r="H154" s="93"/>
      <c r="I154" s="117" t="str">
        <f t="shared" si="8"/>
        <v>Monatslohn fehlt</v>
      </c>
      <c r="J154" s="129" t="str">
        <f t="shared" si="9"/>
        <v/>
      </c>
    </row>
    <row r="155" spans="1:10" ht="24" customHeight="1">
      <c r="A155" s="123" t="s">
        <v>401</v>
      </c>
      <c r="B155" s="115">
        <v>46143</v>
      </c>
      <c r="C155" s="115">
        <v>46507</v>
      </c>
      <c r="D155" s="116" t="s">
        <v>13</v>
      </c>
      <c r="E155" s="116" t="s">
        <v>10</v>
      </c>
      <c r="F155" s="116" t="s">
        <v>283</v>
      </c>
      <c r="G155" s="92">
        <v>138.4</v>
      </c>
      <c r="H155" s="93"/>
      <c r="I155" s="117" t="str">
        <f t="shared" si="8"/>
        <v>Monatslohn fehlt</v>
      </c>
      <c r="J155" s="129" t="str">
        <f t="shared" si="9"/>
        <v/>
      </c>
    </row>
    <row r="156" spans="1:10" ht="24" customHeight="1">
      <c r="A156" s="123" t="s">
        <v>401</v>
      </c>
      <c r="B156" s="115">
        <v>46143</v>
      </c>
      <c r="C156" s="115">
        <v>46507</v>
      </c>
      <c r="D156" s="116" t="s">
        <v>13</v>
      </c>
      <c r="E156" s="116" t="s">
        <v>10</v>
      </c>
      <c r="F156" s="116" t="s">
        <v>283</v>
      </c>
      <c r="G156" s="92">
        <v>129.75</v>
      </c>
      <c r="H156" s="93"/>
      <c r="I156" s="117" t="str">
        <f t="shared" si="8"/>
        <v>Monatslohn fehlt</v>
      </c>
      <c r="J156" s="129" t="str">
        <f t="shared" si="9"/>
        <v/>
      </c>
    </row>
    <row r="157" spans="1:10" ht="24" customHeight="1">
      <c r="A157" s="123" t="s">
        <v>401</v>
      </c>
      <c r="B157" s="115">
        <v>46143</v>
      </c>
      <c r="C157" s="115">
        <v>46507</v>
      </c>
      <c r="D157" s="116" t="s">
        <v>13</v>
      </c>
      <c r="E157" s="116" t="s">
        <v>10</v>
      </c>
      <c r="F157" s="116" t="s">
        <v>283</v>
      </c>
      <c r="G157" s="92">
        <v>108.13</v>
      </c>
      <c r="H157" s="93"/>
      <c r="I157" s="117" t="str">
        <f t="shared" si="8"/>
        <v>Monatslohn fehlt</v>
      </c>
      <c r="J157" s="129" t="str">
        <f t="shared" si="9"/>
        <v/>
      </c>
    </row>
    <row r="158" spans="1:10" ht="24" customHeight="1">
      <c r="A158" s="123" t="s">
        <v>401</v>
      </c>
      <c r="B158" s="115">
        <v>46143</v>
      </c>
      <c r="C158" s="115">
        <v>46507</v>
      </c>
      <c r="D158" s="116" t="s">
        <v>13</v>
      </c>
      <c r="E158" s="116" t="s">
        <v>10</v>
      </c>
      <c r="F158" s="116" t="s">
        <v>283</v>
      </c>
      <c r="G158" s="92">
        <v>103.8</v>
      </c>
      <c r="H158" s="93"/>
      <c r="I158" s="117" t="str">
        <f t="shared" si="8"/>
        <v>Monatslohn fehlt</v>
      </c>
      <c r="J158" s="129" t="str">
        <f t="shared" si="9"/>
        <v/>
      </c>
    </row>
    <row r="159" spans="1:10" ht="24" customHeight="1">
      <c r="A159" s="123" t="s">
        <v>401</v>
      </c>
      <c r="B159" s="115">
        <v>46143</v>
      </c>
      <c r="C159" s="115">
        <v>46507</v>
      </c>
      <c r="D159" s="116" t="s">
        <v>13</v>
      </c>
      <c r="E159" s="116" t="s">
        <v>10</v>
      </c>
      <c r="F159" s="116" t="s">
        <v>283</v>
      </c>
      <c r="G159" s="92">
        <v>86.5</v>
      </c>
      <c r="H159" s="93"/>
      <c r="I159" s="117" t="str">
        <f t="shared" si="8"/>
        <v>Monatslohn fehlt</v>
      </c>
      <c r="J159" s="129" t="str">
        <f t="shared" si="9"/>
        <v/>
      </c>
    </row>
    <row r="160" spans="1:10" ht="24" customHeight="1">
      <c r="A160" s="123" t="s">
        <v>401</v>
      </c>
      <c r="B160" s="115">
        <v>46143</v>
      </c>
      <c r="C160" s="115">
        <v>46507</v>
      </c>
      <c r="D160" s="116" t="s">
        <v>13</v>
      </c>
      <c r="E160" s="116" t="s">
        <v>10</v>
      </c>
      <c r="F160" s="116" t="s">
        <v>283</v>
      </c>
      <c r="G160" s="92">
        <v>69.2</v>
      </c>
      <c r="H160" s="93"/>
      <c r="I160" s="117" t="str">
        <f t="shared" si="8"/>
        <v>Monatslohn fehlt</v>
      </c>
      <c r="J160" s="129" t="str">
        <f t="shared" si="9"/>
        <v/>
      </c>
    </row>
    <row r="161" spans="1:11" ht="24" customHeight="1">
      <c r="A161" s="123" t="s">
        <v>401</v>
      </c>
      <c r="B161" s="115">
        <v>46143</v>
      </c>
      <c r="C161" s="115">
        <v>46507</v>
      </c>
      <c r="D161" s="116" t="s">
        <v>13</v>
      </c>
      <c r="E161" s="116" t="s">
        <v>10</v>
      </c>
      <c r="F161" s="116" t="s">
        <v>283</v>
      </c>
      <c r="G161" s="92">
        <v>51.9</v>
      </c>
      <c r="H161" s="93"/>
      <c r="I161" s="117" t="str">
        <f t="shared" si="8"/>
        <v>Monatslohn fehlt</v>
      </c>
      <c r="J161" s="129" t="str">
        <f t="shared" si="9"/>
        <v/>
      </c>
    </row>
    <row r="162" spans="1:11" ht="24" customHeight="1">
      <c r="A162" s="123" t="s">
        <v>401</v>
      </c>
      <c r="B162" s="115">
        <v>46143</v>
      </c>
      <c r="C162" s="115">
        <v>46507</v>
      </c>
      <c r="D162" s="116" t="s">
        <v>13</v>
      </c>
      <c r="E162" s="116" t="s">
        <v>10</v>
      </c>
      <c r="F162" s="116" t="s">
        <v>283</v>
      </c>
      <c r="G162" s="92">
        <v>47.58</v>
      </c>
      <c r="H162" s="93"/>
      <c r="I162" s="117" t="str">
        <f t="shared" si="8"/>
        <v>Monatslohn fehlt</v>
      </c>
      <c r="J162" s="129" t="str">
        <f t="shared" si="9"/>
        <v/>
      </c>
    </row>
    <row r="163" spans="1:11" ht="24" customHeight="1">
      <c r="A163" s="123" t="s">
        <v>401</v>
      </c>
      <c r="B163" s="115">
        <v>46143</v>
      </c>
      <c r="C163" s="115">
        <v>46507</v>
      </c>
      <c r="D163" s="116" t="s">
        <v>13</v>
      </c>
      <c r="E163" s="116" t="s">
        <v>10</v>
      </c>
      <c r="F163" s="116" t="s">
        <v>283</v>
      </c>
      <c r="G163" s="92">
        <v>43.25</v>
      </c>
      <c r="H163" s="93"/>
      <c r="I163" s="117" t="str">
        <f t="shared" si="8"/>
        <v>Monatslohn fehlt</v>
      </c>
      <c r="J163" s="129" t="str">
        <f t="shared" si="9"/>
        <v/>
      </c>
    </row>
    <row r="164" spans="1:11" ht="24" customHeight="1">
      <c r="A164" s="123" t="s">
        <v>401</v>
      </c>
      <c r="B164" s="115">
        <v>46143</v>
      </c>
      <c r="C164" s="115">
        <v>46507</v>
      </c>
      <c r="D164" s="116" t="s">
        <v>13</v>
      </c>
      <c r="E164" s="116" t="s">
        <v>10</v>
      </c>
      <c r="F164" s="116" t="s">
        <v>283</v>
      </c>
      <c r="G164" s="92">
        <v>34.6</v>
      </c>
      <c r="H164" s="93"/>
      <c r="I164" s="117" t="str">
        <f t="shared" si="8"/>
        <v>Monatslohn fehlt</v>
      </c>
      <c r="J164" s="129" t="str">
        <f t="shared" si="9"/>
        <v/>
      </c>
    </row>
    <row r="165" spans="1:11" ht="24" customHeight="1" thickBot="1">
      <c r="A165" s="130" t="s">
        <v>401</v>
      </c>
      <c r="B165" s="131">
        <v>46143</v>
      </c>
      <c r="C165" s="131">
        <v>46507</v>
      </c>
      <c r="D165" s="132" t="s">
        <v>13</v>
      </c>
      <c r="E165" s="132" t="s">
        <v>10</v>
      </c>
      <c r="F165" s="132" t="s">
        <v>283</v>
      </c>
      <c r="G165" s="94">
        <v>32.01</v>
      </c>
      <c r="H165" s="95"/>
      <c r="I165" s="133" t="str">
        <f t="shared" si="8"/>
        <v>Monatslohn fehlt</v>
      </c>
      <c r="J165" s="134" t="str">
        <f t="shared" si="9"/>
        <v/>
      </c>
    </row>
    <row r="166" spans="1:11" ht="24" customHeight="1" thickBot="1">
      <c r="A166" s="285" t="s">
        <v>355</v>
      </c>
      <c r="B166" s="286"/>
      <c r="C166" s="286"/>
      <c r="D166" s="287"/>
      <c r="E166" s="287"/>
      <c r="F166" s="287"/>
      <c r="G166" s="288"/>
      <c r="H166" s="289"/>
      <c r="I166" s="287"/>
      <c r="J166" s="290"/>
    </row>
    <row r="167" spans="1:11" ht="24" customHeight="1">
      <c r="A167" s="118" t="s">
        <v>292</v>
      </c>
      <c r="B167" s="100">
        <v>45778</v>
      </c>
      <c r="C167" s="100">
        <v>46142</v>
      </c>
      <c r="D167" s="101" t="s">
        <v>289</v>
      </c>
      <c r="E167" s="101" t="s">
        <v>2</v>
      </c>
      <c r="F167" s="101" t="s">
        <v>280</v>
      </c>
      <c r="G167" s="82">
        <v>173</v>
      </c>
      <c r="H167" s="83">
        <v>2021</v>
      </c>
      <c r="I167" s="102" t="str">
        <f t="shared" ref="I167:I198" si="10">IF($A167="","",IF(OR($B167="",$C167="",$D167="",$E167="",$F167=""),"Stammdaten fehlen",IF(AND($G167="",$H167=""),"Werte fehlen",IF($G167="","Monatsstunden fehlen",IF($H167="","Monatslohn fehlt","OK")))))</f>
        <v>OK</v>
      </c>
      <c r="J167" s="124" t="str">
        <f t="shared" ref="J167:J198" si="11">IF($G167="","",IF(COUNTIFS($A:$A,$A167,$D:$D,$D167,$G:$G,$G167)&gt;1,"Doppelte Monatsstunden",""))</f>
        <v/>
      </c>
    </row>
    <row r="168" spans="1:11" ht="24" customHeight="1">
      <c r="A168" s="119" t="s">
        <v>292</v>
      </c>
      <c r="B168" s="103">
        <v>45778</v>
      </c>
      <c r="C168" s="103">
        <v>46142</v>
      </c>
      <c r="D168" s="104" t="s">
        <v>289</v>
      </c>
      <c r="E168" s="104" t="s">
        <v>2</v>
      </c>
      <c r="F168" s="104" t="s">
        <v>280</v>
      </c>
      <c r="G168" s="84">
        <v>169</v>
      </c>
      <c r="H168" s="85">
        <v>2000</v>
      </c>
      <c r="I168" s="105" t="str">
        <f t="shared" si="10"/>
        <v>OK</v>
      </c>
      <c r="J168" s="125" t="str">
        <f t="shared" si="11"/>
        <v/>
      </c>
      <c r="K168" t="s">
        <v>400</v>
      </c>
    </row>
    <row r="169" spans="1:11" ht="24" customHeight="1">
      <c r="A169" s="119" t="s">
        <v>292</v>
      </c>
      <c r="B169" s="103">
        <v>45778</v>
      </c>
      <c r="C169" s="103">
        <v>46142</v>
      </c>
      <c r="D169" s="104" t="s">
        <v>289</v>
      </c>
      <c r="E169" s="104" t="s">
        <v>2</v>
      </c>
      <c r="F169" s="104" t="s">
        <v>280</v>
      </c>
      <c r="G169" s="84">
        <v>151.38</v>
      </c>
      <c r="H169" s="85">
        <v>1768.38</v>
      </c>
      <c r="I169" s="105" t="str">
        <f t="shared" si="10"/>
        <v>OK</v>
      </c>
      <c r="J169" s="125" t="str">
        <f t="shared" si="11"/>
        <v/>
      </c>
    </row>
    <row r="170" spans="1:11" ht="24" customHeight="1">
      <c r="A170" s="119" t="s">
        <v>292</v>
      </c>
      <c r="B170" s="103">
        <v>45778</v>
      </c>
      <c r="C170" s="103">
        <v>46142</v>
      </c>
      <c r="D170" s="104" t="s">
        <v>289</v>
      </c>
      <c r="E170" s="104" t="s">
        <v>2</v>
      </c>
      <c r="F170" s="104" t="s">
        <v>280</v>
      </c>
      <c r="G170" s="84">
        <v>138.4</v>
      </c>
      <c r="H170" s="85">
        <v>1616.8</v>
      </c>
      <c r="I170" s="105" t="str">
        <f t="shared" si="10"/>
        <v>OK</v>
      </c>
      <c r="J170" s="125" t="str">
        <f t="shared" si="11"/>
        <v/>
      </c>
    </row>
    <row r="171" spans="1:11" ht="24" customHeight="1">
      <c r="A171" s="119" t="s">
        <v>292</v>
      </c>
      <c r="B171" s="103">
        <v>45778</v>
      </c>
      <c r="C171" s="103">
        <v>46142</v>
      </c>
      <c r="D171" s="104" t="s">
        <v>289</v>
      </c>
      <c r="E171" s="104" t="s">
        <v>2</v>
      </c>
      <c r="F171" s="104" t="s">
        <v>280</v>
      </c>
      <c r="G171" s="84">
        <v>129.75</v>
      </c>
      <c r="H171" s="85">
        <v>1515.75</v>
      </c>
      <c r="I171" s="105" t="str">
        <f t="shared" si="10"/>
        <v>OK</v>
      </c>
      <c r="J171" s="125" t="str">
        <f t="shared" si="11"/>
        <v/>
      </c>
    </row>
    <row r="172" spans="1:11" ht="24" customHeight="1">
      <c r="A172" s="119" t="s">
        <v>292</v>
      </c>
      <c r="B172" s="103">
        <v>45778</v>
      </c>
      <c r="C172" s="103">
        <v>46142</v>
      </c>
      <c r="D172" s="104" t="s">
        <v>289</v>
      </c>
      <c r="E172" s="104" t="s">
        <v>2</v>
      </c>
      <c r="F172" s="104" t="s">
        <v>280</v>
      </c>
      <c r="G172" s="84">
        <v>108.13</v>
      </c>
      <c r="H172" s="85">
        <v>1263.1300000000001</v>
      </c>
      <c r="I172" s="105" t="str">
        <f t="shared" si="10"/>
        <v>OK</v>
      </c>
      <c r="J172" s="125" t="str">
        <f t="shared" si="11"/>
        <v/>
      </c>
    </row>
    <row r="173" spans="1:11" ht="24" customHeight="1">
      <c r="A173" s="119" t="s">
        <v>292</v>
      </c>
      <c r="B173" s="103">
        <v>45778</v>
      </c>
      <c r="C173" s="103">
        <v>46142</v>
      </c>
      <c r="D173" s="104" t="s">
        <v>289</v>
      </c>
      <c r="E173" s="104" t="s">
        <v>2</v>
      </c>
      <c r="F173" s="104" t="s">
        <v>280</v>
      </c>
      <c r="G173" s="84">
        <v>103.8</v>
      </c>
      <c r="H173" s="85">
        <v>1212.5999999999999</v>
      </c>
      <c r="I173" s="105" t="str">
        <f t="shared" si="10"/>
        <v>OK</v>
      </c>
      <c r="J173" s="125" t="str">
        <f t="shared" si="11"/>
        <v/>
      </c>
    </row>
    <row r="174" spans="1:11" ht="24" customHeight="1">
      <c r="A174" s="119" t="s">
        <v>292</v>
      </c>
      <c r="B174" s="103">
        <v>45778</v>
      </c>
      <c r="C174" s="103">
        <v>46142</v>
      </c>
      <c r="D174" s="104" t="s">
        <v>289</v>
      </c>
      <c r="E174" s="104" t="s">
        <v>2</v>
      </c>
      <c r="F174" s="104" t="s">
        <v>280</v>
      </c>
      <c r="G174" s="84">
        <v>86.5</v>
      </c>
      <c r="H174" s="85">
        <v>1010.5</v>
      </c>
      <c r="I174" s="105" t="str">
        <f t="shared" si="10"/>
        <v>OK</v>
      </c>
      <c r="J174" s="125" t="str">
        <f t="shared" si="11"/>
        <v/>
      </c>
    </row>
    <row r="175" spans="1:11" ht="24" customHeight="1">
      <c r="A175" s="119" t="s">
        <v>292</v>
      </c>
      <c r="B175" s="103">
        <v>45778</v>
      </c>
      <c r="C175" s="103">
        <v>46142</v>
      </c>
      <c r="D175" s="104" t="s">
        <v>289</v>
      </c>
      <c r="E175" s="104" t="s">
        <v>2</v>
      </c>
      <c r="F175" s="104" t="s">
        <v>280</v>
      </c>
      <c r="G175" s="84">
        <v>69.2</v>
      </c>
      <c r="H175" s="85">
        <v>808.4</v>
      </c>
      <c r="I175" s="105" t="str">
        <f t="shared" si="10"/>
        <v>OK</v>
      </c>
      <c r="J175" s="125" t="str">
        <f t="shared" si="11"/>
        <v/>
      </c>
    </row>
    <row r="176" spans="1:11" ht="24" customHeight="1">
      <c r="A176" s="119" t="s">
        <v>292</v>
      </c>
      <c r="B176" s="103">
        <v>45778</v>
      </c>
      <c r="C176" s="103">
        <v>46142</v>
      </c>
      <c r="D176" s="104" t="s">
        <v>289</v>
      </c>
      <c r="E176" s="104" t="s">
        <v>2</v>
      </c>
      <c r="F176" s="104" t="s">
        <v>280</v>
      </c>
      <c r="G176" s="84">
        <v>55</v>
      </c>
      <c r="H176" s="85">
        <v>666</v>
      </c>
      <c r="I176" s="105" t="str">
        <f t="shared" si="10"/>
        <v>OK</v>
      </c>
      <c r="J176" s="125" t="str">
        <f t="shared" si="11"/>
        <v/>
      </c>
      <c r="K176" t="s">
        <v>400</v>
      </c>
    </row>
    <row r="177" spans="1:10" ht="24" customHeight="1">
      <c r="A177" s="119" t="s">
        <v>292</v>
      </c>
      <c r="B177" s="103">
        <v>45778</v>
      </c>
      <c r="C177" s="103">
        <v>46142</v>
      </c>
      <c r="D177" s="104" t="s">
        <v>289</v>
      </c>
      <c r="E177" s="104" t="s">
        <v>2</v>
      </c>
      <c r="F177" s="104" t="s">
        <v>280</v>
      </c>
      <c r="G177" s="84">
        <v>51.9</v>
      </c>
      <c r="H177" s="85">
        <v>606.29999999999995</v>
      </c>
      <c r="I177" s="105" t="str">
        <f t="shared" si="10"/>
        <v>OK</v>
      </c>
      <c r="J177" s="125" t="str">
        <f t="shared" si="11"/>
        <v/>
      </c>
    </row>
    <row r="178" spans="1:10" ht="24" customHeight="1">
      <c r="A178" s="119" t="s">
        <v>292</v>
      </c>
      <c r="B178" s="103">
        <v>45778</v>
      </c>
      <c r="C178" s="103">
        <v>46142</v>
      </c>
      <c r="D178" s="104" t="s">
        <v>289</v>
      </c>
      <c r="E178" s="104" t="s">
        <v>2</v>
      </c>
      <c r="F178" s="104" t="s">
        <v>280</v>
      </c>
      <c r="G178" s="84">
        <v>47.58</v>
      </c>
      <c r="H178" s="85">
        <v>555.78</v>
      </c>
      <c r="I178" s="105" t="str">
        <f t="shared" si="10"/>
        <v>OK</v>
      </c>
      <c r="J178" s="125" t="str">
        <f t="shared" si="11"/>
        <v/>
      </c>
    </row>
    <row r="179" spans="1:10" ht="24" customHeight="1">
      <c r="A179" s="119" t="s">
        <v>292</v>
      </c>
      <c r="B179" s="103">
        <v>45778</v>
      </c>
      <c r="C179" s="103">
        <v>46142</v>
      </c>
      <c r="D179" s="104" t="s">
        <v>289</v>
      </c>
      <c r="E179" s="104" t="s">
        <v>2</v>
      </c>
      <c r="F179" s="104" t="s">
        <v>280</v>
      </c>
      <c r="G179" s="84">
        <v>43.25</v>
      </c>
      <c r="H179" s="85">
        <v>505.25</v>
      </c>
      <c r="I179" s="105" t="str">
        <f t="shared" si="10"/>
        <v>OK</v>
      </c>
      <c r="J179" s="125" t="str">
        <f t="shared" si="11"/>
        <v/>
      </c>
    </row>
    <row r="180" spans="1:10" ht="24" customHeight="1">
      <c r="A180" s="119" t="s">
        <v>292</v>
      </c>
      <c r="B180" s="103">
        <v>45778</v>
      </c>
      <c r="C180" s="103">
        <v>46142</v>
      </c>
      <c r="D180" s="104" t="s">
        <v>289</v>
      </c>
      <c r="E180" s="104" t="s">
        <v>2</v>
      </c>
      <c r="F180" s="104" t="s">
        <v>280</v>
      </c>
      <c r="G180" s="84">
        <v>34.6</v>
      </c>
      <c r="H180" s="85">
        <v>404.2</v>
      </c>
      <c r="I180" s="105" t="str">
        <f t="shared" si="10"/>
        <v>OK</v>
      </c>
      <c r="J180" s="125" t="str">
        <f t="shared" si="11"/>
        <v/>
      </c>
    </row>
    <row r="181" spans="1:10" ht="24" customHeight="1" thickBot="1">
      <c r="A181" s="119" t="s">
        <v>292</v>
      </c>
      <c r="B181" s="103">
        <v>45778</v>
      </c>
      <c r="C181" s="103">
        <v>46142</v>
      </c>
      <c r="D181" s="104" t="s">
        <v>289</v>
      </c>
      <c r="E181" s="104" t="s">
        <v>2</v>
      </c>
      <c r="F181" s="104" t="s">
        <v>280</v>
      </c>
      <c r="G181" s="84">
        <v>32.01</v>
      </c>
      <c r="H181" s="85">
        <v>373.89</v>
      </c>
      <c r="I181" s="105" t="str">
        <f t="shared" si="10"/>
        <v>OK</v>
      </c>
      <c r="J181" s="125" t="str">
        <f t="shared" si="11"/>
        <v/>
      </c>
    </row>
    <row r="182" spans="1:10" ht="24" customHeight="1">
      <c r="A182" s="118" t="s">
        <v>292</v>
      </c>
      <c r="B182" s="100">
        <v>45778</v>
      </c>
      <c r="C182" s="100">
        <v>46142</v>
      </c>
      <c r="D182" s="101" t="s">
        <v>3</v>
      </c>
      <c r="E182" s="101" t="s">
        <v>2</v>
      </c>
      <c r="F182" s="101" t="s">
        <v>281</v>
      </c>
      <c r="G182" s="82">
        <v>173</v>
      </c>
      <c r="H182" s="83">
        <v>2082</v>
      </c>
      <c r="I182" s="102" t="str">
        <f t="shared" si="10"/>
        <v>OK</v>
      </c>
      <c r="J182" s="124" t="str">
        <f t="shared" si="11"/>
        <v/>
      </c>
    </row>
    <row r="183" spans="1:10" ht="24" customHeight="1">
      <c r="A183" s="119" t="s">
        <v>292</v>
      </c>
      <c r="B183" s="103">
        <v>45778</v>
      </c>
      <c r="C183" s="103">
        <v>46142</v>
      </c>
      <c r="D183" s="104" t="s">
        <v>3</v>
      </c>
      <c r="E183" s="104" t="s">
        <v>2</v>
      </c>
      <c r="F183" s="104" t="s">
        <v>281</v>
      </c>
      <c r="G183" s="84">
        <v>151.38</v>
      </c>
      <c r="H183" s="85">
        <v>1821.75</v>
      </c>
      <c r="I183" s="105" t="str">
        <f t="shared" si="10"/>
        <v>OK</v>
      </c>
      <c r="J183" s="125" t="str">
        <f t="shared" si="11"/>
        <v/>
      </c>
    </row>
    <row r="184" spans="1:10" ht="24" customHeight="1">
      <c r="A184" s="119" t="s">
        <v>292</v>
      </c>
      <c r="B184" s="103">
        <v>45778</v>
      </c>
      <c r="C184" s="103">
        <v>46142</v>
      </c>
      <c r="D184" s="104" t="s">
        <v>3</v>
      </c>
      <c r="E184" s="104" t="s">
        <v>2</v>
      </c>
      <c r="F184" s="104" t="s">
        <v>281</v>
      </c>
      <c r="G184" s="84">
        <v>138.4</v>
      </c>
      <c r="H184" s="85">
        <v>1665.6</v>
      </c>
      <c r="I184" s="105" t="str">
        <f t="shared" si="10"/>
        <v>OK</v>
      </c>
      <c r="J184" s="125" t="str">
        <f t="shared" si="11"/>
        <v/>
      </c>
    </row>
    <row r="185" spans="1:10" ht="24" customHeight="1">
      <c r="A185" s="119" t="s">
        <v>292</v>
      </c>
      <c r="B185" s="103">
        <v>45778</v>
      </c>
      <c r="C185" s="103">
        <v>46142</v>
      </c>
      <c r="D185" s="104" t="s">
        <v>3</v>
      </c>
      <c r="E185" s="104" t="s">
        <v>2</v>
      </c>
      <c r="F185" s="104" t="s">
        <v>281</v>
      </c>
      <c r="G185" s="84">
        <v>129.75</v>
      </c>
      <c r="H185" s="85">
        <v>1561.5</v>
      </c>
      <c r="I185" s="105" t="str">
        <f t="shared" si="10"/>
        <v>OK</v>
      </c>
      <c r="J185" s="125" t="str">
        <f t="shared" si="11"/>
        <v/>
      </c>
    </row>
    <row r="186" spans="1:10" ht="24" customHeight="1">
      <c r="A186" s="119" t="s">
        <v>292</v>
      </c>
      <c r="B186" s="103">
        <v>45778</v>
      </c>
      <c r="C186" s="103">
        <v>46142</v>
      </c>
      <c r="D186" s="104" t="s">
        <v>3</v>
      </c>
      <c r="E186" s="104" t="s">
        <v>2</v>
      </c>
      <c r="F186" s="104" t="s">
        <v>281</v>
      </c>
      <c r="G186" s="84">
        <v>108.13</v>
      </c>
      <c r="H186" s="85">
        <v>1301.25</v>
      </c>
      <c r="I186" s="105" t="str">
        <f t="shared" si="10"/>
        <v>OK</v>
      </c>
      <c r="J186" s="125" t="str">
        <f t="shared" si="11"/>
        <v/>
      </c>
    </row>
    <row r="187" spans="1:10" ht="24" customHeight="1">
      <c r="A187" s="119" t="s">
        <v>292</v>
      </c>
      <c r="B187" s="103">
        <v>45778</v>
      </c>
      <c r="C187" s="103">
        <v>46142</v>
      </c>
      <c r="D187" s="104" t="s">
        <v>3</v>
      </c>
      <c r="E187" s="104" t="s">
        <v>2</v>
      </c>
      <c r="F187" s="104" t="s">
        <v>281</v>
      </c>
      <c r="G187" s="84">
        <v>103.8</v>
      </c>
      <c r="H187" s="85">
        <v>1249.2</v>
      </c>
      <c r="I187" s="105" t="str">
        <f t="shared" si="10"/>
        <v>OK</v>
      </c>
      <c r="J187" s="125" t="str">
        <f t="shared" si="11"/>
        <v/>
      </c>
    </row>
    <row r="188" spans="1:10" ht="24" customHeight="1">
      <c r="A188" s="119" t="s">
        <v>292</v>
      </c>
      <c r="B188" s="103">
        <v>45778</v>
      </c>
      <c r="C188" s="103">
        <v>46142</v>
      </c>
      <c r="D188" s="104" t="s">
        <v>3</v>
      </c>
      <c r="E188" s="104" t="s">
        <v>2</v>
      </c>
      <c r="F188" s="104" t="s">
        <v>281</v>
      </c>
      <c r="G188" s="84">
        <v>86.5</v>
      </c>
      <c r="H188" s="85">
        <v>1041.2</v>
      </c>
      <c r="I188" s="105" t="str">
        <f t="shared" si="10"/>
        <v>OK</v>
      </c>
      <c r="J188" s="125" t="str">
        <f t="shared" si="11"/>
        <v/>
      </c>
    </row>
    <row r="189" spans="1:10" ht="24" customHeight="1">
      <c r="A189" s="119" t="s">
        <v>292</v>
      </c>
      <c r="B189" s="103">
        <v>45778</v>
      </c>
      <c r="C189" s="103">
        <v>46142</v>
      </c>
      <c r="D189" s="104" t="s">
        <v>3</v>
      </c>
      <c r="E189" s="104" t="s">
        <v>2</v>
      </c>
      <c r="F189" s="104" t="s">
        <v>281</v>
      </c>
      <c r="G189" s="84">
        <v>69.2</v>
      </c>
      <c r="H189" s="85">
        <v>832.8</v>
      </c>
      <c r="I189" s="105" t="str">
        <f t="shared" si="10"/>
        <v>OK</v>
      </c>
      <c r="J189" s="125" t="str">
        <f t="shared" si="11"/>
        <v/>
      </c>
    </row>
    <row r="190" spans="1:10" ht="24" customHeight="1">
      <c r="A190" s="119" t="s">
        <v>292</v>
      </c>
      <c r="B190" s="103">
        <v>45778</v>
      </c>
      <c r="C190" s="103">
        <v>46142</v>
      </c>
      <c r="D190" s="104" t="s">
        <v>3</v>
      </c>
      <c r="E190" s="104" t="s">
        <v>2</v>
      </c>
      <c r="F190" s="104" t="s">
        <v>281</v>
      </c>
      <c r="G190" s="84">
        <v>51.9</v>
      </c>
      <c r="H190" s="85">
        <v>624.6</v>
      </c>
      <c r="I190" s="105" t="str">
        <f t="shared" si="10"/>
        <v>OK</v>
      </c>
      <c r="J190" s="125" t="str">
        <f t="shared" si="11"/>
        <v/>
      </c>
    </row>
    <row r="191" spans="1:10" ht="24" customHeight="1">
      <c r="A191" s="119" t="s">
        <v>292</v>
      </c>
      <c r="B191" s="103">
        <v>45778</v>
      </c>
      <c r="C191" s="103">
        <v>46142</v>
      </c>
      <c r="D191" s="104" t="s">
        <v>3</v>
      </c>
      <c r="E191" s="104" t="s">
        <v>2</v>
      </c>
      <c r="F191" s="104" t="s">
        <v>281</v>
      </c>
      <c r="G191" s="84">
        <v>47.58</v>
      </c>
      <c r="H191" s="85">
        <v>575.54999999999995</v>
      </c>
      <c r="I191" s="105" t="str">
        <f t="shared" si="10"/>
        <v>OK</v>
      </c>
      <c r="J191" s="125" t="str">
        <f t="shared" si="11"/>
        <v/>
      </c>
    </row>
    <row r="192" spans="1:10" ht="24" customHeight="1">
      <c r="A192" s="119" t="s">
        <v>292</v>
      </c>
      <c r="B192" s="103">
        <v>45778</v>
      </c>
      <c r="C192" s="103">
        <v>46142</v>
      </c>
      <c r="D192" s="104" t="s">
        <v>3</v>
      </c>
      <c r="E192" s="104" t="s">
        <v>2</v>
      </c>
      <c r="F192" s="104" t="s">
        <v>281</v>
      </c>
      <c r="G192" s="84">
        <v>43.25</v>
      </c>
      <c r="H192" s="85">
        <v>520.5</v>
      </c>
      <c r="I192" s="105" t="str">
        <f t="shared" si="10"/>
        <v>OK</v>
      </c>
      <c r="J192" s="125" t="str">
        <f t="shared" si="11"/>
        <v/>
      </c>
    </row>
    <row r="193" spans="1:10" ht="24" customHeight="1">
      <c r="A193" s="119" t="s">
        <v>292</v>
      </c>
      <c r="B193" s="103">
        <v>45778</v>
      </c>
      <c r="C193" s="103">
        <v>46142</v>
      </c>
      <c r="D193" s="104" t="s">
        <v>3</v>
      </c>
      <c r="E193" s="104" t="s">
        <v>2</v>
      </c>
      <c r="F193" s="104" t="s">
        <v>281</v>
      </c>
      <c r="G193" s="84">
        <v>34.6</v>
      </c>
      <c r="H193" s="85">
        <v>416.4</v>
      </c>
      <c r="I193" s="105" t="str">
        <f t="shared" si="10"/>
        <v>OK</v>
      </c>
      <c r="J193" s="125" t="str">
        <f t="shared" si="11"/>
        <v/>
      </c>
    </row>
    <row r="194" spans="1:10" ht="24" customHeight="1" thickBot="1">
      <c r="A194" s="119" t="s">
        <v>292</v>
      </c>
      <c r="B194" s="103">
        <v>45778</v>
      </c>
      <c r="C194" s="103">
        <v>46142</v>
      </c>
      <c r="D194" s="104" t="s">
        <v>3</v>
      </c>
      <c r="E194" s="104" t="s">
        <v>2</v>
      </c>
      <c r="F194" s="104" t="s">
        <v>281</v>
      </c>
      <c r="G194" s="84">
        <v>32.01</v>
      </c>
      <c r="H194" s="85">
        <v>385.17</v>
      </c>
      <c r="I194" s="105" t="str">
        <f t="shared" si="10"/>
        <v>OK</v>
      </c>
      <c r="J194" s="125" t="str">
        <f t="shared" si="11"/>
        <v/>
      </c>
    </row>
    <row r="195" spans="1:10" ht="24" customHeight="1">
      <c r="A195" s="118" t="s">
        <v>292</v>
      </c>
      <c r="B195" s="100">
        <v>45778</v>
      </c>
      <c r="C195" s="100">
        <v>46142</v>
      </c>
      <c r="D195" s="101" t="s">
        <v>4</v>
      </c>
      <c r="E195" s="101" t="s">
        <v>2</v>
      </c>
      <c r="F195" s="101" t="s">
        <v>282</v>
      </c>
      <c r="G195" s="82">
        <v>173</v>
      </c>
      <c r="H195" s="83">
        <v>2123</v>
      </c>
      <c r="I195" s="102" t="str">
        <f t="shared" si="10"/>
        <v>OK</v>
      </c>
      <c r="J195" s="124" t="str">
        <f t="shared" si="11"/>
        <v/>
      </c>
    </row>
    <row r="196" spans="1:10" ht="24" customHeight="1">
      <c r="A196" s="119" t="s">
        <v>292</v>
      </c>
      <c r="B196" s="103">
        <v>45778</v>
      </c>
      <c r="C196" s="103">
        <v>46142</v>
      </c>
      <c r="D196" s="104" t="s">
        <v>4</v>
      </c>
      <c r="E196" s="104" t="s">
        <v>2</v>
      </c>
      <c r="F196" s="104" t="s">
        <v>282</v>
      </c>
      <c r="G196" s="84">
        <v>151.38</v>
      </c>
      <c r="H196" s="85">
        <v>1857.63</v>
      </c>
      <c r="I196" s="105" t="str">
        <f t="shared" si="10"/>
        <v>OK</v>
      </c>
      <c r="J196" s="125" t="str">
        <f t="shared" si="11"/>
        <v/>
      </c>
    </row>
    <row r="197" spans="1:10" ht="24" customHeight="1">
      <c r="A197" s="119" t="s">
        <v>292</v>
      </c>
      <c r="B197" s="103">
        <v>45778</v>
      </c>
      <c r="C197" s="103">
        <v>46142</v>
      </c>
      <c r="D197" s="104" t="s">
        <v>4</v>
      </c>
      <c r="E197" s="104" t="s">
        <v>2</v>
      </c>
      <c r="F197" s="104" t="s">
        <v>282</v>
      </c>
      <c r="G197" s="84">
        <v>138.4</v>
      </c>
      <c r="H197" s="85">
        <v>1698.4</v>
      </c>
      <c r="I197" s="105" t="str">
        <f t="shared" si="10"/>
        <v>OK</v>
      </c>
      <c r="J197" s="125" t="str">
        <f t="shared" si="11"/>
        <v/>
      </c>
    </row>
    <row r="198" spans="1:10" ht="24" customHeight="1">
      <c r="A198" s="119" t="s">
        <v>292</v>
      </c>
      <c r="B198" s="103">
        <v>45778</v>
      </c>
      <c r="C198" s="103">
        <v>46142</v>
      </c>
      <c r="D198" s="104" t="s">
        <v>4</v>
      </c>
      <c r="E198" s="104" t="s">
        <v>2</v>
      </c>
      <c r="F198" s="104" t="s">
        <v>282</v>
      </c>
      <c r="G198" s="84">
        <v>129.75</v>
      </c>
      <c r="H198" s="85">
        <v>1592.25</v>
      </c>
      <c r="I198" s="105" t="str">
        <f t="shared" si="10"/>
        <v>OK</v>
      </c>
      <c r="J198" s="125" t="str">
        <f t="shared" si="11"/>
        <v/>
      </c>
    </row>
    <row r="199" spans="1:10" ht="24" customHeight="1">
      <c r="A199" s="119" t="s">
        <v>292</v>
      </c>
      <c r="B199" s="103">
        <v>45778</v>
      </c>
      <c r="C199" s="103">
        <v>46142</v>
      </c>
      <c r="D199" s="104" t="s">
        <v>4</v>
      </c>
      <c r="E199" s="104" t="s">
        <v>2</v>
      </c>
      <c r="F199" s="104" t="s">
        <v>282</v>
      </c>
      <c r="G199" s="84">
        <v>108.13</v>
      </c>
      <c r="H199" s="85">
        <v>1326.88</v>
      </c>
      <c r="I199" s="105" t="str">
        <f t="shared" ref="I199:I230" si="12">IF($A199="","",IF(OR($B199="",$C199="",$D199="",$E199="",$F199=""),"Stammdaten fehlen",IF(AND($G199="",$H199=""),"Werte fehlen",IF($G199="","Monatsstunden fehlen",IF($H199="","Monatslohn fehlt","OK")))))</f>
        <v>OK</v>
      </c>
      <c r="J199" s="125" t="str">
        <f t="shared" ref="J199:J230" si="13">IF($G199="","",IF(COUNTIFS($A:$A,$A199,$D:$D,$D199,$G:$G,$G199)&gt;1,"Doppelte Monatsstunden",""))</f>
        <v/>
      </c>
    </row>
    <row r="200" spans="1:10" ht="24" customHeight="1">
      <c r="A200" s="119" t="s">
        <v>292</v>
      </c>
      <c r="B200" s="103">
        <v>45778</v>
      </c>
      <c r="C200" s="103">
        <v>46142</v>
      </c>
      <c r="D200" s="104" t="s">
        <v>4</v>
      </c>
      <c r="E200" s="104" t="s">
        <v>2</v>
      </c>
      <c r="F200" s="104" t="s">
        <v>282</v>
      </c>
      <c r="G200" s="84">
        <v>103.8</v>
      </c>
      <c r="H200" s="85">
        <v>1273.8</v>
      </c>
      <c r="I200" s="105" t="str">
        <f t="shared" si="12"/>
        <v>OK</v>
      </c>
      <c r="J200" s="125" t="str">
        <f t="shared" si="13"/>
        <v/>
      </c>
    </row>
    <row r="201" spans="1:10" ht="24" customHeight="1">
      <c r="A201" s="119" t="s">
        <v>292</v>
      </c>
      <c r="B201" s="103">
        <v>45778</v>
      </c>
      <c r="C201" s="103">
        <v>46142</v>
      </c>
      <c r="D201" s="104" t="s">
        <v>4</v>
      </c>
      <c r="E201" s="104" t="s">
        <v>2</v>
      </c>
      <c r="F201" s="104" t="s">
        <v>282</v>
      </c>
      <c r="G201" s="84">
        <v>86.5</v>
      </c>
      <c r="H201" s="85">
        <v>1061.5</v>
      </c>
      <c r="I201" s="105" t="str">
        <f t="shared" si="12"/>
        <v>OK</v>
      </c>
      <c r="J201" s="125" t="str">
        <f t="shared" si="13"/>
        <v/>
      </c>
    </row>
    <row r="202" spans="1:10" ht="24" customHeight="1">
      <c r="A202" s="119" t="s">
        <v>292</v>
      </c>
      <c r="B202" s="103">
        <v>45778</v>
      </c>
      <c r="C202" s="103">
        <v>46142</v>
      </c>
      <c r="D202" s="104" t="s">
        <v>4</v>
      </c>
      <c r="E202" s="104" t="s">
        <v>2</v>
      </c>
      <c r="F202" s="104" t="s">
        <v>282</v>
      </c>
      <c r="G202" s="84">
        <v>69.2</v>
      </c>
      <c r="H202" s="85">
        <v>849.2</v>
      </c>
      <c r="I202" s="105" t="str">
        <f t="shared" si="12"/>
        <v>OK</v>
      </c>
      <c r="J202" s="125" t="str">
        <f t="shared" si="13"/>
        <v/>
      </c>
    </row>
    <row r="203" spans="1:10" ht="24" customHeight="1">
      <c r="A203" s="119" t="s">
        <v>292</v>
      </c>
      <c r="B203" s="103">
        <v>45778</v>
      </c>
      <c r="C203" s="103">
        <v>46142</v>
      </c>
      <c r="D203" s="104" t="s">
        <v>4</v>
      </c>
      <c r="E203" s="104" t="s">
        <v>2</v>
      </c>
      <c r="F203" s="104" t="s">
        <v>282</v>
      </c>
      <c r="G203" s="84">
        <v>51.9</v>
      </c>
      <c r="H203" s="85">
        <v>636.9</v>
      </c>
      <c r="I203" s="105" t="str">
        <f t="shared" si="12"/>
        <v>OK</v>
      </c>
      <c r="J203" s="125" t="str">
        <f t="shared" si="13"/>
        <v/>
      </c>
    </row>
    <row r="204" spans="1:10" ht="24" customHeight="1">
      <c r="A204" s="119" t="s">
        <v>292</v>
      </c>
      <c r="B204" s="103">
        <v>45778</v>
      </c>
      <c r="C204" s="103">
        <v>46142</v>
      </c>
      <c r="D204" s="104" t="s">
        <v>4</v>
      </c>
      <c r="E204" s="104" t="s">
        <v>2</v>
      </c>
      <c r="F204" s="104" t="s">
        <v>282</v>
      </c>
      <c r="G204" s="84">
        <v>47.58</v>
      </c>
      <c r="H204" s="85">
        <v>583.83000000000004</v>
      </c>
      <c r="I204" s="105" t="str">
        <f t="shared" si="12"/>
        <v>OK</v>
      </c>
      <c r="J204" s="125" t="str">
        <f t="shared" si="13"/>
        <v/>
      </c>
    </row>
    <row r="205" spans="1:10" ht="24" customHeight="1">
      <c r="A205" s="119" t="s">
        <v>292</v>
      </c>
      <c r="B205" s="103">
        <v>45778</v>
      </c>
      <c r="C205" s="103">
        <v>46142</v>
      </c>
      <c r="D205" s="104" t="s">
        <v>4</v>
      </c>
      <c r="E205" s="104" t="s">
        <v>2</v>
      </c>
      <c r="F205" s="104" t="s">
        <v>282</v>
      </c>
      <c r="G205" s="84">
        <v>43.25</v>
      </c>
      <c r="H205" s="85">
        <v>530.75</v>
      </c>
      <c r="I205" s="105" t="str">
        <f t="shared" si="12"/>
        <v>OK</v>
      </c>
      <c r="J205" s="125" t="str">
        <f t="shared" si="13"/>
        <v/>
      </c>
    </row>
    <row r="206" spans="1:10" ht="24" customHeight="1">
      <c r="A206" s="119" t="s">
        <v>292</v>
      </c>
      <c r="B206" s="103">
        <v>45778</v>
      </c>
      <c r="C206" s="103">
        <v>46142</v>
      </c>
      <c r="D206" s="104" t="s">
        <v>4</v>
      </c>
      <c r="E206" s="104" t="s">
        <v>2</v>
      </c>
      <c r="F206" s="104" t="s">
        <v>282</v>
      </c>
      <c r="G206" s="84">
        <v>34.6</v>
      </c>
      <c r="H206" s="85">
        <v>424.6</v>
      </c>
      <c r="I206" s="105" t="str">
        <f t="shared" si="12"/>
        <v>OK</v>
      </c>
      <c r="J206" s="125" t="str">
        <f t="shared" si="13"/>
        <v/>
      </c>
    </row>
    <row r="207" spans="1:10" ht="24" customHeight="1" thickBot="1">
      <c r="A207" s="119" t="s">
        <v>292</v>
      </c>
      <c r="B207" s="103">
        <v>45778</v>
      </c>
      <c r="C207" s="103">
        <v>46142</v>
      </c>
      <c r="D207" s="104" t="s">
        <v>4</v>
      </c>
      <c r="E207" s="104" t="s">
        <v>2</v>
      </c>
      <c r="F207" s="104" t="s">
        <v>282</v>
      </c>
      <c r="G207" s="84">
        <v>32.01</v>
      </c>
      <c r="H207" s="85">
        <v>392.76</v>
      </c>
      <c r="I207" s="105" t="str">
        <f t="shared" si="12"/>
        <v>OK</v>
      </c>
      <c r="J207" s="125" t="str">
        <f t="shared" si="13"/>
        <v/>
      </c>
    </row>
    <row r="208" spans="1:10" ht="24" customHeight="1">
      <c r="A208" s="118" t="s">
        <v>292</v>
      </c>
      <c r="B208" s="100">
        <v>45778</v>
      </c>
      <c r="C208" s="100">
        <v>46142</v>
      </c>
      <c r="D208" s="101" t="s">
        <v>5</v>
      </c>
      <c r="E208" s="101" t="s">
        <v>2</v>
      </c>
      <c r="F208" s="101" t="s">
        <v>283</v>
      </c>
      <c r="G208" s="82">
        <v>173</v>
      </c>
      <c r="H208" s="83">
        <v>2183</v>
      </c>
      <c r="I208" s="102" t="str">
        <f t="shared" si="12"/>
        <v>OK</v>
      </c>
      <c r="J208" s="124" t="str">
        <f t="shared" si="13"/>
        <v/>
      </c>
    </row>
    <row r="209" spans="1:10" ht="24" customHeight="1">
      <c r="A209" s="119" t="s">
        <v>292</v>
      </c>
      <c r="B209" s="103">
        <v>45778</v>
      </c>
      <c r="C209" s="103">
        <v>46142</v>
      </c>
      <c r="D209" s="104" t="s">
        <v>5</v>
      </c>
      <c r="E209" s="104" t="s">
        <v>2</v>
      </c>
      <c r="F209" s="104" t="s">
        <v>283</v>
      </c>
      <c r="G209" s="84">
        <v>151.38</v>
      </c>
      <c r="H209" s="85">
        <v>1910.13</v>
      </c>
      <c r="I209" s="105" t="str">
        <f t="shared" si="12"/>
        <v>OK</v>
      </c>
      <c r="J209" s="125" t="str">
        <f t="shared" si="13"/>
        <v/>
      </c>
    </row>
    <row r="210" spans="1:10" ht="24" customHeight="1">
      <c r="A210" s="119" t="s">
        <v>292</v>
      </c>
      <c r="B210" s="103">
        <v>45778</v>
      </c>
      <c r="C210" s="103">
        <v>46142</v>
      </c>
      <c r="D210" s="104" t="s">
        <v>5</v>
      </c>
      <c r="E210" s="104" t="s">
        <v>2</v>
      </c>
      <c r="F210" s="104" t="s">
        <v>283</v>
      </c>
      <c r="G210" s="84">
        <v>138.4</v>
      </c>
      <c r="H210" s="85">
        <v>1746.4</v>
      </c>
      <c r="I210" s="105" t="str">
        <f t="shared" si="12"/>
        <v>OK</v>
      </c>
      <c r="J210" s="125" t="str">
        <f t="shared" si="13"/>
        <v/>
      </c>
    </row>
    <row r="211" spans="1:10" ht="24" customHeight="1">
      <c r="A211" s="119" t="s">
        <v>292</v>
      </c>
      <c r="B211" s="103">
        <v>45778</v>
      </c>
      <c r="C211" s="103">
        <v>46142</v>
      </c>
      <c r="D211" s="104" t="s">
        <v>5</v>
      </c>
      <c r="E211" s="104" t="s">
        <v>2</v>
      </c>
      <c r="F211" s="104" t="s">
        <v>283</v>
      </c>
      <c r="G211" s="84">
        <v>129.75</v>
      </c>
      <c r="H211" s="85">
        <v>1637.25</v>
      </c>
      <c r="I211" s="105" t="str">
        <f t="shared" si="12"/>
        <v>OK</v>
      </c>
      <c r="J211" s="125" t="str">
        <f t="shared" si="13"/>
        <v/>
      </c>
    </row>
    <row r="212" spans="1:10" ht="24" customHeight="1">
      <c r="A212" s="119" t="s">
        <v>292</v>
      </c>
      <c r="B212" s="103">
        <v>45778</v>
      </c>
      <c r="C212" s="103">
        <v>46142</v>
      </c>
      <c r="D212" s="104" t="s">
        <v>5</v>
      </c>
      <c r="E212" s="104" t="s">
        <v>2</v>
      </c>
      <c r="F212" s="104" t="s">
        <v>283</v>
      </c>
      <c r="G212" s="84">
        <v>108.13</v>
      </c>
      <c r="H212" s="85">
        <v>1364.38</v>
      </c>
      <c r="I212" s="105" t="str">
        <f t="shared" si="12"/>
        <v>OK</v>
      </c>
      <c r="J212" s="125" t="str">
        <f t="shared" si="13"/>
        <v/>
      </c>
    </row>
    <row r="213" spans="1:10" ht="24" customHeight="1">
      <c r="A213" s="119" t="s">
        <v>292</v>
      </c>
      <c r="B213" s="103">
        <v>45778</v>
      </c>
      <c r="C213" s="103">
        <v>46142</v>
      </c>
      <c r="D213" s="104" t="s">
        <v>5</v>
      </c>
      <c r="E213" s="104" t="s">
        <v>2</v>
      </c>
      <c r="F213" s="104" t="s">
        <v>283</v>
      </c>
      <c r="G213" s="84">
        <v>103.8</v>
      </c>
      <c r="H213" s="85">
        <v>1309.8</v>
      </c>
      <c r="I213" s="105" t="str">
        <f t="shared" si="12"/>
        <v>OK</v>
      </c>
      <c r="J213" s="125" t="str">
        <f t="shared" si="13"/>
        <v/>
      </c>
    </row>
    <row r="214" spans="1:10" ht="24" customHeight="1">
      <c r="A214" s="119" t="s">
        <v>292</v>
      </c>
      <c r="B214" s="103">
        <v>45778</v>
      </c>
      <c r="C214" s="103">
        <v>46142</v>
      </c>
      <c r="D214" s="104" t="s">
        <v>5</v>
      </c>
      <c r="E214" s="104" t="s">
        <v>2</v>
      </c>
      <c r="F214" s="104" t="s">
        <v>283</v>
      </c>
      <c r="G214" s="84">
        <v>86.5</v>
      </c>
      <c r="H214" s="85">
        <v>1091.5</v>
      </c>
      <c r="I214" s="105" t="str">
        <f t="shared" si="12"/>
        <v>OK</v>
      </c>
      <c r="J214" s="125" t="str">
        <f t="shared" si="13"/>
        <v/>
      </c>
    </row>
    <row r="215" spans="1:10" ht="24" customHeight="1">
      <c r="A215" s="119" t="s">
        <v>292</v>
      </c>
      <c r="B215" s="103">
        <v>45778</v>
      </c>
      <c r="C215" s="103">
        <v>46142</v>
      </c>
      <c r="D215" s="104" t="s">
        <v>5</v>
      </c>
      <c r="E215" s="104" t="s">
        <v>2</v>
      </c>
      <c r="F215" s="104" t="s">
        <v>283</v>
      </c>
      <c r="G215" s="84">
        <v>69.2</v>
      </c>
      <c r="H215" s="85">
        <v>873.2</v>
      </c>
      <c r="I215" s="105" t="str">
        <f t="shared" si="12"/>
        <v>OK</v>
      </c>
      <c r="J215" s="125" t="str">
        <f t="shared" si="13"/>
        <v/>
      </c>
    </row>
    <row r="216" spans="1:10" ht="24" customHeight="1">
      <c r="A216" s="119" t="s">
        <v>292</v>
      </c>
      <c r="B216" s="103">
        <v>45778</v>
      </c>
      <c r="C216" s="103">
        <v>46142</v>
      </c>
      <c r="D216" s="104" t="s">
        <v>5</v>
      </c>
      <c r="E216" s="104" t="s">
        <v>2</v>
      </c>
      <c r="F216" s="104" t="s">
        <v>283</v>
      </c>
      <c r="G216" s="84">
        <v>51.9</v>
      </c>
      <c r="H216" s="85">
        <v>654.9</v>
      </c>
      <c r="I216" s="105" t="str">
        <f t="shared" si="12"/>
        <v>OK</v>
      </c>
      <c r="J216" s="125" t="str">
        <f t="shared" si="13"/>
        <v/>
      </c>
    </row>
    <row r="217" spans="1:10" ht="24" customHeight="1">
      <c r="A217" s="119" t="s">
        <v>292</v>
      </c>
      <c r="B217" s="103">
        <v>45778</v>
      </c>
      <c r="C217" s="103">
        <v>46142</v>
      </c>
      <c r="D217" s="104" t="s">
        <v>5</v>
      </c>
      <c r="E217" s="104" t="s">
        <v>2</v>
      </c>
      <c r="F217" s="104" t="s">
        <v>283</v>
      </c>
      <c r="G217" s="84">
        <v>47.58</v>
      </c>
      <c r="H217" s="85">
        <v>600.33000000000004</v>
      </c>
      <c r="I217" s="105" t="str">
        <f t="shared" si="12"/>
        <v>OK</v>
      </c>
      <c r="J217" s="125" t="str">
        <f t="shared" si="13"/>
        <v/>
      </c>
    </row>
    <row r="218" spans="1:10" ht="24" customHeight="1">
      <c r="A218" s="119" t="s">
        <v>292</v>
      </c>
      <c r="B218" s="103">
        <v>45778</v>
      </c>
      <c r="C218" s="103">
        <v>46142</v>
      </c>
      <c r="D218" s="104" t="s">
        <v>5</v>
      </c>
      <c r="E218" s="104" t="s">
        <v>2</v>
      </c>
      <c r="F218" s="104" t="s">
        <v>283</v>
      </c>
      <c r="G218" s="84">
        <v>43.25</v>
      </c>
      <c r="H218" s="85">
        <v>545.75</v>
      </c>
      <c r="I218" s="105" t="str">
        <f t="shared" si="12"/>
        <v>OK</v>
      </c>
      <c r="J218" s="125" t="str">
        <f t="shared" si="13"/>
        <v/>
      </c>
    </row>
    <row r="219" spans="1:10" ht="24" customHeight="1">
      <c r="A219" s="119" t="s">
        <v>292</v>
      </c>
      <c r="B219" s="103">
        <v>45778</v>
      </c>
      <c r="C219" s="103">
        <v>46142</v>
      </c>
      <c r="D219" s="104" t="s">
        <v>5</v>
      </c>
      <c r="E219" s="104" t="s">
        <v>2</v>
      </c>
      <c r="F219" s="104" t="s">
        <v>283</v>
      </c>
      <c r="G219" s="84">
        <v>34.6</v>
      </c>
      <c r="H219" s="85">
        <v>436.6</v>
      </c>
      <c r="I219" s="105" t="str">
        <f t="shared" si="12"/>
        <v>OK</v>
      </c>
      <c r="J219" s="125" t="str">
        <f t="shared" si="13"/>
        <v/>
      </c>
    </row>
    <row r="220" spans="1:10" ht="24" customHeight="1" thickBot="1">
      <c r="A220" s="119" t="s">
        <v>292</v>
      </c>
      <c r="B220" s="103">
        <v>45778</v>
      </c>
      <c r="C220" s="103">
        <v>46142</v>
      </c>
      <c r="D220" s="104" t="s">
        <v>5</v>
      </c>
      <c r="E220" s="104" t="s">
        <v>2</v>
      </c>
      <c r="F220" s="104" t="s">
        <v>283</v>
      </c>
      <c r="G220" s="84">
        <v>32.01</v>
      </c>
      <c r="H220" s="85">
        <v>403.86</v>
      </c>
      <c r="I220" s="105" t="str">
        <f t="shared" si="12"/>
        <v>OK</v>
      </c>
      <c r="J220" s="125" t="str">
        <f t="shared" si="13"/>
        <v/>
      </c>
    </row>
    <row r="221" spans="1:10" ht="24" customHeight="1">
      <c r="A221" s="120" t="s">
        <v>292</v>
      </c>
      <c r="B221" s="106">
        <v>45778</v>
      </c>
      <c r="C221" s="106">
        <v>46142</v>
      </c>
      <c r="D221" s="107" t="s">
        <v>290</v>
      </c>
      <c r="E221" s="107" t="s">
        <v>6</v>
      </c>
      <c r="F221" s="107" t="s">
        <v>280</v>
      </c>
      <c r="G221" s="86">
        <v>173</v>
      </c>
      <c r="H221" s="87">
        <v>2160</v>
      </c>
      <c r="I221" s="108" t="str">
        <f t="shared" si="12"/>
        <v>OK</v>
      </c>
      <c r="J221" s="126" t="str">
        <f t="shared" si="13"/>
        <v/>
      </c>
    </row>
    <row r="222" spans="1:10" ht="24" customHeight="1">
      <c r="A222" s="121" t="s">
        <v>292</v>
      </c>
      <c r="B222" s="109">
        <v>45778</v>
      </c>
      <c r="C222" s="109">
        <v>46142</v>
      </c>
      <c r="D222" s="110" t="s">
        <v>290</v>
      </c>
      <c r="E222" s="110" t="s">
        <v>6</v>
      </c>
      <c r="F222" s="110" t="s">
        <v>280</v>
      </c>
      <c r="G222" s="88">
        <v>151.38</v>
      </c>
      <c r="H222" s="89">
        <v>1890</v>
      </c>
      <c r="I222" s="111" t="str">
        <f t="shared" si="12"/>
        <v>OK</v>
      </c>
      <c r="J222" s="127" t="str">
        <f t="shared" si="13"/>
        <v/>
      </c>
    </row>
    <row r="223" spans="1:10" ht="24" customHeight="1">
      <c r="A223" s="121" t="s">
        <v>292</v>
      </c>
      <c r="B223" s="109">
        <v>45778</v>
      </c>
      <c r="C223" s="109">
        <v>46142</v>
      </c>
      <c r="D223" s="110" t="s">
        <v>290</v>
      </c>
      <c r="E223" s="110" t="s">
        <v>6</v>
      </c>
      <c r="F223" s="110" t="s">
        <v>280</v>
      </c>
      <c r="G223" s="88">
        <v>138.4</v>
      </c>
      <c r="H223" s="89">
        <v>1728</v>
      </c>
      <c r="I223" s="111" t="str">
        <f t="shared" si="12"/>
        <v>OK</v>
      </c>
      <c r="J223" s="127" t="str">
        <f t="shared" si="13"/>
        <v/>
      </c>
    </row>
    <row r="224" spans="1:10" ht="24" customHeight="1">
      <c r="A224" s="121" t="s">
        <v>292</v>
      </c>
      <c r="B224" s="109">
        <v>45778</v>
      </c>
      <c r="C224" s="109">
        <v>46142</v>
      </c>
      <c r="D224" s="110" t="s">
        <v>290</v>
      </c>
      <c r="E224" s="110" t="s">
        <v>6</v>
      </c>
      <c r="F224" s="110" t="s">
        <v>280</v>
      </c>
      <c r="G224" s="88">
        <v>129.75</v>
      </c>
      <c r="H224" s="89">
        <v>1620</v>
      </c>
      <c r="I224" s="111" t="str">
        <f t="shared" si="12"/>
        <v>OK</v>
      </c>
      <c r="J224" s="127" t="str">
        <f t="shared" si="13"/>
        <v/>
      </c>
    </row>
    <row r="225" spans="1:10" ht="24" customHeight="1">
      <c r="A225" s="121" t="s">
        <v>292</v>
      </c>
      <c r="B225" s="109">
        <v>45778</v>
      </c>
      <c r="C225" s="109">
        <v>46142</v>
      </c>
      <c r="D225" s="110" t="s">
        <v>290</v>
      </c>
      <c r="E225" s="110" t="s">
        <v>6</v>
      </c>
      <c r="F225" s="110" t="s">
        <v>280</v>
      </c>
      <c r="G225" s="88">
        <v>108.13</v>
      </c>
      <c r="H225" s="89">
        <v>1350</v>
      </c>
      <c r="I225" s="111" t="str">
        <f t="shared" si="12"/>
        <v>OK</v>
      </c>
      <c r="J225" s="127" t="str">
        <f t="shared" si="13"/>
        <v/>
      </c>
    </row>
    <row r="226" spans="1:10" ht="24" customHeight="1">
      <c r="A226" s="121" t="s">
        <v>292</v>
      </c>
      <c r="B226" s="109">
        <v>45778</v>
      </c>
      <c r="C226" s="109">
        <v>46142</v>
      </c>
      <c r="D226" s="110" t="s">
        <v>290</v>
      </c>
      <c r="E226" s="110" t="s">
        <v>6</v>
      </c>
      <c r="F226" s="110" t="s">
        <v>280</v>
      </c>
      <c r="G226" s="88">
        <v>103.8</v>
      </c>
      <c r="H226" s="89">
        <v>1296</v>
      </c>
      <c r="I226" s="111" t="str">
        <f t="shared" si="12"/>
        <v>OK</v>
      </c>
      <c r="J226" s="127" t="str">
        <f t="shared" si="13"/>
        <v/>
      </c>
    </row>
    <row r="227" spans="1:10" ht="24" customHeight="1">
      <c r="A227" s="121" t="s">
        <v>292</v>
      </c>
      <c r="B227" s="109">
        <v>45778</v>
      </c>
      <c r="C227" s="109">
        <v>46142</v>
      </c>
      <c r="D227" s="110" t="s">
        <v>290</v>
      </c>
      <c r="E227" s="110" t="s">
        <v>6</v>
      </c>
      <c r="F227" s="110" t="s">
        <v>280</v>
      </c>
      <c r="G227" s="88">
        <v>86.5</v>
      </c>
      <c r="H227" s="89">
        <v>1080</v>
      </c>
      <c r="I227" s="111" t="str">
        <f t="shared" si="12"/>
        <v>OK</v>
      </c>
      <c r="J227" s="127" t="str">
        <f t="shared" si="13"/>
        <v/>
      </c>
    </row>
    <row r="228" spans="1:10" ht="24" customHeight="1">
      <c r="A228" s="121" t="s">
        <v>292</v>
      </c>
      <c r="B228" s="109">
        <v>45778</v>
      </c>
      <c r="C228" s="109">
        <v>46142</v>
      </c>
      <c r="D228" s="110" t="s">
        <v>290</v>
      </c>
      <c r="E228" s="110" t="s">
        <v>6</v>
      </c>
      <c r="F228" s="110" t="s">
        <v>280</v>
      </c>
      <c r="G228" s="88">
        <v>69.2</v>
      </c>
      <c r="H228" s="89">
        <v>864</v>
      </c>
      <c r="I228" s="111" t="str">
        <f t="shared" si="12"/>
        <v>OK</v>
      </c>
      <c r="J228" s="127" t="str">
        <f t="shared" si="13"/>
        <v/>
      </c>
    </row>
    <row r="229" spans="1:10" ht="24" customHeight="1">
      <c r="A229" s="121" t="s">
        <v>292</v>
      </c>
      <c r="B229" s="109">
        <v>45778</v>
      </c>
      <c r="C229" s="109">
        <v>46142</v>
      </c>
      <c r="D229" s="110" t="s">
        <v>290</v>
      </c>
      <c r="E229" s="110" t="s">
        <v>6</v>
      </c>
      <c r="F229" s="110" t="s">
        <v>280</v>
      </c>
      <c r="G229" s="88">
        <v>51.9</v>
      </c>
      <c r="H229" s="89">
        <v>648</v>
      </c>
      <c r="I229" s="111" t="str">
        <f t="shared" si="12"/>
        <v>OK</v>
      </c>
      <c r="J229" s="127" t="str">
        <f t="shared" si="13"/>
        <v/>
      </c>
    </row>
    <row r="230" spans="1:10" ht="24" customHeight="1">
      <c r="A230" s="121" t="s">
        <v>292</v>
      </c>
      <c r="B230" s="109">
        <v>45778</v>
      </c>
      <c r="C230" s="109">
        <v>46142</v>
      </c>
      <c r="D230" s="110" t="s">
        <v>290</v>
      </c>
      <c r="E230" s="110" t="s">
        <v>6</v>
      </c>
      <c r="F230" s="110" t="s">
        <v>280</v>
      </c>
      <c r="G230" s="88">
        <v>47.58</v>
      </c>
      <c r="H230" s="89">
        <v>594</v>
      </c>
      <c r="I230" s="111" t="str">
        <f t="shared" si="12"/>
        <v>OK</v>
      </c>
      <c r="J230" s="127" t="str">
        <f t="shared" si="13"/>
        <v/>
      </c>
    </row>
    <row r="231" spans="1:10" ht="24" customHeight="1">
      <c r="A231" s="121" t="s">
        <v>292</v>
      </c>
      <c r="B231" s="109">
        <v>45778</v>
      </c>
      <c r="C231" s="109">
        <v>46142</v>
      </c>
      <c r="D231" s="110" t="s">
        <v>290</v>
      </c>
      <c r="E231" s="110" t="s">
        <v>6</v>
      </c>
      <c r="F231" s="110" t="s">
        <v>280</v>
      </c>
      <c r="G231" s="88">
        <v>43.25</v>
      </c>
      <c r="H231" s="89">
        <v>540</v>
      </c>
      <c r="I231" s="111" t="str">
        <f t="shared" ref="I231:I262" si="14">IF($A231="","",IF(OR($B231="",$C231="",$D231="",$E231="",$F231=""),"Stammdaten fehlen",IF(AND($G231="",$H231=""),"Werte fehlen",IF($G231="","Monatsstunden fehlen",IF($H231="","Monatslohn fehlt","OK")))))</f>
        <v>OK</v>
      </c>
      <c r="J231" s="127" t="str">
        <f t="shared" ref="J231:J262" si="15">IF($G231="","",IF(COUNTIFS($A:$A,$A231,$D:$D,$D231,$G:$G,$G231)&gt;1,"Doppelte Monatsstunden",""))</f>
        <v/>
      </c>
    </row>
    <row r="232" spans="1:10" ht="24" customHeight="1">
      <c r="A232" s="121" t="s">
        <v>292</v>
      </c>
      <c r="B232" s="109">
        <v>45778</v>
      </c>
      <c r="C232" s="109">
        <v>46142</v>
      </c>
      <c r="D232" s="110" t="s">
        <v>290</v>
      </c>
      <c r="E232" s="110" t="s">
        <v>6</v>
      </c>
      <c r="F232" s="110" t="s">
        <v>280</v>
      </c>
      <c r="G232" s="88">
        <v>34.6</v>
      </c>
      <c r="H232" s="89">
        <v>432</v>
      </c>
      <c r="I232" s="111" t="str">
        <f t="shared" si="14"/>
        <v>OK</v>
      </c>
      <c r="J232" s="127" t="str">
        <f t="shared" si="15"/>
        <v/>
      </c>
    </row>
    <row r="233" spans="1:10" ht="24" customHeight="1" thickBot="1">
      <c r="A233" s="121" t="s">
        <v>292</v>
      </c>
      <c r="B233" s="109">
        <v>45778</v>
      </c>
      <c r="C233" s="109">
        <v>46142</v>
      </c>
      <c r="D233" s="110" t="s">
        <v>290</v>
      </c>
      <c r="E233" s="110" t="s">
        <v>6</v>
      </c>
      <c r="F233" s="110" t="s">
        <v>280</v>
      </c>
      <c r="G233" s="88">
        <v>32.01</v>
      </c>
      <c r="H233" s="89">
        <v>399.6</v>
      </c>
      <c r="I233" s="111" t="str">
        <f t="shared" si="14"/>
        <v>OK</v>
      </c>
      <c r="J233" s="127" t="str">
        <f t="shared" si="15"/>
        <v/>
      </c>
    </row>
    <row r="234" spans="1:10" ht="24" customHeight="1">
      <c r="A234" s="120" t="s">
        <v>292</v>
      </c>
      <c r="B234" s="106">
        <v>45778</v>
      </c>
      <c r="C234" s="106">
        <v>46142</v>
      </c>
      <c r="D234" s="107" t="s">
        <v>7</v>
      </c>
      <c r="E234" s="107" t="s">
        <v>6</v>
      </c>
      <c r="F234" s="107" t="s">
        <v>281</v>
      </c>
      <c r="G234" s="86">
        <v>173</v>
      </c>
      <c r="H234" s="87">
        <v>2160</v>
      </c>
      <c r="I234" s="108" t="str">
        <f t="shared" si="14"/>
        <v>OK</v>
      </c>
      <c r="J234" s="126" t="str">
        <f t="shared" si="15"/>
        <v/>
      </c>
    </row>
    <row r="235" spans="1:10" ht="24" customHeight="1">
      <c r="A235" s="121" t="s">
        <v>292</v>
      </c>
      <c r="B235" s="109">
        <v>45778</v>
      </c>
      <c r="C235" s="109">
        <v>46142</v>
      </c>
      <c r="D235" s="110" t="s">
        <v>7</v>
      </c>
      <c r="E235" s="110" t="s">
        <v>6</v>
      </c>
      <c r="F235" s="110" t="s">
        <v>281</v>
      </c>
      <c r="G235" s="88">
        <v>151.38</v>
      </c>
      <c r="H235" s="89">
        <v>1890</v>
      </c>
      <c r="I235" s="111" t="str">
        <f t="shared" si="14"/>
        <v>OK</v>
      </c>
      <c r="J235" s="127" t="str">
        <f t="shared" si="15"/>
        <v/>
      </c>
    </row>
    <row r="236" spans="1:10" ht="24" customHeight="1">
      <c r="A236" s="121" t="s">
        <v>292</v>
      </c>
      <c r="B236" s="109">
        <v>45778</v>
      </c>
      <c r="C236" s="109">
        <v>46142</v>
      </c>
      <c r="D236" s="110" t="s">
        <v>7</v>
      </c>
      <c r="E236" s="110" t="s">
        <v>6</v>
      </c>
      <c r="F236" s="110" t="s">
        <v>281</v>
      </c>
      <c r="G236" s="88">
        <v>138.4</v>
      </c>
      <c r="H236" s="89">
        <v>1728</v>
      </c>
      <c r="I236" s="111" t="str">
        <f t="shared" si="14"/>
        <v>OK</v>
      </c>
      <c r="J236" s="127" t="str">
        <f t="shared" si="15"/>
        <v/>
      </c>
    </row>
    <row r="237" spans="1:10" ht="24" customHeight="1">
      <c r="A237" s="121" t="s">
        <v>292</v>
      </c>
      <c r="B237" s="109">
        <v>45778</v>
      </c>
      <c r="C237" s="109">
        <v>46142</v>
      </c>
      <c r="D237" s="110" t="s">
        <v>7</v>
      </c>
      <c r="E237" s="110" t="s">
        <v>6</v>
      </c>
      <c r="F237" s="110" t="s">
        <v>281</v>
      </c>
      <c r="G237" s="88">
        <v>129.75</v>
      </c>
      <c r="H237" s="89">
        <v>1620</v>
      </c>
      <c r="I237" s="111" t="str">
        <f t="shared" si="14"/>
        <v>OK</v>
      </c>
      <c r="J237" s="127" t="str">
        <f t="shared" si="15"/>
        <v/>
      </c>
    </row>
    <row r="238" spans="1:10" ht="24" customHeight="1">
      <c r="A238" s="121" t="s">
        <v>292</v>
      </c>
      <c r="B238" s="109">
        <v>45778</v>
      </c>
      <c r="C238" s="109">
        <v>46142</v>
      </c>
      <c r="D238" s="110" t="s">
        <v>7</v>
      </c>
      <c r="E238" s="110" t="s">
        <v>6</v>
      </c>
      <c r="F238" s="110" t="s">
        <v>281</v>
      </c>
      <c r="G238" s="88">
        <v>108.13</v>
      </c>
      <c r="H238" s="89">
        <v>1350</v>
      </c>
      <c r="I238" s="111" t="str">
        <f t="shared" si="14"/>
        <v>OK</v>
      </c>
      <c r="J238" s="127" t="str">
        <f t="shared" si="15"/>
        <v/>
      </c>
    </row>
    <row r="239" spans="1:10" ht="24" customHeight="1">
      <c r="A239" s="121" t="s">
        <v>292</v>
      </c>
      <c r="B239" s="109">
        <v>45778</v>
      </c>
      <c r="C239" s="109">
        <v>46142</v>
      </c>
      <c r="D239" s="110" t="s">
        <v>7</v>
      </c>
      <c r="E239" s="110" t="s">
        <v>6</v>
      </c>
      <c r="F239" s="110" t="s">
        <v>281</v>
      </c>
      <c r="G239" s="88">
        <v>103.8</v>
      </c>
      <c r="H239" s="89">
        <v>1296</v>
      </c>
      <c r="I239" s="111" t="str">
        <f t="shared" si="14"/>
        <v>OK</v>
      </c>
      <c r="J239" s="127" t="str">
        <f t="shared" si="15"/>
        <v/>
      </c>
    </row>
    <row r="240" spans="1:10" ht="24" customHeight="1">
      <c r="A240" s="121" t="s">
        <v>292</v>
      </c>
      <c r="B240" s="109">
        <v>45778</v>
      </c>
      <c r="C240" s="109">
        <v>46142</v>
      </c>
      <c r="D240" s="110" t="s">
        <v>7</v>
      </c>
      <c r="E240" s="110" t="s">
        <v>6</v>
      </c>
      <c r="F240" s="110" t="s">
        <v>281</v>
      </c>
      <c r="G240" s="88">
        <v>86.5</v>
      </c>
      <c r="H240" s="89">
        <v>1080</v>
      </c>
      <c r="I240" s="111" t="str">
        <f t="shared" si="14"/>
        <v>OK</v>
      </c>
      <c r="J240" s="127" t="str">
        <f t="shared" si="15"/>
        <v/>
      </c>
    </row>
    <row r="241" spans="1:10" ht="24" customHeight="1">
      <c r="A241" s="121" t="s">
        <v>292</v>
      </c>
      <c r="B241" s="109">
        <v>45778</v>
      </c>
      <c r="C241" s="109">
        <v>46142</v>
      </c>
      <c r="D241" s="110" t="s">
        <v>7</v>
      </c>
      <c r="E241" s="110" t="s">
        <v>6</v>
      </c>
      <c r="F241" s="110" t="s">
        <v>281</v>
      </c>
      <c r="G241" s="88">
        <v>69.2</v>
      </c>
      <c r="H241" s="89">
        <v>864</v>
      </c>
      <c r="I241" s="111" t="str">
        <f t="shared" si="14"/>
        <v>OK</v>
      </c>
      <c r="J241" s="127" t="str">
        <f t="shared" si="15"/>
        <v/>
      </c>
    </row>
    <row r="242" spans="1:10" ht="24" customHeight="1">
      <c r="A242" s="121" t="s">
        <v>292</v>
      </c>
      <c r="B242" s="109">
        <v>45778</v>
      </c>
      <c r="C242" s="109">
        <v>46142</v>
      </c>
      <c r="D242" s="110" t="s">
        <v>7</v>
      </c>
      <c r="E242" s="110" t="s">
        <v>6</v>
      </c>
      <c r="F242" s="110" t="s">
        <v>281</v>
      </c>
      <c r="G242" s="88">
        <v>51.9</v>
      </c>
      <c r="H242" s="89">
        <v>648</v>
      </c>
      <c r="I242" s="111" t="str">
        <f t="shared" si="14"/>
        <v>OK</v>
      </c>
      <c r="J242" s="127" t="str">
        <f t="shared" si="15"/>
        <v/>
      </c>
    </row>
    <row r="243" spans="1:10" ht="24" customHeight="1">
      <c r="A243" s="121" t="s">
        <v>292</v>
      </c>
      <c r="B243" s="109">
        <v>45778</v>
      </c>
      <c r="C243" s="109">
        <v>46142</v>
      </c>
      <c r="D243" s="110" t="s">
        <v>7</v>
      </c>
      <c r="E243" s="110" t="s">
        <v>6</v>
      </c>
      <c r="F243" s="110" t="s">
        <v>281</v>
      </c>
      <c r="G243" s="88">
        <v>47.58</v>
      </c>
      <c r="H243" s="89">
        <v>594</v>
      </c>
      <c r="I243" s="111" t="str">
        <f t="shared" si="14"/>
        <v>OK</v>
      </c>
      <c r="J243" s="127" t="str">
        <f t="shared" si="15"/>
        <v/>
      </c>
    </row>
    <row r="244" spans="1:10" ht="24" customHeight="1">
      <c r="A244" s="121" t="s">
        <v>292</v>
      </c>
      <c r="B244" s="109">
        <v>45778</v>
      </c>
      <c r="C244" s="109">
        <v>46142</v>
      </c>
      <c r="D244" s="110" t="s">
        <v>7</v>
      </c>
      <c r="E244" s="110" t="s">
        <v>6</v>
      </c>
      <c r="F244" s="110" t="s">
        <v>281</v>
      </c>
      <c r="G244" s="88">
        <v>43.25</v>
      </c>
      <c r="H244" s="89">
        <v>540</v>
      </c>
      <c r="I244" s="111" t="str">
        <f t="shared" si="14"/>
        <v>OK</v>
      </c>
      <c r="J244" s="127" t="str">
        <f t="shared" si="15"/>
        <v/>
      </c>
    </row>
    <row r="245" spans="1:10" ht="24" customHeight="1">
      <c r="A245" s="121" t="s">
        <v>292</v>
      </c>
      <c r="B245" s="109">
        <v>45778</v>
      </c>
      <c r="C245" s="109">
        <v>46142</v>
      </c>
      <c r="D245" s="110" t="s">
        <v>7</v>
      </c>
      <c r="E245" s="110" t="s">
        <v>6</v>
      </c>
      <c r="F245" s="110" t="s">
        <v>281</v>
      </c>
      <c r="G245" s="88">
        <v>34.6</v>
      </c>
      <c r="H245" s="89">
        <v>432</v>
      </c>
      <c r="I245" s="111" t="str">
        <f t="shared" si="14"/>
        <v>OK</v>
      </c>
      <c r="J245" s="127" t="str">
        <f t="shared" si="15"/>
        <v/>
      </c>
    </row>
    <row r="246" spans="1:10" ht="24" customHeight="1" thickBot="1">
      <c r="A246" s="121" t="s">
        <v>292</v>
      </c>
      <c r="B246" s="109">
        <v>45778</v>
      </c>
      <c r="C246" s="109">
        <v>46142</v>
      </c>
      <c r="D246" s="110" t="s">
        <v>7</v>
      </c>
      <c r="E246" s="110" t="s">
        <v>6</v>
      </c>
      <c r="F246" s="110" t="s">
        <v>281</v>
      </c>
      <c r="G246" s="88">
        <v>32.01</v>
      </c>
      <c r="H246" s="89">
        <v>399.6</v>
      </c>
      <c r="I246" s="111" t="str">
        <f t="shared" si="14"/>
        <v>OK</v>
      </c>
      <c r="J246" s="127" t="str">
        <f t="shared" si="15"/>
        <v/>
      </c>
    </row>
    <row r="247" spans="1:10" ht="24" customHeight="1">
      <c r="A247" s="120" t="s">
        <v>292</v>
      </c>
      <c r="B247" s="106">
        <v>45778</v>
      </c>
      <c r="C247" s="106">
        <v>46142</v>
      </c>
      <c r="D247" s="107" t="s">
        <v>8</v>
      </c>
      <c r="E247" s="107" t="s">
        <v>6</v>
      </c>
      <c r="F247" s="107" t="s">
        <v>282</v>
      </c>
      <c r="G247" s="86">
        <v>173</v>
      </c>
      <c r="H247" s="87">
        <v>2163</v>
      </c>
      <c r="I247" s="108" t="str">
        <f t="shared" si="14"/>
        <v>OK</v>
      </c>
      <c r="J247" s="126" t="str">
        <f t="shared" si="15"/>
        <v/>
      </c>
    </row>
    <row r="248" spans="1:10" ht="24" customHeight="1">
      <c r="A248" s="121" t="s">
        <v>292</v>
      </c>
      <c r="B248" s="109">
        <v>45778</v>
      </c>
      <c r="C248" s="109">
        <v>46142</v>
      </c>
      <c r="D248" s="110" t="s">
        <v>8</v>
      </c>
      <c r="E248" s="110" t="s">
        <v>6</v>
      </c>
      <c r="F248" s="110" t="s">
        <v>282</v>
      </c>
      <c r="G248" s="88">
        <v>151.38</v>
      </c>
      <c r="H248" s="89">
        <v>1892.63</v>
      </c>
      <c r="I248" s="111" t="str">
        <f t="shared" si="14"/>
        <v>OK</v>
      </c>
      <c r="J248" s="127" t="str">
        <f t="shared" si="15"/>
        <v/>
      </c>
    </row>
    <row r="249" spans="1:10" ht="24" customHeight="1">
      <c r="A249" s="121" t="s">
        <v>292</v>
      </c>
      <c r="B249" s="109">
        <v>45778</v>
      </c>
      <c r="C249" s="109">
        <v>46142</v>
      </c>
      <c r="D249" s="110" t="s">
        <v>8</v>
      </c>
      <c r="E249" s="110" t="s">
        <v>6</v>
      </c>
      <c r="F249" s="110" t="s">
        <v>282</v>
      </c>
      <c r="G249" s="88">
        <v>138.4</v>
      </c>
      <c r="H249" s="89">
        <v>1730.4</v>
      </c>
      <c r="I249" s="111" t="str">
        <f t="shared" si="14"/>
        <v>OK</v>
      </c>
      <c r="J249" s="127" t="str">
        <f t="shared" si="15"/>
        <v/>
      </c>
    </row>
    <row r="250" spans="1:10" ht="24" customHeight="1">
      <c r="A250" s="121" t="s">
        <v>292</v>
      </c>
      <c r="B250" s="109">
        <v>45778</v>
      </c>
      <c r="C250" s="109">
        <v>46142</v>
      </c>
      <c r="D250" s="110" t="s">
        <v>8</v>
      </c>
      <c r="E250" s="110" t="s">
        <v>6</v>
      </c>
      <c r="F250" s="110" t="s">
        <v>282</v>
      </c>
      <c r="G250" s="88">
        <v>129.75</v>
      </c>
      <c r="H250" s="89">
        <v>1622.25</v>
      </c>
      <c r="I250" s="111" t="str">
        <f t="shared" si="14"/>
        <v>OK</v>
      </c>
      <c r="J250" s="127" t="str">
        <f t="shared" si="15"/>
        <v/>
      </c>
    </row>
    <row r="251" spans="1:10" ht="24" customHeight="1">
      <c r="A251" s="121" t="s">
        <v>292</v>
      </c>
      <c r="B251" s="109">
        <v>45778</v>
      </c>
      <c r="C251" s="109">
        <v>46142</v>
      </c>
      <c r="D251" s="110" t="s">
        <v>8</v>
      </c>
      <c r="E251" s="110" t="s">
        <v>6</v>
      </c>
      <c r="F251" s="110" t="s">
        <v>282</v>
      </c>
      <c r="G251" s="88">
        <v>108.13</v>
      </c>
      <c r="H251" s="89">
        <v>1351.88</v>
      </c>
      <c r="I251" s="111" t="str">
        <f t="shared" si="14"/>
        <v>OK</v>
      </c>
      <c r="J251" s="127" t="str">
        <f t="shared" si="15"/>
        <v/>
      </c>
    </row>
    <row r="252" spans="1:10" ht="24" customHeight="1">
      <c r="A252" s="121" t="s">
        <v>292</v>
      </c>
      <c r="B252" s="109">
        <v>45778</v>
      </c>
      <c r="C252" s="109">
        <v>46142</v>
      </c>
      <c r="D252" s="110" t="s">
        <v>8</v>
      </c>
      <c r="E252" s="110" t="s">
        <v>6</v>
      </c>
      <c r="F252" s="110" t="s">
        <v>282</v>
      </c>
      <c r="G252" s="88">
        <v>103.8</v>
      </c>
      <c r="H252" s="89">
        <v>1297.8</v>
      </c>
      <c r="I252" s="111" t="str">
        <f t="shared" si="14"/>
        <v>OK</v>
      </c>
      <c r="J252" s="127" t="str">
        <f t="shared" si="15"/>
        <v/>
      </c>
    </row>
    <row r="253" spans="1:10" ht="24" customHeight="1">
      <c r="A253" s="121" t="s">
        <v>292</v>
      </c>
      <c r="B253" s="109">
        <v>45778</v>
      </c>
      <c r="C253" s="109">
        <v>46142</v>
      </c>
      <c r="D253" s="110" t="s">
        <v>8</v>
      </c>
      <c r="E253" s="110" t="s">
        <v>6</v>
      </c>
      <c r="F253" s="110" t="s">
        <v>282</v>
      </c>
      <c r="G253" s="88">
        <v>86.5</v>
      </c>
      <c r="H253" s="89">
        <v>1081.5</v>
      </c>
      <c r="I253" s="111" t="str">
        <f t="shared" si="14"/>
        <v>OK</v>
      </c>
      <c r="J253" s="127" t="str">
        <f t="shared" si="15"/>
        <v/>
      </c>
    </row>
    <row r="254" spans="1:10" ht="24" customHeight="1">
      <c r="A254" s="121" t="s">
        <v>292</v>
      </c>
      <c r="B254" s="109">
        <v>45778</v>
      </c>
      <c r="C254" s="109">
        <v>46142</v>
      </c>
      <c r="D254" s="110" t="s">
        <v>8</v>
      </c>
      <c r="E254" s="110" t="s">
        <v>6</v>
      </c>
      <c r="F254" s="110" t="s">
        <v>282</v>
      </c>
      <c r="G254" s="88">
        <v>69.2</v>
      </c>
      <c r="H254" s="89">
        <v>865.2</v>
      </c>
      <c r="I254" s="111" t="str">
        <f t="shared" si="14"/>
        <v>OK</v>
      </c>
      <c r="J254" s="127" t="str">
        <f t="shared" si="15"/>
        <v/>
      </c>
    </row>
    <row r="255" spans="1:10" ht="24" customHeight="1">
      <c r="A255" s="121" t="s">
        <v>292</v>
      </c>
      <c r="B255" s="109">
        <v>45778</v>
      </c>
      <c r="C255" s="109">
        <v>46142</v>
      </c>
      <c r="D255" s="110" t="s">
        <v>8</v>
      </c>
      <c r="E255" s="110" t="s">
        <v>6</v>
      </c>
      <c r="F255" s="110" t="s">
        <v>282</v>
      </c>
      <c r="G255" s="88">
        <v>51.9</v>
      </c>
      <c r="H255" s="89">
        <v>648.9</v>
      </c>
      <c r="I255" s="111" t="str">
        <f t="shared" si="14"/>
        <v>OK</v>
      </c>
      <c r="J255" s="127" t="str">
        <f t="shared" si="15"/>
        <v/>
      </c>
    </row>
    <row r="256" spans="1:10" ht="24" customHeight="1">
      <c r="A256" s="121" t="s">
        <v>292</v>
      </c>
      <c r="B256" s="109">
        <v>45778</v>
      </c>
      <c r="C256" s="109">
        <v>46142</v>
      </c>
      <c r="D256" s="110" t="s">
        <v>8</v>
      </c>
      <c r="E256" s="110" t="s">
        <v>6</v>
      </c>
      <c r="F256" s="110" t="s">
        <v>282</v>
      </c>
      <c r="G256" s="88">
        <v>47.58</v>
      </c>
      <c r="H256" s="89">
        <v>594.83000000000004</v>
      </c>
      <c r="I256" s="111" t="str">
        <f t="shared" si="14"/>
        <v>OK</v>
      </c>
      <c r="J256" s="127" t="str">
        <f t="shared" si="15"/>
        <v/>
      </c>
    </row>
    <row r="257" spans="1:10" ht="24" customHeight="1">
      <c r="A257" s="121" t="s">
        <v>292</v>
      </c>
      <c r="B257" s="109">
        <v>45778</v>
      </c>
      <c r="C257" s="109">
        <v>46142</v>
      </c>
      <c r="D257" s="110" t="s">
        <v>8</v>
      </c>
      <c r="E257" s="110" t="s">
        <v>6</v>
      </c>
      <c r="F257" s="110" t="s">
        <v>282</v>
      </c>
      <c r="G257" s="88">
        <v>43.25</v>
      </c>
      <c r="H257" s="89">
        <v>540.75</v>
      </c>
      <c r="I257" s="111" t="str">
        <f t="shared" si="14"/>
        <v>OK</v>
      </c>
      <c r="J257" s="127" t="str">
        <f t="shared" si="15"/>
        <v/>
      </c>
    </row>
    <row r="258" spans="1:10" ht="24" customHeight="1">
      <c r="A258" s="121" t="s">
        <v>292</v>
      </c>
      <c r="B258" s="109">
        <v>45778</v>
      </c>
      <c r="C258" s="109">
        <v>46142</v>
      </c>
      <c r="D258" s="110" t="s">
        <v>8</v>
      </c>
      <c r="E258" s="110" t="s">
        <v>6</v>
      </c>
      <c r="F258" s="110" t="s">
        <v>282</v>
      </c>
      <c r="G258" s="88">
        <v>34.6</v>
      </c>
      <c r="H258" s="89">
        <v>432.6</v>
      </c>
      <c r="I258" s="111" t="str">
        <f t="shared" si="14"/>
        <v>OK</v>
      </c>
      <c r="J258" s="127" t="str">
        <f t="shared" si="15"/>
        <v/>
      </c>
    </row>
    <row r="259" spans="1:10" ht="24" customHeight="1" thickBot="1">
      <c r="A259" s="121" t="s">
        <v>292</v>
      </c>
      <c r="B259" s="109">
        <v>45778</v>
      </c>
      <c r="C259" s="109">
        <v>46142</v>
      </c>
      <c r="D259" s="110" t="s">
        <v>8</v>
      </c>
      <c r="E259" s="110" t="s">
        <v>6</v>
      </c>
      <c r="F259" s="110" t="s">
        <v>282</v>
      </c>
      <c r="G259" s="88">
        <v>32.01</v>
      </c>
      <c r="H259" s="89">
        <v>400.16</v>
      </c>
      <c r="I259" s="111" t="str">
        <f t="shared" si="14"/>
        <v>OK</v>
      </c>
      <c r="J259" s="127" t="str">
        <f t="shared" si="15"/>
        <v/>
      </c>
    </row>
    <row r="260" spans="1:10" ht="24" customHeight="1">
      <c r="A260" s="120" t="s">
        <v>292</v>
      </c>
      <c r="B260" s="106">
        <v>45778</v>
      </c>
      <c r="C260" s="106">
        <v>46142</v>
      </c>
      <c r="D260" s="107" t="s">
        <v>9</v>
      </c>
      <c r="E260" s="107" t="s">
        <v>6</v>
      </c>
      <c r="F260" s="107" t="s">
        <v>283</v>
      </c>
      <c r="G260" s="86">
        <v>173</v>
      </c>
      <c r="H260" s="87">
        <v>2225</v>
      </c>
      <c r="I260" s="108" t="str">
        <f t="shared" si="14"/>
        <v>OK</v>
      </c>
      <c r="J260" s="126" t="str">
        <f t="shared" si="15"/>
        <v/>
      </c>
    </row>
    <row r="261" spans="1:10" ht="24" customHeight="1">
      <c r="A261" s="121" t="s">
        <v>292</v>
      </c>
      <c r="B261" s="109">
        <v>45778</v>
      </c>
      <c r="C261" s="109">
        <v>46142</v>
      </c>
      <c r="D261" s="110" t="s">
        <v>9</v>
      </c>
      <c r="E261" s="110" t="s">
        <v>6</v>
      </c>
      <c r="F261" s="110" t="s">
        <v>283</v>
      </c>
      <c r="G261" s="88">
        <v>151.38</v>
      </c>
      <c r="H261" s="89">
        <v>1946.88</v>
      </c>
      <c r="I261" s="111" t="str">
        <f t="shared" si="14"/>
        <v>OK</v>
      </c>
      <c r="J261" s="127" t="str">
        <f t="shared" si="15"/>
        <v/>
      </c>
    </row>
    <row r="262" spans="1:10" ht="24" customHeight="1">
      <c r="A262" s="121" t="s">
        <v>292</v>
      </c>
      <c r="B262" s="109">
        <v>45778</v>
      </c>
      <c r="C262" s="109">
        <v>46142</v>
      </c>
      <c r="D262" s="110" t="s">
        <v>9</v>
      </c>
      <c r="E262" s="110" t="s">
        <v>6</v>
      </c>
      <c r="F262" s="110" t="s">
        <v>283</v>
      </c>
      <c r="G262" s="88">
        <v>138.4</v>
      </c>
      <c r="H262" s="89">
        <v>1780</v>
      </c>
      <c r="I262" s="111" t="str">
        <f t="shared" si="14"/>
        <v>OK</v>
      </c>
      <c r="J262" s="127" t="str">
        <f t="shared" si="15"/>
        <v/>
      </c>
    </row>
    <row r="263" spans="1:10" ht="24" customHeight="1">
      <c r="A263" s="121" t="s">
        <v>292</v>
      </c>
      <c r="B263" s="109">
        <v>45778</v>
      </c>
      <c r="C263" s="109">
        <v>46142</v>
      </c>
      <c r="D263" s="110" t="s">
        <v>9</v>
      </c>
      <c r="E263" s="110" t="s">
        <v>6</v>
      </c>
      <c r="F263" s="110" t="s">
        <v>283</v>
      </c>
      <c r="G263" s="88">
        <v>129.75</v>
      </c>
      <c r="H263" s="89">
        <v>1668.75</v>
      </c>
      <c r="I263" s="111" t="str">
        <f t="shared" ref="I263:I294" si="16">IF($A263="","",IF(OR($B263="",$C263="",$D263="",$E263="",$F263=""),"Stammdaten fehlen",IF(AND($G263="",$H263=""),"Werte fehlen",IF($G263="","Monatsstunden fehlen",IF($H263="","Monatslohn fehlt","OK")))))</f>
        <v>OK</v>
      </c>
      <c r="J263" s="127" t="str">
        <f t="shared" ref="J263:J294" si="17">IF($G263="","",IF(COUNTIFS($A:$A,$A263,$D:$D,$D263,$G:$G,$G263)&gt;1,"Doppelte Monatsstunden",""))</f>
        <v/>
      </c>
    </row>
    <row r="264" spans="1:10" ht="24" customHeight="1">
      <c r="A264" s="121" t="s">
        <v>292</v>
      </c>
      <c r="B264" s="109">
        <v>45778</v>
      </c>
      <c r="C264" s="109">
        <v>46142</v>
      </c>
      <c r="D264" s="110" t="s">
        <v>9</v>
      </c>
      <c r="E264" s="110" t="s">
        <v>6</v>
      </c>
      <c r="F264" s="110" t="s">
        <v>283</v>
      </c>
      <c r="G264" s="88">
        <v>108.13</v>
      </c>
      <c r="H264" s="89">
        <v>1390.63</v>
      </c>
      <c r="I264" s="111" t="str">
        <f t="shared" si="16"/>
        <v>OK</v>
      </c>
      <c r="J264" s="127" t="str">
        <f t="shared" si="17"/>
        <v/>
      </c>
    </row>
    <row r="265" spans="1:10" ht="24" customHeight="1">
      <c r="A265" s="121" t="s">
        <v>292</v>
      </c>
      <c r="B265" s="109">
        <v>45778</v>
      </c>
      <c r="C265" s="109">
        <v>46142</v>
      </c>
      <c r="D265" s="110" t="s">
        <v>9</v>
      </c>
      <c r="E265" s="110" t="s">
        <v>6</v>
      </c>
      <c r="F265" s="110" t="s">
        <v>283</v>
      </c>
      <c r="G265" s="88">
        <v>103.8</v>
      </c>
      <c r="H265" s="89">
        <v>1335</v>
      </c>
      <c r="I265" s="111" t="str">
        <f t="shared" si="16"/>
        <v>OK</v>
      </c>
      <c r="J265" s="127" t="str">
        <f t="shared" si="17"/>
        <v/>
      </c>
    </row>
    <row r="266" spans="1:10" ht="24" customHeight="1">
      <c r="A266" s="121" t="s">
        <v>292</v>
      </c>
      <c r="B266" s="109">
        <v>45778</v>
      </c>
      <c r="C266" s="109">
        <v>46142</v>
      </c>
      <c r="D266" s="110" t="s">
        <v>9</v>
      </c>
      <c r="E266" s="110" t="s">
        <v>6</v>
      </c>
      <c r="F266" s="110" t="s">
        <v>283</v>
      </c>
      <c r="G266" s="88">
        <v>86.5</v>
      </c>
      <c r="H266" s="89">
        <v>1112.5</v>
      </c>
      <c r="I266" s="111" t="str">
        <f t="shared" si="16"/>
        <v>OK</v>
      </c>
      <c r="J266" s="127" t="str">
        <f t="shared" si="17"/>
        <v/>
      </c>
    </row>
    <row r="267" spans="1:10" ht="24" customHeight="1">
      <c r="A267" s="121" t="s">
        <v>292</v>
      </c>
      <c r="B267" s="109">
        <v>45778</v>
      </c>
      <c r="C267" s="109">
        <v>46142</v>
      </c>
      <c r="D267" s="110" t="s">
        <v>9</v>
      </c>
      <c r="E267" s="110" t="s">
        <v>6</v>
      </c>
      <c r="F267" s="110" t="s">
        <v>283</v>
      </c>
      <c r="G267" s="88">
        <v>69.2</v>
      </c>
      <c r="H267" s="89">
        <v>890</v>
      </c>
      <c r="I267" s="111" t="str">
        <f t="shared" si="16"/>
        <v>OK</v>
      </c>
      <c r="J267" s="127" t="str">
        <f t="shared" si="17"/>
        <v/>
      </c>
    </row>
    <row r="268" spans="1:10" ht="24" customHeight="1">
      <c r="A268" s="121" t="s">
        <v>292</v>
      </c>
      <c r="B268" s="109">
        <v>45778</v>
      </c>
      <c r="C268" s="109">
        <v>46142</v>
      </c>
      <c r="D268" s="110" t="s">
        <v>9</v>
      </c>
      <c r="E268" s="110" t="s">
        <v>6</v>
      </c>
      <c r="F268" s="110" t="s">
        <v>283</v>
      </c>
      <c r="G268" s="88">
        <v>51.9</v>
      </c>
      <c r="H268" s="89">
        <v>667.5</v>
      </c>
      <c r="I268" s="111" t="str">
        <f t="shared" si="16"/>
        <v>OK</v>
      </c>
      <c r="J268" s="127" t="str">
        <f t="shared" si="17"/>
        <v/>
      </c>
    </row>
    <row r="269" spans="1:10" ht="24" customHeight="1">
      <c r="A269" s="121" t="s">
        <v>292</v>
      </c>
      <c r="B269" s="109">
        <v>45778</v>
      </c>
      <c r="C269" s="109">
        <v>46142</v>
      </c>
      <c r="D269" s="110" t="s">
        <v>9</v>
      </c>
      <c r="E269" s="110" t="s">
        <v>6</v>
      </c>
      <c r="F269" s="110" t="s">
        <v>283</v>
      </c>
      <c r="G269" s="88">
        <v>47.58</v>
      </c>
      <c r="H269" s="89">
        <v>611.88</v>
      </c>
      <c r="I269" s="111" t="str">
        <f t="shared" si="16"/>
        <v>OK</v>
      </c>
      <c r="J269" s="127" t="str">
        <f t="shared" si="17"/>
        <v/>
      </c>
    </row>
    <row r="270" spans="1:10" ht="24" customHeight="1">
      <c r="A270" s="121" t="s">
        <v>292</v>
      </c>
      <c r="B270" s="109">
        <v>45778</v>
      </c>
      <c r="C270" s="109">
        <v>46142</v>
      </c>
      <c r="D270" s="110" t="s">
        <v>9</v>
      </c>
      <c r="E270" s="110" t="s">
        <v>6</v>
      </c>
      <c r="F270" s="110" t="s">
        <v>283</v>
      </c>
      <c r="G270" s="88">
        <v>43.25</v>
      </c>
      <c r="H270" s="89">
        <v>556.25</v>
      </c>
      <c r="I270" s="111" t="str">
        <f t="shared" si="16"/>
        <v>OK</v>
      </c>
      <c r="J270" s="127" t="str">
        <f t="shared" si="17"/>
        <v/>
      </c>
    </row>
    <row r="271" spans="1:10" ht="24" customHeight="1">
      <c r="A271" s="121" t="s">
        <v>292</v>
      </c>
      <c r="B271" s="109">
        <v>45778</v>
      </c>
      <c r="C271" s="109">
        <v>46142</v>
      </c>
      <c r="D271" s="110" t="s">
        <v>9</v>
      </c>
      <c r="E271" s="110" t="s">
        <v>6</v>
      </c>
      <c r="F271" s="110" t="s">
        <v>283</v>
      </c>
      <c r="G271" s="88">
        <v>34.6</v>
      </c>
      <c r="H271" s="89">
        <v>445</v>
      </c>
      <c r="I271" s="111" t="str">
        <f t="shared" si="16"/>
        <v>OK</v>
      </c>
      <c r="J271" s="127" t="str">
        <f t="shared" si="17"/>
        <v/>
      </c>
    </row>
    <row r="272" spans="1:10" ht="24" customHeight="1" thickBot="1">
      <c r="A272" s="121" t="s">
        <v>292</v>
      </c>
      <c r="B272" s="109">
        <v>45778</v>
      </c>
      <c r="C272" s="109">
        <v>46142</v>
      </c>
      <c r="D272" s="110" t="s">
        <v>9</v>
      </c>
      <c r="E272" s="110" t="s">
        <v>6</v>
      </c>
      <c r="F272" s="110" t="s">
        <v>283</v>
      </c>
      <c r="G272" s="88">
        <v>32.01</v>
      </c>
      <c r="H272" s="89">
        <v>411.63</v>
      </c>
      <c r="I272" s="111" t="str">
        <f t="shared" si="16"/>
        <v>OK</v>
      </c>
      <c r="J272" s="127" t="str">
        <f t="shared" si="17"/>
        <v/>
      </c>
    </row>
    <row r="273" spans="1:10" ht="24" customHeight="1">
      <c r="A273" s="122" t="s">
        <v>292</v>
      </c>
      <c r="B273" s="112">
        <v>45778</v>
      </c>
      <c r="C273" s="112">
        <v>46142</v>
      </c>
      <c r="D273" s="113" t="s">
        <v>291</v>
      </c>
      <c r="E273" s="113" t="s">
        <v>10</v>
      </c>
      <c r="F273" s="113" t="s">
        <v>280</v>
      </c>
      <c r="G273" s="90">
        <v>173</v>
      </c>
      <c r="H273" s="91">
        <v>2300</v>
      </c>
      <c r="I273" s="114" t="str">
        <f t="shared" si="16"/>
        <v>OK</v>
      </c>
      <c r="J273" s="128" t="str">
        <f t="shared" si="17"/>
        <v/>
      </c>
    </row>
    <row r="274" spans="1:10" ht="24" customHeight="1">
      <c r="A274" s="123" t="s">
        <v>292</v>
      </c>
      <c r="B274" s="115">
        <v>45778</v>
      </c>
      <c r="C274" s="115">
        <v>46142</v>
      </c>
      <c r="D274" s="116" t="s">
        <v>291</v>
      </c>
      <c r="E274" s="116" t="s">
        <v>10</v>
      </c>
      <c r="F274" s="116" t="s">
        <v>280</v>
      </c>
      <c r="G274" s="92">
        <v>151.38</v>
      </c>
      <c r="H274" s="93">
        <v>2012.5</v>
      </c>
      <c r="I274" s="117" t="str">
        <f t="shared" si="16"/>
        <v>OK</v>
      </c>
      <c r="J274" s="129" t="str">
        <f t="shared" si="17"/>
        <v/>
      </c>
    </row>
    <row r="275" spans="1:10" ht="24" customHeight="1">
      <c r="A275" s="123" t="s">
        <v>292</v>
      </c>
      <c r="B275" s="115">
        <v>45778</v>
      </c>
      <c r="C275" s="115">
        <v>46142</v>
      </c>
      <c r="D275" s="116" t="s">
        <v>291</v>
      </c>
      <c r="E275" s="116" t="s">
        <v>10</v>
      </c>
      <c r="F275" s="116" t="s">
        <v>280</v>
      </c>
      <c r="G275" s="92">
        <v>138.4</v>
      </c>
      <c r="H275" s="93">
        <v>1840</v>
      </c>
      <c r="I275" s="117" t="str">
        <f t="shared" si="16"/>
        <v>OK</v>
      </c>
      <c r="J275" s="129" t="str">
        <f t="shared" si="17"/>
        <v/>
      </c>
    </row>
    <row r="276" spans="1:10" ht="24" customHeight="1">
      <c r="A276" s="123" t="s">
        <v>292</v>
      </c>
      <c r="B276" s="115">
        <v>45778</v>
      </c>
      <c r="C276" s="115">
        <v>46142</v>
      </c>
      <c r="D276" s="116" t="s">
        <v>291</v>
      </c>
      <c r="E276" s="116" t="s">
        <v>10</v>
      </c>
      <c r="F276" s="116" t="s">
        <v>280</v>
      </c>
      <c r="G276" s="92">
        <v>129.75</v>
      </c>
      <c r="H276" s="93">
        <v>1725</v>
      </c>
      <c r="I276" s="117" t="str">
        <f t="shared" si="16"/>
        <v>OK</v>
      </c>
      <c r="J276" s="129" t="str">
        <f t="shared" si="17"/>
        <v/>
      </c>
    </row>
    <row r="277" spans="1:10" ht="24" customHeight="1">
      <c r="A277" s="123" t="s">
        <v>292</v>
      </c>
      <c r="B277" s="115">
        <v>45778</v>
      </c>
      <c r="C277" s="115">
        <v>46142</v>
      </c>
      <c r="D277" s="116" t="s">
        <v>291</v>
      </c>
      <c r="E277" s="116" t="s">
        <v>10</v>
      </c>
      <c r="F277" s="116" t="s">
        <v>280</v>
      </c>
      <c r="G277" s="92">
        <v>108.13</v>
      </c>
      <c r="H277" s="93">
        <v>1437.5</v>
      </c>
      <c r="I277" s="117" t="str">
        <f t="shared" si="16"/>
        <v>OK</v>
      </c>
      <c r="J277" s="129" t="str">
        <f t="shared" si="17"/>
        <v/>
      </c>
    </row>
    <row r="278" spans="1:10" ht="24" customHeight="1">
      <c r="A278" s="123" t="s">
        <v>292</v>
      </c>
      <c r="B278" s="115">
        <v>45778</v>
      </c>
      <c r="C278" s="115">
        <v>46142</v>
      </c>
      <c r="D278" s="116" t="s">
        <v>291</v>
      </c>
      <c r="E278" s="116" t="s">
        <v>10</v>
      </c>
      <c r="F278" s="116" t="s">
        <v>280</v>
      </c>
      <c r="G278" s="92">
        <v>103.8</v>
      </c>
      <c r="H278" s="93">
        <v>1380</v>
      </c>
      <c r="I278" s="117" t="str">
        <f t="shared" si="16"/>
        <v>OK</v>
      </c>
      <c r="J278" s="129" t="str">
        <f t="shared" si="17"/>
        <v/>
      </c>
    </row>
    <row r="279" spans="1:10" ht="24" customHeight="1">
      <c r="A279" s="123" t="s">
        <v>292</v>
      </c>
      <c r="B279" s="115">
        <v>45778</v>
      </c>
      <c r="C279" s="115">
        <v>46142</v>
      </c>
      <c r="D279" s="116" t="s">
        <v>291</v>
      </c>
      <c r="E279" s="116" t="s">
        <v>10</v>
      </c>
      <c r="F279" s="116" t="s">
        <v>280</v>
      </c>
      <c r="G279" s="92">
        <v>86.5</v>
      </c>
      <c r="H279" s="93">
        <v>1150</v>
      </c>
      <c r="I279" s="117" t="str">
        <f t="shared" si="16"/>
        <v>OK</v>
      </c>
      <c r="J279" s="129" t="str">
        <f t="shared" si="17"/>
        <v/>
      </c>
    </row>
    <row r="280" spans="1:10" ht="24" customHeight="1">
      <c r="A280" s="123" t="s">
        <v>292</v>
      </c>
      <c r="B280" s="115">
        <v>45778</v>
      </c>
      <c r="C280" s="115">
        <v>46142</v>
      </c>
      <c r="D280" s="116" t="s">
        <v>291</v>
      </c>
      <c r="E280" s="116" t="s">
        <v>10</v>
      </c>
      <c r="F280" s="116" t="s">
        <v>280</v>
      </c>
      <c r="G280" s="92">
        <v>69.2</v>
      </c>
      <c r="H280" s="93">
        <v>920</v>
      </c>
      <c r="I280" s="117" t="str">
        <f t="shared" si="16"/>
        <v>OK</v>
      </c>
      <c r="J280" s="129" t="str">
        <f t="shared" si="17"/>
        <v/>
      </c>
    </row>
    <row r="281" spans="1:10" ht="24" customHeight="1">
      <c r="A281" s="123" t="s">
        <v>292</v>
      </c>
      <c r="B281" s="115">
        <v>45778</v>
      </c>
      <c r="C281" s="115">
        <v>46142</v>
      </c>
      <c r="D281" s="116" t="s">
        <v>291</v>
      </c>
      <c r="E281" s="116" t="s">
        <v>10</v>
      </c>
      <c r="F281" s="116" t="s">
        <v>280</v>
      </c>
      <c r="G281" s="92">
        <v>51.9</v>
      </c>
      <c r="H281" s="93">
        <v>690</v>
      </c>
      <c r="I281" s="117" t="str">
        <f t="shared" si="16"/>
        <v>OK</v>
      </c>
      <c r="J281" s="129" t="str">
        <f t="shared" si="17"/>
        <v/>
      </c>
    </row>
    <row r="282" spans="1:10" ht="24" customHeight="1">
      <c r="A282" s="123" t="s">
        <v>292</v>
      </c>
      <c r="B282" s="115">
        <v>45778</v>
      </c>
      <c r="C282" s="115">
        <v>46142</v>
      </c>
      <c r="D282" s="116" t="s">
        <v>291</v>
      </c>
      <c r="E282" s="116" t="s">
        <v>10</v>
      </c>
      <c r="F282" s="116" t="s">
        <v>280</v>
      </c>
      <c r="G282" s="92">
        <v>47.58</v>
      </c>
      <c r="H282" s="93">
        <v>632.5</v>
      </c>
      <c r="I282" s="117" t="str">
        <f t="shared" si="16"/>
        <v>OK</v>
      </c>
      <c r="J282" s="129" t="str">
        <f t="shared" si="17"/>
        <v/>
      </c>
    </row>
    <row r="283" spans="1:10" ht="24" customHeight="1">
      <c r="A283" s="123" t="s">
        <v>292</v>
      </c>
      <c r="B283" s="115">
        <v>45778</v>
      </c>
      <c r="C283" s="115">
        <v>46142</v>
      </c>
      <c r="D283" s="116" t="s">
        <v>291</v>
      </c>
      <c r="E283" s="116" t="s">
        <v>10</v>
      </c>
      <c r="F283" s="116" t="s">
        <v>280</v>
      </c>
      <c r="G283" s="92">
        <v>43.25</v>
      </c>
      <c r="H283" s="93">
        <v>575</v>
      </c>
      <c r="I283" s="117" t="str">
        <f t="shared" si="16"/>
        <v>OK</v>
      </c>
      <c r="J283" s="129" t="str">
        <f t="shared" si="17"/>
        <v/>
      </c>
    </row>
    <row r="284" spans="1:10" ht="24" customHeight="1">
      <c r="A284" s="123" t="s">
        <v>292</v>
      </c>
      <c r="B284" s="115">
        <v>45778</v>
      </c>
      <c r="C284" s="115">
        <v>46142</v>
      </c>
      <c r="D284" s="116" t="s">
        <v>291</v>
      </c>
      <c r="E284" s="116" t="s">
        <v>10</v>
      </c>
      <c r="F284" s="116" t="s">
        <v>280</v>
      </c>
      <c r="G284" s="92">
        <v>34.6</v>
      </c>
      <c r="H284" s="93">
        <v>460</v>
      </c>
      <c r="I284" s="117" t="str">
        <f t="shared" si="16"/>
        <v>OK</v>
      </c>
      <c r="J284" s="129" t="str">
        <f t="shared" si="17"/>
        <v/>
      </c>
    </row>
    <row r="285" spans="1:10" ht="24" customHeight="1" thickBot="1">
      <c r="A285" s="123" t="s">
        <v>292</v>
      </c>
      <c r="B285" s="115">
        <v>45778</v>
      </c>
      <c r="C285" s="115">
        <v>46142</v>
      </c>
      <c r="D285" s="116" t="s">
        <v>291</v>
      </c>
      <c r="E285" s="116" t="s">
        <v>10</v>
      </c>
      <c r="F285" s="116" t="s">
        <v>280</v>
      </c>
      <c r="G285" s="92">
        <v>32.01</v>
      </c>
      <c r="H285" s="93">
        <v>425.5</v>
      </c>
      <c r="I285" s="117" t="str">
        <f t="shared" si="16"/>
        <v>OK</v>
      </c>
      <c r="J285" s="129" t="str">
        <f t="shared" si="17"/>
        <v/>
      </c>
    </row>
    <row r="286" spans="1:10" ht="24" customHeight="1">
      <c r="A286" s="122" t="s">
        <v>292</v>
      </c>
      <c r="B286" s="112">
        <v>45778</v>
      </c>
      <c r="C286" s="112">
        <v>46142</v>
      </c>
      <c r="D286" s="113" t="s">
        <v>11</v>
      </c>
      <c r="E286" s="113" t="s">
        <v>10</v>
      </c>
      <c r="F286" s="113" t="s">
        <v>281</v>
      </c>
      <c r="G286" s="90">
        <v>173</v>
      </c>
      <c r="H286" s="91">
        <v>2300</v>
      </c>
      <c r="I286" s="114" t="str">
        <f t="shared" si="16"/>
        <v>OK</v>
      </c>
      <c r="J286" s="128" t="str">
        <f t="shared" si="17"/>
        <v/>
      </c>
    </row>
    <row r="287" spans="1:10" ht="24" customHeight="1">
      <c r="A287" s="123" t="s">
        <v>292</v>
      </c>
      <c r="B287" s="115">
        <v>45778</v>
      </c>
      <c r="C287" s="115">
        <v>46142</v>
      </c>
      <c r="D287" s="116" t="s">
        <v>11</v>
      </c>
      <c r="E287" s="116" t="s">
        <v>10</v>
      </c>
      <c r="F287" s="116" t="s">
        <v>281</v>
      </c>
      <c r="G287" s="92">
        <v>151.38</v>
      </c>
      <c r="H287" s="93">
        <v>2012.5</v>
      </c>
      <c r="I287" s="117" t="str">
        <f t="shared" si="16"/>
        <v>OK</v>
      </c>
      <c r="J287" s="129" t="str">
        <f t="shared" si="17"/>
        <v/>
      </c>
    </row>
    <row r="288" spans="1:10" ht="24" customHeight="1">
      <c r="A288" s="123" t="s">
        <v>292</v>
      </c>
      <c r="B288" s="115">
        <v>45778</v>
      </c>
      <c r="C288" s="115">
        <v>46142</v>
      </c>
      <c r="D288" s="116" t="s">
        <v>11</v>
      </c>
      <c r="E288" s="116" t="s">
        <v>10</v>
      </c>
      <c r="F288" s="116" t="s">
        <v>281</v>
      </c>
      <c r="G288" s="92">
        <v>138.4</v>
      </c>
      <c r="H288" s="93">
        <v>1840</v>
      </c>
      <c r="I288" s="117" t="str">
        <f t="shared" si="16"/>
        <v>OK</v>
      </c>
      <c r="J288" s="129" t="str">
        <f t="shared" si="17"/>
        <v/>
      </c>
    </row>
    <row r="289" spans="1:10" ht="24" customHeight="1">
      <c r="A289" s="123" t="s">
        <v>292</v>
      </c>
      <c r="B289" s="115">
        <v>45778</v>
      </c>
      <c r="C289" s="115">
        <v>46142</v>
      </c>
      <c r="D289" s="116" t="s">
        <v>11</v>
      </c>
      <c r="E289" s="116" t="s">
        <v>10</v>
      </c>
      <c r="F289" s="116" t="s">
        <v>281</v>
      </c>
      <c r="G289" s="92">
        <v>129.75</v>
      </c>
      <c r="H289" s="93">
        <v>1725</v>
      </c>
      <c r="I289" s="117" t="str">
        <f t="shared" si="16"/>
        <v>OK</v>
      </c>
      <c r="J289" s="129" t="str">
        <f t="shared" si="17"/>
        <v/>
      </c>
    </row>
    <row r="290" spans="1:10" ht="24" customHeight="1">
      <c r="A290" s="123" t="s">
        <v>292</v>
      </c>
      <c r="B290" s="115">
        <v>45778</v>
      </c>
      <c r="C290" s="115">
        <v>46142</v>
      </c>
      <c r="D290" s="116" t="s">
        <v>11</v>
      </c>
      <c r="E290" s="116" t="s">
        <v>10</v>
      </c>
      <c r="F290" s="116" t="s">
        <v>281</v>
      </c>
      <c r="G290" s="92">
        <v>108.13</v>
      </c>
      <c r="H290" s="93">
        <v>1437.5</v>
      </c>
      <c r="I290" s="117" t="str">
        <f t="shared" si="16"/>
        <v>OK</v>
      </c>
      <c r="J290" s="129" t="str">
        <f t="shared" si="17"/>
        <v/>
      </c>
    </row>
    <row r="291" spans="1:10" ht="24" customHeight="1">
      <c r="A291" s="123" t="s">
        <v>292</v>
      </c>
      <c r="B291" s="115">
        <v>45778</v>
      </c>
      <c r="C291" s="115">
        <v>46142</v>
      </c>
      <c r="D291" s="116" t="s">
        <v>11</v>
      </c>
      <c r="E291" s="116" t="s">
        <v>10</v>
      </c>
      <c r="F291" s="116" t="s">
        <v>281</v>
      </c>
      <c r="G291" s="92">
        <v>103.8</v>
      </c>
      <c r="H291" s="93">
        <v>1380</v>
      </c>
      <c r="I291" s="117" t="str">
        <f t="shared" si="16"/>
        <v>OK</v>
      </c>
      <c r="J291" s="129" t="str">
        <f t="shared" si="17"/>
        <v/>
      </c>
    </row>
    <row r="292" spans="1:10" ht="24" customHeight="1">
      <c r="A292" s="123" t="s">
        <v>292</v>
      </c>
      <c r="B292" s="115">
        <v>45778</v>
      </c>
      <c r="C292" s="115">
        <v>46142</v>
      </c>
      <c r="D292" s="116" t="s">
        <v>11</v>
      </c>
      <c r="E292" s="116" t="s">
        <v>10</v>
      </c>
      <c r="F292" s="116" t="s">
        <v>281</v>
      </c>
      <c r="G292" s="92">
        <v>86.5</v>
      </c>
      <c r="H292" s="93">
        <v>1150</v>
      </c>
      <c r="I292" s="117" t="str">
        <f t="shared" si="16"/>
        <v>OK</v>
      </c>
      <c r="J292" s="129" t="str">
        <f t="shared" si="17"/>
        <v/>
      </c>
    </row>
    <row r="293" spans="1:10" ht="24" customHeight="1">
      <c r="A293" s="123" t="s">
        <v>292</v>
      </c>
      <c r="B293" s="115">
        <v>45778</v>
      </c>
      <c r="C293" s="115">
        <v>46142</v>
      </c>
      <c r="D293" s="116" t="s">
        <v>11</v>
      </c>
      <c r="E293" s="116" t="s">
        <v>10</v>
      </c>
      <c r="F293" s="116" t="s">
        <v>281</v>
      </c>
      <c r="G293" s="92">
        <v>69.2</v>
      </c>
      <c r="H293" s="93">
        <v>920</v>
      </c>
      <c r="I293" s="117" t="str">
        <f t="shared" si="16"/>
        <v>OK</v>
      </c>
      <c r="J293" s="129" t="str">
        <f t="shared" si="17"/>
        <v/>
      </c>
    </row>
    <row r="294" spans="1:10" ht="24" customHeight="1">
      <c r="A294" s="123" t="s">
        <v>292</v>
      </c>
      <c r="B294" s="115">
        <v>45778</v>
      </c>
      <c r="C294" s="115">
        <v>46142</v>
      </c>
      <c r="D294" s="116" t="s">
        <v>11</v>
      </c>
      <c r="E294" s="116" t="s">
        <v>10</v>
      </c>
      <c r="F294" s="116" t="s">
        <v>281</v>
      </c>
      <c r="G294" s="92">
        <v>51.9</v>
      </c>
      <c r="H294" s="93">
        <v>690</v>
      </c>
      <c r="I294" s="117" t="str">
        <f t="shared" si="16"/>
        <v>OK</v>
      </c>
      <c r="J294" s="129" t="str">
        <f t="shared" si="17"/>
        <v/>
      </c>
    </row>
    <row r="295" spans="1:10" ht="24" customHeight="1">
      <c r="A295" s="123" t="s">
        <v>292</v>
      </c>
      <c r="B295" s="115">
        <v>45778</v>
      </c>
      <c r="C295" s="115">
        <v>46142</v>
      </c>
      <c r="D295" s="116" t="s">
        <v>11</v>
      </c>
      <c r="E295" s="116" t="s">
        <v>10</v>
      </c>
      <c r="F295" s="116" t="s">
        <v>281</v>
      </c>
      <c r="G295" s="92">
        <v>47.58</v>
      </c>
      <c r="H295" s="93">
        <v>632.5</v>
      </c>
      <c r="I295" s="117" t="str">
        <f t="shared" ref="I295:I324" si="18">IF($A295="","",IF(OR($B295="",$C295="",$D295="",$E295="",$F295=""),"Stammdaten fehlen",IF(AND($G295="",$H295=""),"Werte fehlen",IF($G295="","Monatsstunden fehlen",IF($H295="","Monatslohn fehlt","OK")))))</f>
        <v>OK</v>
      </c>
      <c r="J295" s="129" t="str">
        <f t="shared" ref="J295:J324" si="19">IF($G295="","",IF(COUNTIFS($A:$A,$A295,$D:$D,$D295,$G:$G,$G295)&gt;1,"Doppelte Monatsstunden",""))</f>
        <v/>
      </c>
    </row>
    <row r="296" spans="1:10" ht="24" customHeight="1">
      <c r="A296" s="123" t="s">
        <v>292</v>
      </c>
      <c r="B296" s="115">
        <v>45778</v>
      </c>
      <c r="C296" s="115">
        <v>46142</v>
      </c>
      <c r="D296" s="116" t="s">
        <v>11</v>
      </c>
      <c r="E296" s="116" t="s">
        <v>10</v>
      </c>
      <c r="F296" s="116" t="s">
        <v>281</v>
      </c>
      <c r="G296" s="92">
        <v>43.25</v>
      </c>
      <c r="H296" s="93">
        <v>575</v>
      </c>
      <c r="I296" s="117" t="str">
        <f t="shared" si="18"/>
        <v>OK</v>
      </c>
      <c r="J296" s="129" t="str">
        <f t="shared" si="19"/>
        <v/>
      </c>
    </row>
    <row r="297" spans="1:10" ht="24" customHeight="1">
      <c r="A297" s="123" t="s">
        <v>292</v>
      </c>
      <c r="B297" s="115">
        <v>45778</v>
      </c>
      <c r="C297" s="115">
        <v>46142</v>
      </c>
      <c r="D297" s="116" t="s">
        <v>11</v>
      </c>
      <c r="E297" s="116" t="s">
        <v>10</v>
      </c>
      <c r="F297" s="116" t="s">
        <v>281</v>
      </c>
      <c r="G297" s="92">
        <v>34.6</v>
      </c>
      <c r="H297" s="93">
        <v>460</v>
      </c>
      <c r="I297" s="117" t="str">
        <f t="shared" si="18"/>
        <v>OK</v>
      </c>
      <c r="J297" s="129" t="str">
        <f t="shared" si="19"/>
        <v/>
      </c>
    </row>
    <row r="298" spans="1:10" ht="24" customHeight="1" thickBot="1">
      <c r="A298" s="123" t="s">
        <v>292</v>
      </c>
      <c r="B298" s="115">
        <v>45778</v>
      </c>
      <c r="C298" s="115">
        <v>46142</v>
      </c>
      <c r="D298" s="116" t="s">
        <v>11</v>
      </c>
      <c r="E298" s="116" t="s">
        <v>10</v>
      </c>
      <c r="F298" s="116" t="s">
        <v>281</v>
      </c>
      <c r="G298" s="92">
        <v>32.01</v>
      </c>
      <c r="H298" s="93">
        <v>425.5</v>
      </c>
      <c r="I298" s="117" t="str">
        <f t="shared" si="18"/>
        <v>OK</v>
      </c>
      <c r="J298" s="129" t="str">
        <f t="shared" si="19"/>
        <v/>
      </c>
    </row>
    <row r="299" spans="1:10" ht="24" customHeight="1">
      <c r="A299" s="122" t="s">
        <v>292</v>
      </c>
      <c r="B299" s="112">
        <v>45778</v>
      </c>
      <c r="C299" s="112">
        <v>46142</v>
      </c>
      <c r="D299" s="113" t="s">
        <v>12</v>
      </c>
      <c r="E299" s="113" t="s">
        <v>10</v>
      </c>
      <c r="F299" s="113" t="s">
        <v>282</v>
      </c>
      <c r="G299" s="90">
        <v>173</v>
      </c>
      <c r="H299" s="91">
        <v>2300</v>
      </c>
      <c r="I299" s="114" t="str">
        <f t="shared" si="18"/>
        <v>OK</v>
      </c>
      <c r="J299" s="128" t="str">
        <f t="shared" si="19"/>
        <v/>
      </c>
    </row>
    <row r="300" spans="1:10" ht="24" customHeight="1">
      <c r="A300" s="123" t="s">
        <v>292</v>
      </c>
      <c r="B300" s="115">
        <v>45778</v>
      </c>
      <c r="C300" s="115">
        <v>46142</v>
      </c>
      <c r="D300" s="116" t="s">
        <v>12</v>
      </c>
      <c r="E300" s="116" t="s">
        <v>10</v>
      </c>
      <c r="F300" s="116" t="s">
        <v>282</v>
      </c>
      <c r="G300" s="92">
        <v>151.38</v>
      </c>
      <c r="H300" s="93">
        <v>2012.5</v>
      </c>
      <c r="I300" s="117" t="str">
        <f t="shared" si="18"/>
        <v>OK</v>
      </c>
      <c r="J300" s="129" t="str">
        <f t="shared" si="19"/>
        <v/>
      </c>
    </row>
    <row r="301" spans="1:10" ht="24" customHeight="1">
      <c r="A301" s="123" t="s">
        <v>292</v>
      </c>
      <c r="B301" s="115">
        <v>45778</v>
      </c>
      <c r="C301" s="115">
        <v>46142</v>
      </c>
      <c r="D301" s="116" t="s">
        <v>12</v>
      </c>
      <c r="E301" s="116" t="s">
        <v>10</v>
      </c>
      <c r="F301" s="116" t="s">
        <v>282</v>
      </c>
      <c r="G301" s="92">
        <v>138.4</v>
      </c>
      <c r="H301" s="93">
        <v>1840</v>
      </c>
      <c r="I301" s="117" t="str">
        <f t="shared" si="18"/>
        <v>OK</v>
      </c>
      <c r="J301" s="129" t="str">
        <f t="shared" si="19"/>
        <v/>
      </c>
    </row>
    <row r="302" spans="1:10" ht="24" customHeight="1">
      <c r="A302" s="123" t="s">
        <v>292</v>
      </c>
      <c r="B302" s="115">
        <v>45778</v>
      </c>
      <c r="C302" s="115">
        <v>46142</v>
      </c>
      <c r="D302" s="116" t="s">
        <v>12</v>
      </c>
      <c r="E302" s="116" t="s">
        <v>10</v>
      </c>
      <c r="F302" s="116" t="s">
        <v>282</v>
      </c>
      <c r="G302" s="92">
        <v>129.75</v>
      </c>
      <c r="H302" s="93">
        <v>1725</v>
      </c>
      <c r="I302" s="117" t="str">
        <f t="shared" si="18"/>
        <v>OK</v>
      </c>
      <c r="J302" s="129" t="str">
        <f t="shared" si="19"/>
        <v/>
      </c>
    </row>
    <row r="303" spans="1:10" ht="24" customHeight="1">
      <c r="A303" s="123" t="s">
        <v>292</v>
      </c>
      <c r="B303" s="115">
        <v>45778</v>
      </c>
      <c r="C303" s="115">
        <v>46142</v>
      </c>
      <c r="D303" s="116" t="s">
        <v>12</v>
      </c>
      <c r="E303" s="116" t="s">
        <v>10</v>
      </c>
      <c r="F303" s="116" t="s">
        <v>282</v>
      </c>
      <c r="G303" s="92">
        <v>108.13</v>
      </c>
      <c r="H303" s="93">
        <v>1437.5</v>
      </c>
      <c r="I303" s="117" t="str">
        <f t="shared" si="18"/>
        <v>OK</v>
      </c>
      <c r="J303" s="129" t="str">
        <f t="shared" si="19"/>
        <v/>
      </c>
    </row>
    <row r="304" spans="1:10" ht="24" customHeight="1">
      <c r="A304" s="123" t="s">
        <v>292</v>
      </c>
      <c r="B304" s="115">
        <v>45778</v>
      </c>
      <c r="C304" s="115">
        <v>46142</v>
      </c>
      <c r="D304" s="116" t="s">
        <v>12</v>
      </c>
      <c r="E304" s="116" t="s">
        <v>10</v>
      </c>
      <c r="F304" s="116" t="s">
        <v>282</v>
      </c>
      <c r="G304" s="92">
        <v>103.8</v>
      </c>
      <c r="H304" s="93">
        <v>1380</v>
      </c>
      <c r="I304" s="117" t="str">
        <f t="shared" si="18"/>
        <v>OK</v>
      </c>
      <c r="J304" s="129" t="str">
        <f t="shared" si="19"/>
        <v/>
      </c>
    </row>
    <row r="305" spans="1:10" ht="24" customHeight="1">
      <c r="A305" s="123" t="s">
        <v>292</v>
      </c>
      <c r="B305" s="115">
        <v>45778</v>
      </c>
      <c r="C305" s="115">
        <v>46142</v>
      </c>
      <c r="D305" s="116" t="s">
        <v>12</v>
      </c>
      <c r="E305" s="116" t="s">
        <v>10</v>
      </c>
      <c r="F305" s="116" t="s">
        <v>282</v>
      </c>
      <c r="G305" s="92">
        <v>86.5</v>
      </c>
      <c r="H305" s="93">
        <v>1150</v>
      </c>
      <c r="I305" s="117" t="str">
        <f t="shared" si="18"/>
        <v>OK</v>
      </c>
      <c r="J305" s="129" t="str">
        <f t="shared" si="19"/>
        <v/>
      </c>
    </row>
    <row r="306" spans="1:10" ht="24" customHeight="1">
      <c r="A306" s="123" t="s">
        <v>292</v>
      </c>
      <c r="B306" s="115">
        <v>45778</v>
      </c>
      <c r="C306" s="115">
        <v>46142</v>
      </c>
      <c r="D306" s="116" t="s">
        <v>12</v>
      </c>
      <c r="E306" s="116" t="s">
        <v>10</v>
      </c>
      <c r="F306" s="116" t="s">
        <v>282</v>
      </c>
      <c r="G306" s="92">
        <v>69.2</v>
      </c>
      <c r="H306" s="93">
        <v>920</v>
      </c>
      <c r="I306" s="117" t="str">
        <f t="shared" si="18"/>
        <v>OK</v>
      </c>
      <c r="J306" s="129" t="str">
        <f t="shared" si="19"/>
        <v/>
      </c>
    </row>
    <row r="307" spans="1:10" ht="24" customHeight="1">
      <c r="A307" s="123" t="s">
        <v>292</v>
      </c>
      <c r="B307" s="115">
        <v>45778</v>
      </c>
      <c r="C307" s="115">
        <v>46142</v>
      </c>
      <c r="D307" s="116" t="s">
        <v>12</v>
      </c>
      <c r="E307" s="116" t="s">
        <v>10</v>
      </c>
      <c r="F307" s="116" t="s">
        <v>282</v>
      </c>
      <c r="G307" s="92">
        <v>51.9</v>
      </c>
      <c r="H307" s="93">
        <v>690</v>
      </c>
      <c r="I307" s="117" t="str">
        <f t="shared" si="18"/>
        <v>OK</v>
      </c>
      <c r="J307" s="129" t="str">
        <f t="shared" si="19"/>
        <v/>
      </c>
    </row>
    <row r="308" spans="1:10" ht="24" customHeight="1">
      <c r="A308" s="123" t="s">
        <v>292</v>
      </c>
      <c r="B308" s="115">
        <v>45778</v>
      </c>
      <c r="C308" s="115">
        <v>46142</v>
      </c>
      <c r="D308" s="116" t="s">
        <v>12</v>
      </c>
      <c r="E308" s="116" t="s">
        <v>10</v>
      </c>
      <c r="F308" s="116" t="s">
        <v>282</v>
      </c>
      <c r="G308" s="92">
        <v>47.58</v>
      </c>
      <c r="H308" s="93">
        <v>632.5</v>
      </c>
      <c r="I308" s="117" t="str">
        <f t="shared" si="18"/>
        <v>OK</v>
      </c>
      <c r="J308" s="129" t="str">
        <f t="shared" si="19"/>
        <v/>
      </c>
    </row>
    <row r="309" spans="1:10" ht="24" customHeight="1">
      <c r="A309" s="123" t="s">
        <v>292</v>
      </c>
      <c r="B309" s="115">
        <v>45778</v>
      </c>
      <c r="C309" s="115">
        <v>46142</v>
      </c>
      <c r="D309" s="116" t="s">
        <v>12</v>
      </c>
      <c r="E309" s="116" t="s">
        <v>10</v>
      </c>
      <c r="F309" s="116" t="s">
        <v>282</v>
      </c>
      <c r="G309" s="92">
        <v>43.25</v>
      </c>
      <c r="H309" s="93">
        <v>575</v>
      </c>
      <c r="I309" s="117" t="str">
        <f t="shared" si="18"/>
        <v>OK</v>
      </c>
      <c r="J309" s="129" t="str">
        <f t="shared" si="19"/>
        <v/>
      </c>
    </row>
    <row r="310" spans="1:10" ht="24" customHeight="1">
      <c r="A310" s="123" t="s">
        <v>292</v>
      </c>
      <c r="B310" s="115">
        <v>45778</v>
      </c>
      <c r="C310" s="115">
        <v>46142</v>
      </c>
      <c r="D310" s="116" t="s">
        <v>12</v>
      </c>
      <c r="E310" s="116" t="s">
        <v>10</v>
      </c>
      <c r="F310" s="116" t="s">
        <v>282</v>
      </c>
      <c r="G310" s="92">
        <v>34.6</v>
      </c>
      <c r="H310" s="93">
        <v>460</v>
      </c>
      <c r="I310" s="117" t="str">
        <f t="shared" si="18"/>
        <v>OK</v>
      </c>
      <c r="J310" s="129" t="str">
        <f t="shared" si="19"/>
        <v/>
      </c>
    </row>
    <row r="311" spans="1:10" ht="24" customHeight="1" thickBot="1">
      <c r="A311" s="123" t="s">
        <v>292</v>
      </c>
      <c r="B311" s="115">
        <v>45778</v>
      </c>
      <c r="C311" s="115">
        <v>46142</v>
      </c>
      <c r="D311" s="116" t="s">
        <v>12</v>
      </c>
      <c r="E311" s="116" t="s">
        <v>10</v>
      </c>
      <c r="F311" s="116" t="s">
        <v>282</v>
      </c>
      <c r="G311" s="92">
        <v>32.01</v>
      </c>
      <c r="H311" s="93">
        <v>425.5</v>
      </c>
      <c r="I311" s="117" t="str">
        <f t="shared" si="18"/>
        <v>OK</v>
      </c>
      <c r="J311" s="129" t="str">
        <f t="shared" si="19"/>
        <v/>
      </c>
    </row>
    <row r="312" spans="1:10" ht="24" customHeight="1">
      <c r="A312" s="122" t="s">
        <v>292</v>
      </c>
      <c r="B312" s="112">
        <v>45778</v>
      </c>
      <c r="C312" s="112">
        <v>46142</v>
      </c>
      <c r="D312" s="113" t="s">
        <v>13</v>
      </c>
      <c r="E312" s="113" t="s">
        <v>10</v>
      </c>
      <c r="F312" s="113" t="s">
        <v>283</v>
      </c>
      <c r="G312" s="90">
        <v>173</v>
      </c>
      <c r="H312" s="91">
        <v>2328</v>
      </c>
      <c r="I312" s="114" t="str">
        <f t="shared" si="18"/>
        <v>OK</v>
      </c>
      <c r="J312" s="128" t="str">
        <f t="shared" si="19"/>
        <v/>
      </c>
    </row>
    <row r="313" spans="1:10" ht="24" customHeight="1">
      <c r="A313" s="123" t="s">
        <v>292</v>
      </c>
      <c r="B313" s="115">
        <v>45778</v>
      </c>
      <c r="C313" s="115">
        <v>46142</v>
      </c>
      <c r="D313" s="116" t="s">
        <v>13</v>
      </c>
      <c r="E313" s="116" t="s">
        <v>10</v>
      </c>
      <c r="F313" s="116" t="s">
        <v>283</v>
      </c>
      <c r="G313" s="92">
        <v>151.38</v>
      </c>
      <c r="H313" s="93">
        <v>2037</v>
      </c>
      <c r="I313" s="117" t="str">
        <f t="shared" si="18"/>
        <v>OK</v>
      </c>
      <c r="J313" s="129" t="str">
        <f t="shared" si="19"/>
        <v/>
      </c>
    </row>
    <row r="314" spans="1:10" ht="24" customHeight="1">
      <c r="A314" s="123" t="s">
        <v>292</v>
      </c>
      <c r="B314" s="115">
        <v>45778</v>
      </c>
      <c r="C314" s="115">
        <v>46142</v>
      </c>
      <c r="D314" s="116" t="s">
        <v>13</v>
      </c>
      <c r="E314" s="116" t="s">
        <v>10</v>
      </c>
      <c r="F314" s="116" t="s">
        <v>283</v>
      </c>
      <c r="G314" s="92">
        <v>138.4</v>
      </c>
      <c r="H314" s="93">
        <v>1862.4</v>
      </c>
      <c r="I314" s="117" t="str">
        <f t="shared" si="18"/>
        <v>OK</v>
      </c>
      <c r="J314" s="129" t="str">
        <f t="shared" si="19"/>
        <v/>
      </c>
    </row>
    <row r="315" spans="1:10" ht="24" customHeight="1">
      <c r="A315" s="123" t="s">
        <v>292</v>
      </c>
      <c r="B315" s="115">
        <v>45778</v>
      </c>
      <c r="C315" s="115">
        <v>46142</v>
      </c>
      <c r="D315" s="116" t="s">
        <v>13</v>
      </c>
      <c r="E315" s="116" t="s">
        <v>10</v>
      </c>
      <c r="F315" s="116" t="s">
        <v>283</v>
      </c>
      <c r="G315" s="92">
        <v>129.75</v>
      </c>
      <c r="H315" s="93">
        <v>1476</v>
      </c>
      <c r="I315" s="117" t="str">
        <f t="shared" si="18"/>
        <v>OK</v>
      </c>
      <c r="J315" s="129" t="str">
        <f t="shared" si="19"/>
        <v/>
      </c>
    </row>
    <row r="316" spans="1:10" ht="24" customHeight="1">
      <c r="A316" s="123" t="s">
        <v>292</v>
      </c>
      <c r="B316" s="115">
        <v>45778</v>
      </c>
      <c r="C316" s="115">
        <v>46142</v>
      </c>
      <c r="D316" s="116" t="s">
        <v>13</v>
      </c>
      <c r="E316" s="116" t="s">
        <v>10</v>
      </c>
      <c r="F316" s="116" t="s">
        <v>283</v>
      </c>
      <c r="G316" s="92">
        <v>108.13</v>
      </c>
      <c r="H316" s="93">
        <v>1455</v>
      </c>
      <c r="I316" s="117" t="str">
        <f t="shared" si="18"/>
        <v>OK</v>
      </c>
      <c r="J316" s="129" t="str">
        <f t="shared" si="19"/>
        <v/>
      </c>
    </row>
    <row r="317" spans="1:10" ht="24" customHeight="1">
      <c r="A317" s="123" t="s">
        <v>292</v>
      </c>
      <c r="B317" s="115">
        <v>45778</v>
      </c>
      <c r="C317" s="115">
        <v>46142</v>
      </c>
      <c r="D317" s="116" t="s">
        <v>13</v>
      </c>
      <c r="E317" s="116" t="s">
        <v>10</v>
      </c>
      <c r="F317" s="116" t="s">
        <v>283</v>
      </c>
      <c r="G317" s="92">
        <v>103.8</v>
      </c>
      <c r="H317" s="93">
        <v>1396.8</v>
      </c>
      <c r="I317" s="117" t="str">
        <f t="shared" si="18"/>
        <v>OK</v>
      </c>
      <c r="J317" s="129" t="str">
        <f t="shared" si="19"/>
        <v/>
      </c>
    </row>
    <row r="318" spans="1:10" ht="24" customHeight="1">
      <c r="A318" s="123" t="s">
        <v>292</v>
      </c>
      <c r="B318" s="115">
        <v>45778</v>
      </c>
      <c r="C318" s="115">
        <v>46142</v>
      </c>
      <c r="D318" s="116" t="s">
        <v>13</v>
      </c>
      <c r="E318" s="116" t="s">
        <v>10</v>
      </c>
      <c r="F318" s="116" t="s">
        <v>283</v>
      </c>
      <c r="G318" s="92">
        <v>86.5</v>
      </c>
      <c r="H318" s="93">
        <v>1164</v>
      </c>
      <c r="I318" s="117" t="str">
        <f t="shared" si="18"/>
        <v>OK</v>
      </c>
      <c r="J318" s="129" t="str">
        <f t="shared" si="19"/>
        <v/>
      </c>
    </row>
    <row r="319" spans="1:10" ht="24" customHeight="1">
      <c r="A319" s="123" t="s">
        <v>292</v>
      </c>
      <c r="B319" s="115">
        <v>45778</v>
      </c>
      <c r="C319" s="115">
        <v>46142</v>
      </c>
      <c r="D319" s="116" t="s">
        <v>13</v>
      </c>
      <c r="E319" s="116" t="s">
        <v>10</v>
      </c>
      <c r="F319" s="116" t="s">
        <v>283</v>
      </c>
      <c r="G319" s="92">
        <v>69.2</v>
      </c>
      <c r="H319" s="93">
        <v>931.2</v>
      </c>
      <c r="I319" s="117" t="str">
        <f t="shared" si="18"/>
        <v>OK</v>
      </c>
      <c r="J319" s="129" t="str">
        <f t="shared" si="19"/>
        <v/>
      </c>
    </row>
    <row r="320" spans="1:10" ht="24" customHeight="1">
      <c r="A320" s="123" t="s">
        <v>292</v>
      </c>
      <c r="B320" s="115">
        <v>45778</v>
      </c>
      <c r="C320" s="115">
        <v>46142</v>
      </c>
      <c r="D320" s="116" t="s">
        <v>13</v>
      </c>
      <c r="E320" s="116" t="s">
        <v>10</v>
      </c>
      <c r="F320" s="116" t="s">
        <v>283</v>
      </c>
      <c r="G320" s="92">
        <v>51.9</v>
      </c>
      <c r="H320" s="93">
        <v>698.4</v>
      </c>
      <c r="I320" s="117" t="str">
        <f t="shared" si="18"/>
        <v>OK</v>
      </c>
      <c r="J320" s="129" t="str">
        <f t="shared" si="19"/>
        <v/>
      </c>
    </row>
    <row r="321" spans="1:10" ht="24" customHeight="1">
      <c r="A321" s="123" t="s">
        <v>292</v>
      </c>
      <c r="B321" s="115">
        <v>45778</v>
      </c>
      <c r="C321" s="115">
        <v>46142</v>
      </c>
      <c r="D321" s="116" t="s">
        <v>13</v>
      </c>
      <c r="E321" s="116" t="s">
        <v>10</v>
      </c>
      <c r="F321" s="116" t="s">
        <v>283</v>
      </c>
      <c r="G321" s="92">
        <v>47.58</v>
      </c>
      <c r="H321" s="93">
        <v>640</v>
      </c>
      <c r="I321" s="117" t="str">
        <f t="shared" si="18"/>
        <v>OK</v>
      </c>
      <c r="J321" s="129" t="str">
        <f t="shared" si="19"/>
        <v/>
      </c>
    </row>
    <row r="322" spans="1:10" ht="24" customHeight="1">
      <c r="A322" s="123" t="s">
        <v>292</v>
      </c>
      <c r="B322" s="115">
        <v>45778</v>
      </c>
      <c r="C322" s="115">
        <v>46142</v>
      </c>
      <c r="D322" s="116" t="s">
        <v>13</v>
      </c>
      <c r="E322" s="116" t="s">
        <v>10</v>
      </c>
      <c r="F322" s="116" t="s">
        <v>283</v>
      </c>
      <c r="G322" s="92">
        <v>43.25</v>
      </c>
      <c r="H322" s="93">
        <v>582</v>
      </c>
      <c r="I322" s="117" t="str">
        <f t="shared" si="18"/>
        <v>OK</v>
      </c>
      <c r="J322" s="129" t="str">
        <f t="shared" si="19"/>
        <v/>
      </c>
    </row>
    <row r="323" spans="1:10" ht="24" customHeight="1">
      <c r="A323" s="123" t="s">
        <v>292</v>
      </c>
      <c r="B323" s="115">
        <v>45778</v>
      </c>
      <c r="C323" s="115">
        <v>46142</v>
      </c>
      <c r="D323" s="116" t="s">
        <v>13</v>
      </c>
      <c r="E323" s="116" t="s">
        <v>10</v>
      </c>
      <c r="F323" s="116" t="s">
        <v>283</v>
      </c>
      <c r="G323" s="92">
        <v>34.6</v>
      </c>
      <c r="H323" s="93">
        <v>465.6</v>
      </c>
      <c r="I323" s="117" t="str">
        <f t="shared" si="18"/>
        <v>OK</v>
      </c>
      <c r="J323" s="129" t="str">
        <f t="shared" si="19"/>
        <v/>
      </c>
    </row>
    <row r="324" spans="1:10" ht="24" customHeight="1" thickBot="1">
      <c r="A324" s="130" t="s">
        <v>292</v>
      </c>
      <c r="B324" s="131">
        <v>45778</v>
      </c>
      <c r="C324" s="131">
        <v>46142</v>
      </c>
      <c r="D324" s="132" t="s">
        <v>13</v>
      </c>
      <c r="E324" s="132" t="s">
        <v>10</v>
      </c>
      <c r="F324" s="132" t="s">
        <v>283</v>
      </c>
      <c r="G324" s="94">
        <v>32.01</v>
      </c>
      <c r="H324" s="95">
        <v>430.68</v>
      </c>
      <c r="I324" s="133" t="str">
        <f t="shared" si="18"/>
        <v>OK</v>
      </c>
      <c r="J324" s="134" t="str">
        <f t="shared" si="19"/>
        <v/>
      </c>
    </row>
  </sheetData>
  <sheetProtection algorithmName="SHA-512" hashValue="RwQ/aVRwfMVzAuXc5VgkneDFr/jK4hWgTzCLNFYthBC4Y+wvuALgNhXxzsDqRqdBH6oBqrheghMKp/J3os4EoQ==" saltValue="FgsNXTI5VciyOaFxi7yN/A=="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V13" sqref="V1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59" t="s">
        <v>349</v>
      </c>
      <c r="C1" s="259"/>
      <c r="D1" s="259"/>
      <c r="E1" s="259"/>
      <c r="F1" s="259"/>
      <c r="G1" s="259"/>
      <c r="H1" s="259"/>
      <c r="I1" s="259"/>
      <c r="J1" s="259"/>
      <c r="K1" s="259"/>
      <c r="L1" s="259"/>
      <c r="M1" s="259"/>
      <c r="N1" s="259"/>
      <c r="O1" s="259"/>
      <c r="P1" s="259"/>
      <c r="Q1" s="259"/>
      <c r="R1" s="259"/>
      <c r="S1" s="259"/>
      <c r="T1" s="259"/>
      <c r="U1" s="259"/>
    </row>
    <row r="2" spans="2:21" ht="17.25" customHeight="1">
      <c r="B2" s="177"/>
      <c r="C2" s="177"/>
      <c r="D2" s="177"/>
      <c r="E2" s="177"/>
      <c r="F2" s="177"/>
      <c r="G2" s="177"/>
      <c r="H2" s="177"/>
      <c r="I2" s="177"/>
      <c r="J2" s="177"/>
      <c r="K2" s="177"/>
      <c r="L2" s="177"/>
      <c r="M2" s="177"/>
      <c r="N2" s="177"/>
      <c r="O2" s="177"/>
      <c r="P2" s="178"/>
      <c r="Q2" s="178"/>
      <c r="R2" s="178"/>
      <c r="S2" s="301" t="s">
        <v>393</v>
      </c>
      <c r="T2" s="301"/>
      <c r="U2" s="301"/>
    </row>
    <row r="3" spans="2:21" ht="20" customHeight="1">
      <c r="B3" s="302" t="s">
        <v>93</v>
      </c>
      <c r="C3" s="303"/>
      <c r="D3" s="303"/>
      <c r="E3" s="303"/>
      <c r="F3" s="304"/>
      <c r="G3" s="178"/>
      <c r="H3" s="297" t="s">
        <v>14</v>
      </c>
      <c r="I3" s="297"/>
      <c r="J3" s="178"/>
      <c r="K3" s="297" t="s">
        <v>15</v>
      </c>
      <c r="L3" s="297"/>
      <c r="M3" s="178"/>
      <c r="N3" s="297" t="s">
        <v>16</v>
      </c>
      <c r="O3" s="297"/>
      <c r="P3" s="178"/>
      <c r="Q3" s="178"/>
      <c r="R3" s="178"/>
      <c r="S3" s="178"/>
      <c r="T3" s="178"/>
      <c r="U3" s="178"/>
    </row>
    <row r="4" spans="2:21" ht="20" customHeight="1" thickBot="1">
      <c r="B4" s="305"/>
      <c r="C4" s="259"/>
      <c r="D4" s="259"/>
      <c r="E4" s="259"/>
      <c r="F4" s="306"/>
      <c r="G4" s="178"/>
      <c r="H4" s="298"/>
      <c r="I4" s="298"/>
      <c r="J4" s="178"/>
      <c r="K4" s="298"/>
      <c r="L4" s="298"/>
      <c r="M4" s="178"/>
      <c r="N4" s="298"/>
      <c r="O4" s="298"/>
      <c r="P4" s="178"/>
      <c r="Q4" s="178"/>
      <c r="R4" s="178"/>
      <c r="S4" s="178"/>
      <c r="T4" s="178"/>
      <c r="U4" s="178"/>
    </row>
    <row r="5" spans="2:21" ht="18" customHeight="1">
      <c r="B5" s="179"/>
      <c r="C5" s="180" t="s">
        <v>17</v>
      </c>
      <c r="D5" s="181" t="s">
        <v>18</v>
      </c>
      <c r="E5" s="181" t="s">
        <v>19</v>
      </c>
      <c r="F5" s="182" t="s">
        <v>20</v>
      </c>
      <c r="G5" s="178"/>
      <c r="H5" s="299" t="s">
        <v>21</v>
      </c>
      <c r="I5" s="300"/>
      <c r="J5" s="178"/>
      <c r="K5" s="299" t="s">
        <v>21</v>
      </c>
      <c r="L5" s="300"/>
      <c r="M5" s="178"/>
      <c r="N5" s="299" t="s">
        <v>22</v>
      </c>
      <c r="O5" s="300"/>
      <c r="P5" s="178"/>
      <c r="Q5" s="178"/>
      <c r="R5" s="178"/>
      <c r="S5" s="178"/>
      <c r="T5" s="178"/>
      <c r="U5" s="178"/>
    </row>
    <row r="6" spans="2:21" ht="22" customHeight="1">
      <c r="B6" s="197" t="s">
        <v>23</v>
      </c>
      <c r="C6" s="12">
        <v>450000</v>
      </c>
      <c r="D6" s="13">
        <v>100000</v>
      </c>
      <c r="E6" s="183">
        <f>Januar!$Q$37</f>
        <v>0.22222222222222221</v>
      </c>
      <c r="F6" s="14">
        <v>30000</v>
      </c>
      <c r="G6" s="178"/>
      <c r="H6" s="198" t="s">
        <v>23</v>
      </c>
      <c r="I6" s="15">
        <v>600</v>
      </c>
      <c r="J6" s="178"/>
      <c r="K6" s="198" t="s">
        <v>23</v>
      </c>
      <c r="L6" s="15">
        <v>9300</v>
      </c>
      <c r="M6" s="178"/>
      <c r="N6" s="198" t="s">
        <v>23</v>
      </c>
      <c r="O6" s="15">
        <v>1250</v>
      </c>
      <c r="P6" s="178"/>
      <c r="Q6" s="178"/>
      <c r="R6" s="178"/>
      <c r="S6" s="178"/>
      <c r="T6" s="178"/>
      <c r="U6" s="178"/>
    </row>
    <row r="7" spans="2:21" ht="22" customHeight="1">
      <c r="B7" s="197" t="s">
        <v>24</v>
      </c>
      <c r="C7" s="12">
        <v>400000</v>
      </c>
      <c r="D7" s="13">
        <v>100000</v>
      </c>
      <c r="E7" s="183">
        <f>Februar!$Q$37</f>
        <v>0.25</v>
      </c>
      <c r="F7" s="14">
        <v>30000</v>
      </c>
      <c r="G7" s="178"/>
      <c r="H7" s="198" t="s">
        <v>25</v>
      </c>
      <c r="I7" s="15">
        <v>600</v>
      </c>
      <c r="J7" s="178"/>
      <c r="K7" s="198" t="s">
        <v>25</v>
      </c>
      <c r="L7" s="15">
        <v>9300</v>
      </c>
      <c r="M7" s="178"/>
      <c r="N7" s="198" t="s">
        <v>25</v>
      </c>
      <c r="O7" s="15">
        <v>1250</v>
      </c>
      <c r="P7" s="178"/>
      <c r="Q7" s="178"/>
      <c r="R7" s="178"/>
      <c r="S7" s="178"/>
      <c r="T7" s="178"/>
      <c r="U7" s="178"/>
    </row>
    <row r="8" spans="2:21" ht="22" customHeight="1">
      <c r="B8" s="197" t="s">
        <v>26</v>
      </c>
      <c r="C8" s="12">
        <v>400000</v>
      </c>
      <c r="D8" s="13">
        <v>100000</v>
      </c>
      <c r="E8" s="183">
        <f>Marz!$Q$37</f>
        <v>0.25</v>
      </c>
      <c r="F8" s="14">
        <v>30000</v>
      </c>
      <c r="G8" s="178"/>
      <c r="H8" s="198" t="s">
        <v>26</v>
      </c>
      <c r="I8" s="15">
        <v>600</v>
      </c>
      <c r="J8" s="178"/>
      <c r="K8" s="198" t="s">
        <v>26</v>
      </c>
      <c r="L8" s="15">
        <v>9300</v>
      </c>
      <c r="M8" s="178"/>
      <c r="N8" s="198" t="s">
        <v>26</v>
      </c>
      <c r="O8" s="15">
        <v>1250</v>
      </c>
      <c r="P8" s="178"/>
      <c r="Q8" s="178"/>
      <c r="R8" s="178"/>
      <c r="S8" s="178"/>
      <c r="T8" s="178"/>
      <c r="U8" s="178"/>
    </row>
    <row r="9" spans="2:21" ht="22" customHeight="1">
      <c r="B9" s="197" t="s">
        <v>27</v>
      </c>
      <c r="C9" s="12">
        <v>400000</v>
      </c>
      <c r="D9" s="13">
        <v>100000</v>
      </c>
      <c r="E9" s="183">
        <f>April!$Q$37</f>
        <v>0.25</v>
      </c>
      <c r="F9" s="14">
        <v>30000</v>
      </c>
      <c r="G9" s="178"/>
      <c r="H9" s="198" t="s">
        <v>27</v>
      </c>
      <c r="I9" s="15">
        <v>600</v>
      </c>
      <c r="J9" s="178"/>
      <c r="K9" s="198" t="s">
        <v>27</v>
      </c>
      <c r="L9" s="15">
        <v>9300</v>
      </c>
      <c r="M9" s="178"/>
      <c r="N9" s="198" t="s">
        <v>27</v>
      </c>
      <c r="O9" s="15">
        <v>1250</v>
      </c>
      <c r="P9" s="178"/>
      <c r="Q9" s="178"/>
      <c r="R9" s="178"/>
      <c r="S9" s="178"/>
      <c r="T9" s="178"/>
      <c r="U9" s="178"/>
    </row>
    <row r="10" spans="2:21" ht="22" customHeight="1">
      <c r="B10" s="197" t="s">
        <v>28</v>
      </c>
      <c r="C10" s="12">
        <v>400000</v>
      </c>
      <c r="D10" s="13">
        <v>100000</v>
      </c>
      <c r="E10" s="183">
        <f>Mai!$Q$37</f>
        <v>0.25</v>
      </c>
      <c r="F10" s="14">
        <v>30000</v>
      </c>
      <c r="G10" s="178"/>
      <c r="H10" s="198" t="s">
        <v>28</v>
      </c>
      <c r="I10" s="15">
        <v>600</v>
      </c>
      <c r="J10" s="178"/>
      <c r="K10" s="198" t="s">
        <v>28</v>
      </c>
      <c r="L10" s="15">
        <v>9300</v>
      </c>
      <c r="M10" s="178"/>
      <c r="N10" s="198" t="s">
        <v>28</v>
      </c>
      <c r="O10" s="15">
        <v>1250</v>
      </c>
      <c r="P10" s="178"/>
      <c r="Q10" s="178"/>
      <c r="R10" s="178"/>
      <c r="S10" s="178"/>
      <c r="T10" s="178"/>
      <c r="U10" s="178"/>
    </row>
    <row r="11" spans="2:21" ht="22" customHeight="1">
      <c r="B11" s="197" t="s">
        <v>29</v>
      </c>
      <c r="C11" s="12">
        <v>400000</v>
      </c>
      <c r="D11" s="13">
        <v>100000</v>
      </c>
      <c r="E11" s="183">
        <f>Juni!$Q$37</f>
        <v>0.25</v>
      </c>
      <c r="F11" s="14">
        <v>30000</v>
      </c>
      <c r="G11" s="178"/>
      <c r="H11" s="198" t="s">
        <v>29</v>
      </c>
      <c r="I11" s="15">
        <v>600</v>
      </c>
      <c r="J11" s="178"/>
      <c r="K11" s="198" t="s">
        <v>29</v>
      </c>
      <c r="L11" s="15">
        <v>9300</v>
      </c>
      <c r="M11" s="178"/>
      <c r="N11" s="198" t="s">
        <v>29</v>
      </c>
      <c r="O11" s="15">
        <v>1250</v>
      </c>
      <c r="P11" s="178"/>
      <c r="Q11" s="178"/>
      <c r="R11" s="178"/>
      <c r="S11" s="178"/>
      <c r="T11" s="178"/>
      <c r="U11" s="178"/>
    </row>
    <row r="12" spans="2:21" ht="22" customHeight="1">
      <c r="B12" s="197" t="s">
        <v>30</v>
      </c>
      <c r="C12" s="12">
        <v>400000</v>
      </c>
      <c r="D12" s="13">
        <v>100000</v>
      </c>
      <c r="E12" s="183">
        <f>Juli!$Q$37</f>
        <v>0.25</v>
      </c>
      <c r="F12" s="14">
        <v>30000</v>
      </c>
      <c r="G12" s="178"/>
      <c r="H12" s="198" t="s">
        <v>30</v>
      </c>
      <c r="I12" s="15">
        <v>600</v>
      </c>
      <c r="J12" s="178"/>
      <c r="K12" s="198" t="s">
        <v>30</v>
      </c>
      <c r="L12" s="15">
        <v>9300</v>
      </c>
      <c r="M12" s="178"/>
      <c r="N12" s="198" t="s">
        <v>30</v>
      </c>
      <c r="O12" s="15">
        <v>1250</v>
      </c>
      <c r="P12" s="178"/>
      <c r="Q12" s="178"/>
      <c r="R12" s="178"/>
      <c r="S12" s="178"/>
      <c r="T12" s="178"/>
      <c r="U12" s="178"/>
    </row>
    <row r="13" spans="2:21" ht="22" customHeight="1">
      <c r="B13" s="197" t="s">
        <v>31</v>
      </c>
      <c r="C13" s="12">
        <v>400000</v>
      </c>
      <c r="D13" s="13">
        <v>100000</v>
      </c>
      <c r="E13" s="183">
        <f>August!$Q$37</f>
        <v>0.25</v>
      </c>
      <c r="F13" s="14">
        <v>30000</v>
      </c>
      <c r="G13" s="178"/>
      <c r="H13" s="198" t="s">
        <v>31</v>
      </c>
      <c r="I13" s="15">
        <v>620</v>
      </c>
      <c r="J13" s="178"/>
      <c r="K13" s="198" t="s">
        <v>31</v>
      </c>
      <c r="L13" s="15">
        <v>9300</v>
      </c>
      <c r="M13" s="178"/>
      <c r="N13" s="198" t="s">
        <v>31</v>
      </c>
      <c r="O13" s="15">
        <v>1250</v>
      </c>
      <c r="P13" s="178"/>
      <c r="Q13" s="178"/>
      <c r="R13" s="178"/>
      <c r="S13" s="178"/>
      <c r="T13" s="178"/>
      <c r="U13" s="178"/>
    </row>
    <row r="14" spans="2:21" ht="22" customHeight="1">
      <c r="B14" s="197" t="s">
        <v>32</v>
      </c>
      <c r="C14" s="12">
        <v>400000</v>
      </c>
      <c r="D14" s="13">
        <v>100000</v>
      </c>
      <c r="E14" s="183">
        <f>September!$Q$37</f>
        <v>0.25</v>
      </c>
      <c r="F14" s="14">
        <v>30000</v>
      </c>
      <c r="G14" s="178"/>
      <c r="H14" s="198" t="s">
        <v>32</v>
      </c>
      <c r="I14" s="15">
        <v>600</v>
      </c>
      <c r="J14" s="178"/>
      <c r="K14" s="198" t="s">
        <v>32</v>
      </c>
      <c r="L14" s="15">
        <v>9300</v>
      </c>
      <c r="M14" s="178"/>
      <c r="N14" s="198" t="s">
        <v>32</v>
      </c>
      <c r="O14" s="15">
        <v>1250</v>
      </c>
      <c r="P14" s="178"/>
      <c r="Q14" s="178"/>
      <c r="R14" s="178"/>
      <c r="S14" s="178"/>
      <c r="T14" s="178"/>
      <c r="U14" s="178"/>
    </row>
    <row r="15" spans="2:21" ht="22" customHeight="1">
      <c r="B15" s="197" t="s">
        <v>33</v>
      </c>
      <c r="C15" s="12">
        <v>400000</v>
      </c>
      <c r="D15" s="13">
        <v>100000</v>
      </c>
      <c r="E15" s="183">
        <f>Oktober!$Q$37</f>
        <v>0.25</v>
      </c>
      <c r="F15" s="14">
        <v>30000</v>
      </c>
      <c r="G15" s="178"/>
      <c r="H15" s="198" t="s">
        <v>33</v>
      </c>
      <c r="I15" s="15">
        <v>600</v>
      </c>
      <c r="J15" s="178"/>
      <c r="K15" s="198" t="s">
        <v>33</v>
      </c>
      <c r="L15" s="15">
        <v>9300</v>
      </c>
      <c r="M15" s="178"/>
      <c r="N15" s="198" t="s">
        <v>33</v>
      </c>
      <c r="O15" s="15">
        <v>1250</v>
      </c>
      <c r="P15" s="178"/>
      <c r="Q15" s="178"/>
      <c r="R15" s="178"/>
      <c r="S15" s="178"/>
      <c r="T15" s="178"/>
      <c r="U15" s="178"/>
    </row>
    <row r="16" spans="2:21" ht="22" customHeight="1">
      <c r="B16" s="197" t="s">
        <v>34</v>
      </c>
      <c r="C16" s="12">
        <v>400000</v>
      </c>
      <c r="D16" s="13">
        <v>100000</v>
      </c>
      <c r="E16" s="183">
        <f>November!$Q$37</f>
        <v>0.25</v>
      </c>
      <c r="F16" s="14">
        <v>30000</v>
      </c>
      <c r="G16" s="178"/>
      <c r="H16" s="198" t="s">
        <v>34</v>
      </c>
      <c r="I16" s="15">
        <v>600</v>
      </c>
      <c r="J16" s="178"/>
      <c r="K16" s="198" t="s">
        <v>34</v>
      </c>
      <c r="L16" s="15">
        <v>9300</v>
      </c>
      <c r="M16" s="178"/>
      <c r="N16" s="198" t="s">
        <v>34</v>
      </c>
      <c r="O16" s="15">
        <v>1250</v>
      </c>
      <c r="P16" s="178"/>
      <c r="Q16" s="178"/>
      <c r="R16" s="178"/>
      <c r="S16" s="178"/>
      <c r="T16" s="178"/>
      <c r="U16" s="178"/>
    </row>
    <row r="17" spans="2:21" ht="22" customHeight="1" thickBot="1">
      <c r="B17" s="197" t="s">
        <v>35</v>
      </c>
      <c r="C17" s="17">
        <v>400000</v>
      </c>
      <c r="D17" s="18">
        <v>100000</v>
      </c>
      <c r="E17" s="184">
        <f>Dezember!$Q$37</f>
        <v>0.25</v>
      </c>
      <c r="F17" s="19">
        <v>30000</v>
      </c>
      <c r="G17" s="178"/>
      <c r="H17" s="199" t="s">
        <v>35</v>
      </c>
      <c r="I17" s="20">
        <v>600</v>
      </c>
      <c r="J17" s="178"/>
      <c r="K17" s="199" t="s">
        <v>35</v>
      </c>
      <c r="L17" s="20">
        <v>9300</v>
      </c>
      <c r="M17" s="178"/>
      <c r="N17" s="199" t="s">
        <v>35</v>
      </c>
      <c r="O17" s="20">
        <v>1250</v>
      </c>
      <c r="P17" s="178"/>
      <c r="Q17" s="178"/>
      <c r="R17" s="178"/>
      <c r="S17" s="178"/>
      <c r="T17" s="178"/>
      <c r="U17" s="178"/>
    </row>
    <row r="18" spans="2:21">
      <c r="B18" s="178"/>
      <c r="C18" s="178"/>
      <c r="D18" s="178"/>
      <c r="E18" s="178"/>
      <c r="F18" s="178"/>
      <c r="G18" s="178"/>
      <c r="H18" s="178"/>
      <c r="I18" s="178"/>
      <c r="J18" s="178"/>
      <c r="K18" s="178"/>
      <c r="L18" s="178"/>
      <c r="M18" s="178"/>
      <c r="N18" s="178"/>
      <c r="O18" s="178"/>
      <c r="P18" s="178"/>
      <c r="Q18" s="178"/>
      <c r="R18" s="178"/>
      <c r="S18" s="178"/>
      <c r="T18" s="178"/>
      <c r="U18" s="178"/>
    </row>
    <row r="19" spans="2:21" ht="20" customHeight="1">
      <c r="B19" s="297" t="s">
        <v>36</v>
      </c>
      <c r="C19" s="297"/>
      <c r="D19" s="297"/>
      <c r="E19" s="297"/>
      <c r="F19" s="297"/>
      <c r="G19" s="178"/>
      <c r="H19" s="297" t="s">
        <v>37</v>
      </c>
      <c r="I19" s="297"/>
      <c r="J19" s="178"/>
      <c r="K19" s="297" t="s">
        <v>38</v>
      </c>
      <c r="L19" s="297"/>
      <c r="M19" s="178"/>
      <c r="N19" s="185"/>
      <c r="O19" s="185"/>
      <c r="P19" s="185"/>
      <c r="Q19" s="185"/>
      <c r="R19" s="185"/>
      <c r="S19" s="185"/>
      <c r="T19" s="185"/>
      <c r="U19" s="185"/>
    </row>
    <row r="20" spans="2:21" ht="20" customHeight="1" thickBot="1">
      <c r="B20" s="297"/>
      <c r="C20" s="298"/>
      <c r="D20" s="298"/>
      <c r="E20" s="298"/>
      <c r="F20" s="298"/>
      <c r="G20" s="178"/>
      <c r="H20" s="298"/>
      <c r="I20" s="298"/>
      <c r="J20" s="178"/>
      <c r="K20" s="298"/>
      <c r="L20" s="298"/>
      <c r="M20" s="178"/>
      <c r="N20" s="185"/>
      <c r="O20" s="185"/>
      <c r="P20" s="185"/>
      <c r="Q20" s="185"/>
      <c r="R20" s="185"/>
      <c r="S20" s="185"/>
      <c r="T20" s="185"/>
      <c r="U20" s="185"/>
    </row>
    <row r="21" spans="2:21" ht="18" customHeight="1">
      <c r="B21" s="179"/>
      <c r="C21" s="180" t="s">
        <v>17</v>
      </c>
      <c r="D21" s="181" t="s">
        <v>18</v>
      </c>
      <c r="E21" s="181" t="s">
        <v>19</v>
      </c>
      <c r="F21" s="182" t="s">
        <v>20</v>
      </c>
      <c r="G21" s="178"/>
      <c r="H21" s="299" t="s">
        <v>21</v>
      </c>
      <c r="I21" s="300"/>
      <c r="J21" s="178"/>
      <c r="K21" s="299" t="s">
        <v>21</v>
      </c>
      <c r="L21" s="300"/>
      <c r="M21" s="178"/>
      <c r="N21" s="185"/>
      <c r="O21" s="185"/>
      <c r="P21" s="185"/>
      <c r="Q21" s="185"/>
      <c r="R21" s="185"/>
      <c r="S21" s="185"/>
      <c r="T21" s="185"/>
      <c r="U21" s="185"/>
    </row>
    <row r="22" spans="2:21" ht="22" customHeight="1">
      <c r="B22" s="197" t="s">
        <v>23</v>
      </c>
      <c r="C22" s="12">
        <v>450000</v>
      </c>
      <c r="D22" s="186">
        <f>UBERSICHT!G7</f>
        <v>91676.220799999996</v>
      </c>
      <c r="E22" s="183">
        <v>0.20372493511111109</v>
      </c>
      <c r="F22" s="14">
        <v>29000</v>
      </c>
      <c r="G22" s="178"/>
      <c r="H22" s="198" t="s">
        <v>23</v>
      </c>
      <c r="I22" s="15">
        <v>150</v>
      </c>
      <c r="J22" s="178"/>
      <c r="K22" s="198" t="s">
        <v>23</v>
      </c>
      <c r="L22" s="15">
        <v>1</v>
      </c>
      <c r="M22" s="178"/>
      <c r="N22" s="185"/>
      <c r="O22" s="185"/>
      <c r="P22" s="185"/>
      <c r="Q22" s="185"/>
      <c r="R22" s="185"/>
      <c r="S22" s="185"/>
      <c r="T22" s="185"/>
      <c r="U22" s="185"/>
    </row>
    <row r="23" spans="2:21" ht="22" customHeight="1">
      <c r="B23" s="197" t="s">
        <v>24</v>
      </c>
      <c r="C23" s="12">
        <v>425000</v>
      </c>
      <c r="D23" s="186">
        <f>UBERSICHT!G8</f>
        <v>112062.4129</v>
      </c>
      <c r="E23" s="183">
        <v>0.26367626564705882</v>
      </c>
      <c r="F23" s="14">
        <v>29000</v>
      </c>
      <c r="G23" s="178"/>
      <c r="H23" s="198" t="s">
        <v>25</v>
      </c>
      <c r="I23" s="15">
        <v>0</v>
      </c>
      <c r="J23" s="178"/>
      <c r="K23" s="198" t="s">
        <v>25</v>
      </c>
      <c r="L23" s="15">
        <v>2</v>
      </c>
      <c r="M23" s="178"/>
      <c r="N23" s="185"/>
      <c r="O23" s="185"/>
      <c r="P23" s="185"/>
      <c r="Q23" s="185"/>
      <c r="R23" s="185"/>
      <c r="S23" s="185"/>
      <c r="T23" s="185"/>
      <c r="U23" s="185"/>
    </row>
    <row r="24" spans="2:21" ht="22" customHeight="1">
      <c r="B24" s="197" t="s">
        <v>26</v>
      </c>
      <c r="C24" s="12">
        <v>430000</v>
      </c>
      <c r="D24" s="186">
        <f>UBERSICHT!G9</f>
        <v>114609.03419999999</v>
      </c>
      <c r="E24" s="183">
        <v>0.26653263767441859</v>
      </c>
      <c r="F24" s="14">
        <v>29000</v>
      </c>
      <c r="G24" s="178"/>
      <c r="H24" s="198" t="s">
        <v>26</v>
      </c>
      <c r="I24" s="15">
        <v>0</v>
      </c>
      <c r="J24" s="178"/>
      <c r="K24" s="198" t="s">
        <v>26</v>
      </c>
      <c r="L24" s="15">
        <v>3</v>
      </c>
      <c r="M24" s="178"/>
      <c r="N24" s="185"/>
      <c r="O24" s="185"/>
      <c r="P24" s="185"/>
      <c r="Q24" s="185"/>
      <c r="R24" s="185"/>
      <c r="S24" s="185"/>
      <c r="T24" s="185"/>
      <c r="U24" s="185"/>
    </row>
    <row r="25" spans="2:21" ht="22" customHeight="1">
      <c r="B25" s="197" t="s">
        <v>27</v>
      </c>
      <c r="C25" s="12">
        <v>300000</v>
      </c>
      <c r="D25" s="186">
        <f>UBERSICHT!G11</f>
        <v>115005.21</v>
      </c>
      <c r="E25" s="183">
        <v>0.38335070000000004</v>
      </c>
      <c r="F25" s="14">
        <v>25000</v>
      </c>
      <c r="G25" s="178"/>
      <c r="H25" s="198" t="s">
        <v>27</v>
      </c>
      <c r="I25" s="15">
        <v>150</v>
      </c>
      <c r="J25" s="178"/>
      <c r="K25" s="198" t="s">
        <v>27</v>
      </c>
      <c r="L25" s="15">
        <v>4</v>
      </c>
      <c r="M25" s="178"/>
      <c r="N25" s="185"/>
      <c r="O25" s="185"/>
      <c r="P25" s="185"/>
      <c r="Q25" s="185"/>
      <c r="R25" s="185"/>
      <c r="S25" s="185"/>
      <c r="T25" s="185"/>
      <c r="U25" s="185"/>
    </row>
    <row r="26" spans="2:21" ht="22" customHeight="1">
      <c r="B26" s="197" t="s">
        <v>28</v>
      </c>
      <c r="C26" s="12">
        <v>420000</v>
      </c>
      <c r="D26" s="186">
        <f>UBERSICHT!G12</f>
        <v>156533.9871</v>
      </c>
      <c r="E26" s="183">
        <v>0.37269996928571431</v>
      </c>
      <c r="F26" s="14">
        <v>31000</v>
      </c>
      <c r="G26" s="178"/>
      <c r="H26" s="198" t="s">
        <v>28</v>
      </c>
      <c r="I26" s="15">
        <v>450</v>
      </c>
      <c r="J26" s="178"/>
      <c r="K26" s="198" t="s">
        <v>28</v>
      </c>
      <c r="L26" s="15">
        <v>5</v>
      </c>
      <c r="M26" s="187"/>
      <c r="N26" s="185"/>
      <c r="O26" s="185"/>
      <c r="P26" s="185"/>
      <c r="Q26" s="185"/>
      <c r="R26" s="185"/>
      <c r="S26" s="185"/>
      <c r="T26" s="185"/>
      <c r="U26" s="185"/>
    </row>
    <row r="27" spans="2:21" ht="22" customHeight="1">
      <c r="B27" s="197" t="s">
        <v>29</v>
      </c>
      <c r="C27" s="12">
        <v>435000</v>
      </c>
      <c r="D27" s="186">
        <f>UBERSICHT!G13</f>
        <v>154631.76670000001</v>
      </c>
      <c r="E27" s="183">
        <v>0.35547532574712648</v>
      </c>
      <c r="F27" s="14">
        <v>31000</v>
      </c>
      <c r="G27" s="178"/>
      <c r="H27" s="198" t="s">
        <v>29</v>
      </c>
      <c r="I27" s="15">
        <v>150</v>
      </c>
      <c r="J27" s="178"/>
      <c r="K27" s="198" t="s">
        <v>29</v>
      </c>
      <c r="L27" s="15">
        <v>6</v>
      </c>
      <c r="M27" s="187"/>
      <c r="N27" s="185"/>
      <c r="O27" s="185"/>
      <c r="P27" s="185"/>
      <c r="Q27" s="185"/>
      <c r="R27" s="185"/>
      <c r="S27" s="185"/>
      <c r="T27" s="185"/>
      <c r="U27" s="185"/>
    </row>
    <row r="28" spans="2:21" ht="22" customHeight="1">
      <c r="B28" s="197" t="s">
        <v>30</v>
      </c>
      <c r="C28" s="12">
        <v>435000</v>
      </c>
      <c r="D28" s="186">
        <f>UBERSICHT!G15</f>
        <v>151701.30970000001</v>
      </c>
      <c r="E28" s="183">
        <v>0.34873864298850576</v>
      </c>
      <c r="F28" s="14">
        <v>31000</v>
      </c>
      <c r="G28" s="178"/>
      <c r="H28" s="198" t="s">
        <v>30</v>
      </c>
      <c r="I28" s="15">
        <v>0</v>
      </c>
      <c r="J28" s="178"/>
      <c r="K28" s="198" t="s">
        <v>30</v>
      </c>
      <c r="L28" s="15">
        <v>7</v>
      </c>
      <c r="M28" s="187"/>
      <c r="N28" s="185"/>
      <c r="O28" s="185"/>
      <c r="P28" s="185"/>
      <c r="Q28" s="185"/>
      <c r="R28" s="185"/>
      <c r="S28" s="185"/>
      <c r="T28" s="185"/>
      <c r="U28" s="185"/>
    </row>
    <row r="29" spans="2:21" ht="22" customHeight="1">
      <c r="B29" s="197" t="s">
        <v>31</v>
      </c>
      <c r="C29" s="12">
        <v>435000</v>
      </c>
      <c r="D29" s="186">
        <f>UBERSICHT!G16</f>
        <v>149362.6</v>
      </c>
      <c r="E29" s="183">
        <v>0.34336229885057473</v>
      </c>
      <c r="F29" s="14">
        <v>31000</v>
      </c>
      <c r="G29" s="178"/>
      <c r="H29" s="198" t="s">
        <v>31</v>
      </c>
      <c r="I29" s="15">
        <v>150</v>
      </c>
      <c r="J29" s="178"/>
      <c r="K29" s="198" t="s">
        <v>31</v>
      </c>
      <c r="L29" s="15">
        <v>8</v>
      </c>
      <c r="M29" s="187"/>
      <c r="N29" s="185"/>
      <c r="O29" s="185"/>
      <c r="P29" s="185"/>
      <c r="Q29" s="185"/>
      <c r="R29" s="185"/>
      <c r="S29" s="185"/>
      <c r="T29" s="185"/>
      <c r="U29" s="185"/>
    </row>
    <row r="30" spans="2:21" ht="22" customHeight="1">
      <c r="B30" s="197" t="s">
        <v>32</v>
      </c>
      <c r="C30" s="12">
        <v>450000</v>
      </c>
      <c r="D30" s="186">
        <f>UBERSICHT!G17</f>
        <v>147667.9333</v>
      </c>
      <c r="E30" s="183">
        <v>0.3281509628888889</v>
      </c>
      <c r="F30" s="14">
        <v>31000</v>
      </c>
      <c r="G30" s="178"/>
      <c r="H30" s="198" t="s">
        <v>32</v>
      </c>
      <c r="I30" s="15">
        <v>0</v>
      </c>
      <c r="J30" s="178"/>
      <c r="K30" s="198" t="s">
        <v>32</v>
      </c>
      <c r="L30" s="15">
        <v>9</v>
      </c>
      <c r="M30" s="178"/>
      <c r="N30" s="185"/>
      <c r="O30" s="185"/>
      <c r="P30" s="185"/>
      <c r="Q30" s="185"/>
      <c r="R30" s="185"/>
      <c r="S30" s="185"/>
      <c r="T30" s="185"/>
      <c r="U30" s="185"/>
    </row>
    <row r="31" spans="2:21" ht="22" customHeight="1">
      <c r="B31" s="197" t="s">
        <v>33</v>
      </c>
      <c r="C31" s="12">
        <v>401000</v>
      </c>
      <c r="D31" s="186">
        <f>UBERSICHT!G19</f>
        <v>144350.0839</v>
      </c>
      <c r="E31" s="183">
        <v>0.35997527157107229</v>
      </c>
      <c r="F31" s="14">
        <v>31000</v>
      </c>
      <c r="G31" s="178"/>
      <c r="H31" s="198" t="s">
        <v>33</v>
      </c>
      <c r="I31" s="15">
        <v>0</v>
      </c>
      <c r="J31" s="178"/>
      <c r="K31" s="198" t="s">
        <v>33</v>
      </c>
      <c r="L31" s="15">
        <v>10</v>
      </c>
      <c r="M31" s="178"/>
      <c r="N31" s="185"/>
      <c r="O31" s="185"/>
      <c r="P31" s="185"/>
      <c r="Q31" s="185"/>
      <c r="R31" s="185"/>
      <c r="S31" s="185"/>
      <c r="T31" s="185"/>
      <c r="U31" s="185"/>
    </row>
    <row r="32" spans="2:21" ht="22" customHeight="1">
      <c r="B32" s="197" t="s">
        <v>34</v>
      </c>
      <c r="C32" s="12">
        <v>398000</v>
      </c>
      <c r="D32" s="186">
        <f>UBERSICHT!G20</f>
        <v>140816.6</v>
      </c>
      <c r="E32" s="183">
        <v>0.35381055276381912</v>
      </c>
      <c r="F32" s="14">
        <v>31000</v>
      </c>
      <c r="G32" s="178"/>
      <c r="H32" s="198" t="s">
        <v>34</v>
      </c>
      <c r="I32" s="15">
        <v>150</v>
      </c>
      <c r="J32" s="178"/>
      <c r="K32" s="198" t="s">
        <v>34</v>
      </c>
      <c r="L32" s="15">
        <v>11</v>
      </c>
      <c r="M32" s="178"/>
      <c r="N32" s="185"/>
      <c r="O32" s="185"/>
      <c r="P32" s="185"/>
      <c r="Q32" s="185"/>
      <c r="R32" s="185"/>
      <c r="S32" s="185"/>
      <c r="T32" s="185"/>
      <c r="U32" s="185"/>
    </row>
    <row r="33" spans="2:21" ht="22" customHeight="1" thickBot="1">
      <c r="B33" s="197" t="s">
        <v>35</v>
      </c>
      <c r="C33" s="17">
        <v>390000</v>
      </c>
      <c r="D33" s="188">
        <f>UBERSICHT!G21</f>
        <v>141752.0839</v>
      </c>
      <c r="E33" s="184">
        <v>0.3634668817948718</v>
      </c>
      <c r="F33" s="19">
        <v>31000</v>
      </c>
      <c r="G33" s="178"/>
      <c r="H33" s="199" t="s">
        <v>35</v>
      </c>
      <c r="I33" s="20">
        <v>400</v>
      </c>
      <c r="J33" s="178"/>
      <c r="K33" s="199" t="s">
        <v>35</v>
      </c>
      <c r="L33" s="20">
        <v>12</v>
      </c>
      <c r="M33" s="178"/>
      <c r="N33" s="185"/>
      <c r="O33" s="185"/>
      <c r="P33" s="185"/>
      <c r="Q33" s="185"/>
      <c r="R33" s="185"/>
      <c r="S33" s="185"/>
      <c r="T33" s="185"/>
      <c r="U33" s="185"/>
    </row>
    <row r="34" spans="2:21" ht="15" thickBot="1">
      <c r="B34" s="178"/>
      <c r="C34" s="178"/>
      <c r="D34" s="178"/>
      <c r="E34" s="178"/>
      <c r="F34" s="178"/>
      <c r="G34" s="178"/>
      <c r="H34" s="178"/>
      <c r="I34" s="178"/>
      <c r="J34" s="178"/>
      <c r="K34" s="178"/>
      <c r="L34" s="178"/>
      <c r="M34" s="178"/>
      <c r="N34" s="185"/>
      <c r="O34" s="185"/>
      <c r="P34" s="185"/>
      <c r="Q34" s="185"/>
      <c r="R34" s="185"/>
      <c r="S34" s="185"/>
      <c r="T34" s="185"/>
      <c r="U34" s="185"/>
    </row>
    <row r="35" spans="2:21" ht="24" customHeight="1" thickBot="1">
      <c r="B35" s="200" t="s">
        <v>314</v>
      </c>
      <c r="C35" s="16">
        <v>2026</v>
      </c>
      <c r="D35" s="189"/>
      <c r="E35" s="189"/>
      <c r="F35" s="178"/>
      <c r="G35" s="178"/>
      <c r="H35" s="178"/>
      <c r="I35" s="178"/>
      <c r="J35" s="178"/>
      <c r="K35" s="178"/>
      <c r="L35" s="178"/>
      <c r="M35" s="178"/>
      <c r="N35" s="185"/>
      <c r="O35" s="185"/>
      <c r="P35" s="185"/>
      <c r="Q35" s="185"/>
      <c r="R35" s="185"/>
      <c r="S35" s="185"/>
      <c r="T35" s="185"/>
      <c r="U35" s="185"/>
    </row>
    <row r="36" spans="2:21">
      <c r="B36" s="189"/>
      <c r="C36" s="189"/>
      <c r="D36" s="189"/>
      <c r="E36" s="178"/>
      <c r="F36" s="178"/>
      <c r="G36" s="178"/>
      <c r="H36" s="178"/>
      <c r="I36" s="178"/>
      <c r="J36" s="178"/>
      <c r="K36" s="178"/>
      <c r="L36" s="178"/>
      <c r="M36" s="178"/>
      <c r="N36" s="185"/>
      <c r="O36" s="185"/>
      <c r="P36" s="185"/>
      <c r="Q36" s="185"/>
      <c r="R36" s="185"/>
      <c r="S36" s="185"/>
      <c r="T36" s="185"/>
      <c r="U36" s="185"/>
    </row>
    <row r="37" spans="2:21" ht="18" hidden="1" customHeight="1">
      <c r="B37" s="190" t="s">
        <v>183</v>
      </c>
      <c r="C37" s="191" t="s">
        <v>187</v>
      </c>
      <c r="D37" s="178"/>
      <c r="E37" s="178"/>
      <c r="F37" s="178"/>
      <c r="G37" s="178"/>
      <c r="H37" s="178"/>
      <c r="I37" s="178"/>
      <c r="J37" s="178"/>
      <c r="K37" s="178"/>
      <c r="L37" s="178"/>
      <c r="M37" s="178"/>
      <c r="N37" s="185"/>
      <c r="O37" s="185"/>
      <c r="P37" s="185"/>
      <c r="Q37" s="185"/>
      <c r="R37" s="185"/>
      <c r="S37" s="185"/>
      <c r="T37" s="185"/>
      <c r="U37" s="185"/>
    </row>
    <row r="38" spans="2:21" ht="22" hidden="1" customHeight="1">
      <c r="B38" s="192" t="s">
        <v>188</v>
      </c>
      <c r="C38" s="193">
        <v>0</v>
      </c>
      <c r="D38" s="178"/>
      <c r="E38" s="178"/>
      <c r="F38" s="178"/>
      <c r="G38" s="178"/>
      <c r="H38" s="178"/>
      <c r="I38" s="178"/>
      <c r="J38" s="178"/>
      <c r="K38" s="178"/>
      <c r="L38" s="178"/>
      <c r="M38" s="178"/>
      <c r="N38" s="185"/>
      <c r="O38" s="185"/>
      <c r="P38" s="185"/>
      <c r="Q38" s="185"/>
      <c r="R38" s="185"/>
      <c r="S38" s="185"/>
      <c r="T38" s="185"/>
      <c r="U38" s="185"/>
    </row>
    <row r="39" spans="2:21" ht="22" hidden="1" customHeight="1">
      <c r="B39" s="192" t="s">
        <v>189</v>
      </c>
      <c r="C39" s="193">
        <v>0</v>
      </c>
      <c r="D39" s="178"/>
      <c r="E39" s="178"/>
      <c r="F39" s="178"/>
      <c r="G39" s="178"/>
      <c r="H39" s="178"/>
      <c r="I39" s="178"/>
      <c r="J39" s="178"/>
      <c r="K39" s="178"/>
      <c r="L39" s="178"/>
      <c r="M39" s="178"/>
      <c r="N39" s="185"/>
      <c r="O39" s="185"/>
      <c r="P39" s="185"/>
      <c r="Q39" s="185"/>
      <c r="R39" s="185"/>
      <c r="S39" s="185"/>
      <c r="T39" s="185"/>
      <c r="U39" s="185"/>
    </row>
    <row r="40" spans="2:21" ht="22" hidden="1" customHeight="1">
      <c r="B40" s="192" t="s">
        <v>185</v>
      </c>
      <c r="C40" s="193">
        <v>0</v>
      </c>
      <c r="D40" s="178"/>
      <c r="E40" s="178"/>
      <c r="F40" s="178"/>
      <c r="G40" s="178"/>
      <c r="H40" s="178"/>
      <c r="I40" s="178"/>
      <c r="J40" s="178"/>
      <c r="K40" s="178"/>
      <c r="L40" s="178"/>
      <c r="M40" s="178"/>
      <c r="N40" s="185"/>
      <c r="O40" s="185"/>
      <c r="P40" s="185"/>
      <c r="Q40" s="185"/>
      <c r="R40" s="185"/>
      <c r="S40" s="185"/>
      <c r="T40" s="185"/>
      <c r="U40" s="185"/>
    </row>
    <row r="41" spans="2:21" ht="22" hidden="1" customHeight="1">
      <c r="B41" s="192" t="s">
        <v>190</v>
      </c>
      <c r="C41" s="193">
        <v>0</v>
      </c>
      <c r="D41" s="178"/>
      <c r="E41" s="178"/>
      <c r="F41" s="178"/>
      <c r="G41" s="178"/>
      <c r="H41" s="178"/>
      <c r="I41" s="178"/>
      <c r="J41" s="178"/>
      <c r="K41" s="178"/>
      <c r="L41" s="178"/>
      <c r="M41" s="178"/>
      <c r="N41" s="185"/>
      <c r="O41" s="185"/>
      <c r="P41" s="185"/>
      <c r="Q41" s="185"/>
      <c r="R41" s="185"/>
      <c r="S41" s="185"/>
      <c r="T41" s="185"/>
      <c r="U41" s="185"/>
    </row>
    <row r="42" spans="2:21" ht="22" hidden="1" customHeight="1">
      <c r="B42" s="192" t="s">
        <v>191</v>
      </c>
      <c r="C42" s="193">
        <v>0.35</v>
      </c>
      <c r="D42" s="178"/>
      <c r="E42" s="178"/>
      <c r="F42" s="178"/>
      <c r="G42" s="178"/>
      <c r="H42" s="178"/>
      <c r="I42" s="178"/>
      <c r="J42" s="178"/>
      <c r="K42" s="178"/>
      <c r="L42" s="178"/>
      <c r="M42" s="178"/>
      <c r="N42" s="185"/>
      <c r="O42" s="185"/>
      <c r="P42" s="185"/>
      <c r="Q42" s="185"/>
      <c r="R42" s="185"/>
      <c r="S42" s="185"/>
      <c r="T42" s="185"/>
      <c r="U42" s="185"/>
    </row>
    <row r="43" spans="2:21" ht="22" hidden="1" customHeight="1">
      <c r="B43" s="192" t="s">
        <v>192</v>
      </c>
      <c r="C43" s="193">
        <v>0.35</v>
      </c>
      <c r="D43" s="178"/>
      <c r="E43" s="178"/>
      <c r="F43" s="178"/>
      <c r="G43" s="178"/>
      <c r="H43" s="178"/>
      <c r="I43" s="178"/>
      <c r="J43" s="178"/>
      <c r="K43" s="178"/>
      <c r="L43" s="178"/>
      <c r="M43" s="178"/>
      <c r="N43" s="178"/>
      <c r="O43" s="178"/>
      <c r="P43" s="178"/>
      <c r="Q43" s="178"/>
      <c r="R43" s="178"/>
      <c r="S43" s="178"/>
      <c r="T43" s="178"/>
      <c r="U43" s="178"/>
    </row>
    <row r="44" spans="2:21" ht="22" hidden="1" customHeight="1">
      <c r="B44" s="192" t="s">
        <v>186</v>
      </c>
      <c r="C44" s="193">
        <v>0.5</v>
      </c>
      <c r="D44" s="178"/>
      <c r="E44" s="178"/>
      <c r="F44" s="178"/>
      <c r="G44" s="178"/>
      <c r="H44" s="178"/>
      <c r="I44" s="178"/>
      <c r="J44" s="178"/>
      <c r="K44" s="178"/>
      <c r="L44" s="178"/>
      <c r="M44" s="178"/>
      <c r="N44" s="178"/>
      <c r="O44" s="178"/>
      <c r="P44" s="178"/>
      <c r="Q44" s="178"/>
      <c r="R44" s="178"/>
      <c r="S44" s="178"/>
      <c r="T44" s="178"/>
      <c r="U44" s="178"/>
    </row>
    <row r="45" spans="2:21" ht="22" hidden="1" customHeight="1">
      <c r="B45" s="192" t="s">
        <v>193</v>
      </c>
      <c r="C45" s="193">
        <v>0.6</v>
      </c>
      <c r="D45" s="178"/>
      <c r="E45" s="178"/>
      <c r="F45" s="178"/>
      <c r="G45" s="178"/>
      <c r="H45" s="178"/>
      <c r="I45" s="178"/>
      <c r="J45" s="178"/>
      <c r="K45" s="178"/>
      <c r="L45" s="178"/>
      <c r="M45" s="178"/>
      <c r="N45" s="178"/>
      <c r="O45" s="178"/>
      <c r="P45" s="178"/>
      <c r="Q45" s="178"/>
      <c r="R45" s="178"/>
      <c r="S45" s="178"/>
      <c r="T45" s="178"/>
      <c r="U45" s="178"/>
    </row>
    <row r="46" spans="2:21" ht="22" hidden="1" customHeight="1">
      <c r="B46" s="192" t="s">
        <v>184</v>
      </c>
      <c r="C46" s="193">
        <v>0.75</v>
      </c>
      <c r="D46" s="178"/>
      <c r="E46" s="178"/>
      <c r="F46" s="178"/>
      <c r="G46" s="178"/>
      <c r="H46" s="178"/>
      <c r="I46" s="178"/>
      <c r="J46" s="178"/>
      <c r="K46" s="178"/>
      <c r="L46" s="178"/>
      <c r="M46" s="178"/>
      <c r="N46" s="178"/>
      <c r="O46" s="178"/>
      <c r="P46" s="178"/>
      <c r="Q46" s="178"/>
      <c r="R46" s="178"/>
      <c r="S46" s="178"/>
      <c r="T46" s="178"/>
      <c r="U46" s="178"/>
    </row>
    <row r="47" spans="2:21" ht="22" hidden="1" customHeight="1">
      <c r="B47" s="192" t="s">
        <v>194</v>
      </c>
      <c r="C47" s="193">
        <v>1</v>
      </c>
      <c r="D47" s="178"/>
      <c r="E47" s="178"/>
      <c r="F47" s="178"/>
      <c r="G47" s="178"/>
      <c r="H47" s="178"/>
      <c r="I47" s="178"/>
      <c r="J47" s="178"/>
      <c r="K47" s="178"/>
      <c r="L47" s="178"/>
      <c r="M47" s="178"/>
      <c r="N47" s="178"/>
      <c r="O47" s="178"/>
      <c r="P47" s="178"/>
      <c r="Q47" s="178"/>
      <c r="R47" s="178"/>
      <c r="S47" s="178"/>
      <c r="T47" s="178"/>
      <c r="U47" s="178"/>
    </row>
    <row r="48" spans="2:21" ht="22" hidden="1" customHeight="1">
      <c r="B48" s="192" t="s">
        <v>195</v>
      </c>
      <c r="C48" s="193">
        <v>1.1000000000000001</v>
      </c>
      <c r="D48" s="178"/>
      <c r="E48" s="178"/>
      <c r="F48" s="178"/>
      <c r="G48" s="178"/>
      <c r="H48" s="178"/>
      <c r="I48" s="178"/>
      <c r="J48" s="178"/>
      <c r="K48" s="178"/>
      <c r="L48" s="178"/>
      <c r="M48" s="178"/>
      <c r="N48" s="178"/>
      <c r="O48" s="178"/>
      <c r="P48" s="178"/>
      <c r="Q48" s="178"/>
      <c r="R48" s="178"/>
      <c r="S48" s="178"/>
      <c r="T48" s="178"/>
      <c r="U48" s="178"/>
    </row>
    <row r="49" spans="2:21" ht="22" hidden="1" customHeight="1" thickBot="1">
      <c r="B49" s="194" t="s">
        <v>196</v>
      </c>
      <c r="C49" s="195">
        <v>0.7</v>
      </c>
      <c r="D49" s="178"/>
      <c r="E49" s="178"/>
      <c r="F49" s="178"/>
      <c r="G49" s="178"/>
      <c r="H49" s="178"/>
      <c r="I49" s="178"/>
      <c r="J49" s="178"/>
      <c r="K49" s="178"/>
      <c r="L49" s="178"/>
      <c r="M49" s="178"/>
      <c r="N49" s="178"/>
      <c r="O49" s="178"/>
      <c r="P49" s="178"/>
      <c r="Q49" s="178"/>
      <c r="R49" s="178"/>
      <c r="S49" s="178"/>
      <c r="T49" s="178"/>
      <c r="U49" s="178"/>
    </row>
    <row r="50" spans="2:21" ht="15.5" hidden="1">
      <c r="B50" s="196"/>
      <c r="C50" s="196"/>
      <c r="D50" s="178"/>
      <c r="E50" s="178"/>
      <c r="F50" s="178"/>
      <c r="G50" s="178"/>
      <c r="H50" s="178"/>
      <c r="I50" s="178"/>
      <c r="J50" s="178"/>
      <c r="K50" s="178"/>
      <c r="L50" s="178"/>
      <c r="M50" s="178"/>
      <c r="N50" s="178"/>
      <c r="O50" s="178"/>
      <c r="P50" s="178"/>
      <c r="Q50" s="178"/>
      <c r="R50" s="178"/>
      <c r="S50" s="178"/>
      <c r="T50" s="178"/>
      <c r="U50" s="178"/>
    </row>
    <row r="51" spans="2:21" ht="15.5" hidden="1">
      <c r="B51" s="196"/>
      <c r="C51" s="196"/>
      <c r="D51" s="178"/>
      <c r="E51" s="178"/>
      <c r="F51" s="178"/>
      <c r="G51" s="178"/>
      <c r="H51" s="178"/>
      <c r="I51" s="178"/>
      <c r="J51" s="178"/>
      <c r="K51" s="178"/>
      <c r="L51" s="178"/>
      <c r="M51" s="178"/>
      <c r="N51" s="178"/>
      <c r="O51" s="178"/>
      <c r="P51" s="178"/>
      <c r="Q51" s="178"/>
      <c r="R51" s="178"/>
      <c r="S51" s="178"/>
      <c r="T51" s="178"/>
      <c r="U51" s="178"/>
    </row>
    <row r="52" spans="2:21" ht="18" hidden="1" customHeight="1">
      <c r="B52" s="190" t="s">
        <v>197</v>
      </c>
      <c r="C52" s="191" t="s">
        <v>198</v>
      </c>
      <c r="D52" s="178"/>
      <c r="E52" s="178"/>
      <c r="F52" s="178"/>
      <c r="G52" s="178"/>
      <c r="H52" s="178"/>
      <c r="I52" s="178"/>
      <c r="J52" s="178"/>
      <c r="K52" s="178"/>
      <c r="L52" s="178"/>
      <c r="M52" s="178"/>
      <c r="N52" s="178"/>
      <c r="O52" s="178"/>
      <c r="P52" s="178"/>
      <c r="Q52" s="178"/>
      <c r="R52" s="178"/>
      <c r="S52" s="178"/>
      <c r="T52" s="178"/>
      <c r="U52" s="178"/>
    </row>
    <row r="53" spans="2:21" ht="22" hidden="1" customHeight="1">
      <c r="B53" s="192" t="s">
        <v>199</v>
      </c>
      <c r="C53" s="193">
        <v>0.3</v>
      </c>
      <c r="D53" s="178"/>
      <c r="E53" s="178"/>
      <c r="F53" s="178"/>
      <c r="G53" s="178"/>
      <c r="H53" s="178"/>
      <c r="I53" s="178"/>
      <c r="J53" s="178"/>
      <c r="K53" s="178"/>
      <c r="L53" s="178"/>
      <c r="M53" s="178"/>
      <c r="N53" s="178"/>
      <c r="O53" s="178"/>
      <c r="P53" s="178"/>
      <c r="Q53" s="178"/>
      <c r="R53" s="178"/>
      <c r="S53" s="178"/>
      <c r="T53" s="178"/>
      <c r="U53" s="178"/>
    </row>
    <row r="54" spans="2:21" ht="22" hidden="1" customHeight="1">
      <c r="B54" s="192" t="s">
        <v>200</v>
      </c>
      <c r="C54" s="193">
        <v>0.5</v>
      </c>
      <c r="D54" s="178"/>
      <c r="E54" s="178"/>
      <c r="F54" s="178"/>
      <c r="G54" s="178"/>
      <c r="H54" s="178"/>
      <c r="I54" s="178"/>
      <c r="J54" s="178"/>
      <c r="K54" s="178"/>
      <c r="L54" s="178"/>
      <c r="M54" s="178"/>
      <c r="N54" s="178"/>
      <c r="O54" s="178"/>
      <c r="P54" s="178"/>
      <c r="Q54" s="178"/>
      <c r="R54" s="178"/>
      <c r="S54" s="178"/>
      <c r="T54" s="178"/>
      <c r="U54" s="178"/>
    </row>
    <row r="55" spans="2:21" ht="22" hidden="1" customHeight="1">
      <c r="B55" s="192" t="s">
        <v>201</v>
      </c>
      <c r="C55" s="193">
        <v>0.75</v>
      </c>
      <c r="D55" s="178"/>
      <c r="E55" s="178"/>
      <c r="F55" s="178"/>
      <c r="G55" s="178"/>
      <c r="H55" s="178"/>
      <c r="I55" s="178"/>
      <c r="J55" s="178"/>
      <c r="K55" s="178"/>
      <c r="L55" s="178"/>
      <c r="M55" s="178"/>
      <c r="N55" s="178"/>
      <c r="O55" s="178"/>
      <c r="P55" s="178"/>
      <c r="Q55" s="178"/>
      <c r="R55" s="178"/>
      <c r="S55" s="178"/>
      <c r="T55" s="178"/>
      <c r="U55" s="178"/>
    </row>
    <row r="56" spans="2:21" ht="22" hidden="1" customHeight="1">
      <c r="B56" s="192" t="s">
        <v>202</v>
      </c>
      <c r="C56" s="193">
        <v>1</v>
      </c>
      <c r="D56" s="178"/>
      <c r="E56" s="178"/>
      <c r="F56" s="178"/>
      <c r="G56" s="178"/>
      <c r="H56" s="178"/>
      <c r="I56" s="178"/>
      <c r="J56" s="178"/>
      <c r="K56" s="178"/>
      <c r="L56" s="178"/>
      <c r="M56" s="178"/>
      <c r="N56" s="178"/>
      <c r="O56" s="178"/>
      <c r="P56" s="178"/>
      <c r="Q56" s="178"/>
      <c r="R56" s="178"/>
      <c r="S56" s="178"/>
      <c r="T56" s="178"/>
      <c r="U56" s="178"/>
    </row>
    <row r="57" spans="2:21" ht="22" hidden="1" customHeight="1">
      <c r="B57" s="192" t="s">
        <v>203</v>
      </c>
      <c r="C57" s="193">
        <v>1.25</v>
      </c>
      <c r="D57" s="178"/>
      <c r="E57" s="178"/>
      <c r="F57" s="178"/>
      <c r="G57" s="178"/>
      <c r="H57" s="178"/>
      <c r="I57" s="178"/>
      <c r="J57" s="178"/>
      <c r="K57" s="178"/>
      <c r="L57" s="178"/>
      <c r="M57" s="178"/>
      <c r="N57" s="178"/>
      <c r="O57" s="178"/>
      <c r="P57" s="178"/>
      <c r="Q57" s="178"/>
      <c r="R57" s="178"/>
      <c r="S57" s="178"/>
      <c r="T57" s="178"/>
      <c r="U57" s="178"/>
    </row>
    <row r="58" spans="2:21" ht="22" hidden="1" customHeight="1">
      <c r="B58" s="192" t="s">
        <v>204</v>
      </c>
      <c r="C58" s="193">
        <v>1.5</v>
      </c>
      <c r="D58" s="178"/>
      <c r="E58" s="178"/>
      <c r="F58" s="178"/>
      <c r="G58" s="178"/>
      <c r="H58" s="178"/>
      <c r="I58" s="178"/>
      <c r="J58" s="178"/>
      <c r="K58" s="178"/>
      <c r="L58" s="178"/>
      <c r="M58" s="178"/>
      <c r="N58" s="178"/>
      <c r="O58" s="178"/>
      <c r="P58" s="178"/>
      <c r="Q58" s="178"/>
      <c r="R58" s="178"/>
      <c r="S58" s="178"/>
      <c r="T58" s="178"/>
      <c r="U58" s="178"/>
    </row>
    <row r="59" spans="2:21" ht="22" hidden="1" customHeight="1" thickBot="1">
      <c r="B59" s="194" t="s">
        <v>205</v>
      </c>
      <c r="C59" s="195">
        <v>2</v>
      </c>
      <c r="D59" s="178"/>
      <c r="E59" s="178"/>
      <c r="F59" s="178"/>
      <c r="G59" s="178"/>
      <c r="H59" s="178"/>
      <c r="I59" s="178"/>
      <c r="J59" s="178"/>
      <c r="K59" s="178"/>
      <c r="L59" s="178"/>
      <c r="M59" s="178"/>
      <c r="N59" s="178"/>
      <c r="O59" s="178"/>
      <c r="P59" s="178"/>
      <c r="Q59" s="178"/>
      <c r="R59" s="178"/>
      <c r="S59" s="178"/>
      <c r="T59" s="178"/>
      <c r="U59" s="178"/>
    </row>
    <row r="100" spans="26:26">
      <c r="Z100" s="138"/>
    </row>
  </sheetData>
  <sheetProtection algorithmName="SHA-512" hashValue="6hrVIec9mK9vvctSXNRhj6aQLlNtevvGwVbigJHH7Csrsd0Wv6rraI1Qw8WPRxyR4V7ArBWE2AM7M3uQbL6Otw==" saltValue="2DEAfOAa9A06uSR44wtFT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68">
        <v>1</v>
      </c>
      <c r="B1" s="357"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46023</v>
      </c>
    </row>
    <row r="2" spans="1:28" ht="18" customHeight="1" thickBot="1">
      <c r="A2" s="368"/>
      <c r="B2" s="358"/>
      <c r="C2" s="365"/>
      <c r="D2" s="365"/>
      <c r="E2" s="365"/>
      <c r="F2" s="365"/>
      <c r="G2" s="365"/>
      <c r="H2" s="365"/>
      <c r="I2" s="365"/>
      <c r="J2" s="365"/>
      <c r="K2" s="365"/>
      <c r="L2" s="365"/>
      <c r="M2" s="365"/>
      <c r="N2" s="369"/>
      <c r="O2" s="140"/>
      <c r="P2" s="140"/>
      <c r="Q2" s="140"/>
      <c r="S2" s="284" t="s">
        <v>393</v>
      </c>
      <c r="T2" s="284"/>
      <c r="U2" s="284"/>
      <c r="V2" s="284"/>
      <c r="AB2" s="139">
        <f>EOMONTH(DATE(EINSTELLUNG!$C$35,$A$1,1),0)</f>
        <v>46053</v>
      </c>
    </row>
    <row r="3" spans="1:28" ht="22" customHeight="1">
      <c r="A3" s="171">
        <v>1</v>
      </c>
      <c r="B3" s="33">
        <v>400002</v>
      </c>
      <c r="C3" s="34" t="s">
        <v>396</v>
      </c>
      <c r="D3" s="35">
        <v>33359</v>
      </c>
      <c r="E3" s="36" t="s">
        <v>2</v>
      </c>
      <c r="F3" s="37">
        <v>171</v>
      </c>
      <c r="G3" s="142" t="str">
        <f>IF(OR(E3="",F3=""),"",PID_KVLohnLookup($A$1,E3,F3,LOHNTABELLE!$H$4))</f>
        <v>Nicht gefunden</v>
      </c>
      <c r="H3" s="143">
        <f>IF(AND(ISNUMBER(D3),ISNUMBER(F3)),ROUNDDOWN(MIN(IF(OR(ISBLANK(I3),I3=""),EOMONTH(DATE(EINSTELLUNG!$C$35,$A$1,1),0),I3)-MAX(D3,DATE(EINSTELLUNG!$C$35,$A$1,1))+1)/DAY(EOMONTH(DATE(EINSTELLUNG!$C$35,$A$1,1),0))*F3,2),"")</f>
        <v>82.74</v>
      </c>
      <c r="I3" s="38">
        <v>46037</v>
      </c>
      <c r="J3" s="39">
        <v>2</v>
      </c>
      <c r="K3" s="142">
        <f t="shared" ref="K3:K34" si="0">IF(OR(B3="",C3=""),"",IFERROR(IF(OR(MONTH(D3)=1,MONTH(D3)=3,MONTH(D3)=5,MONTH(D3)=7,MONTH(D3)=8,MONTH(D3)=10,MONTH(D3)=12),(G3/31)*J3,IF(OR(MONTH(D3)=4,MONTH(D3)=6,MONTH(D3)=9,MONTH(D3)=11),(G3/30)*J3,(G3/DAY(EOMONTH(D3,0)))*J3)),0))</f>
        <v>0</v>
      </c>
      <c r="L3" s="144"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40"/>
      <c r="N3" s="70" t="s">
        <v>194</v>
      </c>
      <c r="O3" s="307" t="s">
        <v>47</v>
      </c>
      <c r="P3" s="307" t="s">
        <v>48</v>
      </c>
      <c r="Q3" s="307" t="s">
        <v>49</v>
      </c>
      <c r="R3" s="343" t="s">
        <v>50</v>
      </c>
      <c r="S3" s="145"/>
      <c r="T3" s="145"/>
      <c r="U3" s="145"/>
      <c r="V3" s="145"/>
      <c r="AB3" s="146"/>
    </row>
    <row r="4" spans="1:28" ht="22" customHeight="1">
      <c r="A4" s="171">
        <v>2</v>
      </c>
      <c r="B4" s="41">
        <v>401010</v>
      </c>
      <c r="C4" s="42" t="s">
        <v>224</v>
      </c>
      <c r="D4" s="43">
        <v>39388</v>
      </c>
      <c r="E4" s="44" t="s">
        <v>2</v>
      </c>
      <c r="F4" s="45">
        <v>144</v>
      </c>
      <c r="G4" s="148" t="str">
        <f>IF(OR(E4="",F4=""),"",PID_KVLohnLookup($A$1,E4,F4,LOHNTABELLE!$H$4))</f>
        <v>Nicht gefunden</v>
      </c>
      <c r="H4" s="149">
        <f>IF(AND(ISNUMBER(D4),ISNUMBER(F4)),ROUNDDOWN(MIN(IF(OR(ISBLANK(I4),I4=""),EOMONTH(DATE(EINSTELLUNG!$C$35,$A$1,1),0),I4)-MAX(D4,DATE(EINSTELLUNG!$C$35,$A$1,1))+1)/DAY(EOMONTH(DATE(EINSTELLUNG!$C$35,$A$1,1),0))*F4,2),"")</f>
        <v>144</v>
      </c>
      <c r="I4" s="46"/>
      <c r="J4" s="47"/>
      <c r="K4" s="148">
        <f t="shared" si="0"/>
        <v>0</v>
      </c>
      <c r="L4" s="150"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48"/>
      <c r="N4" s="71"/>
      <c r="O4" s="308"/>
      <c r="P4" s="308"/>
      <c r="Q4" s="308"/>
      <c r="R4" s="344"/>
      <c r="S4" s="145"/>
      <c r="T4" s="145"/>
      <c r="U4" s="145"/>
      <c r="V4" s="145"/>
    </row>
    <row r="5" spans="1:28" ht="22" customHeight="1">
      <c r="A5" s="171">
        <v>3</v>
      </c>
      <c r="B5" s="49">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725.95088438176754</v>
      </c>
      <c r="P5" s="152">
        <f>EINSTELLUNG!I6</f>
        <v>600</v>
      </c>
      <c r="Q5" s="152">
        <f>P5-O5</f>
        <v>-125.95088438176754</v>
      </c>
      <c r="R5" s="153">
        <f>IFERROR(Q5*Q42, 0)</f>
        <v>-1462.8743518917433</v>
      </c>
      <c r="S5" s="145"/>
      <c r="T5" s="145"/>
      <c r="U5" s="145"/>
      <c r="V5" s="145"/>
    </row>
    <row r="6" spans="1:28" ht="22" customHeight="1">
      <c r="A6" s="171">
        <v>4</v>
      </c>
      <c r="B6" s="41">
        <v>401047</v>
      </c>
      <c r="C6" s="42" t="s">
        <v>226</v>
      </c>
      <c r="D6" s="43">
        <v>41154</v>
      </c>
      <c r="E6" s="44" t="s">
        <v>4</v>
      </c>
      <c r="F6" s="45">
        <v>173</v>
      </c>
      <c r="G6" s="148">
        <f>IF(OR(E6="",F6=""),"",PID_KVLohnLookup($A$1,E6,F6,LOHNTABELLE!$H$4))</f>
        <v>2123</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71">
        <v>5</v>
      </c>
      <c r="B7" s="49">
        <v>401051</v>
      </c>
      <c r="C7" s="50" t="s">
        <v>227</v>
      </c>
      <c r="D7" s="51">
        <v>41176</v>
      </c>
      <c r="E7" s="52" t="s">
        <v>2</v>
      </c>
      <c r="F7" s="53">
        <v>173</v>
      </c>
      <c r="G7" s="148">
        <f>IF(OR(E7="",F7=""),"",PID_KVLohnLookup($A$1,E7,F7,LOHNTABELLE!$H$4))</f>
        <v>2021</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6"/>
      <c r="N7" s="72"/>
      <c r="O7" s="145"/>
      <c r="P7" s="145"/>
      <c r="Q7" s="145"/>
      <c r="R7" s="145"/>
      <c r="S7" s="145"/>
      <c r="T7" s="145"/>
      <c r="U7" s="145"/>
      <c r="V7" s="145"/>
    </row>
    <row r="8" spans="1:28" ht="22" customHeight="1">
      <c r="A8" s="171">
        <v>6</v>
      </c>
      <c r="B8" s="41">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3"/>
      <c r="O8" s="321" t="s">
        <v>56</v>
      </c>
      <c r="P8" s="322"/>
      <c r="Q8" s="323">
        <f>SUM(H3:H82)</f>
        <v>7313.03</v>
      </c>
      <c r="R8" s="324"/>
      <c r="S8" s="145"/>
      <c r="T8" s="145"/>
      <c r="U8" s="145"/>
      <c r="V8" s="145"/>
    </row>
    <row r="9" spans="1:28" ht="22" customHeight="1">
      <c r="A9" s="171">
        <v>7</v>
      </c>
      <c r="B9" s="49">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4"/>
      <c r="O9" s="325" t="s">
        <v>58</v>
      </c>
      <c r="P9" s="326"/>
      <c r="Q9" s="340">
        <f>EINSTELLUNG!L22</f>
        <v>1</v>
      </c>
      <c r="R9" s="341"/>
      <c r="S9" s="154">
        <f>IFERROR(Q9/Q8, 0)</f>
        <v>1.3674222586260415E-4</v>
      </c>
      <c r="T9" s="145"/>
      <c r="U9" s="145"/>
      <c r="V9" s="145"/>
    </row>
    <row r="10" spans="1:28" ht="22" customHeight="1">
      <c r="A10" s="171">
        <v>8</v>
      </c>
      <c r="B10" s="41">
        <v>401276</v>
      </c>
      <c r="C10" s="42" t="s">
        <v>404</v>
      </c>
      <c r="D10" s="43">
        <v>38899</v>
      </c>
      <c r="E10" s="44" t="s">
        <v>2</v>
      </c>
      <c r="F10" s="45">
        <v>55</v>
      </c>
      <c r="G10" s="148">
        <f>IF(OR(E10="",F10=""),"",PID_KVLohnLookup($A$1,E10,F10,LOHNTABELLE!$H$4))</f>
        <v>666</v>
      </c>
      <c r="H10" s="149">
        <f>IF(AND(ISNUMBER(D10),ISNUMBER(F10)),ROUNDDOWN(MIN(IF(OR(ISBLANK(I10),I10=""),EOMONTH(DATE(EINSTELLUNG!$C$35,$A$1,1),0),I10)-MAX(D10,DATE(EINSTELLUNG!$C$35,$A$1,1))+1)/DAY(EOMONTH(DATE(EINSTELLUNG!$C$35,$A$1,1),0))*F10,2),"")</f>
        <v>55</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8"/>
      <c r="N10" s="73"/>
      <c r="O10" s="325" t="s">
        <v>60</v>
      </c>
      <c r="P10" s="326"/>
      <c r="Q10" s="340">
        <f>EINSTELLUNG!I22</f>
        <v>150</v>
      </c>
      <c r="R10" s="341"/>
      <c r="S10" s="145"/>
      <c r="T10" s="145"/>
      <c r="U10" s="145"/>
      <c r="V10" s="145"/>
    </row>
    <row r="11" spans="1:28" ht="22" customHeight="1">
      <c r="A11" s="171">
        <v>9</v>
      </c>
      <c r="B11" s="49">
        <v>401307</v>
      </c>
      <c r="C11" s="50" t="s">
        <v>231</v>
      </c>
      <c r="D11" s="51">
        <v>43571</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4"/>
      <c r="O11" s="325" t="s">
        <v>62</v>
      </c>
      <c r="P11" s="326"/>
      <c r="Q11" s="340">
        <f>P5</f>
        <v>600</v>
      </c>
      <c r="R11" s="341"/>
      <c r="S11" s="145"/>
      <c r="T11" s="145"/>
      <c r="U11" s="145"/>
      <c r="V11" s="145"/>
    </row>
    <row r="12" spans="1:28" ht="22" customHeight="1">
      <c r="A12" s="171">
        <v>10</v>
      </c>
      <c r="B12" s="41">
        <v>401308</v>
      </c>
      <c r="C12" s="42" t="s">
        <v>232</v>
      </c>
      <c r="D12" s="43">
        <v>43579</v>
      </c>
      <c r="E12" s="44" t="s">
        <v>3</v>
      </c>
      <c r="F12" s="45">
        <v>173</v>
      </c>
      <c r="G12" s="148">
        <f>IF(OR(E12="",F12=""),"",PID_KVLohnLookup($A$1,E12,F12,LOHNTABELLE!$H$4))</f>
        <v>2082</v>
      </c>
      <c r="H12" s="149">
        <f>IF(AND(ISNUMBER(D12),ISNUMBER(F12)),ROUNDDOWN(MIN(IF(OR(ISBLANK(I12),I12=""),EOMONTH(DATE(EINSTELLUNG!$C$35,$A$1,1),0),I12)-MAX(D12,DATE(EINSTELLUNG!$C$35,$A$1,1))+1)/DAY(EOMONTH(DATE(EINSTELLUNG!$C$35,$A$1,1),0))*F12,2),"")</f>
        <v>173</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8"/>
      <c r="N12" s="73"/>
      <c r="O12" s="325" t="s">
        <v>64</v>
      </c>
      <c r="P12" s="326"/>
      <c r="Q12" s="329">
        <v>300</v>
      </c>
      <c r="R12" s="330"/>
      <c r="S12" s="145"/>
      <c r="T12" s="145"/>
      <c r="U12" s="145"/>
      <c r="V12" s="145"/>
    </row>
    <row r="13" spans="1:28" ht="22" customHeight="1">
      <c r="A13" s="171">
        <v>11</v>
      </c>
      <c r="B13" s="49">
        <v>401394</v>
      </c>
      <c r="C13" s="50" t="s">
        <v>233</v>
      </c>
      <c r="D13" s="51">
        <v>44379</v>
      </c>
      <c r="E13" s="52" t="s">
        <v>2</v>
      </c>
      <c r="F13" s="53">
        <v>173</v>
      </c>
      <c r="G13" s="148">
        <f>IF(OR(E13="",F13=""),"",PID_KVLohnLookup($A$1,E13,F13,LOHNTABELLE!$H$4))</f>
        <v>2021</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6"/>
      <c r="N13" s="74"/>
      <c r="O13" s="325" t="s">
        <v>66</v>
      </c>
      <c r="P13" s="326"/>
      <c r="Q13" s="340">
        <f>Q8-Q9-Q10-Q11-Q12</f>
        <v>6262.03</v>
      </c>
      <c r="R13" s="341"/>
      <c r="S13" s="145"/>
      <c r="T13" s="145"/>
      <c r="U13" s="145"/>
      <c r="V13" s="145"/>
    </row>
    <row r="14" spans="1:28" ht="22" customHeight="1">
      <c r="A14" s="171">
        <v>12</v>
      </c>
      <c r="B14" s="41">
        <v>401389</v>
      </c>
      <c r="C14" s="42" t="s">
        <v>234</v>
      </c>
      <c r="D14" s="43">
        <v>44384</v>
      </c>
      <c r="E14" s="44" t="s">
        <v>4</v>
      </c>
      <c r="F14" s="45">
        <v>151.38</v>
      </c>
      <c r="G14" s="148">
        <f>IF(OR(E14="",F14=""),"",PID_KVLohnLookup($A$1,E14,F14,LOHNTABELLE!$H$4))</f>
        <v>1857.63</v>
      </c>
      <c r="H14" s="149">
        <f>IF(AND(ISNUMBER(D14),ISNUMBER(F14)),ROUNDDOWN(MIN(IF(OR(ISBLANK(I14),I14=""),EOMONTH(DATE(EINSTELLUNG!$C$35,$A$1,1),0),I14)-MAX(D14,DATE(EINSTELLUNG!$C$35,$A$1,1))+1)/DAY(EOMONTH(DATE(EINSTELLUNG!$C$35,$A$1,1),0))*F14,2),"")</f>
        <v>151.38</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8"/>
      <c r="N14" s="73"/>
      <c r="O14" s="325" t="s">
        <v>68</v>
      </c>
      <c r="P14" s="326"/>
      <c r="Q14" s="340">
        <f>EINSTELLUNG!L6</f>
        <v>9300</v>
      </c>
      <c r="R14" s="341"/>
      <c r="S14" s="145"/>
      <c r="T14" s="145"/>
      <c r="U14" s="145"/>
      <c r="V14" s="145"/>
    </row>
    <row r="15" spans="1:28" ht="22" customHeight="1" thickBot="1">
      <c r="A15" s="171">
        <v>13</v>
      </c>
      <c r="B15" s="49">
        <v>401432</v>
      </c>
      <c r="C15" s="50" t="s">
        <v>235</v>
      </c>
      <c r="D15" s="51">
        <v>44441</v>
      </c>
      <c r="E15" s="52" t="s">
        <v>2</v>
      </c>
      <c r="F15" s="53">
        <v>173</v>
      </c>
      <c r="G15" s="148">
        <f>IF(OR(E15="",F15=""),"",PID_KVLohnLookup($A$1,E15,F15,LOHNTABELLE!$H$4))</f>
        <v>2021</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6"/>
      <c r="N15" s="74"/>
      <c r="O15" s="311" t="s">
        <v>70</v>
      </c>
      <c r="P15" s="312"/>
      <c r="Q15" s="313">
        <f>Q13-Q14</f>
        <v>-3037.9700000000003</v>
      </c>
      <c r="R15" s="314"/>
      <c r="S15" s="156"/>
      <c r="T15" s="156"/>
      <c r="U15" s="156"/>
      <c r="V15" s="145"/>
    </row>
    <row r="16" spans="1:28" ht="22" customHeight="1" thickBot="1">
      <c r="A16" s="171">
        <v>14</v>
      </c>
      <c r="B16" s="41">
        <v>401558</v>
      </c>
      <c r="C16" s="42" t="s">
        <v>236</v>
      </c>
      <c r="D16" s="43">
        <v>44460</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3"/>
      <c r="O16" s="315"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71">
        <v>15</v>
      </c>
      <c r="B17" s="49">
        <v>401476</v>
      </c>
      <c r="C17" s="50" t="s">
        <v>237</v>
      </c>
      <c r="D17" s="51">
        <v>44504</v>
      </c>
      <c r="E17" s="52" t="s">
        <v>2</v>
      </c>
      <c r="F17" s="53">
        <v>173</v>
      </c>
      <c r="G17" s="148">
        <f>IF(OR(E17="",F17=""),"",PID_KVLohnLookup($A$1,E17,F17,LOHNTABELLE!$H$4))</f>
        <v>2021</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6"/>
      <c r="N17" s="74"/>
      <c r="O17" s="321" t="s">
        <v>73</v>
      </c>
      <c r="P17" s="322"/>
      <c r="Q17" s="331">
        <f>SUM(L3:L82)</f>
        <v>84938.220752688168</v>
      </c>
      <c r="R17" s="332"/>
      <c r="S17" s="145"/>
      <c r="T17" s="145"/>
      <c r="U17" s="145"/>
      <c r="V17" s="145"/>
      <c r="W17" s="158"/>
    </row>
    <row r="18" spans="1:29" ht="22" customHeight="1">
      <c r="A18" s="171">
        <v>16</v>
      </c>
      <c r="B18" s="41">
        <v>401479</v>
      </c>
      <c r="C18" s="42" t="s">
        <v>238</v>
      </c>
      <c r="D18" s="43">
        <v>44511</v>
      </c>
      <c r="E18" s="44" t="s">
        <v>6</v>
      </c>
      <c r="F18" s="45">
        <v>173</v>
      </c>
      <c r="G18" s="148">
        <f>IF(OR(E18="",F18=""),"",PID_KVLohnLookup($A$1,E18,F18,LOHNTABELLE!$H$4))</f>
        <v>2160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8"/>
      <c r="N18" s="73"/>
      <c r="O18" s="319" t="s">
        <v>384</v>
      </c>
      <c r="P18" s="320"/>
      <c r="Q18" s="309">
        <v>20</v>
      </c>
      <c r="R18" s="310"/>
      <c r="S18" s="145"/>
      <c r="T18" s="145"/>
      <c r="U18" s="145"/>
      <c r="V18" s="145"/>
    </row>
    <row r="19" spans="1:29" ht="22" customHeight="1">
      <c r="A19" s="171">
        <v>17</v>
      </c>
      <c r="B19" s="49">
        <v>401481</v>
      </c>
      <c r="C19" s="50" t="s">
        <v>239</v>
      </c>
      <c r="D19" s="51">
        <v>44531</v>
      </c>
      <c r="E19" s="52" t="s">
        <v>3</v>
      </c>
      <c r="F19" s="53">
        <v>173</v>
      </c>
      <c r="G19" s="148">
        <f>IF(OR(E19="",F19=""),"",PID_KVLohnLookup($A$1,E19,F19,LOHNTABELLE!$H$4))</f>
        <v>2082</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6"/>
      <c r="N19" s="74"/>
      <c r="O19" s="319" t="s">
        <v>295</v>
      </c>
      <c r="P19" s="320"/>
      <c r="Q19" s="309">
        <v>333</v>
      </c>
      <c r="R19" s="310"/>
      <c r="S19" s="145"/>
      <c r="T19" s="145"/>
      <c r="U19" s="145"/>
      <c r="V19" s="145"/>
    </row>
    <row r="20" spans="1:29" ht="22" customHeight="1">
      <c r="A20" s="171">
        <v>18</v>
      </c>
      <c r="B20" s="41">
        <v>401564</v>
      </c>
      <c r="C20" s="42" t="s">
        <v>240</v>
      </c>
      <c r="D20" s="43">
        <v>44824</v>
      </c>
      <c r="E20" s="44" t="s">
        <v>2</v>
      </c>
      <c r="F20" s="45">
        <v>151.38</v>
      </c>
      <c r="G20" s="148">
        <f>IF(OR(E20="",F20=""),"",PID_KVLohnLookup($A$1,E20,F20,LOHNTABELLE!$H$4))</f>
        <v>1768.38</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8"/>
      <c r="N20" s="73"/>
      <c r="O20" s="319" t="s">
        <v>295</v>
      </c>
      <c r="P20" s="320"/>
      <c r="Q20" s="309">
        <v>35</v>
      </c>
      <c r="R20" s="310"/>
      <c r="S20" s="145"/>
      <c r="T20" s="145"/>
      <c r="U20" s="145"/>
      <c r="V20" s="145"/>
    </row>
    <row r="21" spans="1:29" ht="22" customHeight="1">
      <c r="A21" s="171">
        <v>19</v>
      </c>
      <c r="B21" s="49">
        <v>401089</v>
      </c>
      <c r="C21" s="50" t="s">
        <v>241</v>
      </c>
      <c r="D21" s="51">
        <v>44868</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4"/>
      <c r="O21" s="319" t="s">
        <v>295</v>
      </c>
      <c r="P21" s="320"/>
      <c r="Q21" s="309">
        <v>100</v>
      </c>
      <c r="R21" s="310"/>
      <c r="S21" s="145"/>
      <c r="T21" s="145"/>
      <c r="U21" s="145"/>
      <c r="V21" s="145"/>
    </row>
    <row r="22" spans="1:29" ht="22" customHeight="1">
      <c r="A22" s="171">
        <v>20</v>
      </c>
      <c r="B22" s="41">
        <v>401583</v>
      </c>
      <c r="C22" s="42" t="s">
        <v>242</v>
      </c>
      <c r="D22" s="43">
        <v>44900</v>
      </c>
      <c r="E22" s="44" t="s">
        <v>13</v>
      </c>
      <c r="F22" s="45">
        <v>173</v>
      </c>
      <c r="G22" s="148">
        <f>IF(OR(E22="",F22=""),"",PID_KVLohnLookup($A$1,E22,F22,LOHNTABELLE!$H$4))</f>
        <v>2328</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8"/>
      <c r="N22" s="73"/>
      <c r="O22" s="319" t="s">
        <v>295</v>
      </c>
      <c r="P22" s="320"/>
      <c r="Q22" s="309"/>
      <c r="R22" s="310"/>
      <c r="S22" s="145"/>
      <c r="T22" s="145"/>
      <c r="U22" s="145"/>
      <c r="V22" s="145"/>
    </row>
    <row r="23" spans="1:29" ht="22" customHeight="1">
      <c r="A23" s="171">
        <v>21</v>
      </c>
      <c r="B23" s="49">
        <v>401589</v>
      </c>
      <c r="C23" s="50" t="s">
        <v>243</v>
      </c>
      <c r="D23" s="51">
        <v>44926</v>
      </c>
      <c r="E23" s="52" t="s">
        <v>10</v>
      </c>
      <c r="F23" s="53">
        <v>173</v>
      </c>
      <c r="G23" s="148">
        <f>IF(OR(E23="",F23=""),"",PID_KVLohnLookup($A$1,E23,F23,LOHNTABELLE!$H$4))</f>
        <v>2300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6"/>
      <c r="N23" s="74"/>
      <c r="O23" s="319" t="s">
        <v>295</v>
      </c>
      <c r="P23" s="320"/>
      <c r="Q23" s="309">
        <v>5000</v>
      </c>
      <c r="R23" s="310"/>
      <c r="S23" s="145"/>
      <c r="T23" s="145"/>
      <c r="U23" s="145"/>
      <c r="V23" s="145"/>
      <c r="W23" s="158"/>
    </row>
    <row r="24" spans="1:29" ht="22" customHeight="1">
      <c r="A24" s="171">
        <v>22</v>
      </c>
      <c r="B24" s="41">
        <v>401602</v>
      </c>
      <c r="C24" s="42" t="s">
        <v>244</v>
      </c>
      <c r="D24" s="43">
        <v>45975</v>
      </c>
      <c r="E24" s="44" t="s">
        <v>2</v>
      </c>
      <c r="F24" s="45">
        <v>169</v>
      </c>
      <c r="G24" s="148">
        <f>IF(OR(E24="",F24=""),"",PID_KVLohnLookup($A$1,E24,F24,LOHNTABELLE!$H$4))</f>
        <v>2000</v>
      </c>
      <c r="H24" s="149">
        <f>IF(AND(ISNUMBER(D24),ISNUMBER(F24)),ROUNDDOWN(MIN(IF(OR(ISBLANK(I24),I24=""),EOMONTH(DATE(EINSTELLUNG!$C$35,$A$1,1),0),I24)-MAX(D24,DATE(EINSTELLUNG!$C$35,$A$1,1))+1)/DAY(EOMONTH(DATE(EINSTELLUNG!$C$35,$A$1,1),0))*F24,2),"")</f>
        <v>169</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8"/>
      <c r="N24" s="73"/>
      <c r="O24" s="319"/>
      <c r="P24" s="320"/>
      <c r="Q24" s="309"/>
      <c r="R24" s="310"/>
      <c r="S24" s="145"/>
      <c r="T24" s="145"/>
      <c r="U24" s="145"/>
      <c r="V24" s="145"/>
      <c r="W24" s="158"/>
    </row>
    <row r="25" spans="1:29" ht="22" customHeight="1">
      <c r="A25" s="171">
        <v>23</v>
      </c>
      <c r="B25" s="49">
        <v>401406</v>
      </c>
      <c r="C25" s="50" t="s">
        <v>405</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4"/>
      <c r="O25" s="319"/>
      <c r="P25" s="320"/>
      <c r="Q25" s="309"/>
      <c r="R25" s="310"/>
      <c r="S25" s="145"/>
      <c r="T25" s="145"/>
      <c r="U25" s="145"/>
      <c r="V25" s="145"/>
    </row>
    <row r="26" spans="1:29" ht="22" customHeight="1">
      <c r="A26" s="171">
        <v>24</v>
      </c>
      <c r="B26" s="41">
        <v>401626</v>
      </c>
      <c r="C26" s="42" t="s">
        <v>246</v>
      </c>
      <c r="D26" s="43">
        <v>45063</v>
      </c>
      <c r="E26" s="44" t="s">
        <v>2</v>
      </c>
      <c r="F26" s="45">
        <v>173</v>
      </c>
      <c r="G26" s="148">
        <f>IF(OR(E26="",F26=""),"",PID_KVLohnLookup($A$1,E26,F26,LOHNTABELLE!$H$4))</f>
        <v>2021</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8"/>
      <c r="N26" s="73"/>
      <c r="O26" s="319"/>
      <c r="P26" s="320"/>
      <c r="Q26" s="309"/>
      <c r="R26" s="310"/>
      <c r="S26" s="145"/>
      <c r="T26" s="145"/>
      <c r="U26" s="145"/>
      <c r="V26" s="145"/>
    </row>
    <row r="27" spans="1:29" ht="22" customHeight="1">
      <c r="A27" s="171">
        <v>25</v>
      </c>
      <c r="B27" s="49">
        <v>401633</v>
      </c>
      <c r="C27" s="50" t="s">
        <v>247</v>
      </c>
      <c r="D27" s="51">
        <v>45089</v>
      </c>
      <c r="E27" s="52" t="s">
        <v>10</v>
      </c>
      <c r="F27" s="53">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4"/>
      <c r="O27" s="319"/>
      <c r="P27" s="320"/>
      <c r="Q27" s="309"/>
      <c r="R27" s="310"/>
      <c r="S27" s="318" t="s">
        <v>84</v>
      </c>
      <c r="T27" s="318"/>
      <c r="U27" s="318"/>
      <c r="V27" s="318"/>
    </row>
    <row r="28" spans="1:29" ht="22" customHeight="1">
      <c r="A28" s="171">
        <v>26</v>
      </c>
      <c r="B28" s="41">
        <v>401647</v>
      </c>
      <c r="C28" s="42" t="s">
        <v>248</v>
      </c>
      <c r="D28" s="43">
        <v>45182</v>
      </c>
      <c r="E28" s="44" t="s">
        <v>2</v>
      </c>
      <c r="F28" s="45">
        <v>173</v>
      </c>
      <c r="G28" s="148">
        <f>IF(OR(E28="",F28=""),"",PID_KVLohnLookup($A$1,E28,F28,LOHNTABELLE!$H$4))</f>
        <v>2021</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8"/>
      <c r="N28" s="73"/>
      <c r="O28" s="319"/>
      <c r="P28" s="320"/>
      <c r="Q28" s="309"/>
      <c r="R28" s="310"/>
      <c r="S28" s="145"/>
      <c r="T28" s="145"/>
      <c r="U28" s="145"/>
      <c r="V28" s="145"/>
    </row>
    <row r="29" spans="1:29" ht="22" customHeight="1" thickBot="1">
      <c r="A29" s="171">
        <v>27</v>
      </c>
      <c r="B29" s="49">
        <v>401661</v>
      </c>
      <c r="C29" s="50" t="s">
        <v>249</v>
      </c>
      <c r="D29" s="51">
        <v>45261</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4"/>
      <c r="O29" s="311" t="s">
        <v>87</v>
      </c>
      <c r="P29" s="312"/>
      <c r="Q29" s="366">
        <f>EINSTELLUNG!O6</f>
        <v>1250</v>
      </c>
      <c r="R29" s="367"/>
      <c r="S29" s="145"/>
      <c r="T29" s="145"/>
      <c r="U29" s="145"/>
      <c r="V29" s="145"/>
    </row>
    <row r="30" spans="1:29" ht="22" customHeight="1" thickBot="1">
      <c r="A30" s="171">
        <v>28</v>
      </c>
      <c r="B30" s="41">
        <v>401670</v>
      </c>
      <c r="C30" s="42" t="s">
        <v>250</v>
      </c>
      <c r="D30" s="43">
        <v>45358</v>
      </c>
      <c r="E30" s="44" t="s">
        <v>2</v>
      </c>
      <c r="F30" s="45">
        <v>173</v>
      </c>
      <c r="G30" s="148">
        <f>IF(OR(E30="",F30=""),"",PID_KVLohnLookup($A$1,E30,F30,LOHNTABELLE!$H$4))</f>
        <v>2021</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8"/>
      <c r="N30" s="71"/>
      <c r="O30" s="145"/>
      <c r="P30" s="145"/>
      <c r="Q30" s="145"/>
      <c r="R30" s="145"/>
      <c r="S30" s="145"/>
      <c r="T30" s="145"/>
      <c r="U30" s="145"/>
      <c r="V30" s="145"/>
      <c r="W30" s="159"/>
      <c r="X30" s="159"/>
      <c r="Y30" s="159"/>
      <c r="Z30" s="159"/>
      <c r="AA30" s="159"/>
      <c r="AB30" s="159"/>
      <c r="AC30" s="159"/>
    </row>
    <row r="31" spans="1:29" ht="22" customHeight="1" thickBot="1">
      <c r="A31" s="171">
        <v>29</v>
      </c>
      <c r="B31" s="49">
        <v>401678</v>
      </c>
      <c r="C31" s="50" t="s">
        <v>251</v>
      </c>
      <c r="D31" s="51">
        <v>45414</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4"/>
      <c r="O31" s="370">
        <v>0</v>
      </c>
      <c r="P31" s="371"/>
      <c r="Q31" s="355">
        <v>3.9215686274509803E-2</v>
      </c>
      <c r="R31" s="356"/>
      <c r="S31" s="145"/>
      <c r="T31" s="145"/>
      <c r="U31" s="145"/>
      <c r="V31" s="145"/>
    </row>
    <row r="32" spans="1:29" ht="22" customHeight="1" thickBot="1">
      <c r="A32" s="171">
        <v>30</v>
      </c>
      <c r="B32" s="41">
        <v>401691</v>
      </c>
      <c r="C32" s="42" t="s">
        <v>252</v>
      </c>
      <c r="D32" s="43">
        <v>45539</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139.51</v>
      </c>
      <c r="I32" s="46">
        <v>46047</v>
      </c>
      <c r="J32" s="47">
        <v>2</v>
      </c>
      <c r="K32" s="148">
        <f t="shared" si="0"/>
        <v>134.73333333333332</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8"/>
      <c r="N32" s="71" t="s">
        <v>186</v>
      </c>
      <c r="O32" s="145"/>
      <c r="P32" s="145"/>
      <c r="Q32" s="145"/>
      <c r="R32" s="145"/>
      <c r="S32" s="145"/>
      <c r="T32" s="145"/>
      <c r="U32" s="145"/>
      <c r="V32" s="145"/>
    </row>
    <row r="33" spans="1:22" ht="22" customHeight="1">
      <c r="A33" s="171">
        <v>31</v>
      </c>
      <c r="B33" s="49">
        <v>401690</v>
      </c>
      <c r="C33" s="50" t="s">
        <v>253</v>
      </c>
      <c r="D33" s="51">
        <v>45536</v>
      </c>
      <c r="E33" s="52" t="s">
        <v>2</v>
      </c>
      <c r="F33" s="53">
        <v>151.38</v>
      </c>
      <c r="G33" s="148">
        <f>IF(OR(E33="",F33=""),"",PID_KVLohnLookup($A$1,E33,F33,LOHNTABELLE!$H$4))</f>
        <v>1768.38</v>
      </c>
      <c r="H33" s="149">
        <f>IF(AND(ISNUMBER(D33),ISNUMBER(F33)),ROUNDDOWN(MIN(IF(OR(ISBLANK(I33),I33=""),EOMONTH(DATE(EINSTELLUNG!$C$35,$A$1,1),0),I33)-MAX(D33,DATE(EINSTELLUNG!$C$35,$A$1,1))+1)/DAY(EOMONTH(DATE(EINSTELLUNG!$C$35,$A$1,1),0))*F33,2),"")</f>
        <v>151.38</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6"/>
      <c r="N33" s="74"/>
      <c r="O33" s="361"/>
      <c r="P33" s="362"/>
      <c r="Q33" s="351" t="s">
        <v>93</v>
      </c>
      <c r="R33" s="351"/>
      <c r="S33" s="351" t="s">
        <v>94</v>
      </c>
      <c r="T33" s="351"/>
      <c r="U33" s="351" t="s">
        <v>95</v>
      </c>
      <c r="V33" s="353"/>
    </row>
    <row r="34" spans="1:22" ht="22" customHeight="1">
      <c r="A34" s="171">
        <v>32</v>
      </c>
      <c r="B34" s="41">
        <v>401703</v>
      </c>
      <c r="C34" s="42" t="s">
        <v>254</v>
      </c>
      <c r="D34" s="43">
        <v>45616</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3"/>
      <c r="O34" s="363"/>
      <c r="P34" s="364"/>
      <c r="Q34" s="352"/>
      <c r="R34" s="352"/>
      <c r="S34" s="352"/>
      <c r="T34" s="352"/>
      <c r="U34" s="352"/>
      <c r="V34" s="354"/>
    </row>
    <row r="35" spans="1:22" ht="22" customHeight="1">
      <c r="A35" s="171">
        <v>33</v>
      </c>
      <c r="B35" s="49">
        <v>401214</v>
      </c>
      <c r="C35" s="50" t="s">
        <v>255</v>
      </c>
      <c r="D35" s="51">
        <v>45636</v>
      </c>
      <c r="E35" s="52" t="s">
        <v>3</v>
      </c>
      <c r="F35" s="53">
        <v>173</v>
      </c>
      <c r="G35" s="148">
        <f>IF(OR(E35="",F35=""),"",PID_KVLohnLookup($A$1,E35,F35,LOHNTABELLE!$H$4))</f>
        <v>2082</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6"/>
      <c r="N35" s="74"/>
      <c r="O35" s="325" t="s">
        <v>98</v>
      </c>
      <c r="P35" s="326"/>
      <c r="Q35" s="327">
        <f>EINSTELLUNG!C6</f>
        <v>450000</v>
      </c>
      <c r="R35" s="327"/>
      <c r="S35" s="327">
        <f>EINSTELLUNG!C22</f>
        <v>450000</v>
      </c>
      <c r="T35" s="327"/>
      <c r="U35" s="327">
        <f>S35-Q35</f>
        <v>0</v>
      </c>
      <c r="V35" s="328"/>
    </row>
    <row r="36" spans="1:22" ht="22" customHeight="1">
      <c r="A36" s="171">
        <v>34</v>
      </c>
      <c r="B36" s="41">
        <v>401715</v>
      </c>
      <c r="C36" s="42" t="s">
        <v>256</v>
      </c>
      <c r="D36" s="43">
        <v>45755</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3"/>
      <c r="O36" s="325" t="s">
        <v>100</v>
      </c>
      <c r="P36" s="326"/>
      <c r="Q36" s="327">
        <f>EINSTELLUNG!D6</f>
        <v>100000</v>
      </c>
      <c r="R36" s="327"/>
      <c r="S36" s="327">
        <f ca="1">SumMergedCells(Q17:R29)</f>
        <v>91676.220799999996</v>
      </c>
      <c r="T36" s="327"/>
      <c r="U36" s="327">
        <f t="shared" ref="U36:U41" ca="1" si="2">S36-Q36</f>
        <v>-8323.7792000000045</v>
      </c>
      <c r="V36" s="328"/>
    </row>
    <row r="37" spans="1:22" ht="22" customHeight="1">
      <c r="A37" s="171">
        <v>35</v>
      </c>
      <c r="B37" s="49">
        <v>401716</v>
      </c>
      <c r="C37" s="50" t="s">
        <v>257</v>
      </c>
      <c r="D37" s="51">
        <v>45800</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4"/>
      <c r="O37" s="325" t="s">
        <v>102</v>
      </c>
      <c r="P37" s="326"/>
      <c r="Q37" s="349">
        <f>IF(ISERROR(Q36/Q35), 0, Q36/Q35)</f>
        <v>0.22222222222222221</v>
      </c>
      <c r="R37" s="349"/>
      <c r="S37" s="349">
        <f ca="1">IF(ISERROR(S36/S35), 0, S36/S35)</f>
        <v>0.20372493511111109</v>
      </c>
      <c r="T37" s="349"/>
      <c r="U37" s="349">
        <f t="shared" ca="1" si="2"/>
        <v>-1.8497287111111121E-2</v>
      </c>
      <c r="V37" s="350"/>
    </row>
    <row r="38" spans="1:22" ht="22" customHeight="1">
      <c r="A38" s="171">
        <v>36</v>
      </c>
      <c r="B38" s="41">
        <v>401717</v>
      </c>
      <c r="C38" s="42" t="s">
        <v>258</v>
      </c>
      <c r="D38" s="43">
        <v>45814</v>
      </c>
      <c r="E38" s="44" t="s">
        <v>2</v>
      </c>
      <c r="F38" s="45">
        <v>86.5</v>
      </c>
      <c r="G38" s="148">
        <f>IF(OR(E38="",F38=""),"",PID_KVLohnLookup($A$1,E38,F38,LOHNTABELLE!$H$4))</f>
        <v>1010.5</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8"/>
      <c r="N38" s="73"/>
      <c r="O38" s="325" t="s">
        <v>104</v>
      </c>
      <c r="P38" s="326"/>
      <c r="Q38" s="340">
        <f>EINSTELLUNG!F6</f>
        <v>30000</v>
      </c>
      <c r="R38" s="340"/>
      <c r="S38" s="340">
        <f>EINSTELLUNG!F22</f>
        <v>29000</v>
      </c>
      <c r="T38" s="340"/>
      <c r="U38" s="340">
        <f t="shared" si="2"/>
        <v>-1000</v>
      </c>
      <c r="V38" s="341"/>
    </row>
    <row r="39" spans="1:22" ht="22" customHeight="1">
      <c r="A39" s="171">
        <v>37</v>
      </c>
      <c r="B39" s="49">
        <v>401722</v>
      </c>
      <c r="C39" s="50" t="s">
        <v>259</v>
      </c>
      <c r="D39" s="51">
        <v>45848</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4"/>
      <c r="O39" s="325" t="s">
        <v>106</v>
      </c>
      <c r="P39" s="326"/>
      <c r="Q39" s="327">
        <f>IF(Q38=0, 0, Q35/Q38)</f>
        <v>15</v>
      </c>
      <c r="R39" s="327"/>
      <c r="S39" s="327">
        <f>IF(S38=0, 0, S35/S38)</f>
        <v>15.517241379310345</v>
      </c>
      <c r="T39" s="327"/>
      <c r="U39" s="327">
        <f t="shared" si="2"/>
        <v>0.5172413793103452</v>
      </c>
      <c r="V39" s="328"/>
    </row>
    <row r="40" spans="1:22" ht="22" customHeight="1">
      <c r="A40" s="171">
        <v>38</v>
      </c>
      <c r="B40" s="41">
        <v>401723</v>
      </c>
      <c r="C40" s="42" t="s">
        <v>260</v>
      </c>
      <c r="D40" s="43">
        <v>45852</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3"/>
      <c r="O40" s="325" t="s">
        <v>108</v>
      </c>
      <c r="P40" s="326"/>
      <c r="Q40" s="327">
        <f>IF(Q13=0, 0, Q35/Q13)</f>
        <v>71.8616806371097</v>
      </c>
      <c r="R40" s="327"/>
      <c r="S40" s="327">
        <f>IF(Q13=0, 0, S35/Q13)</f>
        <v>71.8616806371097</v>
      </c>
      <c r="T40" s="327"/>
      <c r="U40" s="327">
        <f t="shared" si="2"/>
        <v>0</v>
      </c>
      <c r="V40" s="328"/>
    </row>
    <row r="41" spans="1:22" ht="22" customHeight="1">
      <c r="A41" s="171">
        <v>39</v>
      </c>
      <c r="B41" s="49">
        <v>401726</v>
      </c>
      <c r="C41" s="50" t="s">
        <v>261</v>
      </c>
      <c r="D41" s="51">
        <v>45870</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4"/>
      <c r="O41" s="325" t="s">
        <v>110</v>
      </c>
      <c r="P41" s="326"/>
      <c r="Q41" s="340">
        <f>IF(Q13=0, 0, Q38/Q13)</f>
        <v>4.7907787091406462</v>
      </c>
      <c r="R41" s="340"/>
      <c r="S41" s="340">
        <f>IF(Q13=0, 0, S38/Q13)</f>
        <v>4.6310860855026243</v>
      </c>
      <c r="T41" s="340"/>
      <c r="U41" s="340">
        <f t="shared" si="2"/>
        <v>-0.15969262363802184</v>
      </c>
      <c r="V41" s="341"/>
    </row>
    <row r="42" spans="1:22" ht="22" customHeight="1">
      <c r="A42" s="171">
        <v>40</v>
      </c>
      <c r="B42" s="41">
        <v>401731</v>
      </c>
      <c r="C42" s="42" t="s">
        <v>262</v>
      </c>
      <c r="D42" s="43">
        <v>45899</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3"/>
      <c r="O42" s="333" t="s">
        <v>112</v>
      </c>
      <c r="P42" s="334"/>
      <c r="Q42" s="335">
        <f>IFERROR(Q17/Q8, 0)</f>
        <v>11.614641366531817</v>
      </c>
      <c r="R42" s="335"/>
      <c r="S42" s="335"/>
      <c r="T42" s="335"/>
      <c r="U42" s="335"/>
      <c r="V42" s="336"/>
    </row>
    <row r="43" spans="1:22" ht="22" customHeight="1">
      <c r="A43" s="171">
        <v>41</v>
      </c>
      <c r="B43" s="49">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4"/>
      <c r="O43" s="160"/>
      <c r="P43" s="160"/>
      <c r="Q43" s="160"/>
      <c r="R43" s="145"/>
      <c r="S43" s="145"/>
      <c r="T43" s="145"/>
      <c r="U43" s="145"/>
      <c r="V43" s="145"/>
    </row>
    <row r="44" spans="1:22" ht="22" customHeight="1">
      <c r="A44" s="171">
        <v>42</v>
      </c>
      <c r="B44" s="41">
        <v>401734</v>
      </c>
      <c r="C44" s="42" t="s">
        <v>264</v>
      </c>
      <c r="D44" s="43">
        <v>45904</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3"/>
      <c r="O44" s="346" t="s">
        <v>115</v>
      </c>
      <c r="P44" s="346"/>
      <c r="Q44" s="346"/>
      <c r="R44" s="346"/>
      <c r="S44" s="346"/>
      <c r="T44" s="346"/>
      <c r="U44" s="346"/>
      <c r="V44" s="346"/>
    </row>
    <row r="45" spans="1:22" ht="22" customHeight="1">
      <c r="A45" s="171">
        <v>43</v>
      </c>
      <c r="B45" s="49">
        <v>401736</v>
      </c>
      <c r="C45" s="50" t="s">
        <v>265</v>
      </c>
      <c r="D45" s="51">
        <v>45906</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4"/>
      <c r="O45" s="347"/>
      <c r="P45" s="347"/>
      <c r="Q45" s="347"/>
      <c r="R45" s="348"/>
      <c r="S45" s="348"/>
      <c r="T45" s="348"/>
      <c r="U45" s="348"/>
      <c r="V45" s="145"/>
    </row>
    <row r="46" spans="1:22" ht="22" customHeight="1">
      <c r="A46" s="171">
        <v>44</v>
      </c>
      <c r="B46" s="41">
        <v>401737</v>
      </c>
      <c r="C46" s="42" t="s">
        <v>266</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3"/>
      <c r="O46" s="145"/>
      <c r="P46" s="145"/>
      <c r="Q46" s="145"/>
      <c r="R46" s="145"/>
      <c r="S46" s="145"/>
      <c r="T46" s="145"/>
      <c r="U46" s="145"/>
      <c r="V46" s="145"/>
    </row>
    <row r="47" spans="1:22" ht="22" customHeight="1">
      <c r="A47" s="171">
        <v>45</v>
      </c>
      <c r="B47" s="49">
        <v>401738</v>
      </c>
      <c r="C47" s="50" t="s">
        <v>267</v>
      </c>
      <c r="D47" s="51">
        <v>45909</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4"/>
      <c r="O47" s="145"/>
      <c r="P47" s="145"/>
      <c r="Q47" s="145"/>
      <c r="R47" s="145"/>
      <c r="S47" s="145"/>
      <c r="T47" s="145"/>
      <c r="U47" s="145"/>
      <c r="V47" s="145"/>
    </row>
    <row r="48" spans="1:22" ht="22" customHeight="1">
      <c r="A48" s="171">
        <v>46</v>
      </c>
      <c r="B48" s="41">
        <v>401747</v>
      </c>
      <c r="C48" s="42" t="s">
        <v>268</v>
      </c>
      <c r="D48" s="46">
        <v>45941</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3"/>
      <c r="O48" s="145"/>
      <c r="P48" s="145"/>
      <c r="Q48" s="145"/>
      <c r="R48" s="145"/>
      <c r="S48" s="145"/>
      <c r="T48" s="145"/>
      <c r="U48" s="145"/>
      <c r="V48" s="145"/>
    </row>
    <row r="49" spans="1:22" ht="22" customHeight="1">
      <c r="A49" s="171">
        <v>47</v>
      </c>
      <c r="B49" s="49">
        <v>401748</v>
      </c>
      <c r="C49" s="50" t="s">
        <v>269</v>
      </c>
      <c r="D49" s="54">
        <v>45941</v>
      </c>
      <c r="E49" s="52" t="s">
        <v>2</v>
      </c>
      <c r="F49" s="53">
        <v>138.4</v>
      </c>
      <c r="G49" s="148">
        <f>IF(OR(E49="",F49=""),"",PID_KVLohnLookup($A$1,E49,F49,LOHNTABELLE!$H$4))</f>
        <v>1616.8</v>
      </c>
      <c r="H49" s="149">
        <f>IF(AND(ISNUMBER(D49),ISNUMBER(F49)),ROUNDDOWN(MIN(IF(OR(ISBLANK(I49),I49=""),EOMONTH(DATE(EINSTELLUNG!$C$35,$A$1,1),0),I49)-MAX(D49,DATE(EINSTELLUNG!$C$35,$A$1,1))+1)/DAY(EOMONTH(DATE(EINSTELLUNG!$C$35,$A$1,1),0))*F49,2),"")</f>
        <v>138.4</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6"/>
      <c r="N49" s="74"/>
      <c r="O49" s="145"/>
      <c r="P49" s="145"/>
      <c r="Q49" s="145"/>
      <c r="R49" s="145"/>
      <c r="S49" s="145"/>
      <c r="T49" s="145"/>
      <c r="U49" s="145"/>
      <c r="V49" s="145"/>
    </row>
    <row r="50" spans="1:22" ht="22" customHeight="1">
      <c r="A50" s="171">
        <v>48</v>
      </c>
      <c r="B50" s="41">
        <v>401746</v>
      </c>
      <c r="C50" s="57" t="s">
        <v>270</v>
      </c>
      <c r="D50" s="46">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3"/>
      <c r="O50" s="145"/>
      <c r="P50" s="145"/>
      <c r="Q50" s="145"/>
      <c r="R50" s="145"/>
      <c r="S50" s="145"/>
      <c r="T50" s="145"/>
      <c r="U50" s="145"/>
      <c r="V50" s="145"/>
    </row>
    <row r="51" spans="1:22" ht="22" customHeight="1">
      <c r="A51" s="171">
        <v>49</v>
      </c>
      <c r="B51" s="49">
        <v>401745</v>
      </c>
      <c r="C51" s="50" t="s">
        <v>271</v>
      </c>
      <c r="D51" s="54">
        <v>45934</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71">
        <v>50</v>
      </c>
      <c r="B52" s="41">
        <v>401751</v>
      </c>
      <c r="C52" s="42" t="s">
        <v>272</v>
      </c>
      <c r="D52" s="46">
        <v>45961</v>
      </c>
      <c r="E52" s="44" t="s">
        <v>2</v>
      </c>
      <c r="F52" s="45">
        <v>86.5</v>
      </c>
      <c r="G52" s="148">
        <f>IF(OR(E52="",F52=""),"",PID_KVLohnLookup($A$1,E52,F52,LOHNTABELLE!$H$4))</f>
        <v>1010.5</v>
      </c>
      <c r="H52" s="149">
        <f>IF(AND(ISNUMBER(D52),ISNUMBER(F52)),ROUNDDOWN(MIN(IF(OR(ISBLANK(I52),I52=""),EOMONTH(DATE(EINSTELLUNG!$C$35,$A$1,1),0),I52)-MAX(D52,DATE(EINSTELLUNG!$C$35,$A$1,1))+1)/DAY(EOMONTH(DATE(EINSTELLUNG!$C$35,$A$1,1),0))*F52,2),"")</f>
        <v>86.5</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8"/>
      <c r="N52" s="71"/>
    </row>
    <row r="53" spans="1:22" ht="22" customHeight="1">
      <c r="A53" s="171">
        <v>51</v>
      </c>
      <c r="B53" s="49">
        <v>401752</v>
      </c>
      <c r="C53" s="50" t="s">
        <v>273</v>
      </c>
      <c r="D53" s="54">
        <v>45986</v>
      </c>
      <c r="E53" s="52" t="s">
        <v>2</v>
      </c>
      <c r="F53" s="53">
        <v>173</v>
      </c>
      <c r="G53" s="148">
        <f>IF(OR(E53="",F53=""),"",PID_KVLohnLookup($A$1,E53,F53,LOHNTABELLE!$H$4))</f>
        <v>2021</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6"/>
      <c r="N53" s="72"/>
    </row>
    <row r="54" spans="1:22" ht="22" customHeight="1">
      <c r="A54" s="171">
        <v>52</v>
      </c>
      <c r="B54" s="41">
        <v>401754</v>
      </c>
      <c r="C54" s="42" t="s">
        <v>274</v>
      </c>
      <c r="D54" s="46">
        <v>46014</v>
      </c>
      <c r="E54" s="44" t="s">
        <v>2</v>
      </c>
      <c r="F54" s="45">
        <v>151.38</v>
      </c>
      <c r="G54" s="148">
        <f>IF(OR(E54="",F54=""),"",PID_KVLohnLookup($A$1,E54,F54,LOHNTABELLE!$H$4))</f>
        <v>1768.38</v>
      </c>
      <c r="H54" s="149">
        <f>IF(AND(ISNUMBER(D54),ISNUMBER(F54)),ROUNDDOWN(MIN(IF(OR(ISBLANK(I54),I54=""),EOMONTH(DATE(EINSTELLUNG!$C$35,$A$1,1),0),I54)-MAX(D54,DATE(EINSTELLUNG!$C$35,$A$1,1))+1)/DAY(EOMONTH(DATE(EINSTELLUNG!$C$35,$A$1,1),0))*F54,2),"")</f>
        <v>151.38</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8"/>
      <c r="N54" s="71"/>
    </row>
    <row r="55" spans="1:22" ht="22" customHeight="1">
      <c r="A55" s="171">
        <v>53</v>
      </c>
      <c r="B55" s="49">
        <v>401999</v>
      </c>
      <c r="C55" s="50" t="s">
        <v>357</v>
      </c>
      <c r="D55" s="54">
        <v>46041</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63.48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6"/>
      <c r="N55" s="72"/>
    </row>
    <row r="56" spans="1:22" ht="22" customHeight="1">
      <c r="A56" s="171">
        <v>54</v>
      </c>
      <c r="B56" s="41"/>
      <c r="C56" s="42"/>
      <c r="D56" s="46"/>
      <c r="E56" s="44"/>
      <c r="F56" s="45"/>
      <c r="G56" s="148" t="str">
        <f>IF(OR(E56="",F56=""),"",PID_KVLohnLookup($A$1,E56,F56,LOHNTABELLE!$H$4))</f>
        <v/>
      </c>
      <c r="H56" s="149" t="str">
        <f>IF(AND(ISNUMBER(D56),ISNUMBER(F56)),ROUNDDOWN(MIN(IF(OR(ISBLANK(I56),I56=""),EOMONTH(DATE(EINSTELLUNG!$C$35,$A$1,1),0),I56)-MAX(D56,DATE(EINSTELLUNG!$C$35,$A$1,1))+1)/DAY(EOMONTH(DATE(EINSTELLUNG!$C$35,$A$1,1),0))*F56,2),"")</f>
        <v/>
      </c>
      <c r="I56" s="46"/>
      <c r="J56" s="47"/>
      <c r="K56" s="148" t="str">
        <f t="shared" si="1"/>
        <v/>
      </c>
      <c r="L56" s="150"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8"/>
      <c r="N56" s="71"/>
    </row>
    <row r="57" spans="1:22" ht="22" customHeight="1">
      <c r="A57" s="171">
        <v>55</v>
      </c>
      <c r="B57" s="49"/>
      <c r="C57" s="50"/>
      <c r="D57" s="54"/>
      <c r="E57" s="52"/>
      <c r="F57" s="53"/>
      <c r="G57" s="148" t="str">
        <f>IF(OR(E57="",F57=""),"",PID_KVLohnLookup($A$1,E57,F57,LOHNTABELLE!$H$4))</f>
        <v/>
      </c>
      <c r="H57" s="149" t="str">
        <f>IF(AND(ISNUMBER(D57),ISNUMBER(F57)),ROUNDDOWN(MIN(IF(OR(ISBLANK(I57),I57=""),EOMONTH(DATE(EINSTELLUNG!$C$35,$A$1,1),0),I57)-MAX(D57,DATE(EINSTELLUNG!$C$35,$A$1,1))+1)/DAY(EOMONTH(DATE(EINSTELLUNG!$C$35,$A$1,1),0))*F57,2),"")</f>
        <v/>
      </c>
      <c r="I57" s="54"/>
      <c r="J57" s="55"/>
      <c r="K57" s="148" t="str">
        <f t="shared" si="1"/>
        <v/>
      </c>
      <c r="L57" s="150"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6"/>
      <c r="N57" s="72"/>
    </row>
    <row r="58" spans="1:22" ht="22" customHeight="1">
      <c r="A58" s="171">
        <v>56</v>
      </c>
      <c r="B58" s="41"/>
      <c r="C58" s="42"/>
      <c r="D58" s="46"/>
      <c r="E58" s="44"/>
      <c r="F58" s="45"/>
      <c r="G58" s="148" t="str">
        <f>IF(OR(E58="",F58=""),"",PID_KVLohnLookup($A$1,E58,F58,LOHNTABELLE!$H$4))</f>
        <v/>
      </c>
      <c r="H58" s="149" t="str">
        <f>IF(AND(ISNUMBER(D58),ISNUMBER(F58)),ROUNDDOWN(MIN(IF(OR(ISBLANK(I58),I58=""),EOMONTH(DATE(EINSTELLUNG!$C$35,$A$1,1),0),I58)-MAX(D58,DATE(EINSTELLUNG!$C$35,$A$1,1))+1)/DAY(EOMONTH(DATE(EINSTELLUNG!$C$35,$A$1,1),0))*F58,2),"")</f>
        <v/>
      </c>
      <c r="I58" s="46"/>
      <c r="J58" s="47"/>
      <c r="K58" s="148" t="str">
        <f t="shared" si="1"/>
        <v/>
      </c>
      <c r="L58" s="150"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8"/>
      <c r="N58" s="71"/>
    </row>
    <row r="59" spans="1:22" ht="22" customHeight="1">
      <c r="A59" s="171">
        <v>57</v>
      </c>
      <c r="B59" s="49"/>
      <c r="C59" s="50"/>
      <c r="D59" s="54"/>
      <c r="E59" s="52"/>
      <c r="F59" s="53"/>
      <c r="G59" s="148" t="str">
        <f>IF(OR(E59="",F59=""),"",PID_KVLohnLookup($A$1,E59,F59,LOHNTABELLE!$H$4))</f>
        <v/>
      </c>
      <c r="H59" s="149" t="str">
        <f>IF(AND(ISNUMBER(D59),ISNUMBER(F59)),ROUNDDOWN(MIN(IF(OR(ISBLANK(I59),I59=""),EOMONTH(DATE(EINSTELLUNG!$C$35,$A$1,1),0),I59)-MAX(D59,DATE(EINSTELLUNG!$C$35,$A$1,1))+1)/DAY(EOMONTH(DATE(EINSTELLUNG!$C$35,$A$1,1),0))*F59,2),"")</f>
        <v/>
      </c>
      <c r="I59" s="54"/>
      <c r="J59" s="55"/>
      <c r="K59" s="148" t="str">
        <f t="shared" si="1"/>
        <v/>
      </c>
      <c r="L59" s="150"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6"/>
      <c r="N59" s="72"/>
    </row>
    <row r="60" spans="1:22" ht="22" customHeight="1">
      <c r="A60" s="171">
        <v>58</v>
      </c>
      <c r="B60" s="41"/>
      <c r="C60" s="42"/>
      <c r="D60" s="46"/>
      <c r="E60" s="44"/>
      <c r="F60" s="45"/>
      <c r="G60" s="148" t="str">
        <f>IF(OR(E60="",F60=""),"",PID_KVLohnLookup($A$1,E60,F60,LOHNTABELLE!$H$4))</f>
        <v/>
      </c>
      <c r="H60" s="149" t="str">
        <f>IF(AND(ISNUMBER(D60),ISNUMBER(F60)),ROUNDDOWN(MIN(IF(OR(ISBLANK(I60),I60=""),EOMONTH(DATE(EINSTELLUNG!$C$35,$A$1,1),0),I60)-MAX(D60,DATE(EINSTELLUNG!$C$35,$A$1,1))+1)/DAY(EOMONTH(DATE(EINSTELLUNG!$C$35,$A$1,1),0))*F60,2),"")</f>
        <v/>
      </c>
      <c r="I60" s="46"/>
      <c r="J60" s="47"/>
      <c r="K60" s="148" t="str">
        <f t="shared" si="1"/>
        <v/>
      </c>
      <c r="L60" s="150"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8"/>
      <c r="N60" s="71"/>
    </row>
    <row r="61" spans="1:22" ht="22" customHeight="1">
      <c r="A61" s="171">
        <v>59</v>
      </c>
      <c r="B61" s="49"/>
      <c r="C61" s="50"/>
      <c r="D61" s="54"/>
      <c r="E61" s="52"/>
      <c r="F61" s="53"/>
      <c r="G61" s="148" t="str">
        <f>IF(OR(E61="",F61=""),"",PID_KVLohnLookup($A$1,E61,F61,LOHNTABELLE!$H$4))</f>
        <v/>
      </c>
      <c r="H61" s="149" t="str">
        <f>IF(AND(ISNUMBER(D61),ISNUMBER(F61)),ROUNDDOWN(MIN(IF(OR(ISBLANK(I61),I61=""),EOMONTH(DATE(EINSTELLUNG!$C$35,$A$1,1),0),I61)-MAX(D61,DATE(EINSTELLUNG!$C$35,$A$1,1))+1)/DAY(EOMONTH(DATE(EINSTELLUNG!$C$35,$A$1,1),0))*F61,2),"")</f>
        <v/>
      </c>
      <c r="I61" s="54"/>
      <c r="J61" s="55"/>
      <c r="K61" s="148" t="str">
        <f t="shared" si="1"/>
        <v/>
      </c>
      <c r="L61" s="15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6"/>
      <c r="N61" s="72"/>
    </row>
    <row r="62" spans="1:22" ht="22" customHeight="1">
      <c r="A62" s="171">
        <v>60</v>
      </c>
      <c r="B62" s="41"/>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71">
        <v>61</v>
      </c>
      <c r="B63" s="49"/>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71">
        <v>62</v>
      </c>
      <c r="B64" s="41"/>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71">
        <v>63</v>
      </c>
      <c r="B65" s="49"/>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71">
        <v>64</v>
      </c>
      <c r="B66" s="41"/>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71">
        <v>65</v>
      </c>
      <c r="B67" s="49"/>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71">
        <v>66</v>
      </c>
      <c r="B68" s="41"/>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71">
        <v>67</v>
      </c>
      <c r="B69" s="49"/>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71">
        <v>68</v>
      </c>
      <c r="B70" s="41"/>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71">
        <v>69</v>
      </c>
      <c r="B71" s="49"/>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71">
        <v>70</v>
      </c>
      <c r="B72" s="41"/>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71">
        <v>71</v>
      </c>
      <c r="B73" s="49"/>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71">
        <v>72</v>
      </c>
      <c r="B74" s="41"/>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71">
        <v>73</v>
      </c>
      <c r="B75" s="49"/>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71">
        <v>74</v>
      </c>
      <c r="B76" s="41"/>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71">
        <v>75</v>
      </c>
      <c r="B77" s="49"/>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71">
        <v>76</v>
      </c>
      <c r="B78" s="41"/>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71">
        <v>77</v>
      </c>
      <c r="B79" s="49"/>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71">
        <v>78</v>
      </c>
      <c r="B80" s="41"/>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71">
        <v>79</v>
      </c>
      <c r="B81" s="49"/>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71">
        <v>80</v>
      </c>
      <c r="B82" s="58"/>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row r="114" spans="11:14" ht="16" customHeight="1">
      <c r="K114" s="359"/>
      <c r="L114" s="359"/>
      <c r="M114" s="359"/>
      <c r="N114" s="172"/>
    </row>
    <row r="115" spans="11:14" ht="16" customHeight="1">
      <c r="K115" s="359"/>
      <c r="L115" s="359"/>
      <c r="M115" s="359"/>
      <c r="N115" s="172"/>
    </row>
    <row r="116" spans="11:14" ht="16" customHeight="1">
      <c r="K116" s="345"/>
      <c r="L116" s="345"/>
      <c r="M116" s="173"/>
      <c r="N116" s="173"/>
    </row>
    <row r="117" spans="11:14" ht="16" customHeight="1">
      <c r="K117" s="345"/>
      <c r="L117" s="345"/>
      <c r="M117" s="173"/>
      <c r="N117" s="173"/>
    </row>
    <row r="118" spans="11:14" ht="16" customHeight="1">
      <c r="K118" s="360"/>
      <c r="L118" s="360"/>
      <c r="M118" s="174"/>
      <c r="N118" s="174"/>
    </row>
    <row r="119" spans="11:14" ht="16" customHeight="1">
      <c r="K119" s="342"/>
      <c r="L119" s="342"/>
      <c r="M119" s="175"/>
      <c r="N119" s="175"/>
    </row>
    <row r="120" spans="11:14" ht="16" customHeight="1">
      <c r="K120" s="345"/>
      <c r="L120" s="345"/>
      <c r="M120" s="173"/>
      <c r="N120" s="173"/>
    </row>
    <row r="121" spans="11:14" ht="16" customHeight="1">
      <c r="K121" s="345"/>
      <c r="L121" s="345"/>
      <c r="M121" s="173"/>
      <c r="N121" s="173"/>
    </row>
    <row r="122" spans="11:14" ht="16" customHeight="1">
      <c r="K122" s="342"/>
      <c r="L122" s="342"/>
      <c r="M122" s="175"/>
      <c r="N122" s="175"/>
    </row>
    <row r="123" spans="11:14" ht="16" customHeight="1">
      <c r="K123" s="176"/>
      <c r="L123" s="176"/>
      <c r="M123" s="176"/>
      <c r="N123" s="176"/>
    </row>
  </sheetData>
  <sheetProtection algorithmName="SHA-512" hashValue="Eg7iiiQPp9LhX+fIS6BZXO+tYZ6H2O2Yxf43gcdJc4QTfIZ4Ar7agqkHO5tqnlATZ1qYuGsUnl4BXusBvT97Hg==" saltValue="89E0kmkhW1mPXFYUOSfFSg==" spinCount="100000" sheet="1" objects="1" scenarios="1" sort="0"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72">
        <v>2</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46054</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46081</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863.78512798528698</v>
      </c>
      <c r="P5" s="152">
        <f>EINSTELLUNG!I7</f>
        <v>600</v>
      </c>
      <c r="Q5" s="152">
        <f>P5-O5</f>
        <v>-263.78512798528698</v>
      </c>
      <c r="R5" s="153">
        <f>IFERROR(Q5*Q42, 0)</f>
        <v>-3153.426706728696</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321" t="s">
        <v>56</v>
      </c>
      <c r="P8" s="322"/>
      <c r="Q8" s="323">
        <f>SUM(H3:H82)</f>
        <v>8810.42</v>
      </c>
      <c r="R8" s="324"/>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EINSTELLUNG!L23</f>
        <v>2</v>
      </c>
      <c r="R9" s="341"/>
      <c r="S9" s="166">
        <f>IFERROR(Q9/Q8, 0)</f>
        <v>2.2700393397817584E-4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EINSTELLUNG!I23</f>
        <v>0</v>
      </c>
      <c r="R10" s="341"/>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325" t="s">
        <v>62</v>
      </c>
      <c r="P11" s="326"/>
      <c r="Q11" s="340">
        <f>P5</f>
        <v>600</v>
      </c>
      <c r="R11" s="341"/>
      <c r="S11" s="145"/>
      <c r="T11" s="145"/>
      <c r="U11" s="145"/>
      <c r="V11" s="145"/>
    </row>
    <row r="12" spans="1:28" ht="22" customHeight="1">
      <c r="A12" s="147" t="s">
        <v>63</v>
      </c>
      <c r="B12" s="97">
        <v>401276</v>
      </c>
      <c r="C12" s="42" t="s">
        <v>404</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66</v>
      </c>
      <c r="P12" s="326"/>
      <c r="Q12" s="388">
        <v>7976.6399999999994</v>
      </c>
      <c r="R12" s="389"/>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325" t="s">
        <v>68</v>
      </c>
      <c r="P13" s="326"/>
      <c r="Q13" s="340">
        <f>EINSTELLUNG!L7</f>
        <v>9300</v>
      </c>
      <c r="R13" s="341"/>
      <c r="S13" s="145"/>
      <c r="T13" s="145"/>
      <c r="U13" s="145"/>
      <c r="V13" s="145"/>
    </row>
    <row r="14" spans="1:28" ht="22" customHeight="1" thickBo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311" t="s">
        <v>70</v>
      </c>
      <c r="P14" s="312"/>
      <c r="Q14" s="313">
        <f>Q12-Q13</f>
        <v>-1323.3600000000006</v>
      </c>
      <c r="R14" s="314"/>
      <c r="S14" s="145"/>
      <c r="T14" s="145"/>
      <c r="U14" s="145"/>
      <c r="V14" s="145"/>
    </row>
    <row r="15" spans="1:28" ht="22" customHeigh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6"/>
      <c r="N15" s="72"/>
      <c r="O15" s="373" t="str">
        <f>IF(Q14&lt;0, "Schlecht! Zu wenig Stunden für Dienstplan.", IF(Q14&gt;0, "Du hast mehr als genug Stunden für Dienstplan.", ""))</f>
        <v>Schlecht! Zu wenig Stunden für Dienstplan.</v>
      </c>
      <c r="P15" s="374"/>
      <c r="Q15" s="374"/>
      <c r="R15" s="374"/>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84"/>
      <c r="P16" s="385"/>
      <c r="Q16" s="385"/>
      <c r="R16" s="386"/>
      <c r="S16" s="157"/>
      <c r="T16" s="157"/>
      <c r="U16" s="157"/>
      <c r="V16" s="157"/>
      <c r="W16" s="158"/>
    </row>
    <row r="17" spans="1:29" ht="22" customHeight="1">
      <c r="A17" s="147" t="s">
        <v>72</v>
      </c>
      <c r="B17" s="98">
        <v>401406</v>
      </c>
      <c r="C17" s="50" t="s">
        <v>405</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87" t="s">
        <v>73</v>
      </c>
      <c r="P17" s="322"/>
      <c r="Q17" s="331">
        <f>SUM(L3:L82)</f>
        <v>105324.41285714287</v>
      </c>
      <c r="R17" s="332"/>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79" t="s">
        <v>384</v>
      </c>
      <c r="P18" s="320"/>
      <c r="Q18" s="309">
        <v>20</v>
      </c>
      <c r="R18" s="310"/>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79" t="s">
        <v>295</v>
      </c>
      <c r="P19" s="320"/>
      <c r="Q19" s="309">
        <v>333</v>
      </c>
      <c r="R19" s="310"/>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79" t="s">
        <v>295</v>
      </c>
      <c r="P20" s="320"/>
      <c r="Q20" s="309">
        <v>35</v>
      </c>
      <c r="R20" s="310"/>
      <c r="S20" s="145"/>
      <c r="T20" s="145"/>
      <c r="U20" s="145"/>
      <c r="V20" s="145"/>
    </row>
    <row r="21" spans="1:29" ht="22" customHeight="1">
      <c r="A21" s="147" t="s">
        <v>77</v>
      </c>
      <c r="B21" s="98">
        <v>401481</v>
      </c>
      <c r="C21" s="50" t="s">
        <v>239</v>
      </c>
      <c r="D21" s="54">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79" t="s">
        <v>295</v>
      </c>
      <c r="P21" s="320"/>
      <c r="Q21" s="309">
        <v>100</v>
      </c>
      <c r="R21" s="310"/>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79" t="s">
        <v>295</v>
      </c>
      <c r="P22" s="320"/>
      <c r="Q22" s="309"/>
      <c r="R22" s="310"/>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79" t="s">
        <v>295</v>
      </c>
      <c r="P23" s="320"/>
      <c r="Q23" s="309">
        <v>5000</v>
      </c>
      <c r="R23" s="310"/>
      <c r="S23" s="145"/>
      <c r="T23" s="145"/>
      <c r="U23" s="145"/>
      <c r="V23" s="145"/>
      <c r="W23" s="158"/>
    </row>
    <row r="24" spans="1:29" ht="22" customHeight="1">
      <c r="A24" s="147" t="s">
        <v>80</v>
      </c>
      <c r="B24" s="97">
        <v>401583</v>
      </c>
      <c r="C24" s="57"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79"/>
      <c r="P24" s="320"/>
      <c r="Q24" s="309"/>
      <c r="R24" s="310"/>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79"/>
      <c r="P25" s="320"/>
      <c r="Q25" s="309"/>
      <c r="R25" s="310"/>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79"/>
      <c r="P26" s="320"/>
      <c r="Q26" s="309"/>
      <c r="R26" s="310"/>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79"/>
      <c r="P27" s="320"/>
      <c r="Q27" s="309"/>
      <c r="R27" s="310"/>
      <c r="S27" s="318" t="s">
        <v>84</v>
      </c>
      <c r="T27" s="318"/>
      <c r="U27" s="318"/>
      <c r="V27" s="318"/>
    </row>
    <row r="28" spans="1:29" ht="22" customHeight="1">
      <c r="A28" s="147" t="s">
        <v>85</v>
      </c>
      <c r="B28" s="97">
        <v>401605</v>
      </c>
      <c r="C28" s="42" t="s">
        <v>405</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79"/>
      <c r="P28" s="320"/>
      <c r="Q28" s="309"/>
      <c r="R28" s="310"/>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83" t="s">
        <v>87</v>
      </c>
      <c r="P29" s="312"/>
      <c r="Q29" s="366">
        <f>EINSTELLUNG!O7</f>
        <v>1250</v>
      </c>
      <c r="R29" s="367"/>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80">
        <v>0</v>
      </c>
      <c r="P31" s="371"/>
      <c r="Q31" s="355">
        <v>1.6393442622950821E-2</v>
      </c>
      <c r="R31" s="356"/>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81"/>
      <c r="P33" s="362"/>
      <c r="Q33" s="351" t="s">
        <v>93</v>
      </c>
      <c r="R33" s="351"/>
      <c r="S33" s="351" t="s">
        <v>94</v>
      </c>
      <c r="T33" s="351"/>
      <c r="U33" s="351" t="s">
        <v>95</v>
      </c>
      <c r="V33" s="353"/>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82"/>
      <c r="P34" s="364"/>
      <c r="Q34" s="352"/>
      <c r="R34" s="352"/>
      <c r="S34" s="352"/>
      <c r="T34" s="352"/>
      <c r="U34" s="352"/>
      <c r="V34" s="354"/>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78" t="s">
        <v>98</v>
      </c>
      <c r="P35" s="326"/>
      <c r="Q35" s="327">
        <f>EINSTELLUNG!C7</f>
        <v>400000</v>
      </c>
      <c r="R35" s="327"/>
      <c r="S35" s="327">
        <f>EINSTELLUNG!C23</f>
        <v>425000</v>
      </c>
      <c r="T35" s="327"/>
      <c r="U35" s="327">
        <f>S35-Q35</f>
        <v>25000</v>
      </c>
      <c r="V35" s="328"/>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78" t="s">
        <v>100</v>
      </c>
      <c r="P36" s="326"/>
      <c r="Q36" s="327">
        <f>EINSTELLUNG!D7</f>
        <v>100000</v>
      </c>
      <c r="R36" s="327"/>
      <c r="S36" s="327">
        <f ca="1">SumMergedCells(Q17:R29)</f>
        <v>112062.4129</v>
      </c>
      <c r="T36" s="327"/>
      <c r="U36" s="327">
        <f t="shared" ref="U36:U41" ca="1" si="2">S36-Q36</f>
        <v>12062.412899999996</v>
      </c>
      <c r="V36" s="328"/>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78" t="s">
        <v>102</v>
      </c>
      <c r="P37" s="326"/>
      <c r="Q37" s="349">
        <f>IF(ISERROR(Q36/Q35), 0, Q36/Q35)</f>
        <v>0.25</v>
      </c>
      <c r="R37" s="349"/>
      <c r="S37" s="349">
        <f ca="1">IF(ISERROR(S36/S35), 0, S36/S35)</f>
        <v>0.26367626564705882</v>
      </c>
      <c r="T37" s="349"/>
      <c r="U37" s="349">
        <f t="shared" ca="1" si="2"/>
        <v>1.3676265647058816E-2</v>
      </c>
      <c r="V37" s="350"/>
    </row>
    <row r="38" spans="1:22" ht="22" customHeight="1">
      <c r="A38" s="147" t="s">
        <v>103</v>
      </c>
      <c r="B38" s="97">
        <v>401716</v>
      </c>
      <c r="C38" s="42" t="s">
        <v>257</v>
      </c>
      <c r="D38" s="43">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78" t="s">
        <v>104</v>
      </c>
      <c r="P38" s="326"/>
      <c r="Q38" s="340">
        <f>EINSTELLUNG!F7</f>
        <v>30000</v>
      </c>
      <c r="R38" s="340"/>
      <c r="S38" s="340">
        <f>EINSTELLUNG!F23</f>
        <v>29000</v>
      </c>
      <c r="T38" s="340"/>
      <c r="U38" s="340">
        <f t="shared" si="2"/>
        <v>-1000</v>
      </c>
      <c r="V38" s="341"/>
    </row>
    <row r="39" spans="1:22" ht="22" customHeight="1">
      <c r="A39" s="147" t="s">
        <v>105</v>
      </c>
      <c r="B39" s="98">
        <v>401717</v>
      </c>
      <c r="C39" s="50" t="s">
        <v>258</v>
      </c>
      <c r="D39" s="54">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78" t="s">
        <v>106</v>
      </c>
      <c r="P39" s="326"/>
      <c r="Q39" s="327">
        <f>IF(Q38=0, 0, Q35/Q38)</f>
        <v>13.333333333333334</v>
      </c>
      <c r="R39" s="327"/>
      <c r="S39" s="327">
        <f>IF(S38=0, 0, S35/S38)</f>
        <v>14.655172413793103</v>
      </c>
      <c r="T39" s="327"/>
      <c r="U39" s="327">
        <f t="shared" si="2"/>
        <v>1.3218390804597693</v>
      </c>
      <c r="V39" s="328"/>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78" t="s">
        <v>108</v>
      </c>
      <c r="P40" s="326"/>
      <c r="Q40" s="327">
        <f>IF(Q12=0, 0, Q35/Q12)</f>
        <v>50.146427568500023</v>
      </c>
      <c r="R40" s="327"/>
      <c r="S40" s="327">
        <f>IF(Q12=0, 0, S35/Q12)</f>
        <v>53.280579291531275</v>
      </c>
      <c r="T40" s="327"/>
      <c r="U40" s="327">
        <f t="shared" si="2"/>
        <v>3.1341517230312519</v>
      </c>
      <c r="V40" s="328"/>
    </row>
    <row r="41" spans="1:22" ht="22" customHeight="1">
      <c r="A41" s="147" t="s">
        <v>109</v>
      </c>
      <c r="B41" s="98">
        <v>401723</v>
      </c>
      <c r="C41" s="50"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78" t="s">
        <v>110</v>
      </c>
      <c r="P41" s="326"/>
      <c r="Q41" s="340">
        <f>IF(Q12=0, 0, Q38/Q12)</f>
        <v>3.7609820676375016</v>
      </c>
      <c r="R41" s="340"/>
      <c r="S41" s="340">
        <f>IF(Q12=0, 0, S38/Q12)</f>
        <v>3.6356159987162515</v>
      </c>
      <c r="T41" s="340"/>
      <c r="U41" s="340">
        <f t="shared" si="2"/>
        <v>-0.12536606892125013</v>
      </c>
      <c r="V41" s="341"/>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77" t="s">
        <v>112</v>
      </c>
      <c r="P42" s="334"/>
      <c r="Q42" s="335">
        <f>IFERROR(Q17/Q8, 0)</f>
        <v>11.954528031256498</v>
      </c>
      <c r="R42" s="335"/>
      <c r="S42" s="335"/>
      <c r="T42" s="335"/>
      <c r="U42" s="335"/>
      <c r="V42" s="336"/>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46" t="s">
        <v>115</v>
      </c>
      <c r="P44" s="346"/>
      <c r="Q44" s="346"/>
      <c r="R44" s="346"/>
      <c r="S44" s="346"/>
      <c r="T44" s="346"/>
      <c r="U44" s="346"/>
      <c r="V44" s="346"/>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47"/>
      <c r="P45" s="347"/>
      <c r="Q45" s="347"/>
      <c r="R45" s="348"/>
      <c r="S45" s="348"/>
      <c r="T45" s="348"/>
      <c r="U45" s="348"/>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401754</v>
      </c>
      <c r="C55" s="50" t="s">
        <v>274</v>
      </c>
      <c r="D55" s="51">
        <v>46014</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151.38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6"/>
      <c r="N55" s="72"/>
    </row>
    <row r="56" spans="1:22" ht="22" customHeight="1">
      <c r="A56" s="147" t="s">
        <v>127</v>
      </c>
      <c r="B56" s="97">
        <v>401999</v>
      </c>
      <c r="C56" s="42" t="s">
        <v>357</v>
      </c>
      <c r="D56" s="43">
        <v>46041</v>
      </c>
      <c r="E56" s="44" t="s">
        <v>2</v>
      </c>
      <c r="F56" s="45">
        <v>151.38</v>
      </c>
      <c r="G56" s="148">
        <f>IF(OR(E56="",F56=""),"",PID_KVLohnLookup($A$1,E56,F56,LOHNTABELLE!$H$4))</f>
        <v>1768.38</v>
      </c>
      <c r="H56" s="149">
        <f>IF(AND(ISNUMBER(D56),ISNUMBER(F56)),ROUNDDOWN(MIN(IF(OR(ISBLANK(I56),I56=""),EOMONTH(DATE(EINSTELLUNG!$C$35,$A$1,1),0),I56)-MAX(D56,DATE(EINSTELLUNG!$C$35,$A$1,1))+1)/DAY(EOMONTH(DATE(EINSTELLUNG!$C$35,$A$1,1),0))*F56,2),"")</f>
        <v>151.38</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8"/>
      <c r="N56" s="71"/>
    </row>
    <row r="57" spans="1:22" ht="22" customHeight="1">
      <c r="A57" s="147" t="s">
        <v>128</v>
      </c>
      <c r="B57" s="98">
        <v>402405</v>
      </c>
      <c r="C57" s="50" t="s">
        <v>300</v>
      </c>
      <c r="D57" s="54">
        <v>46054</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6"/>
      <c r="N57" s="72"/>
    </row>
    <row r="58" spans="1:22" ht="22" customHeight="1">
      <c r="A58" s="147" t="s">
        <v>129</v>
      </c>
      <c r="B58" s="97">
        <v>500600</v>
      </c>
      <c r="C58" s="42" t="s">
        <v>304</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503000</v>
      </c>
      <c r="C59" s="50" t="s">
        <v>301</v>
      </c>
      <c r="D59" s="54">
        <v>42401</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504000</v>
      </c>
      <c r="C60" s="42" t="s">
        <v>302</v>
      </c>
      <c r="D60" s="46">
        <v>46054</v>
      </c>
      <c r="E60" s="44" t="s">
        <v>3</v>
      </c>
      <c r="F60" s="45">
        <v>138.4</v>
      </c>
      <c r="G60" s="148">
        <f>IF(OR(E60="",F60=""),"",PID_KVLohnLookup($A$1,E60,F60,LOHNTABELLE!$H$4))</f>
        <v>1665.6</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8"/>
      <c r="N60" s="71"/>
    </row>
    <row r="61" spans="1:22" ht="22" customHeight="1">
      <c r="A61" s="147" t="s">
        <v>132</v>
      </c>
      <c r="B61" s="98">
        <v>505000</v>
      </c>
      <c r="C61" s="50" t="s">
        <v>303</v>
      </c>
      <c r="D61" s="54">
        <v>46054</v>
      </c>
      <c r="E61" s="52" t="s">
        <v>2</v>
      </c>
      <c r="F61" s="53">
        <v>138.4</v>
      </c>
      <c r="G61" s="148">
        <f>IF(OR(E61="",F61=""),"",PID_KVLohnLookup($A$1,E61,F61,LOHNTABELLE!$H$4))</f>
        <v>1616.8</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6"/>
      <c r="N61" s="72"/>
    </row>
    <row r="62" spans="1:22" ht="22" customHeight="1">
      <c r="A62" s="147" t="s">
        <v>133</v>
      </c>
      <c r="B62" s="97">
        <v>525025</v>
      </c>
      <c r="C62" s="42" t="s">
        <v>358</v>
      </c>
      <c r="D62" s="46">
        <v>46040</v>
      </c>
      <c r="E62" s="44" t="s">
        <v>2</v>
      </c>
      <c r="F62" s="45">
        <v>129.75</v>
      </c>
      <c r="G62" s="148">
        <f>IF(OR(E62="",F62=""),"",PID_KVLohnLookup($A$1,E62,F62,LOHNTABELLE!$H$4))</f>
        <v>1515.75</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8"/>
      <c r="N62" s="71"/>
    </row>
    <row r="63" spans="1:22" ht="22" customHeight="1">
      <c r="A63" s="147" t="s">
        <v>134</v>
      </c>
      <c r="B63" s="98">
        <v>600000</v>
      </c>
      <c r="C63" s="50" t="s">
        <v>305</v>
      </c>
      <c r="D63" s="54">
        <v>46054</v>
      </c>
      <c r="E63" s="52" t="s">
        <v>2</v>
      </c>
      <c r="F63" s="53">
        <v>151.38</v>
      </c>
      <c r="G63" s="148">
        <f>IF(OR(E63="",F63=""),"",PID_KVLohnLookup($A$1,E63,F63,LOHNTABELLE!$H$4))</f>
        <v>1768.38</v>
      </c>
      <c r="H63" s="149">
        <f>IF(AND(ISNUMBER(D63),ISNUMBER(F63)),ROUNDDOWN(MIN(IF(OR(ISBLANK(I63),I63=""),EOMONTH(DATE(EINSTELLUNG!$C$35,$A$1,1),0),I63)-MAX(D63,DATE(EINSTELLUNG!$C$35,$A$1,1))+1)/DAY(EOMONTH(DATE(EINSTELLUNG!$C$35,$A$1,1),0))*F63,2),"")</f>
        <v>10.81</v>
      </c>
      <c r="I63" s="54">
        <v>46055</v>
      </c>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6"/>
      <c r="N63" s="72" t="s">
        <v>184</v>
      </c>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5"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5"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4" spans="1:15" ht="16" customHeight="1">
      <c r="O84" s="167"/>
    </row>
    <row r="85" spans="1:15" ht="16" customHeight="1">
      <c r="O85" s="167"/>
    </row>
    <row r="86" spans="1:15" ht="16" customHeight="1">
      <c r="O86" s="167"/>
    </row>
    <row r="100" spans="26:26" ht="16" customHeight="1">
      <c r="Z100" s="138"/>
    </row>
  </sheetData>
  <sheetProtection algorithmName="SHA-512" hashValue="5njxPBFv9umH/GUt0rTD7MYM9xxgbJMjLEwbM3yvea9sE4uSzZyWYQFvRgQUbOJNLioK+iONABSehwgm465L2A==" saltValue="ATK9/Oe/Si1vRxlCEZOPhA==" spinCount="100000" sheet="1" objects="1" scenarios="1" sort="0"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7C783097-1AF6-2746-B284-CE6AB6472DC4}">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27" activePane="bottomLeft" state="frozen"/>
      <selection activeCell="T24" sqref="T24"/>
      <selection pane="bottomLeft" activeCell="O31" sqref="O31:P31"/>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72">
        <v>3</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46082</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46112</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882.56627527832359</v>
      </c>
      <c r="P5" s="152">
        <f>EINSTELLUNG!I8</f>
        <v>600</v>
      </c>
      <c r="Q5" s="152">
        <f>P5-O5</f>
        <v>-282.56627527832359</v>
      </c>
      <c r="R5" s="153">
        <f>IFERROR(Q5*Q42, 0)</f>
        <v>-3390.7624299994941</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321" t="s">
        <v>56</v>
      </c>
      <c r="P8" s="322"/>
      <c r="Q8" s="323">
        <f>SUM(H3:H82)</f>
        <v>8989.34</v>
      </c>
      <c r="R8" s="324"/>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EINSTELLUNG!L24</f>
        <v>3</v>
      </c>
      <c r="R9" s="341"/>
      <c r="S9" s="154">
        <f>IFERROR(Q9/Q8, 0)</f>
        <v>3.3372861633890807E-4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EINSTELLUNG!I24</f>
        <v>0</v>
      </c>
      <c r="R10" s="341"/>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325" t="s">
        <v>62</v>
      </c>
      <c r="P11" s="326"/>
      <c r="Q11" s="340">
        <f>P5</f>
        <v>600</v>
      </c>
      <c r="R11" s="341"/>
      <c r="S11" s="145"/>
      <c r="T11" s="145"/>
      <c r="U11" s="145"/>
      <c r="V11" s="145"/>
    </row>
    <row r="12" spans="1:28" ht="22" customHeight="1">
      <c r="A12" s="147" t="s">
        <v>63</v>
      </c>
      <c r="B12" s="97">
        <v>401276</v>
      </c>
      <c r="C12" s="42" t="s">
        <v>404</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-445</v>
      </c>
      <c r="R12" s="330"/>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325" t="s">
        <v>66</v>
      </c>
      <c r="P13" s="326"/>
      <c r="Q13" s="340">
        <f>Q8-Q9-Q10-Q11-Q12</f>
        <v>8831.34</v>
      </c>
      <c r="R13" s="341"/>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325" t="s">
        <v>68</v>
      </c>
      <c r="P14" s="326"/>
      <c r="Q14" s="340">
        <f>EINSTELLUNG!L8</f>
        <v>9300</v>
      </c>
      <c r="R14" s="341"/>
      <c r="S14" s="145"/>
      <c r="T14" s="145"/>
      <c r="U14" s="145"/>
      <c r="V14" s="145"/>
    </row>
    <row r="15" spans="1:28" ht="22" customHeight="1" thickBo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6"/>
      <c r="N15" s="72"/>
      <c r="O15" s="311" t="s">
        <v>70</v>
      </c>
      <c r="P15" s="312"/>
      <c r="Q15" s="313">
        <f>Q13-Q14</f>
        <v>-468.65999999999985</v>
      </c>
      <c r="R15" s="314"/>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401406</v>
      </c>
      <c r="C17" s="50" t="s">
        <v>405</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87" t="s">
        <v>73</v>
      </c>
      <c r="P17" s="322"/>
      <c r="Q17" s="331">
        <f>SUM(L3:L82)</f>
        <v>107871.0341935484</v>
      </c>
      <c r="R17" s="332"/>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79" t="s">
        <v>384</v>
      </c>
      <c r="P18" s="320"/>
      <c r="Q18" s="309">
        <v>20</v>
      </c>
      <c r="R18" s="310"/>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79" t="s">
        <v>295</v>
      </c>
      <c r="P19" s="320"/>
      <c r="Q19" s="309">
        <v>333</v>
      </c>
      <c r="R19" s="310"/>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79" t="s">
        <v>295</v>
      </c>
      <c r="P20" s="320"/>
      <c r="Q20" s="309">
        <v>35</v>
      </c>
      <c r="R20" s="310"/>
      <c r="S20" s="145"/>
      <c r="T20" s="145"/>
      <c r="U20" s="145"/>
      <c r="V20" s="145"/>
    </row>
    <row r="21" spans="1:29" ht="22" customHeight="1">
      <c r="A21" s="147" t="s">
        <v>77</v>
      </c>
      <c r="B21" s="98">
        <v>401481</v>
      </c>
      <c r="C21" s="50" t="s">
        <v>239</v>
      </c>
      <c r="D21" s="54">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79" t="s">
        <v>295</v>
      </c>
      <c r="P21" s="320"/>
      <c r="Q21" s="309">
        <v>100</v>
      </c>
      <c r="R21" s="310"/>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79" t="s">
        <v>295</v>
      </c>
      <c r="P22" s="320"/>
      <c r="Q22" s="309"/>
      <c r="R22" s="310"/>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79" t="s">
        <v>295</v>
      </c>
      <c r="P23" s="320"/>
      <c r="Q23" s="309">
        <v>5000</v>
      </c>
      <c r="R23" s="310"/>
      <c r="S23" s="145"/>
      <c r="T23" s="145"/>
      <c r="U23" s="145"/>
      <c r="V23" s="145"/>
      <c r="W23" s="158"/>
    </row>
    <row r="24" spans="1:29" ht="22" customHeight="1">
      <c r="A24" s="147" t="s">
        <v>80</v>
      </c>
      <c r="B24" s="97">
        <v>401583</v>
      </c>
      <c r="C24" s="57"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79"/>
      <c r="P24" s="320"/>
      <c r="Q24" s="309"/>
      <c r="R24" s="310"/>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79"/>
      <c r="P25" s="320"/>
      <c r="Q25" s="309"/>
      <c r="R25" s="310"/>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79"/>
      <c r="P26" s="320"/>
      <c r="Q26" s="309"/>
      <c r="R26" s="310"/>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79"/>
      <c r="P27" s="320"/>
      <c r="Q27" s="309"/>
      <c r="R27" s="310"/>
      <c r="S27" s="318" t="s">
        <v>84</v>
      </c>
      <c r="T27" s="318"/>
      <c r="U27" s="318"/>
      <c r="V27" s="318"/>
    </row>
    <row r="28" spans="1:29" ht="22" customHeight="1">
      <c r="A28" s="147" t="s">
        <v>85</v>
      </c>
      <c r="B28" s="97">
        <v>401605</v>
      </c>
      <c r="C28" s="42" t="s">
        <v>405</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79"/>
      <c r="P28" s="320"/>
      <c r="Q28" s="309"/>
      <c r="R28" s="310"/>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83" t="s">
        <v>87</v>
      </c>
      <c r="P29" s="312"/>
      <c r="Q29" s="366">
        <f>EINSTELLUNG!O8</f>
        <v>1250</v>
      </c>
      <c r="R29" s="367"/>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80">
        <v>0</v>
      </c>
      <c r="P31" s="371"/>
      <c r="Q31" s="355">
        <v>0</v>
      </c>
      <c r="R31" s="356"/>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82"/>
      <c r="P34" s="364"/>
      <c r="Q34" s="352"/>
      <c r="R34" s="352"/>
      <c r="S34" s="352"/>
      <c r="T34" s="352"/>
      <c r="U34" s="352"/>
      <c r="V34" s="354"/>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78" t="s">
        <v>98</v>
      </c>
      <c r="P35" s="326"/>
      <c r="Q35" s="327">
        <f>EINSTELLUNG!C8</f>
        <v>400000</v>
      </c>
      <c r="R35" s="327"/>
      <c r="S35" s="327">
        <f>EINSTELLUNG!C24</f>
        <v>430000</v>
      </c>
      <c r="T35" s="327"/>
      <c r="U35" s="327">
        <f>S35-Q35</f>
        <v>30000</v>
      </c>
      <c r="V35" s="328"/>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78" t="s">
        <v>100</v>
      </c>
      <c r="P36" s="326"/>
      <c r="Q36" s="327">
        <f>EINSTELLUNG!D8</f>
        <v>100000</v>
      </c>
      <c r="R36" s="327"/>
      <c r="S36" s="327">
        <f ca="1">SumMergedCells(Q17:R29)</f>
        <v>114609.03419999999</v>
      </c>
      <c r="T36" s="327"/>
      <c r="U36" s="327">
        <f t="shared" ref="U36:U41" ca="1" si="2">S36-Q36</f>
        <v>14609.034199999995</v>
      </c>
      <c r="V36" s="328"/>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78" t="s">
        <v>102</v>
      </c>
      <c r="P37" s="326"/>
      <c r="Q37" s="349">
        <f>IF(ISERROR(Q36/Q35), 0, Q36/Q35)</f>
        <v>0.25</v>
      </c>
      <c r="R37" s="349"/>
      <c r="S37" s="349">
        <f ca="1">IF(ISERROR(S36/S35), 0, S36/S35)</f>
        <v>0.26653263767441859</v>
      </c>
      <c r="T37" s="349"/>
      <c r="U37" s="349">
        <f t="shared" ca="1" si="2"/>
        <v>1.6532637674418593E-2</v>
      </c>
      <c r="V37" s="350"/>
    </row>
    <row r="38" spans="1:22" ht="22" customHeight="1">
      <c r="A38" s="147" t="s">
        <v>103</v>
      </c>
      <c r="B38" s="97">
        <v>401716</v>
      </c>
      <c r="C38" s="42" t="s">
        <v>257</v>
      </c>
      <c r="D38" s="43">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78" t="s">
        <v>104</v>
      </c>
      <c r="P38" s="326"/>
      <c r="Q38" s="340">
        <f>EINSTELLUNG!F8</f>
        <v>30000</v>
      </c>
      <c r="R38" s="340"/>
      <c r="S38" s="340">
        <f>EINSTELLUNG!F24</f>
        <v>29000</v>
      </c>
      <c r="T38" s="340"/>
      <c r="U38" s="340">
        <f t="shared" si="2"/>
        <v>-1000</v>
      </c>
      <c r="V38" s="341"/>
    </row>
    <row r="39" spans="1:22" ht="22" customHeight="1">
      <c r="A39" s="147" t="s">
        <v>105</v>
      </c>
      <c r="B39" s="98">
        <v>401717</v>
      </c>
      <c r="C39" s="50" t="s">
        <v>258</v>
      </c>
      <c r="D39" s="54">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78" t="s">
        <v>106</v>
      </c>
      <c r="P39" s="326"/>
      <c r="Q39" s="327">
        <f>IF(Q38=0, 0, Q35/Q38)</f>
        <v>13.333333333333334</v>
      </c>
      <c r="R39" s="327"/>
      <c r="S39" s="327">
        <f>IF(S38=0, 0, S35/S38)</f>
        <v>14.827586206896552</v>
      </c>
      <c r="T39" s="327"/>
      <c r="U39" s="327">
        <f t="shared" si="2"/>
        <v>1.4942528735632177</v>
      </c>
      <c r="V39" s="328"/>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78" t="s">
        <v>108</v>
      </c>
      <c r="P40" s="326"/>
      <c r="Q40" s="327">
        <f>IF(Q13=0, 0, Q35/Q13)</f>
        <v>45.293239757499997</v>
      </c>
      <c r="R40" s="327"/>
      <c r="S40" s="327">
        <f>IF(Q13=0, 0, S35/Q13)</f>
        <v>48.690232739312492</v>
      </c>
      <c r="T40" s="327"/>
      <c r="U40" s="327">
        <f t="shared" si="2"/>
        <v>3.3969929818124953</v>
      </c>
      <c r="V40" s="328"/>
    </row>
    <row r="41" spans="1:22" ht="22" customHeight="1">
      <c r="A41" s="147" t="s">
        <v>109</v>
      </c>
      <c r="B41" s="98">
        <v>401723</v>
      </c>
      <c r="C41" s="50"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78" t="s">
        <v>110</v>
      </c>
      <c r="P41" s="326"/>
      <c r="Q41" s="340">
        <f>IF(Q13=0, 0, Q38/Q13)</f>
        <v>3.3969929818124993</v>
      </c>
      <c r="R41" s="340"/>
      <c r="S41" s="340">
        <f>IF(Q13=0, 0, S38/Q13)</f>
        <v>3.2837598824187495</v>
      </c>
      <c r="T41" s="340"/>
      <c r="U41" s="340">
        <f t="shared" si="2"/>
        <v>-0.11323309939374981</v>
      </c>
      <c r="V41" s="341"/>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77" t="s">
        <v>112</v>
      </c>
      <c r="P42" s="334"/>
      <c r="Q42" s="335">
        <f>IFERROR(Q17/Q8, 0)</f>
        <v>11.999883661486649</v>
      </c>
      <c r="R42" s="335"/>
      <c r="S42" s="335"/>
      <c r="T42" s="335"/>
      <c r="U42" s="335"/>
      <c r="V42" s="336"/>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46" t="s">
        <v>115</v>
      </c>
      <c r="P44" s="346"/>
      <c r="Q44" s="346"/>
      <c r="R44" s="346"/>
      <c r="S44" s="346"/>
      <c r="T44" s="346"/>
      <c r="U44" s="346"/>
      <c r="V44" s="346"/>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47"/>
      <c r="P45" s="347"/>
      <c r="Q45" s="347"/>
      <c r="R45" s="348"/>
      <c r="S45" s="348"/>
      <c r="T45" s="348"/>
      <c r="U45" s="348"/>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401754</v>
      </c>
      <c r="C55" s="50" t="s">
        <v>274</v>
      </c>
      <c r="D55" s="51">
        <v>46014</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73.239999999999995</v>
      </c>
      <c r="I55" s="54">
        <v>46096</v>
      </c>
      <c r="J55" s="55">
        <v>8</v>
      </c>
      <c r="K55" s="148">
        <f t="shared" si="1"/>
        <v>456.35612903225808</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6"/>
      <c r="N55" s="72" t="s">
        <v>194</v>
      </c>
    </row>
    <row r="56" spans="1:22" ht="22" customHeight="1">
      <c r="A56" s="147" t="s">
        <v>127</v>
      </c>
      <c r="B56" s="97">
        <v>401999</v>
      </c>
      <c r="C56" s="42" t="s">
        <v>357</v>
      </c>
      <c r="D56" s="43">
        <v>46041</v>
      </c>
      <c r="E56" s="44" t="s">
        <v>2</v>
      </c>
      <c r="F56" s="45">
        <v>151.38</v>
      </c>
      <c r="G56" s="148">
        <f>IF(OR(E56="",F56=""),"",PID_KVLohnLookup($A$1,E56,F56,LOHNTABELLE!$H$4))</f>
        <v>1768.38</v>
      </c>
      <c r="H56" s="149">
        <f>IF(AND(ISNUMBER(D56),ISNUMBER(F56)),ROUNDDOWN(MIN(IF(OR(ISBLANK(I56),I56=""),EOMONTH(DATE(EINSTELLUNG!$C$35,$A$1,1),0),I56)-MAX(D56,DATE(EINSTELLUNG!$C$35,$A$1,1))+1)/DAY(EOMONTH(DATE(EINSTELLUNG!$C$35,$A$1,1),0))*F56,2),"")</f>
        <v>151.38</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8"/>
      <c r="N56" s="71"/>
    </row>
    <row r="57" spans="1:22" ht="22" customHeight="1">
      <c r="A57" s="147" t="s">
        <v>128</v>
      </c>
      <c r="B57" s="98">
        <v>401999</v>
      </c>
      <c r="C57" s="50" t="s">
        <v>294</v>
      </c>
      <c r="D57" s="54">
        <v>46082</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6"/>
      <c r="N57" s="72"/>
    </row>
    <row r="58" spans="1:22" ht="22" customHeight="1">
      <c r="A58" s="147" t="s">
        <v>129</v>
      </c>
      <c r="B58" s="97">
        <v>402405</v>
      </c>
      <c r="C58" s="42" t="s">
        <v>300</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500600</v>
      </c>
      <c r="C59" s="50" t="s">
        <v>304</v>
      </c>
      <c r="D59" s="54">
        <v>46054</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503000</v>
      </c>
      <c r="C60" s="42" t="s">
        <v>301</v>
      </c>
      <c r="D60" s="46">
        <v>42401</v>
      </c>
      <c r="E60" s="44" t="s">
        <v>2</v>
      </c>
      <c r="F60" s="45">
        <v>173</v>
      </c>
      <c r="G60" s="148">
        <f>IF(OR(E60="",F60=""),"",PID_KVLohnLookup($A$1,E60,F60,LOHNTABELLE!$H$4))</f>
        <v>2021</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8"/>
      <c r="N60" s="71"/>
    </row>
    <row r="61" spans="1:22" ht="22" customHeight="1">
      <c r="A61" s="147" t="s">
        <v>132</v>
      </c>
      <c r="B61" s="98">
        <v>504000</v>
      </c>
      <c r="C61" s="50" t="s">
        <v>302</v>
      </c>
      <c r="D61" s="54">
        <v>46054</v>
      </c>
      <c r="E61" s="52" t="s">
        <v>3</v>
      </c>
      <c r="F61" s="53">
        <v>138.4</v>
      </c>
      <c r="G61" s="148">
        <f>IF(OR(E61="",F61=""),"",PID_KVLohnLookup($A$1,E61,F61,LOHNTABELLE!$H$4))</f>
        <v>1665.6</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6"/>
      <c r="N61" s="72"/>
    </row>
    <row r="62" spans="1:22" ht="22" customHeight="1">
      <c r="A62" s="147" t="s">
        <v>133</v>
      </c>
      <c r="B62" s="97">
        <v>505000</v>
      </c>
      <c r="C62" s="42" t="s">
        <v>303</v>
      </c>
      <c r="D62" s="46">
        <v>46054</v>
      </c>
      <c r="E62" s="44" t="s">
        <v>2</v>
      </c>
      <c r="F62" s="45">
        <v>138.4</v>
      </c>
      <c r="G62" s="148">
        <f>IF(OR(E62="",F62=""),"",PID_KVLohnLookup($A$1,E62,F62,LOHNTABELLE!$H$4))</f>
        <v>1616.8</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8"/>
      <c r="N62" s="71"/>
    </row>
    <row r="63" spans="1:22" ht="22" customHeight="1">
      <c r="A63" s="147" t="s">
        <v>134</v>
      </c>
      <c r="B63" s="98">
        <v>525025</v>
      </c>
      <c r="C63" s="50" t="s">
        <v>358</v>
      </c>
      <c r="D63" s="54">
        <v>46040</v>
      </c>
      <c r="E63" s="52" t="s">
        <v>2</v>
      </c>
      <c r="F63" s="53">
        <v>129.75</v>
      </c>
      <c r="G63" s="148">
        <f>IF(OR(E63="",F63=""),"",PID_KVLohnLookup($A$1,E63,F63,LOHNTABELLE!$H$4))</f>
        <v>1515.75</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6"/>
      <c r="N63" s="72"/>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v>800000</v>
      </c>
      <c r="C65" s="50" t="s">
        <v>312</v>
      </c>
      <c r="D65" s="54">
        <v>46096</v>
      </c>
      <c r="E65" s="52" t="s">
        <v>2</v>
      </c>
      <c r="F65" s="53">
        <v>173</v>
      </c>
      <c r="G65" s="148">
        <f>IF(OR(E65="",F65=""),"",PID_KVLohnLookup($A$1,E65,F65,LOHNTABELLE!$H$4))</f>
        <v>2021</v>
      </c>
      <c r="H65" s="149">
        <f>IF(AND(ISNUMBER(D65),ISNUMBER(F65)),ROUNDDOWN(MIN(IF(OR(ISBLANK(I65),I65=""),EOMONTH(DATE(EINSTELLUNG!$C$35,$A$1,1),0),I65)-MAX(D65,DATE(EINSTELLUNG!$C$35,$A$1,1))+1)/DAY(EOMONTH(DATE(EINSTELLUNG!$C$35,$A$1,1),0))*F65,2),"")</f>
        <v>94.87</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aZB0h61FP7EI+RdadJGd6XKPtZ/M4hAfhpJbCKJyrcX6nS/KgA4JoEf1S9QdE9rs8UelUEc0w85MnTpyL8ceyw==" saltValue="lrU5ckK/f8VPdlWDfFkjKw==" spinCount="100000" sheet="1" objects="1" scenarios="1" sort="0"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8B661757-489E-4F40-85CE-C267EF928035}">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2AB5396C-82E7-4892-84A4-A45F78E5A978}">
          <x14:formula1>
            <xm:f>KV_DROPDOWN_HELPER!$FH$1:$FH$13</xm:f>
          </x14:formula1>
          <xm:sqref>F17 F25 F28 F30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I16" sqref="I16"/>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4</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46113</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46142</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884.65264052585962</v>
      </c>
      <c r="P5" s="152">
        <f>EINSTELLUNG!I9</f>
        <v>600</v>
      </c>
      <c r="Q5" s="152">
        <f>P5-O5</f>
        <v>-284.65264052585962</v>
      </c>
      <c r="R5" s="153">
        <f>IFERROR(Q5*Q42, 0)</f>
        <v>-3399.7781776095803</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321" t="s">
        <v>56</v>
      </c>
      <c r="P8" s="322"/>
      <c r="Q8" s="323">
        <f>SUM(H3:H82)</f>
        <v>9064.869999999999</v>
      </c>
      <c r="R8" s="324"/>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EINSTELLUNG!L25</f>
        <v>4</v>
      </c>
      <c r="R9" s="341"/>
      <c r="S9" s="154">
        <f>IFERROR(Q9/Q8, 0)</f>
        <v>4.4126391222378263E-4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EINSTELLUNG!I25</f>
        <v>150</v>
      </c>
      <c r="R10" s="341"/>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325" t="s">
        <v>62</v>
      </c>
      <c r="P11" s="326"/>
      <c r="Q11" s="340">
        <f>P5</f>
        <v>600</v>
      </c>
      <c r="R11" s="341"/>
      <c r="S11" s="145"/>
      <c r="T11" s="145"/>
      <c r="U11" s="145"/>
      <c r="V11" s="145"/>
    </row>
    <row r="12" spans="1:28" ht="22" customHeight="1">
      <c r="A12" s="147" t="s">
        <v>63</v>
      </c>
      <c r="B12" s="97">
        <v>401276</v>
      </c>
      <c r="C12" s="42" t="s">
        <v>404</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-260</v>
      </c>
      <c r="R12" s="330"/>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325" t="s">
        <v>66</v>
      </c>
      <c r="P13" s="326"/>
      <c r="Q13" s="340">
        <f>Q8-Q9-Q10-Q11-Q12</f>
        <v>8570.869999999999</v>
      </c>
      <c r="R13" s="341"/>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325" t="s">
        <v>68</v>
      </c>
      <c r="P14" s="326"/>
      <c r="Q14" s="340">
        <f>EINSTELLUNG!L9</f>
        <v>9300</v>
      </c>
      <c r="R14" s="341"/>
      <c r="S14" s="145"/>
      <c r="T14" s="145"/>
      <c r="U14" s="145"/>
      <c r="V14" s="145"/>
    </row>
    <row r="15" spans="1:28" ht="22" customHeight="1" thickBo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100.92</v>
      </c>
      <c r="I15" s="54">
        <v>46132</v>
      </c>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6"/>
      <c r="N15" s="72" t="s">
        <v>184</v>
      </c>
      <c r="O15" s="311" t="s">
        <v>70</v>
      </c>
      <c r="P15" s="312"/>
      <c r="Q15" s="313">
        <f>Q13-Q14</f>
        <v>-729.13000000000102</v>
      </c>
      <c r="R15" s="314"/>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401406</v>
      </c>
      <c r="C17" s="50" t="s">
        <v>405</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87" t="s">
        <v>73</v>
      </c>
      <c r="P17" s="322"/>
      <c r="Q17" s="331">
        <f>SUM(L3:L82)</f>
        <v>108267.21</v>
      </c>
      <c r="R17" s="332"/>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79" t="s">
        <v>384</v>
      </c>
      <c r="P18" s="320"/>
      <c r="Q18" s="309">
        <v>20</v>
      </c>
      <c r="R18" s="310"/>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79" t="s">
        <v>295</v>
      </c>
      <c r="P19" s="320"/>
      <c r="Q19" s="309">
        <v>333</v>
      </c>
      <c r="R19" s="310"/>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79" t="s">
        <v>295</v>
      </c>
      <c r="P20" s="320"/>
      <c r="Q20" s="309">
        <v>35</v>
      </c>
      <c r="R20" s="310"/>
      <c r="S20" s="145"/>
      <c r="T20" s="145"/>
      <c r="U20" s="145"/>
      <c r="V20" s="145"/>
    </row>
    <row r="21" spans="1:29" ht="22" customHeight="1">
      <c r="A21" s="147" t="s">
        <v>77</v>
      </c>
      <c r="B21" s="98">
        <v>401481</v>
      </c>
      <c r="C21" s="50" t="s">
        <v>239</v>
      </c>
      <c r="D21" s="51">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79" t="s">
        <v>295</v>
      </c>
      <c r="P21" s="320"/>
      <c r="Q21" s="309">
        <v>100</v>
      </c>
      <c r="R21" s="310"/>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79" t="s">
        <v>295</v>
      </c>
      <c r="P22" s="320"/>
      <c r="Q22" s="309"/>
      <c r="R22" s="310"/>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79" t="s">
        <v>295</v>
      </c>
      <c r="P23" s="320"/>
      <c r="Q23" s="309">
        <v>5000</v>
      </c>
      <c r="R23" s="310"/>
      <c r="S23" s="145"/>
      <c r="T23" s="145"/>
      <c r="U23" s="145"/>
      <c r="V23" s="145"/>
      <c r="W23" s="158"/>
    </row>
    <row r="24" spans="1:29" ht="22" customHeight="1">
      <c r="A24" s="147" t="s">
        <v>80</v>
      </c>
      <c r="B24" s="97">
        <v>401583</v>
      </c>
      <c r="C24" s="42"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79"/>
      <c r="P24" s="320"/>
      <c r="Q24" s="309"/>
      <c r="R24" s="310"/>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79"/>
      <c r="P25" s="320"/>
      <c r="Q25" s="309"/>
      <c r="R25" s="310"/>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79"/>
      <c r="P26" s="320"/>
      <c r="Q26" s="309"/>
      <c r="R26" s="310"/>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79"/>
      <c r="P27" s="320"/>
      <c r="Q27" s="309"/>
      <c r="R27" s="310"/>
      <c r="S27" s="318" t="s">
        <v>84</v>
      </c>
      <c r="T27" s="318"/>
      <c r="U27" s="318"/>
      <c r="V27" s="318"/>
    </row>
    <row r="28" spans="1:29" ht="22" customHeight="1">
      <c r="A28" s="147" t="s">
        <v>85</v>
      </c>
      <c r="B28" s="97">
        <v>401605</v>
      </c>
      <c r="C28" s="42" t="s">
        <v>405</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79"/>
      <c r="P28" s="320"/>
      <c r="Q28" s="309"/>
      <c r="R28" s="310"/>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83" t="s">
        <v>87</v>
      </c>
      <c r="P29" s="312"/>
      <c r="Q29" s="366">
        <f>EINSTELLUNG!O9</f>
        <v>1250</v>
      </c>
      <c r="R29" s="367"/>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80">
        <v>0</v>
      </c>
      <c r="P31" s="371"/>
      <c r="Q31" s="355">
        <v>1.6129032258064516E-2</v>
      </c>
      <c r="R31" s="356"/>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82"/>
      <c r="P34" s="364"/>
      <c r="Q34" s="352"/>
      <c r="R34" s="352"/>
      <c r="S34" s="352"/>
      <c r="T34" s="352"/>
      <c r="U34" s="352"/>
      <c r="V34" s="354"/>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78" t="s">
        <v>98</v>
      </c>
      <c r="P35" s="326"/>
      <c r="Q35" s="327">
        <f>EINSTELLUNG!C9</f>
        <v>400000</v>
      </c>
      <c r="R35" s="327"/>
      <c r="S35" s="327">
        <f>EINSTELLUNG!C25</f>
        <v>300000</v>
      </c>
      <c r="T35" s="327"/>
      <c r="U35" s="327">
        <f>S35-Q35</f>
        <v>-100000</v>
      </c>
      <c r="V35" s="328"/>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78" t="s">
        <v>100</v>
      </c>
      <c r="P36" s="326"/>
      <c r="Q36" s="327">
        <f>EINSTELLUNG!D9</f>
        <v>100000</v>
      </c>
      <c r="R36" s="327"/>
      <c r="S36" s="327">
        <f ca="1">SumMergedCells(Q17:R29)</f>
        <v>115005.21</v>
      </c>
      <c r="T36" s="327"/>
      <c r="U36" s="327">
        <f t="shared" ref="U36:U41" ca="1" si="2">S36-Q36</f>
        <v>15005.210000000006</v>
      </c>
      <c r="V36" s="328"/>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78" t="s">
        <v>102</v>
      </c>
      <c r="P37" s="326"/>
      <c r="Q37" s="349">
        <f>IF(ISERROR(Q36/Q35), 0, Q36/Q35)</f>
        <v>0.25</v>
      </c>
      <c r="R37" s="349"/>
      <c r="S37" s="349">
        <f ca="1">IF(ISERROR(S36/S35), 0, S36/S35)</f>
        <v>0.38335070000000004</v>
      </c>
      <c r="T37" s="349"/>
      <c r="U37" s="349">
        <f t="shared" ca="1" si="2"/>
        <v>0.13335070000000004</v>
      </c>
      <c r="V37" s="350"/>
    </row>
    <row r="38" spans="1:22" ht="22" customHeight="1">
      <c r="A38" s="147" t="s">
        <v>103</v>
      </c>
      <c r="B38" s="97">
        <v>401716</v>
      </c>
      <c r="C38" s="42" t="s">
        <v>257</v>
      </c>
      <c r="D38" s="46">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78" t="s">
        <v>104</v>
      </c>
      <c r="P38" s="326"/>
      <c r="Q38" s="340">
        <f>EINSTELLUNG!F9</f>
        <v>30000</v>
      </c>
      <c r="R38" s="340"/>
      <c r="S38" s="340">
        <f>EINSTELLUNG!F25</f>
        <v>25000</v>
      </c>
      <c r="T38" s="340"/>
      <c r="U38" s="340">
        <f t="shared" si="2"/>
        <v>-5000</v>
      </c>
      <c r="V38" s="341"/>
    </row>
    <row r="39" spans="1:22" ht="22" customHeight="1">
      <c r="A39" s="147" t="s">
        <v>105</v>
      </c>
      <c r="B39" s="98">
        <v>401717</v>
      </c>
      <c r="C39" s="50" t="s">
        <v>258</v>
      </c>
      <c r="D39" s="51">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78" t="s">
        <v>106</v>
      </c>
      <c r="P39" s="326"/>
      <c r="Q39" s="327">
        <f>IF(Q38=0, 0, Q35/Q38)</f>
        <v>13.333333333333334</v>
      </c>
      <c r="R39" s="327"/>
      <c r="S39" s="327">
        <f>IF(S38=0, 0, S35/S38)</f>
        <v>12</v>
      </c>
      <c r="T39" s="327"/>
      <c r="U39" s="327">
        <f t="shared" si="2"/>
        <v>-1.3333333333333339</v>
      </c>
      <c r="V39" s="328"/>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78" t="s">
        <v>108</v>
      </c>
      <c r="P40" s="326"/>
      <c r="Q40" s="327">
        <f>IF(Q13=0, 0, Q35/Q13)</f>
        <v>46.669707975969771</v>
      </c>
      <c r="R40" s="327"/>
      <c r="S40" s="327">
        <f>IF(Q13=0, 0, S35/Q13)</f>
        <v>35.002280981977329</v>
      </c>
      <c r="T40" s="327"/>
      <c r="U40" s="327">
        <f t="shared" si="2"/>
        <v>-11.667426993992443</v>
      </c>
      <c r="V40" s="328"/>
    </row>
    <row r="41" spans="1:22" ht="22" customHeight="1">
      <c r="A41" s="147" t="s">
        <v>109</v>
      </c>
      <c r="B41" s="98">
        <v>401723</v>
      </c>
      <c r="C41" s="67"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78" t="s">
        <v>110</v>
      </c>
      <c r="P41" s="326"/>
      <c r="Q41" s="340">
        <f>IF(Q13=0, 0, Q38/Q13)</f>
        <v>3.500228098197733</v>
      </c>
      <c r="R41" s="340"/>
      <c r="S41" s="340">
        <f>IF(Q13=0, 0, S38/Q13)</f>
        <v>2.9168567484981107</v>
      </c>
      <c r="T41" s="340"/>
      <c r="U41" s="340">
        <f t="shared" si="2"/>
        <v>-0.58337134969962223</v>
      </c>
      <c r="V41" s="341"/>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77" t="s">
        <v>112</v>
      </c>
      <c r="P42" s="334"/>
      <c r="Q42" s="335">
        <f>IFERROR(Q17/Q8, 0)</f>
        <v>11.94360316253846</v>
      </c>
      <c r="R42" s="335"/>
      <c r="S42" s="335"/>
      <c r="T42" s="335"/>
      <c r="U42" s="335"/>
      <c r="V42" s="336"/>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46" t="s">
        <v>115</v>
      </c>
      <c r="P44" s="346"/>
      <c r="Q44" s="346"/>
      <c r="R44" s="346"/>
      <c r="S44" s="346"/>
      <c r="T44" s="346"/>
      <c r="U44" s="346"/>
      <c r="V44" s="346"/>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47"/>
      <c r="P45" s="347"/>
      <c r="Q45" s="347"/>
      <c r="R45" s="348"/>
      <c r="S45" s="348"/>
      <c r="T45" s="348"/>
      <c r="U45" s="348"/>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401999</v>
      </c>
      <c r="C55" s="50" t="s">
        <v>357</v>
      </c>
      <c r="D55" s="51">
        <v>46041</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151.38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6"/>
      <c r="N55" s="72"/>
    </row>
    <row r="56" spans="1:22" ht="22" customHeight="1">
      <c r="A56" s="147" t="s">
        <v>127</v>
      </c>
      <c r="B56" s="97">
        <v>401999</v>
      </c>
      <c r="C56" s="42" t="s">
        <v>294</v>
      </c>
      <c r="D56" s="46">
        <v>46082</v>
      </c>
      <c r="E56" s="44" t="s">
        <v>2</v>
      </c>
      <c r="F56" s="45">
        <v>173</v>
      </c>
      <c r="G56" s="148">
        <f>IF(OR(E56="",F56=""),"",PID_KVLohnLookup($A$1,E56,F56,LOHNTABELLE!$H$4))</f>
        <v>2021</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8"/>
      <c r="N56" s="71"/>
    </row>
    <row r="57" spans="1:22" ht="22" customHeight="1">
      <c r="A57" s="147" t="s">
        <v>128</v>
      </c>
      <c r="B57" s="98">
        <v>402004</v>
      </c>
      <c r="C57" s="50" t="s">
        <v>298</v>
      </c>
      <c r="D57" s="54">
        <v>46122</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121.1</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6"/>
      <c r="N57" s="72"/>
    </row>
    <row r="58" spans="1:22" ht="22" customHeight="1">
      <c r="A58" s="147" t="s">
        <v>129</v>
      </c>
      <c r="B58" s="97">
        <v>402405</v>
      </c>
      <c r="C58" s="42" t="s">
        <v>300</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500600</v>
      </c>
      <c r="C59" s="50" t="s">
        <v>304</v>
      </c>
      <c r="D59" s="54">
        <v>46054</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503000</v>
      </c>
      <c r="C60" s="42" t="s">
        <v>301</v>
      </c>
      <c r="D60" s="46">
        <v>42401</v>
      </c>
      <c r="E60" s="44" t="s">
        <v>2</v>
      </c>
      <c r="F60" s="45">
        <v>173</v>
      </c>
      <c r="G60" s="148">
        <f>IF(OR(E60="",F60=""),"",PID_KVLohnLookup($A$1,E60,F60,LOHNTABELLE!$H$4))</f>
        <v>2021</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8"/>
      <c r="N60" s="71"/>
    </row>
    <row r="61" spans="1:22" ht="22" customHeight="1">
      <c r="A61" s="147" t="s">
        <v>132</v>
      </c>
      <c r="B61" s="98">
        <v>504000</v>
      </c>
      <c r="C61" s="50" t="s">
        <v>302</v>
      </c>
      <c r="D61" s="54">
        <v>46054</v>
      </c>
      <c r="E61" s="52" t="s">
        <v>3</v>
      </c>
      <c r="F61" s="53">
        <v>138.4</v>
      </c>
      <c r="G61" s="148">
        <f>IF(OR(E61="",F61=""),"",PID_KVLohnLookup($A$1,E61,F61,LOHNTABELLE!$H$4))</f>
        <v>1665.6</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6"/>
      <c r="N61" s="72"/>
    </row>
    <row r="62" spans="1:22" ht="22" customHeight="1">
      <c r="A62" s="147" t="s">
        <v>133</v>
      </c>
      <c r="B62" s="97">
        <v>505000</v>
      </c>
      <c r="C62" s="42" t="s">
        <v>303</v>
      </c>
      <c r="D62" s="46">
        <v>46054</v>
      </c>
      <c r="E62" s="44" t="s">
        <v>2</v>
      </c>
      <c r="F62" s="45">
        <v>138.4</v>
      </c>
      <c r="G62" s="148">
        <f>IF(OR(E62="",F62=""),"",PID_KVLohnLookup($A$1,E62,F62,LOHNTABELLE!$H$4))</f>
        <v>1616.8</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8"/>
      <c r="N62" s="71"/>
    </row>
    <row r="63" spans="1:22" ht="22" customHeight="1">
      <c r="A63" s="147" t="s">
        <v>134</v>
      </c>
      <c r="B63" s="98">
        <v>525025</v>
      </c>
      <c r="C63" s="50" t="s">
        <v>358</v>
      </c>
      <c r="D63" s="54">
        <v>46040</v>
      </c>
      <c r="E63" s="52" t="s">
        <v>2</v>
      </c>
      <c r="F63" s="53">
        <v>129.75</v>
      </c>
      <c r="G63" s="148">
        <f>IF(OR(E63="",F63=""),"",PID_KVLohnLookup($A$1,E63,F63,LOHNTABELLE!$H$4))</f>
        <v>1515.75</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6"/>
      <c r="N63" s="72"/>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v>800000</v>
      </c>
      <c r="C65" s="50" t="s">
        <v>312</v>
      </c>
      <c r="D65" s="54">
        <v>46096</v>
      </c>
      <c r="E65" s="52" t="s">
        <v>2</v>
      </c>
      <c r="F65" s="53">
        <v>173</v>
      </c>
      <c r="G65" s="148">
        <f>IF(OR(E65="",F65=""),"",PID_KVLohnLookup($A$1,E65,F65,LOHNTABELLE!$H$4))</f>
        <v>2021</v>
      </c>
      <c r="H65" s="149">
        <f>IF(AND(ISNUMBER(D65),ISNUMBER(F65)),ROUNDDOWN(MIN(IF(OR(ISBLANK(I65),I65=""),EOMONTH(DATE(EINSTELLUNG!$C$35,$A$1,1),0),I65)-MAX(D65,DATE(EINSTELLUNG!$C$35,$A$1,1))+1)/DAY(EOMONTH(DATE(EINSTELLUNG!$C$35,$A$1,1),0))*F65,2),"")</f>
        <v>173</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pBodnso0TYPKjivmcMmd6/DHSgCng74S+hFPl+92zM3zvQZoyYUFgcq7/xXEZ9w+jHCeSYRCZ/X/a8N8tWqRA==" saltValue="PPWypWYpa5VgxDXODIpeyg=="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234B274F-8F6A-499D-9950-ECE695234BC8}">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F071DC93-D0EC-4A04-A71C-BF05ADD55F44}">
          <x14:formula1>
            <xm:f>KV_DROPDOWN_HELPER!$IK$1:$IK$13</xm:f>
          </x14:formula1>
          <xm:sqref>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16" activePane="bottomLeft" state="frozen"/>
      <selection activeCell="T24" sqref="T24"/>
      <selection pane="bottomLeft" activeCell="I20" sqref="I20"/>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5</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46143</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46173</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903.43378781889612</v>
      </c>
      <c r="P5" s="152">
        <f>EINSTELLUNG!I10</f>
        <v>600</v>
      </c>
      <c r="Q5" s="152">
        <f>P5-O5</f>
        <v>-303.43378781889612</v>
      </c>
      <c r="R5" s="153">
        <f>IFERROR(Q5*Q42, 0)</f>
        <v>-4961.6320357043105</v>
      </c>
      <c r="S5" s="145"/>
      <c r="T5" s="145"/>
      <c r="U5" s="145"/>
      <c r="V5" s="145"/>
    </row>
    <row r="6" spans="1:28" ht="22" customHeight="1">
      <c r="A6" s="147" t="s">
        <v>53</v>
      </c>
      <c r="B6" s="97">
        <v>401051</v>
      </c>
      <c r="C6" s="42" t="s">
        <v>227</v>
      </c>
      <c r="D6" s="43">
        <v>41176</v>
      </c>
      <c r="E6" s="44" t="s">
        <v>2</v>
      </c>
      <c r="F6" s="45">
        <v>173</v>
      </c>
      <c r="G6" s="148">
        <f>IF(OR(E6="",F6=""),"",PID_KVLohnLookup($A$1,E6,F6,LOHNTABELLE!$H$4))</f>
        <v>2900</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321" t="s">
        <v>56</v>
      </c>
      <c r="P8" s="322"/>
      <c r="Q8" s="323">
        <f>SUM(H3:H82)</f>
        <v>9160.9299999999985</v>
      </c>
      <c r="R8" s="324"/>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EINSTELLUNG!L26</f>
        <v>5</v>
      </c>
      <c r="R9" s="341"/>
      <c r="S9" s="154">
        <f>IFERROR(Q9/Q8, 0)</f>
        <v>5.4579611458661957E-4</v>
      </c>
      <c r="T9" s="145"/>
      <c r="U9" s="145"/>
      <c r="V9" s="145"/>
    </row>
    <row r="10" spans="1:28" ht="22" customHeight="1">
      <c r="A10" s="147" t="s">
        <v>59</v>
      </c>
      <c r="B10" s="97">
        <v>401214</v>
      </c>
      <c r="C10" s="42" t="s">
        <v>255</v>
      </c>
      <c r="D10" s="46">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EINSTELLUNG!I26</f>
        <v>450</v>
      </c>
      <c r="R10" s="341"/>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325" t="s">
        <v>62</v>
      </c>
      <c r="P11" s="326"/>
      <c r="Q11" s="340">
        <f>P5</f>
        <v>600</v>
      </c>
      <c r="R11" s="341"/>
      <c r="S11" s="145"/>
      <c r="T11" s="145"/>
      <c r="U11" s="145"/>
      <c r="V11" s="145"/>
    </row>
    <row r="12" spans="1:28" ht="22" customHeight="1">
      <c r="A12" s="147" t="s">
        <v>63</v>
      </c>
      <c r="B12" s="97">
        <v>401276</v>
      </c>
      <c r="C12" s="42" t="s">
        <v>404</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66</v>
      </c>
      <c r="P12" s="326"/>
      <c r="Q12" s="340">
        <f>Q8-Q9-Q10-Q11</f>
        <v>8105.9299999999985</v>
      </c>
      <c r="R12" s="341"/>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325" t="s">
        <v>68</v>
      </c>
      <c r="P13" s="326"/>
      <c r="Q13" s="340">
        <f>EINSTELLUNG!L10</f>
        <v>9300</v>
      </c>
      <c r="R13" s="341"/>
      <c r="S13" s="145"/>
      <c r="T13" s="145"/>
      <c r="U13" s="145"/>
      <c r="V13" s="145"/>
    </row>
    <row r="14" spans="1:28" ht="22" customHeight="1" thickBo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311" t="s">
        <v>70</v>
      </c>
      <c r="P14" s="312"/>
      <c r="Q14" s="313">
        <f>Q12-Q13</f>
        <v>-1194.0700000000015</v>
      </c>
      <c r="R14" s="314"/>
      <c r="S14" s="145"/>
      <c r="T14" s="145"/>
      <c r="U14" s="145"/>
      <c r="V14" s="145"/>
    </row>
    <row r="15" spans="1:28" ht="22" customHeight="1">
      <c r="A15" s="147" t="s">
        <v>69</v>
      </c>
      <c r="B15" s="98">
        <v>401394</v>
      </c>
      <c r="C15" s="50" t="s">
        <v>233</v>
      </c>
      <c r="D15" s="51">
        <v>44379</v>
      </c>
      <c r="E15" s="52" t="s">
        <v>2</v>
      </c>
      <c r="F15" s="53">
        <v>173</v>
      </c>
      <c r="G15" s="148">
        <f>IF(OR(E15="",F15=""),"",PID_KVLohnLookup($A$1,E15,F15,LOHNTABELLE!$H$4))</f>
        <v>2900</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6"/>
      <c r="N15" s="72"/>
      <c r="O15" s="391" t="str">
        <f>IF(Q14&lt;0, "Schlecht! Zu wenig Stunden für Dienstplan.", IF(Q14&gt;0, "Du hast mehr als genug Stunden für Dienstplan.", ""))</f>
        <v>Schlecht! Zu wenig Stunden für Dienstplan.</v>
      </c>
      <c r="P15" s="392"/>
      <c r="Q15" s="392"/>
      <c r="R15" s="392"/>
      <c r="S15" s="156"/>
      <c r="T15" s="156"/>
      <c r="U15" s="156"/>
      <c r="V15" s="145"/>
    </row>
    <row r="16" spans="1:28" ht="22" customHeight="1" thickBot="1">
      <c r="A16" s="147" t="s">
        <v>71</v>
      </c>
      <c r="B16" s="97">
        <v>401406</v>
      </c>
      <c r="C16" s="42" t="s">
        <v>405</v>
      </c>
      <c r="D16" s="43">
        <v>36850</v>
      </c>
      <c r="E16" s="44" t="s">
        <v>10</v>
      </c>
      <c r="F16" s="45">
        <v>151.38</v>
      </c>
      <c r="G16" s="148">
        <f>IF(OR(E16="",F16=""),"",PID_KVLohnLookup($A$1,E16,F16,LOHNTABELLE!$H$4))</f>
        <v>2012.5</v>
      </c>
      <c r="H16" s="149">
        <f>IF(AND(ISNUMBER(D16),ISNUMBER(F16)),ROUNDDOWN(MIN(IF(OR(ISBLANK(I16),I16=""),EOMONTH(DATE(EINSTELLUNG!$C$35,$A$1,1),0),I16)-MAX(D16,DATE(EINSTELLUNG!$C$35,$A$1,1))+1)/DAY(EOMONTH(DATE(EINSTELLUNG!$C$35,$A$1,1),0))*F16,2),"")</f>
        <v>151.38</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8"/>
      <c r="N16" s="71"/>
      <c r="O16" s="384"/>
      <c r="P16" s="385"/>
      <c r="Q16" s="385"/>
      <c r="R16" s="386"/>
      <c r="S16" s="157"/>
      <c r="T16" s="157"/>
      <c r="U16" s="157"/>
      <c r="V16" s="157"/>
      <c r="W16" s="158"/>
    </row>
    <row r="17" spans="1:29" ht="22" customHeight="1">
      <c r="A17" s="147" t="s">
        <v>72</v>
      </c>
      <c r="B17" s="98">
        <v>401432</v>
      </c>
      <c r="C17" s="50" t="s">
        <v>235</v>
      </c>
      <c r="D17" s="51">
        <v>44441</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6"/>
      <c r="N17" s="72"/>
      <c r="O17" s="387" t="s">
        <v>73</v>
      </c>
      <c r="P17" s="322"/>
      <c r="Q17" s="331">
        <f>SUM(L3:L82)</f>
        <v>149795.98709677419</v>
      </c>
      <c r="R17" s="332"/>
      <c r="S17" s="145"/>
      <c r="T17" s="145"/>
      <c r="U17" s="145"/>
      <c r="V17" s="145"/>
      <c r="W17" s="158"/>
    </row>
    <row r="18" spans="1:29" ht="22" customHeight="1">
      <c r="A18" s="147" t="s">
        <v>74</v>
      </c>
      <c r="B18" s="97">
        <v>401476</v>
      </c>
      <c r="C18" s="42" t="s">
        <v>237</v>
      </c>
      <c r="D18" s="43">
        <v>44504</v>
      </c>
      <c r="E18" s="44" t="s">
        <v>2</v>
      </c>
      <c r="F18" s="45">
        <v>173</v>
      </c>
      <c r="G18" s="148">
        <f>IF(OR(E18="",F18=""),"",PID_KVLohnLookup($A$1,E18,F18,LOHNTABELLE!$H$4))</f>
        <v>2900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8"/>
      <c r="N18" s="71"/>
      <c r="O18" s="379" t="s">
        <v>384</v>
      </c>
      <c r="P18" s="320"/>
      <c r="Q18" s="309">
        <v>20</v>
      </c>
      <c r="R18" s="310"/>
      <c r="S18" s="145"/>
      <c r="T18" s="145"/>
      <c r="U18" s="145"/>
      <c r="V18" s="145"/>
    </row>
    <row r="19" spans="1:29" ht="22" customHeight="1">
      <c r="A19" s="147" t="s">
        <v>75</v>
      </c>
      <c r="B19" s="98">
        <v>401479</v>
      </c>
      <c r="C19" s="50" t="s">
        <v>238</v>
      </c>
      <c r="D19" s="51">
        <v>44511</v>
      </c>
      <c r="E19" s="52" t="s">
        <v>6</v>
      </c>
      <c r="F19" s="53">
        <v>173</v>
      </c>
      <c r="G19" s="148">
        <f>IF(OR(E19="",F19=""),"",PID_KVLohnLookup($A$1,E19,F19,LOHNTABELLE!$H$4))</f>
        <v>2160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6"/>
      <c r="N19" s="72"/>
      <c r="O19" s="379" t="s">
        <v>295</v>
      </c>
      <c r="P19" s="320"/>
      <c r="Q19" s="309">
        <v>333</v>
      </c>
      <c r="R19" s="310"/>
      <c r="S19" s="145"/>
      <c r="T19" s="145"/>
      <c r="U19" s="145"/>
      <c r="V19" s="145"/>
    </row>
    <row r="20" spans="1:29" ht="22" customHeight="1">
      <c r="A20" s="147" t="s">
        <v>76</v>
      </c>
      <c r="B20" s="97">
        <v>401481</v>
      </c>
      <c r="C20" s="42" t="s">
        <v>239</v>
      </c>
      <c r="D20" s="46">
        <v>44531</v>
      </c>
      <c r="E20" s="44" t="s">
        <v>3</v>
      </c>
      <c r="F20" s="45">
        <v>173</v>
      </c>
      <c r="G20" s="148">
        <f>IF(OR(E20="",F20=""),"",PID_KVLohnLookup($A$1,E20,F20,LOHNTABELLE!$H$4))</f>
        <v>2082</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8"/>
      <c r="N20" s="71"/>
      <c r="O20" s="379" t="s">
        <v>295</v>
      </c>
      <c r="P20" s="320"/>
      <c r="Q20" s="309">
        <v>35</v>
      </c>
      <c r="R20" s="310"/>
      <c r="S20" s="145"/>
      <c r="T20" s="145"/>
      <c r="U20" s="145"/>
      <c r="V20" s="145"/>
    </row>
    <row r="21" spans="1:29" ht="22" customHeight="1">
      <c r="A21" s="147" t="s">
        <v>77</v>
      </c>
      <c r="B21" s="98">
        <v>401558</v>
      </c>
      <c r="C21" s="50" t="s">
        <v>236</v>
      </c>
      <c r="D21" s="51">
        <v>44460</v>
      </c>
      <c r="E21" s="52" t="s">
        <v>2</v>
      </c>
      <c r="F21" s="53">
        <v>173</v>
      </c>
      <c r="G21" s="148">
        <f>IF(OR(E21="",F21=""),"",PID_KVLohnLookup($A$1,E21,F21,LOHNTABELLE!$H$4))</f>
        <v>2900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6"/>
      <c r="N21" s="72"/>
      <c r="O21" s="379" t="s">
        <v>295</v>
      </c>
      <c r="P21" s="320"/>
      <c r="Q21" s="309">
        <v>100</v>
      </c>
      <c r="R21" s="310"/>
      <c r="S21" s="145"/>
      <c r="T21" s="145"/>
      <c r="U21" s="145"/>
      <c r="V21" s="145"/>
    </row>
    <row r="22" spans="1:29" ht="22" customHeight="1">
      <c r="A22" s="147" t="s">
        <v>78</v>
      </c>
      <c r="B22" s="97">
        <v>401564</v>
      </c>
      <c r="C22" s="42" t="s">
        <v>240</v>
      </c>
      <c r="D22" s="43">
        <v>44824</v>
      </c>
      <c r="E22" s="44" t="s">
        <v>2</v>
      </c>
      <c r="F22" s="45">
        <v>151.38</v>
      </c>
      <c r="G22" s="148">
        <f>IF(OR(E22="",F22=""),"",PID_KVLohnLookup($A$1,E22,F22,LOHNTABELLE!$H$4))</f>
        <v>2500</v>
      </c>
      <c r="H22" s="149">
        <f>IF(AND(ISNUMBER(D22),ISNUMBER(F22)),ROUNDDOWN(MIN(IF(OR(ISBLANK(I22),I22=""),EOMONTH(DATE(EINSTELLUNG!$C$35,$A$1,1),0),I22)-MAX(D22,DATE(EINSTELLUNG!$C$35,$A$1,1))+1)/DAY(EOMONTH(DATE(EINSTELLUNG!$C$35,$A$1,1),0))*F22,2),"")</f>
        <v>151.38</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8"/>
      <c r="N22" s="71"/>
      <c r="O22" s="379" t="s">
        <v>295</v>
      </c>
      <c r="P22" s="320"/>
      <c r="Q22" s="309"/>
      <c r="R22" s="310"/>
      <c r="S22" s="145"/>
      <c r="T22" s="145"/>
      <c r="U22" s="145"/>
      <c r="V22" s="145"/>
    </row>
    <row r="23" spans="1:29" ht="22" customHeight="1">
      <c r="A23" s="147" t="s">
        <v>79</v>
      </c>
      <c r="B23" s="98">
        <v>401583</v>
      </c>
      <c r="C23" s="50" t="s">
        <v>242</v>
      </c>
      <c r="D23" s="51">
        <v>44900</v>
      </c>
      <c r="E23" s="52" t="s">
        <v>13</v>
      </c>
      <c r="F23" s="53">
        <v>173</v>
      </c>
      <c r="G23" s="148">
        <f>IF(OR(E23="",F23=""),"",PID_KVLohnLookup($A$1,E23,F23,LOHNTABELLE!$H$4))</f>
        <v>2328</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6"/>
      <c r="N23" s="72"/>
      <c r="O23" s="379" t="s">
        <v>295</v>
      </c>
      <c r="P23" s="320"/>
      <c r="Q23" s="309">
        <v>5000</v>
      </c>
      <c r="R23" s="310"/>
      <c r="S23" s="145"/>
      <c r="T23" s="145"/>
      <c r="U23" s="145"/>
      <c r="V23" s="145"/>
      <c r="W23" s="158"/>
    </row>
    <row r="24" spans="1:29" ht="22" customHeight="1">
      <c r="A24" s="147" t="s">
        <v>80</v>
      </c>
      <c r="B24" s="97">
        <v>401589</v>
      </c>
      <c r="C24" s="42" t="s">
        <v>243</v>
      </c>
      <c r="D24" s="43">
        <v>44926</v>
      </c>
      <c r="E24" s="44" t="s">
        <v>10</v>
      </c>
      <c r="F24" s="45">
        <v>173</v>
      </c>
      <c r="G24" s="148">
        <f>IF(OR(E24="",F24=""),"",PID_KVLohnLookup($A$1,E24,F24,LOHNTABELLE!$H$4))</f>
        <v>2300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8"/>
      <c r="N24" s="71"/>
      <c r="O24" s="379"/>
      <c r="P24" s="320"/>
      <c r="Q24" s="309"/>
      <c r="R24" s="310"/>
      <c r="S24" s="145"/>
      <c r="T24" s="145"/>
      <c r="U24" s="145"/>
      <c r="V24" s="145"/>
      <c r="W24" s="158"/>
    </row>
    <row r="25" spans="1:29" ht="22" customHeight="1">
      <c r="A25" s="147" t="s">
        <v>81</v>
      </c>
      <c r="B25" s="98">
        <v>401602</v>
      </c>
      <c r="C25" s="50" t="s">
        <v>244</v>
      </c>
      <c r="D25" s="51">
        <v>45975</v>
      </c>
      <c r="E25" s="52" t="s">
        <v>2</v>
      </c>
      <c r="F25" s="53">
        <v>169</v>
      </c>
      <c r="G25" s="148">
        <f>IF(OR(E25="",F25=""),"",PID_KVLohnLookup($A$1,E25,F25,LOHNTABELLE!$H$4))</f>
        <v>2000</v>
      </c>
      <c r="H25" s="149">
        <f>IF(AND(ISNUMBER(D25),ISNUMBER(F25)),ROUNDDOWN(MIN(IF(OR(ISBLANK(I25),I25=""),EOMONTH(DATE(EINSTELLUNG!$C$35,$A$1,1),0),I25)-MAX(D25,DATE(EINSTELLUNG!$C$35,$A$1,1))+1)/DAY(EOMONTH(DATE(EINSTELLUNG!$C$35,$A$1,1),0))*F25,2),"")</f>
        <v>169</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6"/>
      <c r="N25" s="72"/>
      <c r="O25" s="379"/>
      <c r="P25" s="320"/>
      <c r="Q25" s="309"/>
      <c r="R25" s="310"/>
      <c r="S25" s="145"/>
      <c r="T25" s="145"/>
      <c r="U25" s="145"/>
      <c r="V25" s="145"/>
    </row>
    <row r="26" spans="1:29" ht="22" customHeight="1">
      <c r="A26" s="147" t="s">
        <v>82</v>
      </c>
      <c r="B26" s="97">
        <v>401605</v>
      </c>
      <c r="C26" s="42" t="s">
        <v>245</v>
      </c>
      <c r="D26" s="43">
        <v>44986</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79"/>
      <c r="P26" s="320"/>
      <c r="Q26" s="309"/>
      <c r="R26" s="310"/>
      <c r="S26" s="145"/>
      <c r="T26" s="145"/>
      <c r="U26" s="145"/>
      <c r="V26" s="145"/>
    </row>
    <row r="27" spans="1:29" ht="22" customHeight="1">
      <c r="A27" s="147" t="s">
        <v>83</v>
      </c>
      <c r="B27" s="98">
        <v>401605</v>
      </c>
      <c r="C27" s="50" t="s">
        <v>405</v>
      </c>
      <c r="D27" s="51">
        <v>36850</v>
      </c>
      <c r="E27" s="52" t="s">
        <v>10</v>
      </c>
      <c r="F27" s="53">
        <v>151.38</v>
      </c>
      <c r="G27" s="148">
        <f>IF(OR(E27="",F27=""),"",PID_KVLohnLookup($A$1,E27,F27,LOHNTABELLE!$H$4))</f>
        <v>2012.5</v>
      </c>
      <c r="H27" s="149">
        <f>IF(AND(ISNUMBER(D27),ISNUMBER(F27)),ROUNDDOWN(MIN(IF(OR(ISBLANK(I27),I27=""),EOMONTH(DATE(EINSTELLUNG!$C$35,$A$1,1),0),I27)-MAX(D27,DATE(EINSTELLUNG!$C$35,$A$1,1))+1)/DAY(EOMONTH(DATE(EINSTELLUNG!$C$35,$A$1,1),0))*F27,2),"")</f>
        <v>151.38</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6"/>
      <c r="N27" s="72"/>
      <c r="O27" s="379"/>
      <c r="P27" s="320"/>
      <c r="Q27" s="309"/>
      <c r="R27" s="310"/>
      <c r="S27" s="318" t="s">
        <v>84</v>
      </c>
      <c r="T27" s="318"/>
      <c r="U27" s="318"/>
      <c r="V27" s="318"/>
    </row>
    <row r="28" spans="1:29" ht="22" customHeight="1">
      <c r="A28" s="147" t="s">
        <v>85</v>
      </c>
      <c r="B28" s="97">
        <v>401626</v>
      </c>
      <c r="C28" s="42" t="s">
        <v>246</v>
      </c>
      <c r="D28" s="46">
        <v>45063</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401633</v>
      </c>
      <c r="C29" s="50" t="s">
        <v>247</v>
      </c>
      <c r="D29" s="51">
        <v>45089</v>
      </c>
      <c r="E29" s="52" t="s">
        <v>10</v>
      </c>
      <c r="F29" s="53">
        <v>173</v>
      </c>
      <c r="G29" s="148">
        <f>IF(OR(E29="",F29=""),"",PID_KVLohnLookup($A$1,E29,F29,LOHNTABELLE!$H$4))</f>
        <v>2300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6"/>
      <c r="N29" s="72"/>
      <c r="O29" s="383" t="s">
        <v>87</v>
      </c>
      <c r="P29" s="312"/>
      <c r="Q29" s="366">
        <f>EINSTELLUNG!O10</f>
        <v>1250</v>
      </c>
      <c r="R29" s="367"/>
      <c r="S29" s="145"/>
      <c r="T29" s="145"/>
      <c r="U29" s="145"/>
      <c r="V29" s="145"/>
    </row>
    <row r="30" spans="1:29" ht="22" customHeight="1" thickBot="1">
      <c r="A30" s="147" t="s">
        <v>88</v>
      </c>
      <c r="B30" s="97">
        <v>401647</v>
      </c>
      <c r="C30" s="42" t="s">
        <v>248</v>
      </c>
      <c r="D30" s="43">
        <v>45182</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401661</v>
      </c>
      <c r="C31" s="50" t="s">
        <v>249</v>
      </c>
      <c r="D31" s="51">
        <v>45261</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80">
        <v>0</v>
      </c>
      <c r="P31" s="371"/>
      <c r="Q31" s="355">
        <v>3.2000000000000001E-2</v>
      </c>
      <c r="R31" s="356"/>
      <c r="S31" s="145"/>
      <c r="T31" s="145"/>
      <c r="U31" s="145"/>
      <c r="V31" s="145"/>
    </row>
    <row r="32" spans="1:29" ht="22" customHeight="1" thickBot="1">
      <c r="A32" s="147" t="s">
        <v>91</v>
      </c>
      <c r="B32" s="97">
        <v>401670</v>
      </c>
      <c r="C32" s="57" t="s">
        <v>250</v>
      </c>
      <c r="D32" s="46">
        <v>45358</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401678</v>
      </c>
      <c r="C33" s="50" t="s">
        <v>251</v>
      </c>
      <c r="D33" s="51">
        <v>45414</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401690</v>
      </c>
      <c r="C34" s="42" t="s">
        <v>253</v>
      </c>
      <c r="D34" s="43">
        <v>45536</v>
      </c>
      <c r="E34" s="44" t="s">
        <v>2</v>
      </c>
      <c r="F34" s="45">
        <v>151.38</v>
      </c>
      <c r="G34" s="148">
        <f>IF(OR(E34="",F34=""),"",PID_KVLohnLookup($A$1,E34,F34,LOHNTABELLE!$H$4))</f>
        <v>2500</v>
      </c>
      <c r="H34" s="149">
        <f>IF(AND(ISNUMBER(D34),ISNUMBER(F34)),ROUNDDOWN(MIN(IF(OR(ISBLANK(I34),I34=""),EOMONTH(DATE(EINSTELLUNG!$C$35,$A$1,1),0),I34)-MAX(D34,DATE(EINSTELLUNG!$C$35,$A$1,1))+1)/DAY(EOMONTH(DATE(EINSTELLUNG!$C$35,$A$1,1),0))*F34,2),"")</f>
        <v>151.38</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8"/>
      <c r="N34" s="71"/>
      <c r="O34" s="382"/>
      <c r="P34" s="364"/>
      <c r="Q34" s="352"/>
      <c r="R34" s="352"/>
      <c r="S34" s="352"/>
      <c r="T34" s="352"/>
      <c r="U34" s="352"/>
      <c r="V34" s="354"/>
    </row>
    <row r="35" spans="1:22" ht="22" customHeight="1">
      <c r="A35" s="147" t="s">
        <v>97</v>
      </c>
      <c r="B35" s="98">
        <v>401703</v>
      </c>
      <c r="C35" s="50" t="s">
        <v>254</v>
      </c>
      <c r="D35" s="51">
        <v>45616</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11.16</v>
      </c>
      <c r="I35" s="54">
        <v>46144</v>
      </c>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187.09677419354838</v>
      </c>
      <c r="M35" s="56"/>
      <c r="N35" s="72" t="s">
        <v>194</v>
      </c>
      <c r="O35" s="378" t="s">
        <v>98</v>
      </c>
      <c r="P35" s="326"/>
      <c r="Q35" s="327">
        <f>EINSTELLUNG!C10</f>
        <v>400000</v>
      </c>
      <c r="R35" s="327"/>
      <c r="S35" s="327">
        <f>EINSTELLUNG!C26</f>
        <v>420000</v>
      </c>
      <c r="T35" s="327"/>
      <c r="U35" s="327">
        <f>S35-Q35</f>
        <v>20000</v>
      </c>
      <c r="V35" s="328"/>
    </row>
    <row r="36" spans="1:22" ht="22" customHeight="1">
      <c r="A36" s="147" t="s">
        <v>99</v>
      </c>
      <c r="B36" s="97">
        <v>401715</v>
      </c>
      <c r="C36" s="42" t="s">
        <v>256</v>
      </c>
      <c r="D36" s="43">
        <v>45755</v>
      </c>
      <c r="E36" s="44" t="s">
        <v>2</v>
      </c>
      <c r="F36" s="45">
        <v>173</v>
      </c>
      <c r="G36" s="148">
        <f>IF(OR(E36="",F36=""),"",PID_KVLohnLookup($A$1,E36,F36,LOHNTABELLE!$H$4))</f>
        <v>2900</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8"/>
      <c r="N36" s="71"/>
      <c r="O36" s="378" t="s">
        <v>100</v>
      </c>
      <c r="P36" s="326"/>
      <c r="Q36" s="327">
        <f>EINSTELLUNG!D10</f>
        <v>100000</v>
      </c>
      <c r="R36" s="327"/>
      <c r="S36" s="327">
        <f ca="1">SumMergedCells(Q17:R29)</f>
        <v>156533.9871</v>
      </c>
      <c r="T36" s="327"/>
      <c r="U36" s="327">
        <f t="shared" ref="U36:U41" ca="1" si="2">S36-Q36</f>
        <v>56533.987099999998</v>
      </c>
      <c r="V36" s="328"/>
    </row>
    <row r="37" spans="1:22" ht="22" customHeight="1">
      <c r="A37" s="147" t="s">
        <v>101</v>
      </c>
      <c r="B37" s="98">
        <v>401716</v>
      </c>
      <c r="C37" s="50" t="s">
        <v>257</v>
      </c>
      <c r="D37" s="51">
        <v>45800</v>
      </c>
      <c r="E37" s="52" t="s">
        <v>2</v>
      </c>
      <c r="F37" s="53">
        <v>173</v>
      </c>
      <c r="G37" s="148">
        <f>IF(OR(E37="",F37=""),"",PID_KVLohnLookup($A$1,E37,F37,LOHNTABELLE!$H$4))</f>
        <v>2900</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56"/>
      <c r="N37" s="72"/>
      <c r="O37" s="378" t="s">
        <v>102</v>
      </c>
      <c r="P37" s="326"/>
      <c r="Q37" s="349">
        <f>IF(ISERROR(Q36/Q35), 0, Q36/Q35)</f>
        <v>0.25</v>
      </c>
      <c r="R37" s="349"/>
      <c r="S37" s="349">
        <f ca="1">IF(ISERROR(S36/S35), 0, S36/S35)</f>
        <v>0.37269996928571431</v>
      </c>
      <c r="T37" s="349"/>
      <c r="U37" s="349">
        <f t="shared" ca="1" si="2"/>
        <v>0.12269996928571431</v>
      </c>
      <c r="V37" s="350"/>
    </row>
    <row r="38" spans="1:22" ht="22" customHeight="1">
      <c r="A38" s="147" t="s">
        <v>103</v>
      </c>
      <c r="B38" s="97">
        <v>401717</v>
      </c>
      <c r="C38" s="42" t="s">
        <v>258</v>
      </c>
      <c r="D38" s="43">
        <v>45814</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EINSTELLUNG!F10</f>
        <v>30000</v>
      </c>
      <c r="R38" s="340"/>
      <c r="S38" s="340">
        <f>EINSTELLUNG!F26</f>
        <v>31000</v>
      </c>
      <c r="T38" s="340"/>
      <c r="U38" s="340">
        <f t="shared" si="2"/>
        <v>1000</v>
      </c>
      <c r="V38" s="341"/>
    </row>
    <row r="39" spans="1:22" ht="22" customHeight="1">
      <c r="A39" s="147" t="s">
        <v>105</v>
      </c>
      <c r="B39" s="98">
        <v>401722</v>
      </c>
      <c r="C39" s="50" t="s">
        <v>259</v>
      </c>
      <c r="D39" s="51">
        <v>45848</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13.548387096774194</v>
      </c>
      <c r="T39" s="327"/>
      <c r="U39" s="327">
        <f t="shared" si="2"/>
        <v>0.21505376344086002</v>
      </c>
      <c r="V39" s="328"/>
    </row>
    <row r="40" spans="1:22" ht="22" customHeight="1">
      <c r="A40" s="147" t="s">
        <v>107</v>
      </c>
      <c r="B40" s="97">
        <v>401723</v>
      </c>
      <c r="C40" s="42" t="s">
        <v>260</v>
      </c>
      <c r="D40" s="46">
        <v>45852</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IF(Q12=0, 0, Q35/Q12)</f>
        <v>49.346589472151877</v>
      </c>
      <c r="R40" s="327"/>
      <c r="S40" s="327">
        <f>IF(Q12=0, 0, S35/Q12)</f>
        <v>51.813918945759475</v>
      </c>
      <c r="T40" s="327"/>
      <c r="U40" s="327">
        <f t="shared" si="2"/>
        <v>2.4673294736075988</v>
      </c>
      <c r="V40" s="328"/>
    </row>
    <row r="41" spans="1:22" ht="22" customHeight="1">
      <c r="A41" s="147" t="s">
        <v>109</v>
      </c>
      <c r="B41" s="98">
        <v>401726</v>
      </c>
      <c r="C41" s="50" t="s">
        <v>261</v>
      </c>
      <c r="D41" s="54">
        <v>45870</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IF(Q12=0, 0, Q38/Q12)</f>
        <v>3.7009942104113911</v>
      </c>
      <c r="R41" s="340"/>
      <c r="S41" s="340">
        <f>IF(Q12=0, 0, S38/Q12)</f>
        <v>3.8243606840917708</v>
      </c>
      <c r="T41" s="340"/>
      <c r="U41" s="340">
        <f t="shared" si="2"/>
        <v>0.12336647368037967</v>
      </c>
      <c r="V41" s="341"/>
    </row>
    <row r="42" spans="1:22" ht="22" customHeight="1">
      <c r="A42" s="147" t="s">
        <v>111</v>
      </c>
      <c r="B42" s="97">
        <v>401730</v>
      </c>
      <c r="C42" s="42" t="s">
        <v>263</v>
      </c>
      <c r="D42" s="43">
        <v>45895</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16.351613547617351</v>
      </c>
      <c r="R42" s="335"/>
      <c r="S42" s="335"/>
      <c r="T42" s="335"/>
      <c r="U42" s="335"/>
      <c r="V42" s="336"/>
    </row>
    <row r="43" spans="1:22" ht="22" customHeight="1">
      <c r="A43" s="147" t="s">
        <v>113</v>
      </c>
      <c r="B43" s="98">
        <v>401731</v>
      </c>
      <c r="C43" s="50" t="s">
        <v>262</v>
      </c>
      <c r="D43" s="54">
        <v>45899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401734</v>
      </c>
      <c r="C44" s="42" t="s">
        <v>264</v>
      </c>
      <c r="D44" s="43">
        <v>45904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401736</v>
      </c>
      <c r="C45" s="50" t="s">
        <v>265</v>
      </c>
      <c r="D45" s="51">
        <v>45906</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69.75</v>
      </c>
      <c r="I45" s="54">
        <v>46167</v>
      </c>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56"/>
      <c r="N45" s="72" t="s">
        <v>186</v>
      </c>
      <c r="O45" s="347"/>
      <c r="P45" s="347"/>
      <c r="Q45" s="347"/>
      <c r="R45" s="348"/>
      <c r="S45" s="348"/>
      <c r="T45" s="348"/>
      <c r="U45" s="348"/>
      <c r="V45" s="145"/>
    </row>
    <row r="46" spans="1:22" ht="22" customHeight="1">
      <c r="A46" s="147" t="s">
        <v>117</v>
      </c>
      <c r="B46" s="97">
        <v>401737</v>
      </c>
      <c r="C46" s="42" t="s">
        <v>266</v>
      </c>
      <c r="D46" s="43">
        <v>45906</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401738</v>
      </c>
      <c r="C47" s="50" t="s">
        <v>267</v>
      </c>
      <c r="D47" s="51">
        <v>45909</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401745</v>
      </c>
      <c r="C48" s="42" t="s">
        <v>271</v>
      </c>
      <c r="D48" s="43">
        <v>45934</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401746</v>
      </c>
      <c r="C49" s="50" t="s">
        <v>270</v>
      </c>
      <c r="D49" s="51">
        <v>45941</v>
      </c>
      <c r="E49" s="52" t="s">
        <v>2</v>
      </c>
      <c r="F49" s="53">
        <v>86.5</v>
      </c>
      <c r="G49" s="148">
        <f>IF(OR(E49="",F49=""),"",PID_KVLohnLookup($A$1,E49,F49,LOHNTABELLE!$H$4))</f>
        <v>2152</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6"/>
      <c r="N49" s="72"/>
      <c r="O49" s="145"/>
      <c r="P49" s="145"/>
      <c r="Q49" s="145"/>
      <c r="R49" s="145"/>
      <c r="S49" s="145"/>
      <c r="T49" s="145"/>
      <c r="U49" s="145"/>
      <c r="V49" s="145"/>
    </row>
    <row r="50" spans="1:22" ht="22" customHeight="1">
      <c r="A50" s="147" t="s">
        <v>121</v>
      </c>
      <c r="B50" s="97">
        <v>401747</v>
      </c>
      <c r="C50" s="42" t="s">
        <v>268</v>
      </c>
      <c r="D50" s="43">
        <v>45941</v>
      </c>
      <c r="E50" s="44" t="s">
        <v>2</v>
      </c>
      <c r="F50" s="45">
        <v>86.5</v>
      </c>
      <c r="G50" s="148">
        <f>IF(OR(E50="",F50=""),"",PID_KVLohnLookup($A$1,E50,F50,LOHNTABELLE!$H$4))</f>
        <v>2152</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8"/>
      <c r="N50" s="71"/>
      <c r="O50" s="145"/>
      <c r="P50" s="145"/>
      <c r="Q50" s="145"/>
      <c r="R50" s="145"/>
      <c r="S50" s="145"/>
      <c r="T50" s="145"/>
      <c r="U50" s="145"/>
      <c r="V50" s="145"/>
    </row>
    <row r="51" spans="1:22" ht="22" customHeight="1">
      <c r="A51" s="147" t="s">
        <v>122</v>
      </c>
      <c r="B51" s="98">
        <v>401748</v>
      </c>
      <c r="C51" s="50" t="s">
        <v>269</v>
      </c>
      <c r="D51" s="51">
        <v>45941</v>
      </c>
      <c r="E51" s="52" t="s">
        <v>2</v>
      </c>
      <c r="F51" s="53">
        <v>138.4</v>
      </c>
      <c r="G51" s="148">
        <f>IF(OR(E51="",F51=""),"",PID_KVLohnLookup($A$1,E51,F51,LOHNTABELLE!$H$4))</f>
        <v>2400</v>
      </c>
      <c r="H51" s="149">
        <f>IF(AND(ISNUMBER(D51),ISNUMBER(F51)),ROUNDDOWN(MIN(IF(OR(ISBLANK(I51),I51=""),EOMONTH(DATE(EINSTELLUNG!$C$35,$A$1,1),0),I51)-MAX(D51,DATE(EINSTELLUNG!$C$35,$A$1,1))+1)/DAY(EOMONTH(DATE(EINSTELLUNG!$C$35,$A$1,1),0))*F51,2),"")</f>
        <v>138.4</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2400</v>
      </c>
      <c r="M51" s="56"/>
      <c r="N51" s="72"/>
    </row>
    <row r="52" spans="1:22" ht="22" customHeight="1">
      <c r="A52" s="147" t="s">
        <v>123</v>
      </c>
      <c r="B52" s="97">
        <v>401751</v>
      </c>
      <c r="C52" s="42" t="s">
        <v>272</v>
      </c>
      <c r="D52" s="43">
        <v>45961</v>
      </c>
      <c r="E52" s="44" t="s">
        <v>2</v>
      </c>
      <c r="F52" s="45">
        <v>86.5</v>
      </c>
      <c r="G52" s="148">
        <f>IF(OR(E52="",F52=""),"",PID_KVLohnLookup($A$1,E52,F52,LOHNTABELLE!$H$4))</f>
        <v>2152</v>
      </c>
      <c r="H52" s="149">
        <f>IF(AND(ISNUMBER(D52),ISNUMBER(F52)),ROUNDDOWN(MIN(IF(OR(ISBLANK(I52),I52=""),EOMONTH(DATE(EINSTELLUNG!$C$35,$A$1,1),0),I52)-MAX(D52,DATE(EINSTELLUNG!$C$35,$A$1,1))+1)/DAY(EOMONTH(DATE(EINSTELLUNG!$C$35,$A$1,1),0))*F52,2),"")</f>
        <v>86.5</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48"/>
      <c r="N52" s="71"/>
    </row>
    <row r="53" spans="1:22" ht="22" customHeight="1">
      <c r="A53" s="147" t="s">
        <v>124</v>
      </c>
      <c r="B53" s="98">
        <v>401752</v>
      </c>
      <c r="C53" s="50" t="s">
        <v>273</v>
      </c>
      <c r="D53" s="51">
        <v>45986</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401999</v>
      </c>
      <c r="C54" s="42" t="s">
        <v>357</v>
      </c>
      <c r="D54" s="43">
        <v>46041</v>
      </c>
      <c r="E54" s="44" t="s">
        <v>2</v>
      </c>
      <c r="F54" s="45">
        <v>151.38</v>
      </c>
      <c r="G54" s="148">
        <f>IF(OR(E54="",F54=""),"",PID_KVLohnLookup($A$1,E54,F54,LOHNTABELLE!$H$4))</f>
        <v>2500</v>
      </c>
      <c r="H54" s="149">
        <f>IF(AND(ISNUMBER(D54),ISNUMBER(F54)),ROUNDDOWN(MIN(IF(OR(ISBLANK(I54),I54=""),EOMONTH(DATE(EINSTELLUNG!$C$35,$A$1,1),0),I54)-MAX(D54,DATE(EINSTELLUNG!$C$35,$A$1,1))+1)/DAY(EOMONTH(DATE(EINSTELLUNG!$C$35,$A$1,1),0))*F54,2),"")</f>
        <v>151.38</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48"/>
      <c r="N54" s="71"/>
    </row>
    <row r="55" spans="1:22" ht="22" customHeight="1">
      <c r="A55" s="147" t="s">
        <v>126</v>
      </c>
      <c r="B55" s="98">
        <v>401999</v>
      </c>
      <c r="C55" s="50" t="s">
        <v>294</v>
      </c>
      <c r="D55" s="54">
        <v>46082</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402000</v>
      </c>
      <c r="C56" s="42" t="s">
        <v>297</v>
      </c>
      <c r="D56" s="46">
        <v>46143</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402004</v>
      </c>
      <c r="C57" s="50" t="s">
        <v>298</v>
      </c>
      <c r="D57" s="54">
        <v>46122</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402405</v>
      </c>
      <c r="C58" s="42" t="s">
        <v>300</v>
      </c>
      <c r="D58" s="46">
        <v>46054</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500600</v>
      </c>
      <c r="C59" s="50" t="s">
        <v>304</v>
      </c>
      <c r="D59" s="54">
        <v>46054</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502000</v>
      </c>
      <c r="C60" s="42" t="s">
        <v>299</v>
      </c>
      <c r="D60" s="46">
        <v>46147</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150.66999999999999</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48"/>
      <c r="N60" s="71"/>
    </row>
    <row r="61" spans="1:22" ht="22" customHeight="1">
      <c r="A61" s="147" t="s">
        <v>132</v>
      </c>
      <c r="B61" s="98">
        <v>503000</v>
      </c>
      <c r="C61" s="50" t="s">
        <v>301</v>
      </c>
      <c r="D61" s="54">
        <v>42401</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504000</v>
      </c>
      <c r="C62" s="42" t="s">
        <v>302</v>
      </c>
      <c r="D62" s="46">
        <v>46054</v>
      </c>
      <c r="E62" s="44" t="s">
        <v>3</v>
      </c>
      <c r="F62" s="45">
        <v>138.4</v>
      </c>
      <c r="G62" s="148">
        <f>IF(OR(E62="",F62=""),"",PID_KVLohnLookup($A$1,E62,F62,LOHNTABELLE!$H$4))</f>
        <v>1665.6</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48"/>
      <c r="N62" s="71"/>
    </row>
    <row r="63" spans="1:22" ht="22" customHeight="1">
      <c r="A63" s="147" t="s">
        <v>134</v>
      </c>
      <c r="B63" s="98">
        <v>505000</v>
      </c>
      <c r="C63" s="50" t="s">
        <v>303</v>
      </c>
      <c r="D63" s="54">
        <v>46054</v>
      </c>
      <c r="E63" s="52" t="s">
        <v>2</v>
      </c>
      <c r="F63" s="53">
        <v>138.4</v>
      </c>
      <c r="G63" s="148">
        <f>IF(OR(E63="",F63=""),"",PID_KVLohnLookup($A$1,E63,F63,LOHNTABELLE!$H$4))</f>
        <v>2400</v>
      </c>
      <c r="H63" s="149">
        <f>IF(AND(ISNUMBER(D63),ISNUMBER(F63)),ROUNDDOWN(MIN(IF(OR(ISBLANK(I63),I63=""),EOMONTH(DATE(EINSTELLUNG!$C$35,$A$1,1),0),I63)-MAX(D63,DATE(EINSTELLUNG!$C$35,$A$1,1))+1)/DAY(EOMONTH(DATE(EINSTELLUNG!$C$35,$A$1,1),0))*F63,2),"")</f>
        <v>138.4</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56"/>
      <c r="N63" s="72"/>
    </row>
    <row r="64" spans="1:22" ht="22" customHeight="1">
      <c r="A64" s="147" t="s">
        <v>135</v>
      </c>
      <c r="B64" s="97">
        <v>525025</v>
      </c>
      <c r="C64" s="42" t="s">
        <v>358</v>
      </c>
      <c r="D64" s="46">
        <v>46040</v>
      </c>
      <c r="E64" s="44" t="s">
        <v>2</v>
      </c>
      <c r="F64" s="45">
        <v>129.75</v>
      </c>
      <c r="G64" s="148">
        <f>IF(OR(E64="",F64=""),"",PID_KVLohnLookup($A$1,E64,F64,LOHNTABELLE!$H$4))</f>
        <v>2300</v>
      </c>
      <c r="H64" s="149">
        <f>IF(AND(ISNUMBER(D64),ISNUMBER(F64)),ROUNDDOWN(MIN(IF(OR(ISBLANK(I64),I64=""),EOMONTH(DATE(EINSTELLUNG!$C$35,$A$1,1),0),I64)-MAX(D64,DATE(EINSTELLUNG!$C$35,$A$1,1))+1)/DAY(EOMONTH(DATE(EINSTELLUNG!$C$35,$A$1,1),0))*F64,2),"")</f>
        <v>129.75</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48"/>
      <c r="N64" s="71"/>
    </row>
    <row r="65" spans="1:14" ht="22" customHeight="1">
      <c r="A65" s="147" t="s">
        <v>136</v>
      </c>
      <c r="B65" s="98">
        <v>700000</v>
      </c>
      <c r="C65" s="50" t="s">
        <v>311</v>
      </c>
      <c r="D65" s="54">
        <v>46054</v>
      </c>
      <c r="E65" s="52" t="s">
        <v>2</v>
      </c>
      <c r="F65" s="53">
        <v>173</v>
      </c>
      <c r="G65" s="148">
        <f>IF(OR(E65="",F65=""),"",PID_KVLohnLookup($A$1,E65,F65,LOHNTABELLE!$H$4))</f>
        <v>2900</v>
      </c>
      <c r="H65" s="149">
        <f>IF(AND(ISNUMBER(D65),ISNUMBER(F65)),ROUNDDOWN(MIN(IF(OR(ISBLANK(I65),I65=""),EOMONTH(DATE(EINSTELLUNG!$C$35,$A$1,1),0),I65)-MAX(D65,DATE(EINSTELLUNG!$C$35,$A$1,1))+1)/DAY(EOMONTH(DATE(EINSTELLUNG!$C$35,$A$1,1),0))*F65,2),"")</f>
        <v>173</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56"/>
      <c r="N65" s="72"/>
    </row>
    <row r="66" spans="1:14" ht="22" customHeight="1">
      <c r="A66" s="147" t="s">
        <v>137</v>
      </c>
      <c r="B66" s="97">
        <v>800000</v>
      </c>
      <c r="C66" s="42" t="s">
        <v>312</v>
      </c>
      <c r="D66" s="46">
        <v>46096</v>
      </c>
      <c r="E66" s="44" t="s">
        <v>2</v>
      </c>
      <c r="F66" s="45">
        <v>173</v>
      </c>
      <c r="G66" s="148">
        <f>IF(OR(E66="",F66=""),"",PID_KVLohnLookup($A$1,E66,F66,LOHNTABELLE!$H$4))</f>
        <v>2900</v>
      </c>
      <c r="H66" s="149">
        <f>IF(AND(ISNUMBER(D66),ISNUMBER(F66)),ROUNDDOWN(MIN(IF(OR(ISBLANK(I66),I66=""),EOMONTH(DATE(EINSTELLUNG!$C$35,$A$1,1),0),I66)-MAX(D66,DATE(EINSTELLUNG!$C$35,$A$1,1))+1)/DAY(EOMONTH(DATE(EINSTELLUNG!$C$35,$A$1,1),0))*F66,2),"")</f>
        <v>173</v>
      </c>
      <c r="I66" s="46"/>
      <c r="J66" s="47"/>
      <c r="K66" s="148">
        <f t="shared" si="1"/>
        <v>0</v>
      </c>
      <c r="L66" s="150">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TuYo4Z5jguNuFYR1VM5i3hWugeUolVm+p66UCl3WYLFutOTIs68UeBY8VxjuRe+hlWxvblBP2E4A/ddgK02eHg==" saltValue="kNitZ3PLaky6B0b5gCaTVw=="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F24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F23</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F20 F62</xm:sqref>
        </x14:dataValidation>
        <x14:dataValidation type="list" allowBlank="1" showInputMessage="1" showErrorMessage="1" xr:uid="{C0C255C8-5BD3-284F-B281-86B7E0355DE0}">
          <x14:formula1>
            <xm:f>KV_DROPDOWN_HELPER!$LI$1:$LI$18</xm:f>
          </x14:formula1>
          <xm:sqref>F3 F6 F12 F13 F15 F17 F18 F21 F22 F25 F26 F28 F30 F31 F32 F33 F34 F35 F36 F37 F38 F39 F40 F41 F42 F43 F44 F45 F46 F47 F48 F49 F50 F51 F52 F53 F54 F55 F56 F57 F58 F59 F60 F61 F63 F64 F65 F66</xm:sqref>
        </x14:dataValidation>
        <x14:dataValidation type="list" allowBlank="1" showInputMessage="1" showErrorMessage="1" xr:uid="{0A835573-4702-4870-BF88-FC7A996A4332}">
          <x14:formula1>
            <xm:f>KV_DROPDOWN_HELPER!$LO$1:$LO$13</xm:f>
          </x14:formula1>
          <xm:sqref>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O31" sqref="O31:P31"/>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6</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46174</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46203</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115.33</v>
      </c>
      <c r="I4" s="46">
        <v>46193</v>
      </c>
      <c r="J4" s="47">
        <v>5</v>
      </c>
      <c r="K4" s="148">
        <f t="shared" si="0"/>
        <v>353.83333333333331</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8"/>
      <c r="N4" s="71" t="s">
        <v>185</v>
      </c>
      <c r="O4" s="308"/>
      <c r="P4" s="308"/>
      <c r="Q4" s="308"/>
      <c r="R4" s="344"/>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878.39161475064532</v>
      </c>
      <c r="P5" s="152">
        <f>EINSTELLUNG!I11</f>
        <v>600</v>
      </c>
      <c r="Q5" s="152">
        <f>P5-O5</f>
        <v>-278.39161475064532</v>
      </c>
      <c r="R5" s="153">
        <f>IFERROR(Q5*Q42, 0)</f>
        <v>-4552.1106898075441</v>
      </c>
      <c r="S5" s="145"/>
      <c r="T5" s="145"/>
      <c r="U5" s="145"/>
      <c r="V5" s="145"/>
    </row>
    <row r="6" spans="1:28" ht="22" customHeight="1">
      <c r="A6" s="147" t="s">
        <v>53</v>
      </c>
      <c r="B6" s="97">
        <v>401051</v>
      </c>
      <c r="C6" s="42" t="s">
        <v>227</v>
      </c>
      <c r="D6" s="43">
        <v>41176</v>
      </c>
      <c r="E6" s="44" t="s">
        <v>2</v>
      </c>
      <c r="F6" s="45">
        <v>173</v>
      </c>
      <c r="G6" s="148">
        <f>IF(OR(E6="",F6=""),"",PID_KVLohnLookup($A$1,E6,F6,LOHNTABELLE!$H$4))</f>
        <v>2900</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321" t="s">
        <v>56</v>
      </c>
      <c r="P8" s="322"/>
      <c r="Q8" s="323">
        <f>SUM(H3:H82)</f>
        <v>9044.68</v>
      </c>
      <c r="R8" s="324"/>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EINSTELLUNG!L27</f>
        <v>6</v>
      </c>
      <c r="R9" s="341"/>
      <c r="S9" s="154">
        <f>IFERROR(Q9/Q8, 0)</f>
        <v>6.6337338634423772E-4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EINSTELLUNG!I27</f>
        <v>150</v>
      </c>
      <c r="R10" s="341"/>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325" t="s">
        <v>62</v>
      </c>
      <c r="P11" s="326"/>
      <c r="Q11" s="340">
        <f>P5</f>
        <v>600</v>
      </c>
      <c r="R11" s="341"/>
      <c r="S11" s="145"/>
      <c r="T11" s="145"/>
      <c r="U11" s="145"/>
      <c r="V11" s="145"/>
    </row>
    <row r="12" spans="1:28" ht="22" customHeight="1">
      <c r="A12" s="147" t="s">
        <v>63</v>
      </c>
      <c r="B12" s="97">
        <v>401276</v>
      </c>
      <c r="C12" s="42" t="s">
        <v>404</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100</v>
      </c>
      <c r="R12" s="330"/>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325" t="s">
        <v>66</v>
      </c>
      <c r="P13" s="326"/>
      <c r="Q13" s="340">
        <f>Q8-Q9-Q10-Q11-Q12</f>
        <v>8188.68</v>
      </c>
      <c r="R13" s="341"/>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325" t="s">
        <v>68</v>
      </c>
      <c r="P14" s="326"/>
      <c r="Q14" s="340">
        <f>EINSTELLUNG!L11</f>
        <v>9300</v>
      </c>
      <c r="R14" s="341"/>
      <c r="S14" s="145"/>
      <c r="T14" s="145"/>
      <c r="U14" s="145"/>
      <c r="V14" s="145"/>
    </row>
    <row r="15" spans="1:28" ht="22" customHeight="1" thickBot="1">
      <c r="A15" s="147" t="s">
        <v>69</v>
      </c>
      <c r="B15" s="98">
        <v>401394</v>
      </c>
      <c r="C15" s="50" t="s">
        <v>233</v>
      </c>
      <c r="D15" s="51">
        <v>44379</v>
      </c>
      <c r="E15" s="52" t="s">
        <v>2</v>
      </c>
      <c r="F15" s="53">
        <v>173</v>
      </c>
      <c r="G15" s="148">
        <f>IF(OR(E15="",F15=""),"",PID_KVLohnLookup($A$1,E15,F15,LOHNTABELLE!$H$4))</f>
        <v>2900</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6"/>
      <c r="N15" s="72"/>
      <c r="O15" s="311" t="s">
        <v>70</v>
      </c>
      <c r="P15" s="312"/>
      <c r="Q15" s="313">
        <f>Q13-Q14</f>
        <v>-1111.3199999999997</v>
      </c>
      <c r="R15" s="314"/>
      <c r="S15" s="156"/>
      <c r="T15" s="156"/>
      <c r="U15" s="156"/>
      <c r="V15" s="145"/>
    </row>
    <row r="16" spans="1:28" ht="22" customHeight="1" thickBot="1">
      <c r="A16" s="147" t="s">
        <v>71</v>
      </c>
      <c r="B16" s="97">
        <v>401406</v>
      </c>
      <c r="C16" s="42" t="s">
        <v>405</v>
      </c>
      <c r="D16" s="43">
        <v>36850</v>
      </c>
      <c r="E16" s="44" t="s">
        <v>10</v>
      </c>
      <c r="F16" s="45">
        <v>151.38</v>
      </c>
      <c r="G16" s="148">
        <f>IF(OR(E16="",F16=""),"",PID_KVLohnLookup($A$1,E16,F16,LOHNTABELLE!$H$4))</f>
        <v>2012.5</v>
      </c>
      <c r="H16" s="149">
        <f>IF(AND(ISNUMBER(D16),ISNUMBER(F16)),ROUNDDOWN(MIN(IF(OR(ISBLANK(I16),I16=""),EOMONTH(DATE(EINSTELLUNG!$C$35,$A$1,1),0),I16)-MAX(D16,DATE(EINSTELLUNG!$C$35,$A$1,1))+1)/DAY(EOMONTH(DATE(EINSTELLUNG!$C$35,$A$1,1),0))*F16,2),"")</f>
        <v>151.38</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401432</v>
      </c>
      <c r="C17" s="50" t="s">
        <v>235</v>
      </c>
      <c r="D17" s="54">
        <v>44441</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6"/>
      <c r="N17" s="72"/>
      <c r="O17" s="387" t="s">
        <v>73</v>
      </c>
      <c r="P17" s="322"/>
      <c r="Q17" s="331">
        <f>SUM(L3:L82)</f>
        <v>147893.76666666666</v>
      </c>
      <c r="R17" s="332"/>
      <c r="S17" s="145"/>
      <c r="T17" s="145"/>
      <c r="U17" s="145"/>
      <c r="V17" s="145"/>
      <c r="W17" s="158"/>
    </row>
    <row r="18" spans="1:29" ht="22" customHeight="1">
      <c r="A18" s="147" t="s">
        <v>74</v>
      </c>
      <c r="B18" s="97">
        <v>401476</v>
      </c>
      <c r="C18" s="42" t="s">
        <v>237</v>
      </c>
      <c r="D18" s="43">
        <v>44504</v>
      </c>
      <c r="E18" s="44" t="s">
        <v>2</v>
      </c>
      <c r="F18" s="45">
        <v>173</v>
      </c>
      <c r="G18" s="148">
        <f>IF(OR(E18="",F18=""),"",PID_KVLohnLookup($A$1,E18,F18,LOHNTABELLE!$H$4))</f>
        <v>2900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8"/>
      <c r="N18" s="71"/>
      <c r="O18" s="379" t="s">
        <v>384</v>
      </c>
      <c r="P18" s="320"/>
      <c r="Q18" s="309">
        <v>20</v>
      </c>
      <c r="R18" s="310"/>
      <c r="S18" s="145"/>
      <c r="T18" s="145"/>
      <c r="U18" s="145"/>
      <c r="V18" s="145"/>
    </row>
    <row r="19" spans="1:29" ht="22" customHeight="1">
      <c r="A19" s="147" t="s">
        <v>75</v>
      </c>
      <c r="B19" s="98">
        <v>401479</v>
      </c>
      <c r="C19" s="50" t="s">
        <v>238</v>
      </c>
      <c r="D19" s="51">
        <v>44511</v>
      </c>
      <c r="E19" s="52" t="s">
        <v>6</v>
      </c>
      <c r="F19" s="53">
        <v>173</v>
      </c>
      <c r="G19" s="148">
        <f>IF(OR(E19="",F19=""),"",PID_KVLohnLookup($A$1,E19,F19,LOHNTABELLE!$H$4))</f>
        <v>2160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6"/>
      <c r="N19" s="72"/>
      <c r="O19" s="379" t="s">
        <v>295</v>
      </c>
      <c r="P19" s="320"/>
      <c r="Q19" s="309">
        <v>333</v>
      </c>
      <c r="R19" s="310"/>
      <c r="S19" s="145"/>
      <c r="T19" s="145"/>
      <c r="U19" s="145"/>
      <c r="V19" s="145"/>
    </row>
    <row r="20" spans="1:29" ht="22" customHeight="1">
      <c r="A20" s="147" t="s">
        <v>76</v>
      </c>
      <c r="B20" s="97">
        <v>401481</v>
      </c>
      <c r="C20" s="42" t="s">
        <v>239</v>
      </c>
      <c r="D20" s="43">
        <v>44531</v>
      </c>
      <c r="E20" s="44" t="s">
        <v>3</v>
      </c>
      <c r="F20" s="45">
        <v>173</v>
      </c>
      <c r="G20" s="148">
        <f>IF(OR(E20="",F20=""),"",PID_KVLohnLookup($A$1,E20,F20,LOHNTABELLE!$H$4))</f>
        <v>2082</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8"/>
      <c r="N20" s="71"/>
      <c r="O20" s="379" t="s">
        <v>295</v>
      </c>
      <c r="P20" s="320"/>
      <c r="Q20" s="309">
        <v>35</v>
      </c>
      <c r="R20" s="310"/>
      <c r="S20" s="145"/>
      <c r="T20" s="145"/>
      <c r="U20" s="145"/>
      <c r="V20" s="145"/>
    </row>
    <row r="21" spans="1:29" ht="22" customHeight="1">
      <c r="A21" s="147" t="s">
        <v>77</v>
      </c>
      <c r="B21" s="98">
        <v>401558</v>
      </c>
      <c r="C21" s="50" t="s">
        <v>236</v>
      </c>
      <c r="D21" s="51">
        <v>44460</v>
      </c>
      <c r="E21" s="52" t="s">
        <v>2</v>
      </c>
      <c r="F21" s="53">
        <v>173</v>
      </c>
      <c r="G21" s="148">
        <f>IF(OR(E21="",F21=""),"",PID_KVLohnLookup($A$1,E21,F21,LOHNTABELLE!$H$4))</f>
        <v>2900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6"/>
      <c r="N21" s="72"/>
      <c r="O21" s="379" t="s">
        <v>295</v>
      </c>
      <c r="P21" s="320"/>
      <c r="Q21" s="309">
        <v>100</v>
      </c>
      <c r="R21" s="310"/>
      <c r="S21" s="145"/>
      <c r="T21" s="145"/>
      <c r="U21" s="145"/>
      <c r="V21" s="145"/>
    </row>
    <row r="22" spans="1:29" ht="22" customHeight="1">
      <c r="A22" s="147" t="s">
        <v>78</v>
      </c>
      <c r="B22" s="97">
        <v>401564</v>
      </c>
      <c r="C22" s="42" t="s">
        <v>240</v>
      </c>
      <c r="D22" s="43">
        <v>44824</v>
      </c>
      <c r="E22" s="44" t="s">
        <v>2</v>
      </c>
      <c r="F22" s="45">
        <v>151.38</v>
      </c>
      <c r="G22" s="148">
        <f>IF(OR(E22="",F22=""),"",PID_KVLohnLookup($A$1,E22,F22,LOHNTABELLE!$H$4))</f>
        <v>2500</v>
      </c>
      <c r="H22" s="149">
        <f>IF(AND(ISNUMBER(D22),ISNUMBER(F22)),ROUNDDOWN(MIN(IF(OR(ISBLANK(I22),I22=""),EOMONTH(DATE(EINSTELLUNG!$C$35,$A$1,1),0),I22)-MAX(D22,DATE(EINSTELLUNG!$C$35,$A$1,1))+1)/DAY(EOMONTH(DATE(EINSTELLUNG!$C$35,$A$1,1),0))*F22,2),"")</f>
        <v>151.38</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8"/>
      <c r="N22" s="71"/>
      <c r="O22" s="379" t="s">
        <v>295</v>
      </c>
      <c r="P22" s="320"/>
      <c r="Q22" s="309"/>
      <c r="R22" s="310"/>
      <c r="S22" s="145"/>
      <c r="T22" s="145"/>
      <c r="U22" s="145"/>
      <c r="V22" s="145"/>
    </row>
    <row r="23" spans="1:29" ht="22" customHeight="1">
      <c r="A23" s="147" t="s">
        <v>79</v>
      </c>
      <c r="B23" s="98">
        <v>401583</v>
      </c>
      <c r="C23" s="50" t="s">
        <v>242</v>
      </c>
      <c r="D23" s="51">
        <v>44900</v>
      </c>
      <c r="E23" s="52" t="s">
        <v>13</v>
      </c>
      <c r="F23" s="53">
        <v>173</v>
      </c>
      <c r="G23" s="148">
        <f>IF(OR(E23="",F23=""),"",PID_KVLohnLookup($A$1,E23,F23,LOHNTABELLE!$H$4))</f>
        <v>2328</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6"/>
      <c r="N23" s="72"/>
      <c r="O23" s="379" t="s">
        <v>295</v>
      </c>
      <c r="P23" s="320"/>
      <c r="Q23" s="309">
        <v>5000</v>
      </c>
      <c r="R23" s="310"/>
      <c r="S23" s="145"/>
      <c r="T23" s="145"/>
      <c r="U23" s="145"/>
      <c r="V23" s="145"/>
      <c r="W23" s="158"/>
    </row>
    <row r="24" spans="1:29" ht="22" customHeight="1">
      <c r="A24" s="147" t="s">
        <v>80</v>
      </c>
      <c r="B24" s="97">
        <v>401589</v>
      </c>
      <c r="C24" s="42" t="s">
        <v>243</v>
      </c>
      <c r="D24" s="43">
        <v>44926</v>
      </c>
      <c r="E24" s="44" t="s">
        <v>10</v>
      </c>
      <c r="F24" s="45">
        <v>173</v>
      </c>
      <c r="G24" s="148">
        <f>IF(OR(E24="",F24=""),"",PID_KVLohnLookup($A$1,E24,F24,LOHNTABELLE!$H$4))</f>
        <v>2300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8"/>
      <c r="N24" s="71"/>
      <c r="O24" s="379"/>
      <c r="P24" s="320"/>
      <c r="Q24" s="309"/>
      <c r="R24" s="310"/>
      <c r="S24" s="145"/>
      <c r="T24" s="145"/>
      <c r="U24" s="145"/>
      <c r="V24" s="145"/>
      <c r="W24" s="158"/>
    </row>
    <row r="25" spans="1:29" ht="22" customHeight="1">
      <c r="A25" s="147" t="s">
        <v>81</v>
      </c>
      <c r="B25" s="98">
        <v>401602</v>
      </c>
      <c r="C25" s="50" t="s">
        <v>244</v>
      </c>
      <c r="D25" s="51">
        <v>45975</v>
      </c>
      <c r="E25" s="52" t="s">
        <v>2</v>
      </c>
      <c r="F25" s="53">
        <v>169</v>
      </c>
      <c r="G25" s="148">
        <f>IF(OR(E25="",F25=""),"",PID_KVLohnLookup($A$1,E25,F25,LOHNTABELLE!$H$4))</f>
        <v>2000</v>
      </c>
      <c r="H25" s="149">
        <f>IF(AND(ISNUMBER(D25),ISNUMBER(F25)),ROUNDDOWN(MIN(IF(OR(ISBLANK(I25),I25=""),EOMONTH(DATE(EINSTELLUNG!$C$35,$A$1,1),0),I25)-MAX(D25,DATE(EINSTELLUNG!$C$35,$A$1,1))+1)/DAY(EOMONTH(DATE(EINSTELLUNG!$C$35,$A$1,1),0))*F25,2),"")</f>
        <v>169</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6"/>
      <c r="N25" s="72"/>
      <c r="O25" s="379"/>
      <c r="P25" s="320"/>
      <c r="Q25" s="309"/>
      <c r="R25" s="310"/>
      <c r="S25" s="145"/>
      <c r="T25" s="145"/>
      <c r="U25" s="145"/>
      <c r="V25" s="145"/>
    </row>
    <row r="26" spans="1:29" ht="22" customHeight="1">
      <c r="A26" s="147" t="s">
        <v>82</v>
      </c>
      <c r="B26" s="97">
        <v>401605</v>
      </c>
      <c r="C26" s="42" t="s">
        <v>245</v>
      </c>
      <c r="D26" s="43">
        <v>44986</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79"/>
      <c r="P26" s="320"/>
      <c r="Q26" s="309"/>
      <c r="R26" s="310"/>
      <c r="S26" s="145"/>
      <c r="T26" s="145"/>
      <c r="U26" s="145"/>
      <c r="V26" s="145"/>
    </row>
    <row r="27" spans="1:29" ht="22" customHeight="1">
      <c r="A27" s="147" t="s">
        <v>83</v>
      </c>
      <c r="B27" s="98">
        <v>401605</v>
      </c>
      <c r="C27" s="50" t="s">
        <v>405</v>
      </c>
      <c r="D27" s="51">
        <v>36850</v>
      </c>
      <c r="E27" s="52" t="s">
        <v>10</v>
      </c>
      <c r="F27" s="53">
        <v>151.38</v>
      </c>
      <c r="G27" s="148">
        <f>IF(OR(E27="",F27=""),"",PID_KVLohnLookup($A$1,E27,F27,LOHNTABELLE!$H$4))</f>
        <v>2012.5</v>
      </c>
      <c r="H27" s="149">
        <f>IF(AND(ISNUMBER(D27),ISNUMBER(F27)),ROUNDDOWN(MIN(IF(OR(ISBLANK(I27),I27=""),EOMONTH(DATE(EINSTELLUNG!$C$35,$A$1,1),0),I27)-MAX(D27,DATE(EINSTELLUNG!$C$35,$A$1,1))+1)/DAY(EOMONTH(DATE(EINSTELLUNG!$C$35,$A$1,1),0))*F27,2),"")</f>
        <v>151.38</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6"/>
      <c r="N27" s="72"/>
      <c r="O27" s="379"/>
      <c r="P27" s="320"/>
      <c r="Q27" s="309"/>
      <c r="R27" s="310"/>
      <c r="S27" s="318" t="s">
        <v>84</v>
      </c>
      <c r="T27" s="318"/>
      <c r="U27" s="318"/>
      <c r="V27" s="318"/>
    </row>
    <row r="28" spans="1:29" ht="22" customHeight="1">
      <c r="A28" s="147" t="s">
        <v>85</v>
      </c>
      <c r="B28" s="97">
        <v>401626</v>
      </c>
      <c r="C28" s="42" t="s">
        <v>246</v>
      </c>
      <c r="D28" s="43">
        <v>45063</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401633</v>
      </c>
      <c r="C29" s="50" t="s">
        <v>247</v>
      </c>
      <c r="D29" s="51">
        <v>45089</v>
      </c>
      <c r="E29" s="52" t="s">
        <v>10</v>
      </c>
      <c r="F29" s="53">
        <v>173</v>
      </c>
      <c r="G29" s="148">
        <f>IF(OR(E29="",F29=""),"",PID_KVLohnLookup($A$1,E29,F29,LOHNTABELLE!$H$4))</f>
        <v>2300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6"/>
      <c r="N29" s="72"/>
      <c r="O29" s="383" t="s">
        <v>87</v>
      </c>
      <c r="P29" s="312"/>
      <c r="Q29" s="366">
        <f>EINSTELLUNG!O11</f>
        <v>1250</v>
      </c>
      <c r="R29" s="367"/>
      <c r="S29" s="145"/>
      <c r="T29" s="145"/>
      <c r="U29" s="145"/>
      <c r="V29" s="145"/>
    </row>
    <row r="30" spans="1:29" ht="22" customHeight="1" thickBot="1">
      <c r="A30" s="147" t="s">
        <v>88</v>
      </c>
      <c r="B30" s="97">
        <v>401647</v>
      </c>
      <c r="C30" s="42" t="s">
        <v>248</v>
      </c>
      <c r="D30" s="43">
        <v>45182</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401661</v>
      </c>
      <c r="C31" s="50" t="s">
        <v>249</v>
      </c>
      <c r="D31" s="51">
        <v>45261</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80">
        <v>0</v>
      </c>
      <c r="P31" s="371"/>
      <c r="Q31" s="355">
        <v>1.6260162601626018E-2</v>
      </c>
      <c r="R31" s="356"/>
      <c r="S31" s="145"/>
      <c r="T31" s="145"/>
      <c r="U31" s="145"/>
      <c r="V31" s="145"/>
    </row>
    <row r="32" spans="1:29" ht="22" customHeight="1" thickBot="1">
      <c r="A32" s="147" t="s">
        <v>91</v>
      </c>
      <c r="B32" s="97">
        <v>401670</v>
      </c>
      <c r="C32" s="42" t="s">
        <v>250</v>
      </c>
      <c r="D32" s="46">
        <v>45358</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401678</v>
      </c>
      <c r="C33" s="50" t="s">
        <v>251</v>
      </c>
      <c r="D33" s="51">
        <v>45414</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401690</v>
      </c>
      <c r="C34" s="42" t="s">
        <v>253</v>
      </c>
      <c r="D34" s="43">
        <v>45536</v>
      </c>
      <c r="E34" s="44" t="s">
        <v>2</v>
      </c>
      <c r="F34" s="45">
        <v>151.38</v>
      </c>
      <c r="G34" s="148">
        <f>IF(OR(E34="",F34=""),"",PID_KVLohnLookup($A$1,E34,F34,LOHNTABELLE!$H$4))</f>
        <v>2500</v>
      </c>
      <c r="H34" s="149">
        <f>IF(AND(ISNUMBER(D34),ISNUMBER(F34)),ROUNDDOWN(MIN(IF(OR(ISBLANK(I34),I34=""),EOMONTH(DATE(EINSTELLUNG!$C$35,$A$1,1),0),I34)-MAX(D34,DATE(EINSTELLUNG!$C$35,$A$1,1))+1)/DAY(EOMONTH(DATE(EINSTELLUNG!$C$35,$A$1,1),0))*F34,2),"")</f>
        <v>151.38</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8"/>
      <c r="N34" s="71"/>
      <c r="O34" s="382"/>
      <c r="P34" s="364"/>
      <c r="Q34" s="352"/>
      <c r="R34" s="352"/>
      <c r="S34" s="352"/>
      <c r="T34" s="352"/>
      <c r="U34" s="352"/>
      <c r="V34" s="354"/>
    </row>
    <row r="35" spans="1:22" ht="22" customHeight="1">
      <c r="A35" s="147" t="s">
        <v>97</v>
      </c>
      <c r="B35" s="98">
        <v>401715</v>
      </c>
      <c r="C35" s="50" t="s">
        <v>256</v>
      </c>
      <c r="D35" s="54">
        <v>45755</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6"/>
      <c r="N35" s="72"/>
      <c r="O35" s="378" t="s">
        <v>98</v>
      </c>
      <c r="P35" s="326"/>
      <c r="Q35" s="327">
        <f>EINSTELLUNG!C11</f>
        <v>400000</v>
      </c>
      <c r="R35" s="327"/>
      <c r="S35" s="327">
        <f>EINSTELLUNG!C27</f>
        <v>435000</v>
      </c>
      <c r="T35" s="327"/>
      <c r="U35" s="327">
        <f>S35-Q35</f>
        <v>35000</v>
      </c>
      <c r="V35" s="328"/>
    </row>
    <row r="36" spans="1:22" ht="22" customHeight="1">
      <c r="A36" s="147" t="s">
        <v>99</v>
      </c>
      <c r="B36" s="97">
        <v>401716</v>
      </c>
      <c r="C36" s="42" t="s">
        <v>257</v>
      </c>
      <c r="D36" s="43">
        <v>45800</v>
      </c>
      <c r="E36" s="44" t="s">
        <v>2</v>
      </c>
      <c r="F36" s="45">
        <v>173</v>
      </c>
      <c r="G36" s="148">
        <f>IF(OR(E36="",F36=""),"",PID_KVLohnLookup($A$1,E36,F36,LOHNTABELLE!$H$4))</f>
        <v>2900</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8"/>
      <c r="N36" s="71"/>
      <c r="O36" s="378" t="s">
        <v>100</v>
      </c>
      <c r="P36" s="326"/>
      <c r="Q36" s="327">
        <f>EINSTELLUNG!D11</f>
        <v>100000</v>
      </c>
      <c r="R36" s="327"/>
      <c r="S36" s="327">
        <f ca="1">SumMergedCells(Q17:R29)</f>
        <v>154631.76670000001</v>
      </c>
      <c r="T36" s="327"/>
      <c r="U36" s="327">
        <f t="shared" ref="U36:U41" ca="1" si="2">S36-Q36</f>
        <v>54631.766700000007</v>
      </c>
      <c r="V36" s="328"/>
    </row>
    <row r="37" spans="1:22" ht="22" customHeight="1">
      <c r="A37" s="147" t="s">
        <v>101</v>
      </c>
      <c r="B37" s="98">
        <v>401717</v>
      </c>
      <c r="C37" s="50" t="s">
        <v>258</v>
      </c>
      <c r="D37" s="51">
        <v>45814</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0.35547532574712648</v>
      </c>
      <c r="T37" s="349"/>
      <c r="U37" s="349">
        <f t="shared" ca="1" si="2"/>
        <v>0.10547532574712648</v>
      </c>
      <c r="V37" s="350"/>
    </row>
    <row r="38" spans="1:22" ht="22" customHeight="1">
      <c r="A38" s="147" t="s">
        <v>103</v>
      </c>
      <c r="B38" s="97">
        <v>401722</v>
      </c>
      <c r="C38" s="42" t="s">
        <v>259</v>
      </c>
      <c r="D38" s="43">
        <v>45848</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EINSTELLUNG!F11</f>
        <v>30000</v>
      </c>
      <c r="R38" s="340"/>
      <c r="S38" s="340">
        <f>EINSTELLUNG!F27</f>
        <v>31000</v>
      </c>
      <c r="T38" s="340"/>
      <c r="U38" s="340">
        <f t="shared" si="2"/>
        <v>1000</v>
      </c>
      <c r="V38" s="341"/>
    </row>
    <row r="39" spans="1:22" ht="22" customHeight="1">
      <c r="A39" s="147" t="s">
        <v>105</v>
      </c>
      <c r="B39" s="98">
        <v>401723</v>
      </c>
      <c r="C39" s="50" t="s">
        <v>260</v>
      </c>
      <c r="D39" s="51">
        <v>45852</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14.03225806451613</v>
      </c>
      <c r="T39" s="327"/>
      <c r="U39" s="327">
        <f t="shared" si="2"/>
        <v>0.69892473118279597</v>
      </c>
      <c r="V39" s="328"/>
    </row>
    <row r="40" spans="1:22" ht="22" customHeight="1">
      <c r="A40" s="147" t="s">
        <v>107</v>
      </c>
      <c r="B40" s="97">
        <v>401726</v>
      </c>
      <c r="C40" s="42" t="s">
        <v>261</v>
      </c>
      <c r="D40" s="43">
        <v>45870</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IF(Q12=0, 0, Q35/Q12)</f>
        <v>4000</v>
      </c>
      <c r="R40" s="327"/>
      <c r="S40" s="327">
        <f>IF(Q12=0, 0, S35/Q12)</f>
        <v>4350</v>
      </c>
      <c r="T40" s="327"/>
      <c r="U40" s="327">
        <f t="shared" si="2"/>
        <v>350</v>
      </c>
      <c r="V40" s="328"/>
    </row>
    <row r="41" spans="1:22" ht="22" customHeight="1">
      <c r="A41" s="147" t="s">
        <v>109</v>
      </c>
      <c r="B41" s="98">
        <v>401730</v>
      </c>
      <c r="C41" s="50" t="s">
        <v>263</v>
      </c>
      <c r="D41" s="54">
        <v>45895</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IF(Q12=0, 0, Q38/Q12)</f>
        <v>300</v>
      </c>
      <c r="R41" s="340"/>
      <c r="S41" s="340">
        <f>IF(Q12=0, 0, S38/Q12)</f>
        <v>310</v>
      </c>
      <c r="T41" s="340"/>
      <c r="U41" s="340">
        <f t="shared" si="2"/>
        <v>10</v>
      </c>
      <c r="V41" s="341"/>
    </row>
    <row r="42" spans="1:22" ht="22" customHeight="1">
      <c r="A42" s="147" t="s">
        <v>111</v>
      </c>
      <c r="B42" s="97">
        <v>401731</v>
      </c>
      <c r="C42" s="42" t="s">
        <v>262</v>
      </c>
      <c r="D42" s="43">
        <v>45899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16.351464802145202</v>
      </c>
      <c r="R42" s="335"/>
      <c r="S42" s="335"/>
      <c r="T42" s="335"/>
      <c r="U42" s="335"/>
      <c r="V42" s="336"/>
    </row>
    <row r="43" spans="1:22" ht="22" customHeight="1">
      <c r="A43" s="147" t="s">
        <v>113</v>
      </c>
      <c r="B43" s="98">
        <v>401734</v>
      </c>
      <c r="C43" s="50" t="s">
        <v>264</v>
      </c>
      <c r="D43" s="51">
        <v>45904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401737</v>
      </c>
      <c r="C44" s="42" t="s">
        <v>266</v>
      </c>
      <c r="D44" s="43">
        <v>45906</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401738</v>
      </c>
      <c r="C45" s="67" t="s">
        <v>267</v>
      </c>
      <c r="D45" s="54">
        <v>45909</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401745</v>
      </c>
      <c r="C46" s="42" t="s">
        <v>271</v>
      </c>
      <c r="D46" s="43">
        <v>45934</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401746</v>
      </c>
      <c r="C47" s="50" t="s">
        <v>270</v>
      </c>
      <c r="D47" s="51">
        <v>45941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401747</v>
      </c>
      <c r="C48" s="42" t="s">
        <v>268</v>
      </c>
      <c r="D48" s="43">
        <v>45941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401748</v>
      </c>
      <c r="C49" s="50" t="s">
        <v>269</v>
      </c>
      <c r="D49" s="51">
        <v>45941</v>
      </c>
      <c r="E49" s="52" t="s">
        <v>2</v>
      </c>
      <c r="F49" s="53">
        <v>138.4</v>
      </c>
      <c r="G49" s="148">
        <f>IF(OR(E49="",F49=""),"",PID_KVLohnLookup($A$1,E49,F49,LOHNTABELLE!$H$4))</f>
        <v>2400</v>
      </c>
      <c r="H49" s="149">
        <f>IF(AND(ISNUMBER(D49),ISNUMBER(F49)),ROUNDDOWN(MIN(IF(OR(ISBLANK(I49),I49=""),EOMONTH(DATE(EINSTELLUNG!$C$35,$A$1,1),0),I49)-MAX(D49,DATE(EINSTELLUNG!$C$35,$A$1,1))+1)/DAY(EOMONTH(DATE(EINSTELLUNG!$C$35,$A$1,1),0))*F49,2),"")</f>
        <v>138.4</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2400</v>
      </c>
      <c r="M49" s="56"/>
      <c r="N49" s="72"/>
      <c r="O49" s="145"/>
      <c r="P49" s="145"/>
      <c r="Q49" s="145"/>
      <c r="R49" s="145"/>
      <c r="S49" s="145"/>
      <c r="T49" s="145"/>
      <c r="U49" s="145"/>
      <c r="V49" s="145"/>
    </row>
    <row r="50" spans="1:22" ht="22" customHeight="1">
      <c r="A50" s="147" t="s">
        <v>121</v>
      </c>
      <c r="B50" s="97">
        <v>401751</v>
      </c>
      <c r="C50" s="42" t="s">
        <v>272</v>
      </c>
      <c r="D50" s="43">
        <v>45961</v>
      </c>
      <c r="E50" s="44" t="s">
        <v>2</v>
      </c>
      <c r="F50" s="45">
        <v>86.5</v>
      </c>
      <c r="G50" s="148">
        <f>IF(OR(E50="",F50=""),"",PID_KVLohnLookup($A$1,E50,F50,LOHNTABELLE!$H$4))</f>
        <v>2152</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8"/>
      <c r="N50" s="71"/>
      <c r="O50" s="145"/>
      <c r="P50" s="145"/>
      <c r="Q50" s="145"/>
      <c r="R50" s="145"/>
      <c r="S50" s="145"/>
      <c r="T50" s="145"/>
      <c r="U50" s="145"/>
      <c r="V50" s="145"/>
    </row>
    <row r="51" spans="1:22" ht="22" customHeight="1">
      <c r="A51" s="147" t="s">
        <v>122</v>
      </c>
      <c r="B51" s="98">
        <v>401752</v>
      </c>
      <c r="C51" s="50" t="s">
        <v>273</v>
      </c>
      <c r="D51" s="51">
        <v>45986</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401999</v>
      </c>
      <c r="C52" s="42" t="s">
        <v>357</v>
      </c>
      <c r="D52" s="43">
        <v>46041</v>
      </c>
      <c r="E52" s="44" t="s">
        <v>2</v>
      </c>
      <c r="F52" s="45">
        <v>151.38</v>
      </c>
      <c r="G52" s="148">
        <f>IF(OR(E52="",F52=""),"",PID_KVLohnLookup($A$1,E52,F52,LOHNTABELLE!$H$4))</f>
        <v>2500</v>
      </c>
      <c r="H52" s="149">
        <f>IF(AND(ISNUMBER(D52),ISNUMBER(F52)),ROUNDDOWN(MIN(IF(OR(ISBLANK(I52),I52=""),EOMONTH(DATE(EINSTELLUNG!$C$35,$A$1,1),0),I52)-MAX(D52,DATE(EINSTELLUNG!$C$35,$A$1,1))+1)/DAY(EOMONTH(DATE(EINSTELLUNG!$C$35,$A$1,1),0))*F52,2),"")</f>
        <v>151.38</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48"/>
      <c r="N52" s="71"/>
    </row>
    <row r="53" spans="1:22" ht="22" customHeight="1">
      <c r="A53" s="147" t="s">
        <v>124</v>
      </c>
      <c r="B53" s="98">
        <v>401999</v>
      </c>
      <c r="C53" s="50" t="s">
        <v>294</v>
      </c>
      <c r="D53" s="54">
        <v>46082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402000</v>
      </c>
      <c r="C54" s="42" t="s">
        <v>297</v>
      </c>
      <c r="D54" s="46">
        <v>46143</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402004</v>
      </c>
      <c r="C55" s="50" t="s">
        <v>298</v>
      </c>
      <c r="D55" s="54">
        <v>46122</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402405</v>
      </c>
      <c r="C56" s="42" t="s">
        <v>300</v>
      </c>
      <c r="D56" s="46">
        <v>46054</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500600</v>
      </c>
      <c r="C57" s="50" t="s">
        <v>304</v>
      </c>
      <c r="D57" s="54">
        <v>46054</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502000</v>
      </c>
      <c r="C58" s="42" t="s">
        <v>299</v>
      </c>
      <c r="D58" s="46">
        <v>46147</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503000</v>
      </c>
      <c r="C59" s="50" t="s">
        <v>301</v>
      </c>
      <c r="D59" s="54">
        <v>42401</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504000</v>
      </c>
      <c r="C60" s="42" t="s">
        <v>302</v>
      </c>
      <c r="D60" s="46">
        <v>46054</v>
      </c>
      <c r="E60" s="44" t="s">
        <v>3</v>
      </c>
      <c r="F60" s="45">
        <v>138.4</v>
      </c>
      <c r="G60" s="148">
        <f>IF(OR(E60="",F60=""),"",PID_KVLohnLookup($A$1,E60,F60,LOHNTABELLE!$H$4))</f>
        <v>1665.6</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8"/>
      <c r="N60" s="71"/>
    </row>
    <row r="61" spans="1:22" ht="22" customHeight="1">
      <c r="A61" s="147" t="s">
        <v>132</v>
      </c>
      <c r="B61" s="98">
        <v>505000</v>
      </c>
      <c r="C61" s="50" t="s">
        <v>303</v>
      </c>
      <c r="D61" s="54">
        <v>46054</v>
      </c>
      <c r="E61" s="52" t="s">
        <v>2</v>
      </c>
      <c r="F61" s="53">
        <v>138.4</v>
      </c>
      <c r="G61" s="148">
        <f>IF(OR(E61="",F61=""),"",PID_KVLohnLookup($A$1,E61,F61,LOHNTABELLE!$H$4))</f>
        <v>2400</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56"/>
      <c r="N61" s="72"/>
    </row>
    <row r="62" spans="1:22" ht="22" customHeight="1">
      <c r="A62" s="147" t="s">
        <v>133</v>
      </c>
      <c r="B62" s="97">
        <v>525025</v>
      </c>
      <c r="C62" s="42" t="s">
        <v>358</v>
      </c>
      <c r="D62" s="46">
        <v>46040</v>
      </c>
      <c r="E62" s="44" t="s">
        <v>2</v>
      </c>
      <c r="F62" s="45">
        <v>129.75</v>
      </c>
      <c r="G62" s="148">
        <f>IF(OR(E62="",F62=""),"",PID_KVLohnLookup($A$1,E62,F62,LOHNTABELLE!$H$4))</f>
        <v>2300</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8"/>
      <c r="N62" s="71"/>
    </row>
    <row r="63" spans="1:22" ht="22" customHeight="1">
      <c r="A63" s="147" t="s">
        <v>134</v>
      </c>
      <c r="B63" s="98">
        <v>700000</v>
      </c>
      <c r="C63" s="50" t="s">
        <v>311</v>
      </c>
      <c r="D63" s="54">
        <v>46054</v>
      </c>
      <c r="E63" s="52" t="s">
        <v>2</v>
      </c>
      <c r="F63" s="53">
        <v>173</v>
      </c>
      <c r="G63" s="148">
        <f>IF(OR(E63="",F63=""),"",PID_KVLohnLookup($A$1,E63,F63,LOHNTABELLE!$H$4))</f>
        <v>2900</v>
      </c>
      <c r="H63" s="149">
        <f>IF(AND(ISNUMBER(D63),ISNUMBER(F63)),ROUNDDOWN(MIN(IF(OR(ISBLANK(I63),I63=""),EOMONTH(DATE(EINSTELLUNG!$C$35,$A$1,1),0),I63)-MAX(D63,DATE(EINSTELLUNG!$C$35,$A$1,1))+1)/DAY(EOMONTH(DATE(EINSTELLUNG!$C$35,$A$1,1),0))*F63,2),"")</f>
        <v>173</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56"/>
      <c r="N63" s="72"/>
    </row>
    <row r="64" spans="1:22" ht="22" customHeight="1">
      <c r="A64" s="147" t="s">
        <v>135</v>
      </c>
      <c r="B64" s="97">
        <v>800000</v>
      </c>
      <c r="C64" s="42" t="s">
        <v>312</v>
      </c>
      <c r="D64" s="46">
        <v>46096</v>
      </c>
      <c r="E64" s="44" t="s">
        <v>2</v>
      </c>
      <c r="F64" s="45">
        <v>173</v>
      </c>
      <c r="G64" s="148">
        <f>IF(OR(E64="",F64=""),"",PID_KVLohnLookup($A$1,E64,F64,LOHNTABELLE!$H$4))</f>
        <v>2900</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SLAwQ9AQ6A50F+oiKM3GtoUNSYRZJwsxB20HpZf0dgjjGNG/l2geML+OfpdOACogYdetYYj8JRjJANoBpnJCwQ==" saltValue="CgDnN0stoLqYzaD1oE+94Q=="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F23</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 F24 F27 F29</xm:sqref>
        </x14:dataValidation>
        <x14:dataValidation type="list" allowBlank="1" showInputMessage="1" showErrorMessage="1" xr:uid="{C9DCE8D8-284A-473A-9FAC-9446427DAF1C}">
          <x14:formula1>
            <xm:f>KV_DROPDOWN_HELPER!$OK$1:$OK$18</xm:f>
          </x14:formula1>
          <xm:sqref>F3 F6 F12 F13 F15 F17 F18 F21 F22 F25 F26 F28 F30 F31 F32 F33 F34 F35 F36 F37 F38 F39 F40 F41 F42 F43 F44 F45 F46 F47 F48 F49 F50 F51 F52 F53 F54 F55 F56 F57 F58 F59 F61 F62 F63 F64</xm:sqref>
        </x14:dataValidation>
        <x14:dataValidation type="list" allowBlank="1" showInputMessage="1" showErrorMessage="1" xr:uid="{8092244E-8A59-4D1A-8D30-E7094D11CFB3}">
          <x14:formula1>
            <xm:f>KV_DROPDOWN_HELPER!$OM$1:$OM$13</xm:f>
          </x14:formula1>
          <xm:sqref>F7 F9 F10 F11 F14 F20 F60</xm:sqref>
        </x14:dataValidation>
        <x14:dataValidation type="list" allowBlank="1" showInputMessage="1" showErrorMessage="1" xr:uid="{CBA6A94C-1587-4F76-9A2D-0CBD2C042E18}">
          <x14:formula1>
            <xm:f>KV_DROPDOWN_HELPER!$OQ$1:$OQ$13</xm:f>
          </x14:formula1>
          <xm:sqref>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6"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7</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46204</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46234</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857.52313719376957</v>
      </c>
      <c r="P5" s="152">
        <f>EINSTELLUNG!I12</f>
        <v>600</v>
      </c>
      <c r="Q5" s="152">
        <f>P5-O5</f>
        <v>-257.52313719376957</v>
      </c>
      <c r="R5" s="153">
        <f>IFERROR(Q5*Q42, 0)</f>
        <v>-4216.99434247312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136">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8852.61</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EINSTELLUNG!L28</f>
        <v>7</v>
      </c>
      <c r="R9" s="341"/>
      <c r="S9" s="154">
        <f>IFERROR(Q9/Q8, 0)</f>
        <v>7.9072725444812313E-4</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EINSTELLUNG!I28</f>
        <v>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600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-50</v>
      </c>
      <c r="R12" s="330"/>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66</v>
      </c>
      <c r="P13" s="326"/>
      <c r="Q13" s="340">
        <f>Q8-Q9-Q10-Q11-Q12</f>
        <v>8295.61</v>
      </c>
      <c r="R13" s="341"/>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25" t="s">
        <v>68</v>
      </c>
      <c r="P14" s="326"/>
      <c r="Q14" s="340">
        <f>EINSTELLUNG!L12</f>
        <v>9300</v>
      </c>
      <c r="R14" s="341"/>
      <c r="S14" s="145"/>
      <c r="T14" s="145"/>
      <c r="U14" s="145"/>
      <c r="V14" s="145"/>
    </row>
    <row r="15" spans="1:28" ht="22" customHeight="1" thickBo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11" t="s">
        <v>70</v>
      </c>
      <c r="P15" s="312"/>
      <c r="Q15" s="313">
        <f>Q13-Q14</f>
        <v>-1004.3899999999994</v>
      </c>
      <c r="R15" s="314"/>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401476</v>
      </c>
      <c r="C17" s="50" t="s">
        <v>237</v>
      </c>
      <c r="D17" s="51">
        <v>44504</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139.51</v>
      </c>
      <c r="I17" s="54">
        <v>46228</v>
      </c>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2338.7096774193546</v>
      </c>
      <c r="M17" s="56"/>
      <c r="N17" s="72" t="s">
        <v>195</v>
      </c>
      <c r="O17" s="387" t="s">
        <v>73</v>
      </c>
      <c r="P17" s="322"/>
      <c r="Q17" s="331">
        <f>SUM(L3:L82)</f>
        <v>144963.30967741937</v>
      </c>
      <c r="R17" s="332"/>
      <c r="S17" s="145"/>
      <c r="T17" s="145"/>
      <c r="U17" s="145"/>
      <c r="V17" s="145"/>
      <c r="W17" s="158"/>
    </row>
    <row r="18" spans="1:29" ht="22" customHeight="1">
      <c r="A18" s="147" t="s">
        <v>74</v>
      </c>
      <c r="B18" s="97">
        <v>401479</v>
      </c>
      <c r="C18" s="42" t="s">
        <v>238</v>
      </c>
      <c r="D18" s="43">
        <v>44511</v>
      </c>
      <c r="E18" s="44" t="s">
        <v>6</v>
      </c>
      <c r="F18" s="45">
        <v>173</v>
      </c>
      <c r="G18" s="148">
        <f>IF(OR(E18="",F18=""),"",PID_KVLohnLookup($A$1,E18,F18,LOHNTABELLE!$H$4))</f>
        <v>2160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8"/>
      <c r="N18" s="71"/>
      <c r="O18" s="379" t="s">
        <v>384</v>
      </c>
      <c r="P18" s="320"/>
      <c r="Q18" s="309">
        <v>20</v>
      </c>
      <c r="R18" s="310"/>
      <c r="S18" s="145"/>
      <c r="T18" s="145"/>
      <c r="U18" s="145"/>
      <c r="V18" s="145"/>
    </row>
    <row r="19" spans="1:29" ht="22" customHeight="1">
      <c r="A19" s="147" t="s">
        <v>75</v>
      </c>
      <c r="B19" s="98">
        <v>401481</v>
      </c>
      <c r="C19" s="50" t="s">
        <v>239</v>
      </c>
      <c r="D19" s="51">
        <v>44531</v>
      </c>
      <c r="E19" s="52" t="s">
        <v>3</v>
      </c>
      <c r="F19" s="53">
        <v>173</v>
      </c>
      <c r="G19" s="148">
        <f>IF(OR(E19="",F19=""),"",PID_KVLohnLookup($A$1,E19,F19,LOHNTABELLE!$H$4))</f>
        <v>2082</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6"/>
      <c r="N19" s="72"/>
      <c r="O19" s="379" t="s">
        <v>295</v>
      </c>
      <c r="P19" s="320"/>
      <c r="Q19" s="309">
        <v>333</v>
      </c>
      <c r="R19" s="310"/>
      <c r="S19" s="145"/>
      <c r="T19" s="145"/>
      <c r="U19" s="145"/>
      <c r="V19" s="145"/>
    </row>
    <row r="20" spans="1:29" ht="22" customHeight="1">
      <c r="A20" s="147" t="s">
        <v>76</v>
      </c>
      <c r="B20" s="97">
        <v>401558</v>
      </c>
      <c r="C20" s="42" t="s">
        <v>236</v>
      </c>
      <c r="D20" s="43">
        <v>44460</v>
      </c>
      <c r="E20" s="44" t="s">
        <v>2</v>
      </c>
      <c r="F20" s="45">
        <v>173</v>
      </c>
      <c r="G20" s="148">
        <f>IF(OR(E20="",F20=""),"",PID_KVLohnLookup($A$1,E20,F20,LOHNTABELLE!$H$4))</f>
        <v>2900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48"/>
      <c r="N20" s="71"/>
      <c r="O20" s="379" t="s">
        <v>295</v>
      </c>
      <c r="P20" s="320"/>
      <c r="Q20" s="309">
        <v>35</v>
      </c>
      <c r="R20" s="310"/>
      <c r="S20" s="145"/>
      <c r="T20" s="145"/>
      <c r="U20" s="145"/>
      <c r="V20" s="145"/>
    </row>
    <row r="21" spans="1:29" ht="22" customHeight="1">
      <c r="A21" s="147" t="s">
        <v>77</v>
      </c>
      <c r="B21" s="98">
        <v>401564</v>
      </c>
      <c r="C21" s="50" t="s">
        <v>240</v>
      </c>
      <c r="D21" s="51">
        <v>44824</v>
      </c>
      <c r="E21" s="52" t="s">
        <v>2</v>
      </c>
      <c r="F21" s="53">
        <v>151.38</v>
      </c>
      <c r="G21" s="148">
        <f>IF(OR(E21="",F21=""),"",PID_KVLohnLookup($A$1,E21,F21,LOHNTABELLE!$H$4))</f>
        <v>2500</v>
      </c>
      <c r="H21" s="149">
        <f>IF(AND(ISNUMBER(D21),ISNUMBER(F21)),ROUNDDOWN(MIN(IF(OR(ISBLANK(I21),I21=""),EOMONTH(DATE(EINSTELLUNG!$C$35,$A$1,1),0),I21)-MAX(D21,DATE(EINSTELLUNG!$C$35,$A$1,1))+1)/DAY(EOMONTH(DATE(EINSTELLUNG!$C$35,$A$1,1),0))*F21,2),"")</f>
        <v>151.38</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2500</v>
      </c>
      <c r="M21" s="56"/>
      <c r="N21" s="72"/>
      <c r="O21" s="379" t="s">
        <v>295</v>
      </c>
      <c r="P21" s="320"/>
      <c r="Q21" s="309">
        <v>100</v>
      </c>
      <c r="R21" s="310"/>
      <c r="S21" s="145"/>
      <c r="T21" s="145"/>
      <c r="U21" s="145"/>
      <c r="V21" s="145"/>
    </row>
    <row r="22" spans="1:29" ht="22" customHeight="1">
      <c r="A22" s="147" t="s">
        <v>78</v>
      </c>
      <c r="B22" s="97">
        <v>401583</v>
      </c>
      <c r="C22" s="42" t="s">
        <v>242</v>
      </c>
      <c r="D22" s="43">
        <v>44900</v>
      </c>
      <c r="E22" s="44" t="s">
        <v>13</v>
      </c>
      <c r="F22" s="45">
        <v>173</v>
      </c>
      <c r="G22" s="148">
        <f>IF(OR(E22="",F22=""),"",PID_KVLohnLookup($A$1,E22,F22,LOHNTABELLE!$H$4))</f>
        <v>2328</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8"/>
      <c r="N22" s="71"/>
      <c r="O22" s="379" t="s">
        <v>295</v>
      </c>
      <c r="P22" s="320"/>
      <c r="Q22" s="309"/>
      <c r="R22" s="310"/>
      <c r="S22" s="145"/>
      <c r="T22" s="145"/>
      <c r="U22" s="145"/>
      <c r="V22" s="145"/>
    </row>
    <row r="23" spans="1:29" ht="22" customHeight="1">
      <c r="A23" s="147" t="s">
        <v>79</v>
      </c>
      <c r="B23" s="98">
        <v>401589</v>
      </c>
      <c r="C23" s="50" t="s">
        <v>243</v>
      </c>
      <c r="D23" s="51">
        <v>44926</v>
      </c>
      <c r="E23" s="52" t="s">
        <v>10</v>
      </c>
      <c r="F23" s="53">
        <v>173</v>
      </c>
      <c r="G23" s="148">
        <f>IF(OR(E23="",F23=""),"",PID_KVLohnLookup($A$1,E23,F23,LOHNTABELLE!$H$4))</f>
        <v>2300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6"/>
      <c r="N23" s="72"/>
      <c r="O23" s="379" t="s">
        <v>295</v>
      </c>
      <c r="P23" s="320"/>
      <c r="Q23" s="309">
        <v>5000</v>
      </c>
      <c r="R23" s="310"/>
      <c r="S23" s="145"/>
      <c r="T23" s="145"/>
      <c r="U23" s="145"/>
      <c r="V23" s="145"/>
      <c r="W23" s="158"/>
    </row>
    <row r="24" spans="1:29" ht="22" customHeight="1">
      <c r="A24" s="147" t="s">
        <v>80</v>
      </c>
      <c r="B24" s="97">
        <v>401602</v>
      </c>
      <c r="C24" s="42" t="s">
        <v>244</v>
      </c>
      <c r="D24" s="43">
        <v>45975</v>
      </c>
      <c r="E24" s="44" t="s">
        <v>2</v>
      </c>
      <c r="F24" s="45">
        <v>169</v>
      </c>
      <c r="G24" s="148">
        <f>IF(OR(E24="",F24=""),"",PID_KVLohnLookup($A$1,E24,F24,LOHNTABELLE!$H$4))</f>
        <v>2000</v>
      </c>
      <c r="H24" s="149">
        <f>IF(AND(ISNUMBER(D24),ISNUMBER(F24)),ROUNDDOWN(MIN(IF(OR(ISBLANK(I24),I24=""),EOMONTH(DATE(EINSTELLUNG!$C$35,$A$1,1),0),I24)-MAX(D24,DATE(EINSTELLUNG!$C$35,$A$1,1))+1)/DAY(EOMONTH(DATE(EINSTELLUNG!$C$35,$A$1,1),0))*F24,2),"")</f>
        <v>169</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8"/>
      <c r="N24" s="71"/>
      <c r="O24" s="379"/>
      <c r="P24" s="320"/>
      <c r="Q24" s="309"/>
      <c r="R24" s="310"/>
      <c r="S24" s="145"/>
      <c r="T24" s="145"/>
      <c r="U24" s="145"/>
      <c r="V24" s="145"/>
      <c r="W24" s="158"/>
    </row>
    <row r="25" spans="1:29" ht="22" customHeight="1">
      <c r="A25" s="147" t="s">
        <v>81</v>
      </c>
      <c r="B25" s="98">
        <v>401605</v>
      </c>
      <c r="C25" s="50" t="s">
        <v>245</v>
      </c>
      <c r="D25" s="51">
        <v>44986</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79"/>
      <c r="P25" s="320"/>
      <c r="Q25" s="309"/>
      <c r="R25" s="310"/>
      <c r="S25" s="145"/>
      <c r="T25" s="145"/>
      <c r="U25" s="145"/>
      <c r="V25" s="145"/>
    </row>
    <row r="26" spans="1:29" ht="22" customHeight="1">
      <c r="A26" s="147" t="s">
        <v>82</v>
      </c>
      <c r="B26" s="97">
        <v>401605</v>
      </c>
      <c r="C26" s="42" t="s">
        <v>405</v>
      </c>
      <c r="D26" s="43">
        <v>36850</v>
      </c>
      <c r="E26" s="44" t="s">
        <v>10</v>
      </c>
      <c r="F26" s="45">
        <v>151.38</v>
      </c>
      <c r="G26" s="148">
        <f>IF(OR(E26="",F26=""),"",PID_KVLohnLookup($A$1,E26,F26,LOHNTABELLE!$H$4))</f>
        <v>2012.5</v>
      </c>
      <c r="H26" s="149">
        <f>IF(AND(ISNUMBER(D26),ISNUMBER(F26)),ROUNDDOWN(MIN(IF(OR(ISBLANK(I26),I26=""),EOMONTH(DATE(EINSTELLUNG!$C$35,$A$1,1),0),I26)-MAX(D26,DATE(EINSTELLUNG!$C$35,$A$1,1))+1)/DAY(EOMONTH(DATE(EINSTELLUNG!$C$35,$A$1,1),0))*F26,2),"")</f>
        <v>151.38</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48"/>
      <c r="N26" s="71"/>
      <c r="O26" s="379"/>
      <c r="P26" s="320"/>
      <c r="Q26" s="309"/>
      <c r="R26" s="310"/>
      <c r="S26" s="145"/>
      <c r="T26" s="145"/>
      <c r="U26" s="145"/>
      <c r="V26" s="145"/>
    </row>
    <row r="27" spans="1:29" ht="22" customHeight="1">
      <c r="A27" s="147" t="s">
        <v>83</v>
      </c>
      <c r="B27" s="98">
        <v>401626</v>
      </c>
      <c r="C27" s="50" t="s">
        <v>246</v>
      </c>
      <c r="D27" s="51">
        <v>45063</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79"/>
      <c r="P27" s="320"/>
      <c r="Q27" s="309"/>
      <c r="R27" s="310"/>
      <c r="S27" s="318" t="s">
        <v>84</v>
      </c>
      <c r="T27" s="318"/>
      <c r="U27" s="318"/>
      <c r="V27" s="318"/>
    </row>
    <row r="28" spans="1:29" ht="22" customHeight="1">
      <c r="A28" s="147" t="s">
        <v>85</v>
      </c>
      <c r="B28" s="97">
        <v>401633</v>
      </c>
      <c r="C28" s="42" t="s">
        <v>247</v>
      </c>
      <c r="D28" s="43">
        <v>45089</v>
      </c>
      <c r="E28" s="44" t="s">
        <v>10</v>
      </c>
      <c r="F28" s="45">
        <v>173</v>
      </c>
      <c r="G28" s="148">
        <f>IF(OR(E28="",F28=""),"",PID_KVLohnLookup($A$1,E28,F28,LOHNTABELLE!$H$4))</f>
        <v>2300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48"/>
      <c r="N28" s="71"/>
      <c r="O28" s="379"/>
      <c r="P28" s="320"/>
      <c r="Q28" s="309"/>
      <c r="R28" s="310"/>
      <c r="S28" s="145"/>
      <c r="T28" s="145"/>
      <c r="U28" s="145"/>
      <c r="V28" s="145"/>
    </row>
    <row r="29" spans="1:29" ht="22" customHeight="1" thickBot="1">
      <c r="A29" s="147" t="s">
        <v>86</v>
      </c>
      <c r="B29" s="98">
        <v>401647</v>
      </c>
      <c r="C29" s="50" t="s">
        <v>248</v>
      </c>
      <c r="D29" s="51">
        <v>45182</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EINSTELLUNG!O12</f>
        <v>1250</v>
      </c>
      <c r="R29" s="367"/>
      <c r="S29" s="145"/>
      <c r="T29" s="145"/>
      <c r="U29" s="145"/>
      <c r="V29" s="145"/>
    </row>
    <row r="30" spans="1:29" ht="22" customHeight="1" thickBot="1">
      <c r="A30" s="147" t="s">
        <v>88</v>
      </c>
      <c r="B30" s="97">
        <v>401661</v>
      </c>
      <c r="C30" s="42" t="s">
        <v>249</v>
      </c>
      <c r="D30" s="43">
        <v>45261</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401670</v>
      </c>
      <c r="C31" s="50" t="s">
        <v>250</v>
      </c>
      <c r="D31" s="51">
        <v>45358</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80">
        <v>0</v>
      </c>
      <c r="P31" s="371"/>
      <c r="Q31" s="355">
        <v>1.6666666666666666E-2</v>
      </c>
      <c r="R31" s="356"/>
      <c r="S31" s="145"/>
      <c r="T31" s="145"/>
      <c r="U31" s="145"/>
      <c r="V31" s="145"/>
    </row>
    <row r="32" spans="1:29" ht="22" customHeight="1" thickBot="1">
      <c r="A32" s="147" t="s">
        <v>91</v>
      </c>
      <c r="B32" s="97">
        <v>401678</v>
      </c>
      <c r="C32" s="42" t="s">
        <v>251</v>
      </c>
      <c r="D32" s="43">
        <v>45414</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401690</v>
      </c>
      <c r="C33" s="50" t="s">
        <v>253</v>
      </c>
      <c r="D33" s="51">
        <v>45536</v>
      </c>
      <c r="E33" s="52" t="s">
        <v>2</v>
      </c>
      <c r="F33" s="53">
        <v>151.38</v>
      </c>
      <c r="G33" s="148">
        <f>IF(OR(E33="",F33=""),"",PID_KVLohnLookup($A$1,E33,F33,LOHNTABELLE!$H$4))</f>
        <v>2500</v>
      </c>
      <c r="H33" s="149">
        <f>IF(AND(ISNUMBER(D33),ISNUMBER(F33)),ROUNDDOWN(MIN(IF(OR(ISBLANK(I33),I33=""),EOMONTH(DATE(EINSTELLUNG!$C$35,$A$1,1),0),I33)-MAX(D33,DATE(EINSTELLUNG!$C$35,$A$1,1))+1)/DAY(EOMONTH(DATE(EINSTELLUNG!$C$35,$A$1,1),0))*F33,2),"")</f>
        <v>151.38</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2500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401715</v>
      </c>
      <c r="C34" s="42" t="s">
        <v>256</v>
      </c>
      <c r="D34" s="46">
        <v>45755</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82"/>
      <c r="P34" s="364"/>
      <c r="Q34" s="352"/>
      <c r="R34" s="352"/>
      <c r="S34" s="352"/>
      <c r="T34" s="352"/>
      <c r="U34" s="352"/>
      <c r="V34" s="354"/>
    </row>
    <row r="35" spans="1:22" ht="22" customHeight="1">
      <c r="A35" s="147" t="s">
        <v>97</v>
      </c>
      <c r="B35" s="98">
        <v>401716</v>
      </c>
      <c r="C35" s="50" t="s">
        <v>257</v>
      </c>
      <c r="D35" s="51">
        <v>45800</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6"/>
      <c r="N35" s="72"/>
      <c r="O35" s="378" t="s">
        <v>98</v>
      </c>
      <c r="P35" s="326"/>
      <c r="Q35" s="327">
        <f>EINSTELLUNG!C12</f>
        <v>400000</v>
      </c>
      <c r="R35" s="327"/>
      <c r="S35" s="327">
        <f>EINSTELLUNG!C28</f>
        <v>435000</v>
      </c>
      <c r="T35" s="327"/>
      <c r="U35" s="327">
        <f>S35-Q35</f>
        <v>35000</v>
      </c>
      <c r="V35" s="328"/>
    </row>
    <row r="36" spans="1:22" ht="22" customHeight="1">
      <c r="A36" s="147" t="s">
        <v>99</v>
      </c>
      <c r="B36" s="97">
        <v>401717</v>
      </c>
      <c r="C36" s="42" t="s">
        <v>258</v>
      </c>
      <c r="D36" s="43">
        <v>45814</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EINSTELLUNG!D12</f>
        <v>100000</v>
      </c>
      <c r="R36" s="327"/>
      <c r="S36" s="327">
        <f ca="1">SumMergedCells(Q17:R29)</f>
        <v>151701.30970000001</v>
      </c>
      <c r="T36" s="327"/>
      <c r="U36" s="327">
        <f t="shared" ref="U36:U41" ca="1" si="2">S36-Q36</f>
        <v>51701.309700000013</v>
      </c>
      <c r="V36" s="328"/>
    </row>
    <row r="37" spans="1:22" ht="22" customHeight="1">
      <c r="A37" s="147" t="s">
        <v>101</v>
      </c>
      <c r="B37" s="98">
        <v>401722</v>
      </c>
      <c r="C37" s="50" t="s">
        <v>259</v>
      </c>
      <c r="D37" s="51">
        <v>45848</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0.34873864298850576</v>
      </c>
      <c r="T37" s="349"/>
      <c r="U37" s="349">
        <f t="shared" ca="1" si="2"/>
        <v>9.8738642988505765E-2</v>
      </c>
      <c r="V37" s="350"/>
    </row>
    <row r="38" spans="1:22" ht="22" customHeight="1">
      <c r="A38" s="147" t="s">
        <v>103</v>
      </c>
      <c r="B38" s="97">
        <v>401723</v>
      </c>
      <c r="C38" s="42" t="s">
        <v>260</v>
      </c>
      <c r="D38" s="43">
        <v>45852</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EINSTELLUNG!F12</f>
        <v>30000</v>
      </c>
      <c r="R38" s="340"/>
      <c r="S38" s="340">
        <f>EINSTELLUNG!F28</f>
        <v>31000</v>
      </c>
      <c r="T38" s="340"/>
      <c r="U38" s="340">
        <f t="shared" si="2"/>
        <v>1000</v>
      </c>
      <c r="V38" s="341"/>
    </row>
    <row r="39" spans="1:22" ht="22" customHeight="1">
      <c r="A39" s="147" t="s">
        <v>105</v>
      </c>
      <c r="B39" s="98">
        <v>401726</v>
      </c>
      <c r="C39" s="50" t="s">
        <v>261</v>
      </c>
      <c r="D39" s="51">
        <v>45870</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14.03225806451613</v>
      </c>
      <c r="T39" s="327"/>
      <c r="U39" s="327">
        <f t="shared" si="2"/>
        <v>0.69892473118279597</v>
      </c>
      <c r="V39" s="328"/>
    </row>
    <row r="40" spans="1:22" ht="22" customHeight="1">
      <c r="A40" s="147" t="s">
        <v>107</v>
      </c>
      <c r="B40" s="97">
        <v>401730</v>
      </c>
      <c r="C40" s="42" t="s">
        <v>263</v>
      </c>
      <c r="D40" s="46">
        <v>45895</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IF(Q13=0, 0, Q35/Q13)</f>
        <v>48.218274484938419</v>
      </c>
      <c r="R40" s="327"/>
      <c r="S40" s="327">
        <f>IF(Q13=0, 0, S35/Q13)</f>
        <v>52.437373502370527</v>
      </c>
      <c r="T40" s="327"/>
      <c r="U40" s="327">
        <f t="shared" si="2"/>
        <v>4.2190990174321072</v>
      </c>
      <c r="V40" s="328"/>
    </row>
    <row r="41" spans="1:22" ht="22" customHeight="1">
      <c r="A41" s="147" t="s">
        <v>109</v>
      </c>
      <c r="B41" s="98">
        <v>401731</v>
      </c>
      <c r="C41" s="50" t="s">
        <v>262</v>
      </c>
      <c r="D41" s="51">
        <v>45899</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IF(Q13=0, 0, Q38/Q13)</f>
        <v>3.616370586370381</v>
      </c>
      <c r="R41" s="340"/>
      <c r="S41" s="340">
        <f>IF(Q13=0, 0, S38/Q13)</f>
        <v>3.7369162725827274</v>
      </c>
      <c r="T41" s="340"/>
      <c r="U41" s="340">
        <f t="shared" si="2"/>
        <v>0.1205456862123464</v>
      </c>
      <c r="V41" s="341"/>
    </row>
    <row r="42" spans="1:22" ht="22" customHeight="1">
      <c r="A42" s="147" t="s">
        <v>111</v>
      </c>
      <c r="B42" s="97">
        <v>401734</v>
      </c>
      <c r="C42" s="42" t="s">
        <v>264</v>
      </c>
      <c r="D42" s="43">
        <v>45904</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16.375205693848407</v>
      </c>
      <c r="R42" s="335"/>
      <c r="S42" s="335"/>
      <c r="T42" s="335"/>
      <c r="U42" s="335"/>
      <c r="V42" s="336"/>
    </row>
    <row r="43" spans="1:22" ht="22" customHeight="1">
      <c r="A43" s="147" t="s">
        <v>113</v>
      </c>
      <c r="B43" s="98">
        <v>401737</v>
      </c>
      <c r="C43" s="50" t="s">
        <v>266</v>
      </c>
      <c r="D43" s="51">
        <v>45906</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401738</v>
      </c>
      <c r="C44" s="42" t="s">
        <v>267</v>
      </c>
      <c r="D44" s="46">
        <v>45909</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401745</v>
      </c>
      <c r="C45" s="50" t="s">
        <v>271</v>
      </c>
      <c r="D45" s="51">
        <v>45934</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401746</v>
      </c>
      <c r="C46" s="42" t="s">
        <v>270</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401747</v>
      </c>
      <c r="C47" s="50" t="s">
        <v>268</v>
      </c>
      <c r="D47" s="51">
        <v>45941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401748</v>
      </c>
      <c r="C48" s="42" t="s">
        <v>269</v>
      </c>
      <c r="D48" s="43">
        <v>45941</v>
      </c>
      <c r="E48" s="44" t="s">
        <v>2</v>
      </c>
      <c r="F48" s="45">
        <v>138.4</v>
      </c>
      <c r="G48" s="148">
        <f>IF(OR(E48="",F48=""),"",PID_KVLohnLookup($A$1,E48,F48,LOHNTABELLE!$H$4))</f>
        <v>2400</v>
      </c>
      <c r="H48" s="149">
        <f>IF(AND(ISNUMBER(D48),ISNUMBER(F48)),ROUNDDOWN(MIN(IF(OR(ISBLANK(I48),I48=""),EOMONTH(DATE(EINSTELLUNG!$C$35,$A$1,1),0),I48)-MAX(D48,DATE(EINSTELLUNG!$C$35,$A$1,1))+1)/DAY(EOMONTH(DATE(EINSTELLUNG!$C$35,$A$1,1),0))*F48,2),"")</f>
        <v>138.4</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2400</v>
      </c>
      <c r="M48" s="48"/>
      <c r="N48" s="71"/>
      <c r="O48" s="145"/>
      <c r="P48" s="145"/>
      <c r="Q48" s="145"/>
      <c r="R48" s="145"/>
      <c r="S48" s="145"/>
      <c r="T48" s="145"/>
      <c r="U48" s="145"/>
      <c r="V48" s="145"/>
    </row>
    <row r="49" spans="1:22" ht="22" customHeight="1">
      <c r="A49" s="147" t="s">
        <v>120</v>
      </c>
      <c r="B49" s="98">
        <v>401751</v>
      </c>
      <c r="C49" s="50" t="s">
        <v>272</v>
      </c>
      <c r="D49" s="51">
        <v>45961</v>
      </c>
      <c r="E49" s="52" t="s">
        <v>2</v>
      </c>
      <c r="F49" s="53">
        <v>86.5</v>
      </c>
      <c r="G49" s="148">
        <f>IF(OR(E49="",F49=""),"",PID_KVLohnLookup($A$1,E49,F49,LOHNTABELLE!$H$4))</f>
        <v>2152</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6"/>
      <c r="N49" s="72"/>
      <c r="O49" s="145"/>
      <c r="P49" s="145"/>
      <c r="Q49" s="145"/>
      <c r="R49" s="145"/>
      <c r="S49" s="145"/>
      <c r="T49" s="145"/>
      <c r="U49" s="145"/>
      <c r="V49" s="145"/>
    </row>
    <row r="50" spans="1:22" ht="22" customHeight="1">
      <c r="A50" s="147" t="s">
        <v>121</v>
      </c>
      <c r="B50" s="97">
        <v>401752</v>
      </c>
      <c r="C50" s="42" t="s">
        <v>273</v>
      </c>
      <c r="D50" s="43">
        <v>45986</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401999</v>
      </c>
      <c r="C51" s="50" t="s">
        <v>357</v>
      </c>
      <c r="D51" s="51">
        <v>46041</v>
      </c>
      <c r="E51" s="52" t="s">
        <v>2</v>
      </c>
      <c r="F51" s="53">
        <v>151.38</v>
      </c>
      <c r="G51" s="148">
        <f>IF(OR(E51="",F51=""),"",PID_KVLohnLookup($A$1,E51,F51,LOHNTABELLE!$H$4))</f>
        <v>2500</v>
      </c>
      <c r="H51" s="149">
        <f>IF(AND(ISNUMBER(D51),ISNUMBER(F51)),ROUNDDOWN(MIN(IF(OR(ISBLANK(I51),I51=""),EOMONTH(DATE(EINSTELLUNG!$C$35,$A$1,1),0),I51)-MAX(D51,DATE(EINSTELLUNG!$C$35,$A$1,1))+1)/DAY(EOMONTH(DATE(EINSTELLUNG!$C$35,$A$1,1),0))*F51,2),"")</f>
        <v>151.38</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56"/>
      <c r="N51" s="72"/>
    </row>
    <row r="52" spans="1:22" ht="22" customHeight="1">
      <c r="A52" s="147" t="s">
        <v>123</v>
      </c>
      <c r="B52" s="97">
        <v>401999</v>
      </c>
      <c r="C52" s="42" t="s">
        <v>294</v>
      </c>
      <c r="D52" s="46">
        <v>46082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402000</v>
      </c>
      <c r="C53" s="50" t="s">
        <v>297</v>
      </c>
      <c r="D53" s="54">
        <v>46143</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402004</v>
      </c>
      <c r="C54" s="42" t="s">
        <v>298</v>
      </c>
      <c r="D54" s="46">
        <v>46122</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402405</v>
      </c>
      <c r="C55" s="50" t="s">
        <v>300</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500600</v>
      </c>
      <c r="C56" s="42" t="s">
        <v>304</v>
      </c>
      <c r="D56" s="46">
        <v>46054</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502000</v>
      </c>
      <c r="C57" s="50" t="s">
        <v>299</v>
      </c>
      <c r="D57" s="54">
        <v>46147</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503000</v>
      </c>
      <c r="C58" s="42" t="s">
        <v>301</v>
      </c>
      <c r="D58" s="46">
        <v>42401</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504000</v>
      </c>
      <c r="C59" s="50" t="s">
        <v>302</v>
      </c>
      <c r="D59" s="54">
        <v>46054</v>
      </c>
      <c r="E59" s="52" t="s">
        <v>3</v>
      </c>
      <c r="F59" s="53">
        <v>138.4</v>
      </c>
      <c r="G59" s="148">
        <f>IF(OR(E59="",F59=""),"",PID_KVLohnLookup($A$1,E59,F59,LOHNTABELLE!$H$4))</f>
        <v>1665.6</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56"/>
      <c r="N59" s="72"/>
    </row>
    <row r="60" spans="1:22" ht="22" customHeight="1">
      <c r="A60" s="147" t="s">
        <v>131</v>
      </c>
      <c r="B60" s="97">
        <v>505000</v>
      </c>
      <c r="C60" s="42" t="s">
        <v>303</v>
      </c>
      <c r="D60" s="46">
        <v>46054</v>
      </c>
      <c r="E60" s="44" t="s">
        <v>2</v>
      </c>
      <c r="F60" s="45">
        <v>138.4</v>
      </c>
      <c r="G60" s="148">
        <f>IF(OR(E60="",F60=""),"",PID_KVLohnLookup($A$1,E60,F60,LOHNTABELLE!$H$4))</f>
        <v>2400</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48"/>
      <c r="N60" s="71"/>
    </row>
    <row r="61" spans="1:22" ht="22" customHeight="1">
      <c r="A61" s="147" t="s">
        <v>132</v>
      </c>
      <c r="B61" s="98">
        <v>525025</v>
      </c>
      <c r="C61" s="67" t="s">
        <v>358</v>
      </c>
      <c r="D61" s="54">
        <v>46040</v>
      </c>
      <c r="E61" s="52" t="s">
        <v>2</v>
      </c>
      <c r="F61" s="53">
        <v>129.75</v>
      </c>
      <c r="G61" s="148">
        <f>IF(OR(E61="",F61=""),"",PID_KVLohnLookup($A$1,E61,F61,LOHNTABELLE!$H$4))</f>
        <v>2300</v>
      </c>
      <c r="H61" s="149">
        <f>IF(AND(ISNUMBER(D61),ISNUMBER(F61)),ROUNDDOWN(MIN(IF(OR(ISBLANK(I61),I61=""),EOMONTH(DATE(EINSTELLUNG!$C$35,$A$1,1),0),I61)-MAX(D61,DATE(EINSTELLUNG!$C$35,$A$1,1))+1)/DAY(EOMONTH(DATE(EINSTELLUNG!$C$35,$A$1,1),0))*F61,2),"")</f>
        <v>129.75</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56"/>
      <c r="N61" s="72"/>
    </row>
    <row r="62" spans="1:22" ht="22" customHeight="1">
      <c r="A62" s="147" t="s">
        <v>133</v>
      </c>
      <c r="B62" s="97">
        <v>700000</v>
      </c>
      <c r="C62" s="42" t="s">
        <v>311</v>
      </c>
      <c r="D62" s="46">
        <v>46054</v>
      </c>
      <c r="E62" s="44" t="s">
        <v>2</v>
      </c>
      <c r="F62" s="45">
        <v>173</v>
      </c>
      <c r="G62" s="148">
        <f>IF(OR(E62="",F62=""),"",PID_KVLohnLookup($A$1,E62,F62,LOHNTABELLE!$H$4))</f>
        <v>2900</v>
      </c>
      <c r="H62" s="149">
        <f>IF(AND(ISNUMBER(D62),ISNUMBER(F62)),ROUNDDOWN(MIN(IF(OR(ISBLANK(I62),I62=""),EOMONTH(DATE(EINSTELLUNG!$C$35,$A$1,1),0),I62)-MAX(D62,DATE(EINSTELLUNG!$C$35,$A$1,1))+1)/DAY(EOMONTH(DATE(EINSTELLUNG!$C$35,$A$1,1),0))*F62,2),"")</f>
        <v>173</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48"/>
      <c r="N62" s="71"/>
    </row>
    <row r="63" spans="1:22" ht="22" customHeight="1">
      <c r="A63" s="147" t="s">
        <v>134</v>
      </c>
      <c r="B63" s="98">
        <v>800000</v>
      </c>
      <c r="C63" s="50" t="s">
        <v>312</v>
      </c>
      <c r="D63" s="54">
        <v>46096</v>
      </c>
      <c r="E63" s="52" t="s">
        <v>2</v>
      </c>
      <c r="F63" s="53">
        <v>129.75</v>
      </c>
      <c r="G63" s="148">
        <f>IF(OR(E63="",F63=""),"",PID_KVLohnLookup($A$1,E63,F63,LOHNTABELLE!$H$4))</f>
        <v>2300</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2300</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kjPEoEkS5vpo19PsRoOpAg4Pp0JNjgC15DRXjwcD2Xtc9Bfrd1tJgvPOxKyLL5PsAis+wlsJ5oUkudkD1MLDoA==" saltValue="K3L4rYNDQqb3p/GFHUSXiw=="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F22</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F19 F59</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3DA398A5-CF64-40F0-BCFF-54C51844858F}">
          <x14:formula1>
            <xm:f>KV_DROPDOWN_HELPER!$RM$1:$RM$18</xm:f>
          </x14:formula1>
          <xm:sqref>F3 F5 F11 F12 F14 F16 F17 F20 F21 F24 F25 F27 F29 F30 F31 F32 F33 F34 F35 F36 F37 F38 F39 F40 F41 F42 F43 F44 F45 F46 F47 F48 F49 F50 F51 F52 F53 F54 F55 F56 F57 F58 F60 F61 F62 F63</xm:sqref>
        </x14:dataValidation>
        <x14:dataValidation type="list" allowBlank="1" showInputMessage="1" showErrorMessage="1" xr:uid="{6B8A718E-120D-47B9-AF80-E76513992071}">
          <x14:formula1>
            <xm:f>KV_DROPDOWN_HELPER!$RP$1:$RP$13</xm:f>
          </x14:formula1>
          <xm:sqref>F15 F23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9"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8</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46235</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46265</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840.82835514826911</v>
      </c>
      <c r="P5" s="152">
        <f>EINSTELLUNG!I13</f>
        <v>620</v>
      </c>
      <c r="Q5" s="152">
        <f>P5-O5</f>
        <v>-220.82835514826911</v>
      </c>
      <c r="R5" s="153">
        <f>IFERROR(Q5*Q42, 0)</f>
        <v>-3614.7359518058811</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8713.1</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EINSTELLUNG!L29</f>
        <v>8</v>
      </c>
      <c r="R9" s="341"/>
      <c r="S9" s="154">
        <f>IFERROR(Q9/Q8, 0)</f>
        <v>9.1815771654175894E-4</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EINSTELLUNG!I29</f>
        <v>150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620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66</v>
      </c>
      <c r="P12" s="326"/>
      <c r="Q12" s="340">
        <f>Q8-Q9-Q10-Q11</f>
        <v>7935.1</v>
      </c>
      <c r="R12" s="341"/>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68</v>
      </c>
      <c r="P13" s="326"/>
      <c r="Q13" s="340">
        <f>EINSTELLUNG!L13</f>
        <v>9300</v>
      </c>
      <c r="R13" s="341"/>
      <c r="S13" s="145"/>
      <c r="T13" s="145"/>
      <c r="U13" s="145"/>
      <c r="V13" s="145"/>
    </row>
    <row r="14" spans="1:28" ht="22" customHeight="1" thickBo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11" t="s">
        <v>70</v>
      </c>
      <c r="P14" s="312"/>
      <c r="Q14" s="313">
        <f>Q12-Q13</f>
        <v>-1364.8999999999996</v>
      </c>
      <c r="R14" s="314"/>
      <c r="S14" s="145"/>
      <c r="T14" s="145"/>
      <c r="U14" s="145"/>
      <c r="V14" s="145"/>
    </row>
    <row r="15" spans="1:28" ht="22" customHeigh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73" t="str">
        <f>IF(Q14&lt;0, "Schlecht! Zu wenig Stunden für Dienstplan.", IF(Q14&gt;0, "Du hast mehr als genug Stunden für Dienstplan.", ""))</f>
        <v>Schlecht! Zu wenig Stunden für Dienstplan.</v>
      </c>
      <c r="P15" s="374"/>
      <c r="Q15" s="374"/>
      <c r="R15" s="374"/>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84"/>
      <c r="P16" s="385"/>
      <c r="Q16" s="385"/>
      <c r="R16" s="386"/>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87" t="s">
        <v>73</v>
      </c>
      <c r="P17" s="322"/>
      <c r="Q17" s="331">
        <f>SUM(L3:L82)</f>
        <v>142624.6</v>
      </c>
      <c r="R17" s="332"/>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79" t="s">
        <v>384</v>
      </c>
      <c r="P18" s="320"/>
      <c r="Q18" s="309">
        <v>20</v>
      </c>
      <c r="R18" s="310"/>
      <c r="S18" s="145"/>
      <c r="T18" s="145"/>
      <c r="U18" s="145"/>
      <c r="V18" s="145"/>
    </row>
    <row r="19" spans="1:29" ht="22" customHeight="1">
      <c r="A19" s="147" t="s">
        <v>75</v>
      </c>
      <c r="B19" s="98">
        <v>401558</v>
      </c>
      <c r="C19" s="50" t="s">
        <v>236</v>
      </c>
      <c r="D19" s="51">
        <v>44460</v>
      </c>
      <c r="E19" s="52" t="s">
        <v>2</v>
      </c>
      <c r="F19" s="53">
        <v>173</v>
      </c>
      <c r="G19" s="148">
        <f>IF(OR(E19="",F19=""),"",PID_KVLohnLookup($A$1,E19,F19,LOHNTABELLE!$H$4))</f>
        <v>2900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56"/>
      <c r="N19" s="72"/>
      <c r="O19" s="379" t="s">
        <v>295</v>
      </c>
      <c r="P19" s="320"/>
      <c r="Q19" s="309">
        <v>333</v>
      </c>
      <c r="R19" s="310"/>
      <c r="S19" s="145"/>
      <c r="T19" s="145"/>
      <c r="U19" s="145"/>
      <c r="V19" s="145"/>
    </row>
    <row r="20" spans="1:29" ht="22" customHeight="1">
      <c r="A20" s="147" t="s">
        <v>76</v>
      </c>
      <c r="B20" s="97">
        <v>401564</v>
      </c>
      <c r="C20" s="42" t="s">
        <v>240</v>
      </c>
      <c r="D20" s="43">
        <v>44824</v>
      </c>
      <c r="E20" s="44" t="s">
        <v>2</v>
      </c>
      <c r="F20" s="45">
        <v>151.38</v>
      </c>
      <c r="G20" s="148">
        <f>IF(OR(E20="",F20=""),"",PID_KVLohnLookup($A$1,E20,F20,LOHNTABELLE!$H$4))</f>
        <v>2500</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8"/>
      <c r="N20" s="71"/>
      <c r="O20" s="379" t="s">
        <v>295</v>
      </c>
      <c r="P20" s="320"/>
      <c r="Q20" s="309">
        <v>35</v>
      </c>
      <c r="R20" s="310"/>
      <c r="S20" s="145"/>
      <c r="T20" s="145"/>
      <c r="U20" s="145"/>
      <c r="V20" s="145"/>
    </row>
    <row r="21" spans="1:29" ht="22" customHeight="1">
      <c r="A21" s="147" t="s">
        <v>77</v>
      </c>
      <c r="B21" s="98">
        <v>401583</v>
      </c>
      <c r="C21" s="50" t="s">
        <v>242</v>
      </c>
      <c r="D21" s="51">
        <v>44900</v>
      </c>
      <c r="E21" s="52" t="s">
        <v>13</v>
      </c>
      <c r="F21" s="53">
        <v>173</v>
      </c>
      <c r="G21" s="148">
        <f>IF(OR(E21="",F21=""),"",PID_KVLohnLookup($A$1,E21,F21,LOHNTABELLE!$H$4))</f>
        <v>2328</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6"/>
      <c r="N21" s="72"/>
      <c r="O21" s="379" t="s">
        <v>295</v>
      </c>
      <c r="P21" s="320"/>
      <c r="Q21" s="309">
        <v>100</v>
      </c>
      <c r="R21" s="310"/>
      <c r="S21" s="145"/>
      <c r="T21" s="145"/>
      <c r="U21" s="145"/>
      <c r="V21" s="145"/>
    </row>
    <row r="22" spans="1:29" ht="22" customHeight="1">
      <c r="A22" s="147" t="s">
        <v>78</v>
      </c>
      <c r="B22" s="97">
        <v>401589</v>
      </c>
      <c r="C22" s="42" t="s">
        <v>243</v>
      </c>
      <c r="D22" s="43">
        <v>44926</v>
      </c>
      <c r="E22" s="44" t="s">
        <v>10</v>
      </c>
      <c r="F22" s="45">
        <v>173</v>
      </c>
      <c r="G22" s="148">
        <f>IF(OR(E22="",F22=""),"",PID_KVLohnLookup($A$1,E22,F22,LOHNTABELLE!$H$4))</f>
        <v>2300</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8"/>
      <c r="N22" s="71"/>
      <c r="O22" s="379" t="s">
        <v>295</v>
      </c>
      <c r="P22" s="320"/>
      <c r="Q22" s="309"/>
      <c r="R22" s="310"/>
      <c r="S22" s="145"/>
      <c r="T22" s="145"/>
      <c r="U22" s="145"/>
      <c r="V22" s="145"/>
    </row>
    <row r="23" spans="1:29" ht="22" customHeight="1">
      <c r="A23" s="147" t="s">
        <v>79</v>
      </c>
      <c r="B23" s="98">
        <v>401602</v>
      </c>
      <c r="C23" s="50" t="s">
        <v>244</v>
      </c>
      <c r="D23" s="51">
        <v>45975</v>
      </c>
      <c r="E23" s="52" t="s">
        <v>2</v>
      </c>
      <c r="F23" s="53">
        <v>169</v>
      </c>
      <c r="G23" s="148">
        <f>IF(OR(E23="",F23=""),"",PID_KVLohnLookup($A$1,E23,F23,LOHNTABELLE!$H$4))</f>
        <v>2000</v>
      </c>
      <c r="H23" s="149">
        <f>IF(AND(ISNUMBER(D23),ISNUMBER(F23)),ROUNDDOWN(MIN(IF(OR(ISBLANK(I23),I23=""),EOMONTH(DATE(EINSTELLUNG!$C$35,$A$1,1),0),I23)-MAX(D23,DATE(EINSTELLUNG!$C$35,$A$1,1))+1)/DAY(EOMONTH(DATE(EINSTELLUNG!$C$35,$A$1,1),0))*F23,2),"")</f>
        <v>169</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6"/>
      <c r="N23" s="72"/>
      <c r="O23" s="379" t="s">
        <v>295</v>
      </c>
      <c r="P23" s="320"/>
      <c r="Q23" s="309">
        <v>5000</v>
      </c>
      <c r="R23" s="310"/>
      <c r="S23" s="145"/>
      <c r="T23" s="145"/>
      <c r="U23" s="145"/>
      <c r="V23" s="145"/>
      <c r="W23" s="158"/>
    </row>
    <row r="24" spans="1:29" ht="22" customHeight="1">
      <c r="A24" s="147" t="s">
        <v>80</v>
      </c>
      <c r="B24" s="97">
        <v>401605</v>
      </c>
      <c r="C24" s="42" t="s">
        <v>245</v>
      </c>
      <c r="D24" s="43">
        <v>44986</v>
      </c>
      <c r="E24" s="44" t="s">
        <v>2</v>
      </c>
      <c r="F24" s="45">
        <v>173</v>
      </c>
      <c r="G24" s="148">
        <f>IF(OR(E24="",F24=""),"",PID_KVLohnLookup($A$1,E24,F24,LOHNTABELLE!$H$4))</f>
        <v>2900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8"/>
      <c r="N24" s="71"/>
      <c r="O24" s="379"/>
      <c r="P24" s="320"/>
      <c r="Q24" s="309"/>
      <c r="R24" s="310"/>
      <c r="S24" s="145"/>
      <c r="T24" s="145"/>
      <c r="U24" s="145"/>
      <c r="V24" s="145"/>
      <c r="W24" s="158"/>
    </row>
    <row r="25" spans="1:29" ht="22" customHeight="1">
      <c r="A25" s="147" t="s">
        <v>81</v>
      </c>
      <c r="B25" s="98">
        <v>401605</v>
      </c>
      <c r="C25" s="50" t="s">
        <v>405</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2"/>
      <c r="O25" s="379"/>
      <c r="P25" s="320"/>
      <c r="Q25" s="309"/>
      <c r="R25" s="310"/>
      <c r="S25" s="145"/>
      <c r="T25" s="145"/>
      <c r="U25" s="145"/>
      <c r="V25" s="145"/>
    </row>
    <row r="26" spans="1:29" ht="22" customHeight="1">
      <c r="A26" s="147" t="s">
        <v>82</v>
      </c>
      <c r="B26" s="97">
        <v>401626</v>
      </c>
      <c r="C26" s="42" t="s">
        <v>246</v>
      </c>
      <c r="D26" s="43">
        <v>45063</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79"/>
      <c r="P26" s="320"/>
      <c r="Q26" s="309"/>
      <c r="R26" s="310"/>
      <c r="S26" s="145"/>
      <c r="T26" s="145"/>
      <c r="U26" s="145"/>
      <c r="V26" s="145"/>
    </row>
    <row r="27" spans="1:29" ht="22" customHeight="1">
      <c r="A27" s="147" t="s">
        <v>83</v>
      </c>
      <c r="B27" s="98">
        <v>401633</v>
      </c>
      <c r="C27" s="50" t="s">
        <v>247</v>
      </c>
      <c r="D27" s="51">
        <v>45089</v>
      </c>
      <c r="E27" s="52" t="s">
        <v>10</v>
      </c>
      <c r="F27" s="136">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2"/>
      <c r="O27" s="379"/>
      <c r="P27" s="320"/>
      <c r="Q27" s="309"/>
      <c r="R27" s="310"/>
      <c r="S27" s="318" t="s">
        <v>84</v>
      </c>
      <c r="T27" s="318"/>
      <c r="U27" s="318"/>
      <c r="V27" s="318"/>
    </row>
    <row r="28" spans="1:29" ht="22" customHeight="1">
      <c r="A28" s="147" t="s">
        <v>85</v>
      </c>
      <c r="B28" s="97">
        <v>401647</v>
      </c>
      <c r="C28" s="42" t="s">
        <v>248</v>
      </c>
      <c r="D28" s="43">
        <v>45182</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401661</v>
      </c>
      <c r="C29" s="50" t="s">
        <v>249</v>
      </c>
      <c r="D29" s="51">
        <v>45261</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EINSTELLUNG!O13</f>
        <v>1250</v>
      </c>
      <c r="R29" s="367"/>
      <c r="S29" s="145"/>
      <c r="T29" s="145"/>
      <c r="U29" s="145"/>
      <c r="V29" s="145"/>
    </row>
    <row r="30" spans="1:29" ht="22" customHeight="1" thickBot="1">
      <c r="A30" s="147" t="s">
        <v>88</v>
      </c>
      <c r="B30" s="97">
        <v>401670</v>
      </c>
      <c r="C30" s="42" t="s">
        <v>250</v>
      </c>
      <c r="D30" s="43">
        <v>45358</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401678</v>
      </c>
      <c r="C31" s="50" t="s">
        <v>251</v>
      </c>
      <c r="D31" s="51">
        <v>45414</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80">
        <v>0</v>
      </c>
      <c r="P31" s="371"/>
      <c r="Q31" s="355">
        <v>0</v>
      </c>
      <c r="R31" s="356"/>
      <c r="S31" s="145"/>
      <c r="T31" s="145"/>
      <c r="U31" s="145"/>
      <c r="V31" s="145"/>
    </row>
    <row r="32" spans="1:29" ht="22" customHeight="1" thickBot="1">
      <c r="A32" s="147" t="s">
        <v>91</v>
      </c>
      <c r="B32" s="97">
        <v>401690</v>
      </c>
      <c r="C32" s="42" t="s">
        <v>253</v>
      </c>
      <c r="D32" s="43">
        <v>45536</v>
      </c>
      <c r="E32" s="44" t="s">
        <v>2</v>
      </c>
      <c r="F32" s="45">
        <v>151.38</v>
      </c>
      <c r="G32" s="148">
        <f>IF(OR(E32="",F32=""),"",PID_KVLohnLookup($A$1,E32,F32,LOHNTABELLE!$H$4))</f>
        <v>2500</v>
      </c>
      <c r="H32" s="149">
        <f>IF(AND(ISNUMBER(D32),ISNUMBER(F32)),ROUNDDOWN(MIN(IF(OR(ISBLANK(I32),I32=""),EOMONTH(DATE(EINSTELLUNG!$C$35,$A$1,1),0),I32)-MAX(D32,DATE(EINSTELLUNG!$C$35,$A$1,1))+1)/DAY(EOMONTH(DATE(EINSTELLUNG!$C$35,$A$1,1),0))*F32,2),"")</f>
        <v>151.38</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8"/>
      <c r="N32" s="71"/>
      <c r="O32" s="145"/>
      <c r="P32" s="145"/>
      <c r="Q32" s="145"/>
      <c r="R32" s="145"/>
      <c r="S32" s="145"/>
      <c r="T32" s="145"/>
      <c r="U32" s="145"/>
      <c r="V32" s="145"/>
    </row>
    <row r="33" spans="1:22" ht="22" customHeight="1">
      <c r="A33" s="147" t="s">
        <v>92</v>
      </c>
      <c r="B33" s="98">
        <v>401715</v>
      </c>
      <c r="C33" s="50" t="s">
        <v>256</v>
      </c>
      <c r="D33" s="51">
        <v>45755</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401716</v>
      </c>
      <c r="C34" s="42" t="s">
        <v>257</v>
      </c>
      <c r="D34" s="43">
        <v>45800</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82"/>
      <c r="P34" s="364"/>
      <c r="Q34" s="352"/>
      <c r="R34" s="352"/>
      <c r="S34" s="352"/>
      <c r="T34" s="352"/>
      <c r="U34" s="352"/>
      <c r="V34" s="354"/>
    </row>
    <row r="35" spans="1:22" ht="22" customHeight="1">
      <c r="A35" s="147" t="s">
        <v>97</v>
      </c>
      <c r="B35" s="98">
        <v>401717</v>
      </c>
      <c r="C35" s="50" t="s">
        <v>258</v>
      </c>
      <c r="D35" s="51">
        <v>45814</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78" t="s">
        <v>98</v>
      </c>
      <c r="P35" s="326"/>
      <c r="Q35" s="327">
        <f>EINSTELLUNG!C13</f>
        <v>400000</v>
      </c>
      <c r="R35" s="327"/>
      <c r="S35" s="327">
        <f>EINSTELLUNG!C29</f>
        <v>435000</v>
      </c>
      <c r="T35" s="327"/>
      <c r="U35" s="327">
        <f>S35-Q35</f>
        <v>35000</v>
      </c>
      <c r="V35" s="328"/>
    </row>
    <row r="36" spans="1:22" ht="22" customHeight="1">
      <c r="A36" s="147" t="s">
        <v>99</v>
      </c>
      <c r="B36" s="97">
        <v>401722</v>
      </c>
      <c r="C36" s="42" t="s">
        <v>259</v>
      </c>
      <c r="D36" s="43">
        <v>45848</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EINSTELLUNG!D13</f>
        <v>100000</v>
      </c>
      <c r="R36" s="327"/>
      <c r="S36" s="327">
        <f ca="1">SumMergedCells(Q17:R29)</f>
        <v>149362.6</v>
      </c>
      <c r="T36" s="327"/>
      <c r="U36" s="327">
        <f t="shared" ref="U36:U41" ca="1" si="2">S36-Q36</f>
        <v>49362.600000000006</v>
      </c>
      <c r="V36" s="328"/>
    </row>
    <row r="37" spans="1:22" ht="22" customHeight="1">
      <c r="A37" s="147" t="s">
        <v>101</v>
      </c>
      <c r="B37" s="98">
        <v>401723</v>
      </c>
      <c r="C37" s="50" t="s">
        <v>260</v>
      </c>
      <c r="D37" s="51">
        <v>45852</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0.34336229885057473</v>
      </c>
      <c r="T37" s="349"/>
      <c r="U37" s="349">
        <f t="shared" ca="1" si="2"/>
        <v>9.3362298850574732E-2</v>
      </c>
      <c r="V37" s="350"/>
    </row>
    <row r="38" spans="1:22" ht="22" customHeight="1">
      <c r="A38" s="147" t="s">
        <v>103</v>
      </c>
      <c r="B38" s="97">
        <v>401726</v>
      </c>
      <c r="C38" s="42" t="s">
        <v>261</v>
      </c>
      <c r="D38" s="43">
        <v>45870</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EINSTELLUNG!F13</f>
        <v>30000</v>
      </c>
      <c r="R38" s="340"/>
      <c r="S38" s="340">
        <f>EINSTELLUNG!F29</f>
        <v>31000</v>
      </c>
      <c r="T38" s="340"/>
      <c r="U38" s="340">
        <f t="shared" si="2"/>
        <v>1000</v>
      </c>
      <c r="V38" s="341"/>
    </row>
    <row r="39" spans="1:22" ht="22" customHeight="1">
      <c r="A39" s="147" t="s">
        <v>105</v>
      </c>
      <c r="B39" s="98">
        <v>401730</v>
      </c>
      <c r="C39" s="50" t="s">
        <v>263</v>
      </c>
      <c r="D39" s="54">
        <v>45895</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14.03225806451613</v>
      </c>
      <c r="T39" s="327"/>
      <c r="U39" s="327">
        <f t="shared" si="2"/>
        <v>0.69892473118279597</v>
      </c>
      <c r="V39" s="328"/>
    </row>
    <row r="40" spans="1:22" ht="22" customHeight="1">
      <c r="A40" s="147" t="s">
        <v>107</v>
      </c>
      <c r="B40" s="97">
        <v>401731</v>
      </c>
      <c r="C40" s="42" t="s">
        <v>262</v>
      </c>
      <c r="D40" s="43">
        <v>45899</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IF(Q12=0, 0, Q35/Q12)</f>
        <v>50.408942546407729</v>
      </c>
      <c r="R40" s="327"/>
      <c r="S40" s="327">
        <f>IF(Q12=0, 0, S35/Q12)</f>
        <v>54.81972501921841</v>
      </c>
      <c r="T40" s="327"/>
      <c r="U40" s="327">
        <f t="shared" si="2"/>
        <v>4.4107824728106806</v>
      </c>
      <c r="V40" s="328"/>
    </row>
    <row r="41" spans="1:22" ht="22" customHeight="1">
      <c r="A41" s="147" t="s">
        <v>109</v>
      </c>
      <c r="B41" s="98">
        <v>401734</v>
      </c>
      <c r="C41" s="50" t="s">
        <v>264</v>
      </c>
      <c r="D41" s="51">
        <v>45904</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IF(Q12=0, 0, Q38/Q12)</f>
        <v>3.7806706909805796</v>
      </c>
      <c r="R41" s="340"/>
      <c r="S41" s="340">
        <f>IF(Q12=0, 0, S38/Q12)</f>
        <v>3.9066930473465993</v>
      </c>
      <c r="T41" s="340"/>
      <c r="U41" s="340">
        <f t="shared" si="2"/>
        <v>0.12602235636601966</v>
      </c>
      <c r="V41" s="341"/>
    </row>
    <row r="42" spans="1:22" ht="22" customHeight="1">
      <c r="A42" s="147" t="s">
        <v>111</v>
      </c>
      <c r="B42" s="97">
        <v>401737</v>
      </c>
      <c r="C42" s="42" t="s">
        <v>266</v>
      </c>
      <c r="D42" s="43">
        <v>45906</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16.36898463233522</v>
      </c>
      <c r="R42" s="335"/>
      <c r="S42" s="335"/>
      <c r="T42" s="335"/>
      <c r="U42" s="335"/>
      <c r="V42" s="336"/>
    </row>
    <row r="43" spans="1:22" ht="22" customHeight="1">
      <c r="A43" s="147" t="s">
        <v>113</v>
      </c>
      <c r="B43" s="98">
        <v>401738</v>
      </c>
      <c r="C43" s="50" t="s">
        <v>267</v>
      </c>
      <c r="D43" s="54">
        <v>45909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401745</v>
      </c>
      <c r="C44" s="42" t="s">
        <v>271</v>
      </c>
      <c r="D44" s="43">
        <v>45934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401746</v>
      </c>
      <c r="C45" s="50" t="s">
        <v>270</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401747</v>
      </c>
      <c r="C46" s="42" t="s">
        <v>268</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401748</v>
      </c>
      <c r="C47" s="50" t="s">
        <v>269</v>
      </c>
      <c r="D47" s="51">
        <v>45941</v>
      </c>
      <c r="E47" s="52" t="s">
        <v>2</v>
      </c>
      <c r="F47" s="53">
        <v>138.4</v>
      </c>
      <c r="G47" s="148">
        <f>IF(OR(E47="",F47=""),"",PID_KVLohnLookup($A$1,E47,F47,LOHNTABELLE!$H$4))</f>
        <v>2400</v>
      </c>
      <c r="H47" s="149">
        <f>IF(AND(ISNUMBER(D47),ISNUMBER(F47)),ROUNDDOWN(MIN(IF(OR(ISBLANK(I47),I47=""),EOMONTH(DATE(EINSTELLUNG!$C$35,$A$1,1),0),I47)-MAX(D47,DATE(EINSTELLUNG!$C$35,$A$1,1))+1)/DAY(EOMONTH(DATE(EINSTELLUNG!$C$35,$A$1,1),0))*F47,2),"")</f>
        <v>138.4</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6"/>
      <c r="N47" s="72"/>
      <c r="O47" s="145"/>
      <c r="P47" s="145"/>
      <c r="Q47" s="145"/>
      <c r="R47" s="145"/>
      <c r="S47" s="145"/>
      <c r="T47" s="145"/>
      <c r="U47" s="145"/>
      <c r="V47" s="145"/>
    </row>
    <row r="48" spans="1:22" ht="22" customHeight="1">
      <c r="A48" s="147" t="s">
        <v>119</v>
      </c>
      <c r="B48" s="97">
        <v>401751</v>
      </c>
      <c r="C48" s="42" t="s">
        <v>272</v>
      </c>
      <c r="D48" s="43">
        <v>45961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401752</v>
      </c>
      <c r="C49" s="50" t="s">
        <v>273</v>
      </c>
      <c r="D49" s="51">
        <v>45986</v>
      </c>
      <c r="E49" s="52" t="s">
        <v>2</v>
      </c>
      <c r="F49" s="53">
        <v>173</v>
      </c>
      <c r="G49" s="148">
        <f>IF(OR(E49="",F49=""),"",PID_KVLohnLookup($A$1,E49,F49,LOHNTABELLE!$H$4))</f>
        <v>2900</v>
      </c>
      <c r="H49" s="149">
        <f>IF(AND(ISNUMBER(D49),ISNUMBER(F49)),ROUNDDOWN(MIN(IF(OR(ISBLANK(I49),I49=""),EOMONTH(DATE(EINSTELLUNG!$C$35,$A$1,1),0),I49)-MAX(D49,DATE(EINSTELLUNG!$C$35,$A$1,1))+1)/DAY(EOMONTH(DATE(EINSTELLUNG!$C$35,$A$1,1),0))*F49,2),"")</f>
        <v>173</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6"/>
      <c r="N49" s="72"/>
      <c r="O49" s="145"/>
      <c r="P49" s="145"/>
      <c r="Q49" s="145"/>
      <c r="R49" s="145"/>
      <c r="S49" s="145"/>
      <c r="T49" s="145"/>
      <c r="U49" s="145"/>
      <c r="V49" s="145"/>
    </row>
    <row r="50" spans="1:22" ht="22" customHeight="1">
      <c r="A50" s="147" t="s">
        <v>121</v>
      </c>
      <c r="B50" s="97">
        <v>401999</v>
      </c>
      <c r="C50" s="42" t="s">
        <v>357</v>
      </c>
      <c r="D50" s="43">
        <v>46041</v>
      </c>
      <c r="E50" s="44" t="s">
        <v>2</v>
      </c>
      <c r="F50" s="45">
        <v>151.38</v>
      </c>
      <c r="G50" s="148">
        <f>IF(OR(E50="",F50=""),"",PID_KVLohnLookup($A$1,E50,F50,LOHNTABELLE!$H$4))</f>
        <v>2500</v>
      </c>
      <c r="H50" s="149">
        <f>IF(AND(ISNUMBER(D50),ISNUMBER(F50)),ROUNDDOWN(MIN(IF(OR(ISBLANK(I50),I50=""),EOMONTH(DATE(EINSTELLUNG!$C$35,$A$1,1),0),I50)-MAX(D50,DATE(EINSTELLUNG!$C$35,$A$1,1))+1)/DAY(EOMONTH(DATE(EINSTELLUNG!$C$35,$A$1,1),0))*F50,2),"")</f>
        <v>151.38</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8"/>
      <c r="N50" s="71"/>
      <c r="O50" s="145"/>
      <c r="P50" s="145"/>
      <c r="Q50" s="145"/>
      <c r="R50" s="145"/>
      <c r="S50" s="145"/>
      <c r="T50" s="145"/>
      <c r="U50" s="145"/>
      <c r="V50" s="145"/>
    </row>
    <row r="51" spans="1:22" ht="22" customHeight="1">
      <c r="A51" s="147" t="s">
        <v>122</v>
      </c>
      <c r="B51" s="98">
        <v>401999</v>
      </c>
      <c r="C51" s="50" t="s">
        <v>294</v>
      </c>
      <c r="D51" s="54">
        <v>46082</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402000</v>
      </c>
      <c r="C52" s="42" t="s">
        <v>297</v>
      </c>
      <c r="D52" s="46">
        <v>46143</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402004</v>
      </c>
      <c r="C53" s="67" t="s">
        <v>298</v>
      </c>
      <c r="D53" s="54">
        <v>46122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402405</v>
      </c>
      <c r="C54" s="42" t="s">
        <v>300</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500600</v>
      </c>
      <c r="C55" s="50" t="s">
        <v>304</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502000</v>
      </c>
      <c r="C56" s="42" t="s">
        <v>299</v>
      </c>
      <c r="D56" s="46">
        <v>46147</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503000</v>
      </c>
      <c r="C57" s="50" t="s">
        <v>301</v>
      </c>
      <c r="D57" s="54">
        <v>42401</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504000</v>
      </c>
      <c r="C58" s="42" t="s">
        <v>302</v>
      </c>
      <c r="D58" s="46">
        <v>46054</v>
      </c>
      <c r="E58" s="44" t="s">
        <v>3</v>
      </c>
      <c r="F58" s="45">
        <v>138.4</v>
      </c>
      <c r="G58" s="148">
        <f>IF(OR(E58="",F58=""),"",PID_KVLohnLookup($A$1,E58,F58,LOHNTABELLE!$H$4))</f>
        <v>1665.6</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8"/>
      <c r="N58" s="71"/>
    </row>
    <row r="59" spans="1:22" ht="22" customHeight="1">
      <c r="A59" s="147" t="s">
        <v>130</v>
      </c>
      <c r="B59" s="98">
        <v>505000</v>
      </c>
      <c r="C59" s="50" t="s">
        <v>303</v>
      </c>
      <c r="D59" s="54">
        <v>46054</v>
      </c>
      <c r="E59" s="52" t="s">
        <v>2</v>
      </c>
      <c r="F59" s="53">
        <v>138.4</v>
      </c>
      <c r="G59" s="148">
        <f>IF(OR(E59="",F59=""),"",PID_KVLohnLookup($A$1,E59,F59,LOHNTABELLE!$H$4))</f>
        <v>2400</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6"/>
      <c r="N59" s="72"/>
    </row>
    <row r="60" spans="1:22" ht="22" customHeight="1">
      <c r="A60" s="147" t="s">
        <v>131</v>
      </c>
      <c r="B60" s="97">
        <v>525025</v>
      </c>
      <c r="C60" s="42" t="s">
        <v>358</v>
      </c>
      <c r="D60" s="46">
        <v>46040</v>
      </c>
      <c r="E60" s="44" t="s">
        <v>2</v>
      </c>
      <c r="F60" s="45">
        <v>129.75</v>
      </c>
      <c r="G60" s="148">
        <f>IF(OR(E60="",F60=""),"",PID_KVLohnLookup($A$1,E60,F60,LOHNTABELLE!$H$4))</f>
        <v>2300</v>
      </c>
      <c r="H60" s="149">
        <f>IF(AND(ISNUMBER(D60),ISNUMBER(F60)),ROUNDDOWN(MIN(IF(OR(ISBLANK(I60),I60=""),EOMONTH(DATE(EINSTELLUNG!$C$35,$A$1,1),0),I60)-MAX(D60,DATE(EINSTELLUNG!$C$35,$A$1,1))+1)/DAY(EOMONTH(DATE(EINSTELLUNG!$C$35,$A$1,1),0))*F60,2),"")</f>
        <v>129.75</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8"/>
      <c r="N60" s="71"/>
    </row>
    <row r="61" spans="1:22" ht="22" customHeight="1">
      <c r="A61" s="147" t="s">
        <v>132</v>
      </c>
      <c r="B61" s="98">
        <v>700000</v>
      </c>
      <c r="C61" s="50" t="s">
        <v>311</v>
      </c>
      <c r="D61" s="54">
        <v>46054</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800000</v>
      </c>
      <c r="C62" s="42" t="s">
        <v>312</v>
      </c>
      <c r="D62" s="46">
        <v>46096</v>
      </c>
      <c r="E62" s="44" t="s">
        <v>2</v>
      </c>
      <c r="F62" s="45">
        <v>129.75</v>
      </c>
      <c r="G62" s="148">
        <f>IF(OR(E62="",F62=""),"",PID_KVLohnLookup($A$1,E62,F62,LOHNTABELLE!$H$4))</f>
        <v>2300</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Bix6StBRa1htk63XuaSR9WGvvoisd3idHlexdqLhfI2bTKfMFEgertb6YGNkJEFI4XJp7wfBX9B6GJWvIgbvSA==" saltValue="RvbzqY7BrCIj4cTkuFg6gA=="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F18 F58</xm:sqref>
        </x14:dataValidation>
        <x14:dataValidation type="list" allowBlank="1" showInputMessage="1" showErrorMessage="1" xr:uid="{BDB044CB-8A06-AC4A-B816-8E156E0CB47C}">
          <x14:formula1>
            <xm:f>KV_DROPDOWN_HELPER!$UR$1:$UR$13</xm:f>
          </x14:formula1>
          <xm:sqref>F15 F22 F25 F27</xm:sqref>
        </x14:dataValidation>
        <x14:dataValidation type="list" allowBlank="1" showInputMessage="1" showErrorMessage="1" xr:uid="{D40A1B68-1553-114A-98F1-176F6BE8BC14}">
          <x14:formula1>
            <xm:f>KV_DROPDOWN_HELPER!$UT$1:$UT$13</xm:f>
          </x14:formula1>
          <xm:sqref>F21</xm:sqref>
        </x14:dataValidation>
        <x14:dataValidation type="list" allowBlank="1" showInputMessage="1" showErrorMessage="1" xr:uid="{54453507-4C72-AE40-809E-BAB1DE4526AC}">
          <x14:formula1>
            <xm:f>KV_DROPDOWN_HELPER!$UU$1:$UU$13</xm:f>
          </x14:formula1>
          <xm:sqref>F63 F64 F65 F66 F67 F68 F69 F70 F71 F72 F73 F74 F75 F76 F77 F78 F79 F80 F81 F82</xm:sqref>
        </x14:dataValidation>
        <x14:dataValidation type="list" allowBlank="1" showInputMessage="1" showErrorMessage="1" xr:uid="{B614A0DF-855E-40CB-A12D-09AFC0F3561C}">
          <x14:formula1>
            <xm:f>KV_DROPDOWN_HELPER!$UO$1:$UO$18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737416DE-2E39-4096-A760-1E07B7EF4BBA}">
          <x14:formula1>
            <xm:f>KV_DROPDOWN_HELPER!$US$1:$US$13</xm:f>
          </x14:formula1>
          <xm:sqref>F17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N12" sqref="N1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9</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46266</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46295</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836.65465963689394</v>
      </c>
      <c r="P5" s="152">
        <f>EINSTELLUNG!I14</f>
        <v>600</v>
      </c>
      <c r="Q5" s="152">
        <f>P5-O5</f>
        <v>-236.65465963689394</v>
      </c>
      <c r="R5" s="153">
        <f>IFERROR(Q5*Q42, 0)</f>
        <v>-3898.7300740369892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8554.5099999999984</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EINSTELLUNG!L30</f>
        <v>9</v>
      </c>
      <c r="R9" s="341"/>
      <c r="S9" s="154">
        <f>IFERROR(Q9/Q8, 0)</f>
        <v>1.0520766239094936E-3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EINSTELLUNG!I30</f>
        <v>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600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167</v>
      </c>
      <c r="R12" s="330"/>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66</v>
      </c>
      <c r="P13" s="326"/>
      <c r="Q13" s="340">
        <f>Q8-Q9-Q10-Q11-Q12</f>
        <v>7778.5099999999984</v>
      </c>
      <c r="R13" s="341"/>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25" t="s">
        <v>68</v>
      </c>
      <c r="P14" s="326"/>
      <c r="Q14" s="340">
        <f>EINSTELLUNG!L14</f>
        <v>9300</v>
      </c>
      <c r="R14" s="341"/>
      <c r="S14" s="145"/>
      <c r="T14" s="145"/>
      <c r="U14" s="145"/>
      <c r="V14" s="145"/>
    </row>
    <row r="15" spans="1:28" ht="22" customHeight="1" thickBo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11" t="s">
        <v>70</v>
      </c>
      <c r="P15" s="312"/>
      <c r="Q15" s="313">
        <f>Q13-Q14</f>
        <v>-1521.4900000000016</v>
      </c>
      <c r="R15" s="314"/>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87" t="s">
        <v>73</v>
      </c>
      <c r="P17" s="322"/>
      <c r="Q17" s="331">
        <f>SUM(L3:L82)</f>
        <v>140929.93333333335</v>
      </c>
      <c r="R17" s="332"/>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79" t="s">
        <v>384</v>
      </c>
      <c r="P18" s="320"/>
      <c r="Q18" s="309">
        <v>20</v>
      </c>
      <c r="R18" s="310"/>
      <c r="S18" s="145"/>
      <c r="T18" s="145"/>
      <c r="U18" s="145"/>
      <c r="V18" s="145"/>
    </row>
    <row r="19" spans="1:29" ht="22" customHeight="1">
      <c r="A19" s="147" t="s">
        <v>75</v>
      </c>
      <c r="B19" s="98">
        <v>401558</v>
      </c>
      <c r="C19" s="50" t="s">
        <v>236</v>
      </c>
      <c r="D19" s="51">
        <v>44460</v>
      </c>
      <c r="E19" s="52" t="s">
        <v>2</v>
      </c>
      <c r="F19" s="53">
        <v>173</v>
      </c>
      <c r="G19" s="148">
        <f>IF(OR(E19="",F19=""),"",PID_KVLohnLookup($A$1,E19,F19,LOHNTABELLE!$H$4))</f>
        <v>2900</v>
      </c>
      <c r="H19" s="149">
        <f>IF(AND(ISNUMBER(D19),ISNUMBER(F19)),ROUNDDOWN(MIN(IF(OR(ISBLANK(I19),I19=""),EOMONTH(DATE(EINSTELLUNG!$C$35,$A$1,1),0),I19)-MAX(D19,DATE(EINSTELLUNG!$C$35,$A$1,1))+1)/DAY(EOMONTH(DATE(EINSTELLUNG!$C$35,$A$1,1),0))*F19,2),"")</f>
        <v>57.66</v>
      </c>
      <c r="I19" s="54">
        <v>46275</v>
      </c>
      <c r="J19" s="55">
        <v>4</v>
      </c>
      <c r="K19" s="148">
        <f t="shared" si="0"/>
        <v>386.66666666666669</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56"/>
      <c r="N19" s="72" t="s">
        <v>186</v>
      </c>
      <c r="O19" s="379" t="s">
        <v>295</v>
      </c>
      <c r="P19" s="320"/>
      <c r="Q19" s="309">
        <v>333</v>
      </c>
      <c r="R19" s="310"/>
      <c r="S19" s="145"/>
      <c r="T19" s="145"/>
      <c r="U19" s="145"/>
      <c r="V19" s="145"/>
    </row>
    <row r="20" spans="1:29" ht="22" customHeight="1">
      <c r="A20" s="147" t="s">
        <v>76</v>
      </c>
      <c r="B20" s="97">
        <v>401564</v>
      </c>
      <c r="C20" s="42" t="s">
        <v>240</v>
      </c>
      <c r="D20" s="43">
        <v>44824</v>
      </c>
      <c r="E20" s="44" t="s">
        <v>2</v>
      </c>
      <c r="F20" s="45">
        <v>151.38</v>
      </c>
      <c r="G20" s="148">
        <f>IF(OR(E20="",F20=""),"",PID_KVLohnLookup($A$1,E20,F20,LOHNTABELLE!$H$4))</f>
        <v>2500</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8"/>
      <c r="N20" s="71"/>
      <c r="O20" s="379" t="s">
        <v>295</v>
      </c>
      <c r="P20" s="320"/>
      <c r="Q20" s="309">
        <v>35</v>
      </c>
      <c r="R20" s="310"/>
      <c r="S20" s="145"/>
      <c r="T20" s="145"/>
      <c r="U20" s="145"/>
      <c r="V20" s="145"/>
    </row>
    <row r="21" spans="1:29" ht="22" customHeight="1">
      <c r="A21" s="147" t="s">
        <v>77</v>
      </c>
      <c r="B21" s="98">
        <v>401583</v>
      </c>
      <c r="C21" s="50" t="s">
        <v>242</v>
      </c>
      <c r="D21" s="51">
        <v>44900</v>
      </c>
      <c r="E21" s="52" t="s">
        <v>13</v>
      </c>
      <c r="F21" s="53">
        <v>173</v>
      </c>
      <c r="G21" s="148">
        <f>IF(OR(E21="",F21=""),"",PID_KVLohnLookup($A$1,E21,F21,LOHNTABELLE!$H$4))</f>
        <v>2328</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6"/>
      <c r="N21" s="72"/>
      <c r="O21" s="379" t="s">
        <v>295</v>
      </c>
      <c r="P21" s="320"/>
      <c r="Q21" s="309">
        <v>100</v>
      </c>
      <c r="R21" s="310"/>
      <c r="S21" s="145"/>
      <c r="T21" s="145"/>
      <c r="U21" s="145"/>
      <c r="V21" s="145"/>
    </row>
    <row r="22" spans="1:29" ht="22" customHeight="1">
      <c r="A22" s="147" t="s">
        <v>78</v>
      </c>
      <c r="B22" s="97">
        <v>401589</v>
      </c>
      <c r="C22" s="42" t="s">
        <v>243</v>
      </c>
      <c r="D22" s="43">
        <v>44926</v>
      </c>
      <c r="E22" s="44" t="s">
        <v>10</v>
      </c>
      <c r="F22" s="45">
        <v>173</v>
      </c>
      <c r="G22" s="148">
        <f>IF(OR(E22="",F22=""),"",PID_KVLohnLookup($A$1,E22,F22,LOHNTABELLE!$H$4))</f>
        <v>2300</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8"/>
      <c r="N22" s="71"/>
      <c r="O22" s="379" t="s">
        <v>295</v>
      </c>
      <c r="P22" s="320"/>
      <c r="Q22" s="309"/>
      <c r="R22" s="310"/>
      <c r="S22" s="145"/>
      <c r="T22" s="145"/>
      <c r="U22" s="145"/>
      <c r="V22" s="145"/>
    </row>
    <row r="23" spans="1:29" ht="22" customHeight="1">
      <c r="A23" s="147" t="s">
        <v>79</v>
      </c>
      <c r="B23" s="98">
        <v>401602</v>
      </c>
      <c r="C23" s="50" t="s">
        <v>244</v>
      </c>
      <c r="D23" s="51">
        <v>45975</v>
      </c>
      <c r="E23" s="52" t="s">
        <v>2</v>
      </c>
      <c r="F23" s="53">
        <v>169</v>
      </c>
      <c r="G23" s="148">
        <f>IF(OR(E23="",F23=""),"",PID_KVLohnLookup($A$1,E23,F23,LOHNTABELLE!$H$4))</f>
        <v>2000</v>
      </c>
      <c r="H23" s="149">
        <f>IF(AND(ISNUMBER(D23),ISNUMBER(F23)),ROUNDDOWN(MIN(IF(OR(ISBLANK(I23),I23=""),EOMONTH(DATE(EINSTELLUNG!$C$35,$A$1,1),0),I23)-MAX(D23,DATE(EINSTELLUNG!$C$35,$A$1,1))+1)/DAY(EOMONTH(DATE(EINSTELLUNG!$C$35,$A$1,1),0))*F23,2),"")</f>
        <v>169</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6"/>
      <c r="N23" s="72"/>
      <c r="O23" s="379" t="s">
        <v>295</v>
      </c>
      <c r="P23" s="320"/>
      <c r="Q23" s="309">
        <v>5000</v>
      </c>
      <c r="R23" s="310"/>
      <c r="S23" s="145"/>
      <c r="T23" s="145"/>
      <c r="U23" s="145"/>
      <c r="V23" s="145"/>
      <c r="W23" s="158"/>
    </row>
    <row r="24" spans="1:29" ht="22" customHeight="1">
      <c r="A24" s="147" t="s">
        <v>80</v>
      </c>
      <c r="B24" s="97">
        <v>401605</v>
      </c>
      <c r="C24" s="42" t="s">
        <v>245</v>
      </c>
      <c r="D24" s="43">
        <v>44986</v>
      </c>
      <c r="E24" s="44" t="s">
        <v>2</v>
      </c>
      <c r="F24" s="45">
        <v>173</v>
      </c>
      <c r="G24" s="148">
        <f>IF(OR(E24="",F24=""),"",PID_KVLohnLookup($A$1,E24,F24,LOHNTABELLE!$H$4))</f>
        <v>2900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8"/>
      <c r="N24" s="71"/>
      <c r="O24" s="379"/>
      <c r="P24" s="320"/>
      <c r="Q24" s="309"/>
      <c r="R24" s="310"/>
      <c r="S24" s="145"/>
      <c r="T24" s="145"/>
      <c r="U24" s="145"/>
      <c r="V24" s="145"/>
      <c r="W24" s="158"/>
    </row>
    <row r="25" spans="1:29" ht="22" customHeight="1">
      <c r="A25" s="147" t="s">
        <v>81</v>
      </c>
      <c r="B25" s="98">
        <v>401605</v>
      </c>
      <c r="C25" s="50" t="s">
        <v>405</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2"/>
      <c r="O25" s="379"/>
      <c r="P25" s="320"/>
      <c r="Q25" s="309"/>
      <c r="R25" s="310"/>
      <c r="S25" s="145"/>
      <c r="T25" s="145"/>
      <c r="U25" s="145"/>
      <c r="V25" s="145"/>
    </row>
    <row r="26" spans="1:29" ht="22" customHeight="1">
      <c r="A26" s="147" t="s">
        <v>82</v>
      </c>
      <c r="B26" s="97">
        <v>401626</v>
      </c>
      <c r="C26" s="42" t="s">
        <v>246</v>
      </c>
      <c r="D26" s="43">
        <v>45063</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79"/>
      <c r="P26" s="320"/>
      <c r="Q26" s="309"/>
      <c r="R26" s="310"/>
      <c r="S26" s="145"/>
      <c r="T26" s="145"/>
      <c r="U26" s="145"/>
      <c r="V26" s="145"/>
    </row>
    <row r="27" spans="1:29" ht="22" customHeight="1">
      <c r="A27" s="147" t="s">
        <v>83</v>
      </c>
      <c r="B27" s="98">
        <v>401633</v>
      </c>
      <c r="C27" s="50" t="s">
        <v>247</v>
      </c>
      <c r="D27" s="51">
        <v>45089</v>
      </c>
      <c r="E27" s="52" t="s">
        <v>10</v>
      </c>
      <c r="F27" s="136">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2"/>
      <c r="O27" s="379"/>
      <c r="P27" s="320"/>
      <c r="Q27" s="309"/>
      <c r="R27" s="310"/>
      <c r="S27" s="318" t="s">
        <v>84</v>
      </c>
      <c r="T27" s="318"/>
      <c r="U27" s="318"/>
      <c r="V27" s="318"/>
    </row>
    <row r="28" spans="1:29" ht="22" customHeight="1">
      <c r="A28" s="147" t="s">
        <v>85</v>
      </c>
      <c r="B28" s="97">
        <v>401647</v>
      </c>
      <c r="C28" s="42" t="s">
        <v>248</v>
      </c>
      <c r="D28" s="43">
        <v>45182</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401661</v>
      </c>
      <c r="C29" s="50" t="s">
        <v>249</v>
      </c>
      <c r="D29" s="51">
        <v>45261</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EINSTELLUNG!O14</f>
        <v>1250</v>
      </c>
      <c r="R29" s="367"/>
      <c r="S29" s="145"/>
      <c r="T29" s="145"/>
      <c r="U29" s="145"/>
      <c r="V29" s="145"/>
    </row>
    <row r="30" spans="1:29" ht="22" customHeight="1" thickBot="1">
      <c r="A30" s="147" t="s">
        <v>88</v>
      </c>
      <c r="B30" s="97">
        <v>401670</v>
      </c>
      <c r="C30" s="42" t="s">
        <v>250</v>
      </c>
      <c r="D30" s="43">
        <v>45358</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401678</v>
      </c>
      <c r="C31" s="50" t="s">
        <v>251</v>
      </c>
      <c r="D31" s="51">
        <v>45414</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80">
        <v>0</v>
      </c>
      <c r="P31" s="371"/>
      <c r="Q31" s="355">
        <v>1.680672268907563E-2</v>
      </c>
      <c r="R31" s="356"/>
      <c r="S31" s="145"/>
      <c r="T31" s="145"/>
      <c r="U31" s="145"/>
      <c r="V31" s="145"/>
    </row>
    <row r="32" spans="1:29" ht="22" customHeight="1" thickBot="1">
      <c r="A32" s="147" t="s">
        <v>91</v>
      </c>
      <c r="B32" s="97">
        <v>401690</v>
      </c>
      <c r="C32" s="42" t="s">
        <v>253</v>
      </c>
      <c r="D32" s="43">
        <v>45536</v>
      </c>
      <c r="E32" s="44" t="s">
        <v>2</v>
      </c>
      <c r="F32" s="45">
        <v>151.38</v>
      </c>
      <c r="G32" s="148">
        <f>IF(OR(E32="",F32=""),"",PID_KVLohnLookup($A$1,E32,F32,LOHNTABELLE!$H$4))</f>
        <v>2500</v>
      </c>
      <c r="H32" s="149">
        <f>IF(AND(ISNUMBER(D32),ISNUMBER(F32)),ROUNDDOWN(MIN(IF(OR(ISBLANK(I32),I32=""),EOMONTH(DATE(EINSTELLUNG!$C$35,$A$1,1),0),I32)-MAX(D32,DATE(EINSTELLUNG!$C$35,$A$1,1))+1)/DAY(EOMONTH(DATE(EINSTELLUNG!$C$35,$A$1,1),0))*F32,2),"")</f>
        <v>151.38</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8"/>
      <c r="N32" s="71"/>
      <c r="O32" s="145"/>
      <c r="P32" s="145"/>
      <c r="Q32" s="145"/>
      <c r="R32" s="145"/>
      <c r="S32" s="145"/>
      <c r="T32" s="145"/>
      <c r="U32" s="145"/>
      <c r="V32" s="145"/>
    </row>
    <row r="33" spans="1:22" ht="22" customHeight="1">
      <c r="A33" s="147" t="s">
        <v>92</v>
      </c>
      <c r="B33" s="98">
        <v>401715</v>
      </c>
      <c r="C33" s="50" t="s">
        <v>256</v>
      </c>
      <c r="D33" s="51">
        <v>45755</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401716</v>
      </c>
      <c r="C34" s="42" t="s">
        <v>257</v>
      </c>
      <c r="D34" s="43">
        <v>45800</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82"/>
      <c r="P34" s="364"/>
      <c r="Q34" s="352"/>
      <c r="R34" s="352"/>
      <c r="S34" s="352"/>
      <c r="T34" s="352"/>
      <c r="U34" s="352"/>
      <c r="V34" s="354"/>
    </row>
    <row r="35" spans="1:22" ht="22" customHeight="1">
      <c r="A35" s="147" t="s">
        <v>97</v>
      </c>
      <c r="B35" s="98">
        <v>401717</v>
      </c>
      <c r="C35" s="50" t="s">
        <v>258</v>
      </c>
      <c r="D35" s="51">
        <v>45814</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78" t="s">
        <v>98</v>
      </c>
      <c r="P35" s="326"/>
      <c r="Q35" s="327">
        <f>EINSTELLUNG!C14</f>
        <v>400000</v>
      </c>
      <c r="R35" s="327"/>
      <c r="S35" s="327">
        <f>EINSTELLUNG!C30</f>
        <v>450000</v>
      </c>
      <c r="T35" s="327"/>
      <c r="U35" s="327">
        <f>S35-Q35</f>
        <v>50000</v>
      </c>
      <c r="V35" s="328"/>
    </row>
    <row r="36" spans="1:22" ht="22" customHeight="1">
      <c r="A36" s="147" t="s">
        <v>99</v>
      </c>
      <c r="B36" s="97">
        <v>401722</v>
      </c>
      <c r="C36" s="42" t="s">
        <v>259</v>
      </c>
      <c r="D36" s="43">
        <v>45848</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EINSTELLUNG!D14</f>
        <v>100000</v>
      </c>
      <c r="R36" s="327"/>
      <c r="S36" s="327">
        <f ca="1">SumMergedCells(Q17:R29)</f>
        <v>147667.9333</v>
      </c>
      <c r="T36" s="327"/>
      <c r="U36" s="327">
        <f t="shared" ref="U36:U41" ca="1" si="2">S36-Q36</f>
        <v>47667.933300000004</v>
      </c>
      <c r="V36" s="328"/>
    </row>
    <row r="37" spans="1:22" ht="22" customHeight="1">
      <c r="A37" s="147" t="s">
        <v>101</v>
      </c>
      <c r="B37" s="98">
        <v>401723</v>
      </c>
      <c r="C37" s="50" t="s">
        <v>260</v>
      </c>
      <c r="D37" s="51">
        <v>45852</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0.3281509628888889</v>
      </c>
      <c r="T37" s="349"/>
      <c r="U37" s="349">
        <f t="shared" ca="1" si="2"/>
        <v>7.8150962888888897E-2</v>
      </c>
      <c r="V37" s="350"/>
    </row>
    <row r="38" spans="1:22" ht="22" customHeight="1">
      <c r="A38" s="147" t="s">
        <v>103</v>
      </c>
      <c r="B38" s="97">
        <v>401726</v>
      </c>
      <c r="C38" s="42" t="s">
        <v>261</v>
      </c>
      <c r="D38" s="43">
        <v>45870</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EINSTELLUNG!F14</f>
        <v>30000</v>
      </c>
      <c r="R38" s="340"/>
      <c r="S38" s="340">
        <f>EINSTELLUNG!F30</f>
        <v>31000</v>
      </c>
      <c r="T38" s="340"/>
      <c r="U38" s="340">
        <f t="shared" si="2"/>
        <v>1000</v>
      </c>
      <c r="V38" s="341"/>
    </row>
    <row r="39" spans="1:22" ht="22" customHeight="1">
      <c r="A39" s="147" t="s">
        <v>105</v>
      </c>
      <c r="B39" s="98">
        <v>401730</v>
      </c>
      <c r="C39" s="50" t="s">
        <v>263</v>
      </c>
      <c r="D39" s="54">
        <v>45895</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14.516129032258064</v>
      </c>
      <c r="T39" s="327"/>
      <c r="U39" s="327">
        <f t="shared" si="2"/>
        <v>1.1827956989247301</v>
      </c>
      <c r="V39" s="328"/>
    </row>
    <row r="40" spans="1:22" ht="22" customHeight="1">
      <c r="A40" s="147" t="s">
        <v>107</v>
      </c>
      <c r="B40" s="97">
        <v>401731</v>
      </c>
      <c r="C40" s="42" t="s">
        <v>262</v>
      </c>
      <c r="D40" s="43">
        <v>45899</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IF(Q13=0, 0, Q35/Q13)</f>
        <v>51.423730251680603</v>
      </c>
      <c r="R40" s="327"/>
      <c r="S40" s="327">
        <f>IF(Q13=0, 0, S35/Q13)</f>
        <v>57.851696533140675</v>
      </c>
      <c r="T40" s="327"/>
      <c r="U40" s="327">
        <f t="shared" si="2"/>
        <v>6.4279662814600727</v>
      </c>
      <c r="V40" s="328"/>
    </row>
    <row r="41" spans="1:22" ht="22" customHeight="1">
      <c r="A41" s="147" t="s">
        <v>109</v>
      </c>
      <c r="B41" s="98">
        <v>401734</v>
      </c>
      <c r="C41" s="50" t="s">
        <v>264</v>
      </c>
      <c r="D41" s="51">
        <v>45904</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IF(Q13=0, 0, Q38/Q13)</f>
        <v>3.856779768876045</v>
      </c>
      <c r="R41" s="340"/>
      <c r="S41" s="340">
        <f>IF(Q13=0, 0, S38/Q13)</f>
        <v>3.9853390945052465</v>
      </c>
      <c r="T41" s="340"/>
      <c r="U41" s="340">
        <f t="shared" si="2"/>
        <v>0.12855932562920147</v>
      </c>
      <c r="V41" s="341"/>
    </row>
    <row r="42" spans="1:22" ht="22" customHeight="1">
      <c r="A42" s="147" t="s">
        <v>111</v>
      </c>
      <c r="B42" s="97">
        <v>401737</v>
      </c>
      <c r="C42" s="42" t="s">
        <v>266</v>
      </c>
      <c r="D42" s="43">
        <v>45906</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16.474343163235929</v>
      </c>
      <c r="R42" s="335"/>
      <c r="S42" s="335"/>
      <c r="T42" s="335"/>
      <c r="U42" s="335"/>
      <c r="V42" s="336"/>
    </row>
    <row r="43" spans="1:22" ht="22" customHeight="1">
      <c r="A43" s="147" t="s">
        <v>113</v>
      </c>
      <c r="B43" s="98">
        <v>401738</v>
      </c>
      <c r="C43" s="50" t="s">
        <v>267</v>
      </c>
      <c r="D43" s="54">
        <v>45909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401745</v>
      </c>
      <c r="C44" s="42" t="s">
        <v>271</v>
      </c>
      <c r="D44" s="43">
        <v>45934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401746</v>
      </c>
      <c r="C45" s="50" t="s">
        <v>270</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401747</v>
      </c>
      <c r="C46" s="42" t="s">
        <v>268</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401748</v>
      </c>
      <c r="C47" s="50" t="s">
        <v>269</v>
      </c>
      <c r="D47" s="51">
        <v>45941</v>
      </c>
      <c r="E47" s="52" t="s">
        <v>2</v>
      </c>
      <c r="F47" s="53">
        <v>138.4</v>
      </c>
      <c r="G47" s="148">
        <f>IF(OR(E47="",F47=""),"",PID_KVLohnLookup($A$1,E47,F47,LOHNTABELLE!$H$4))</f>
        <v>2400</v>
      </c>
      <c r="H47" s="149">
        <f>IF(AND(ISNUMBER(D47),ISNUMBER(F47)),ROUNDDOWN(MIN(IF(OR(ISBLANK(I47),I47=""),EOMONTH(DATE(EINSTELLUNG!$C$35,$A$1,1),0),I47)-MAX(D47,DATE(EINSTELLUNG!$C$35,$A$1,1))+1)/DAY(EOMONTH(DATE(EINSTELLUNG!$C$35,$A$1,1),0))*F47,2),"")</f>
        <v>138.4</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6"/>
      <c r="N47" s="72"/>
      <c r="O47" s="145"/>
      <c r="P47" s="145"/>
      <c r="Q47" s="145"/>
      <c r="R47" s="145"/>
      <c r="S47" s="145"/>
      <c r="T47" s="145"/>
      <c r="U47" s="145"/>
      <c r="V47" s="145"/>
    </row>
    <row r="48" spans="1:22" ht="22" customHeight="1">
      <c r="A48" s="147" t="s">
        <v>119</v>
      </c>
      <c r="B48" s="97">
        <v>401751</v>
      </c>
      <c r="C48" s="42" t="s">
        <v>272</v>
      </c>
      <c r="D48" s="43">
        <v>45961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401752</v>
      </c>
      <c r="C49" s="50" t="s">
        <v>273</v>
      </c>
      <c r="D49" s="51">
        <v>45986</v>
      </c>
      <c r="E49" s="52" t="s">
        <v>2</v>
      </c>
      <c r="F49" s="53">
        <v>173</v>
      </c>
      <c r="G49" s="148">
        <f>IF(OR(E49="",F49=""),"",PID_KVLohnLookup($A$1,E49,F49,LOHNTABELLE!$H$4))</f>
        <v>2900</v>
      </c>
      <c r="H49" s="149">
        <f>IF(AND(ISNUMBER(D49),ISNUMBER(F49)),ROUNDDOWN(MIN(IF(OR(ISBLANK(I49),I49=""),EOMONTH(DATE(EINSTELLUNG!$C$35,$A$1,1),0),I49)-MAX(D49,DATE(EINSTELLUNG!$C$35,$A$1,1))+1)/DAY(EOMONTH(DATE(EINSTELLUNG!$C$35,$A$1,1),0))*F49,2),"")</f>
        <v>173</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6"/>
      <c r="N49" s="72"/>
      <c r="O49" s="145"/>
      <c r="P49" s="145"/>
      <c r="Q49" s="145"/>
      <c r="R49" s="145"/>
      <c r="S49" s="145"/>
      <c r="T49" s="145"/>
      <c r="U49" s="145"/>
      <c r="V49" s="145"/>
    </row>
    <row r="50" spans="1:22" ht="22" customHeight="1">
      <c r="A50" s="147" t="s">
        <v>121</v>
      </c>
      <c r="B50" s="97">
        <v>401999</v>
      </c>
      <c r="C50" s="42" t="s">
        <v>357</v>
      </c>
      <c r="D50" s="43">
        <v>46041</v>
      </c>
      <c r="E50" s="44" t="s">
        <v>2</v>
      </c>
      <c r="F50" s="45">
        <v>151.38</v>
      </c>
      <c r="G50" s="148">
        <f>IF(OR(E50="",F50=""),"",PID_KVLohnLookup($A$1,E50,F50,LOHNTABELLE!$H$4))</f>
        <v>2500</v>
      </c>
      <c r="H50" s="149">
        <f>IF(AND(ISNUMBER(D50),ISNUMBER(F50)),ROUNDDOWN(MIN(IF(OR(ISBLANK(I50),I50=""),EOMONTH(DATE(EINSTELLUNG!$C$35,$A$1,1),0),I50)-MAX(D50,DATE(EINSTELLUNG!$C$35,$A$1,1))+1)/DAY(EOMONTH(DATE(EINSTELLUNG!$C$35,$A$1,1),0))*F50,2),"")</f>
        <v>151.38</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8"/>
      <c r="N50" s="71"/>
      <c r="O50" s="145"/>
      <c r="P50" s="145"/>
      <c r="Q50" s="145"/>
      <c r="R50" s="145"/>
      <c r="S50" s="145"/>
      <c r="T50" s="145"/>
      <c r="U50" s="145"/>
      <c r="V50" s="145"/>
    </row>
    <row r="51" spans="1:22" ht="22" customHeight="1">
      <c r="A51" s="147" t="s">
        <v>122</v>
      </c>
      <c r="B51" s="98">
        <v>401999</v>
      </c>
      <c r="C51" s="50" t="s">
        <v>294</v>
      </c>
      <c r="D51" s="54">
        <v>46082</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402000</v>
      </c>
      <c r="C52" s="42" t="s">
        <v>297</v>
      </c>
      <c r="D52" s="46">
        <v>46143</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402004</v>
      </c>
      <c r="C53" s="67" t="s">
        <v>298</v>
      </c>
      <c r="D53" s="54">
        <v>46122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402405</v>
      </c>
      <c r="C54" s="42" t="s">
        <v>300</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500600</v>
      </c>
      <c r="C55" s="50" t="s">
        <v>304</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502000</v>
      </c>
      <c r="C56" s="42" t="s">
        <v>299</v>
      </c>
      <c r="D56" s="46">
        <v>46147</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503000</v>
      </c>
      <c r="C57" s="50" t="s">
        <v>301</v>
      </c>
      <c r="D57" s="54">
        <v>42401</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504000</v>
      </c>
      <c r="C58" s="42" t="s">
        <v>302</v>
      </c>
      <c r="D58" s="46">
        <v>46054</v>
      </c>
      <c r="E58" s="44" t="s">
        <v>3</v>
      </c>
      <c r="F58" s="45">
        <v>138.4</v>
      </c>
      <c r="G58" s="148">
        <f>IF(OR(E58="",F58=""),"",PID_KVLohnLookup($A$1,E58,F58,LOHNTABELLE!$H$4))</f>
        <v>1665.6</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8"/>
      <c r="N58" s="71"/>
    </row>
    <row r="59" spans="1:22" ht="22" customHeight="1">
      <c r="A59" s="147" t="s">
        <v>130</v>
      </c>
      <c r="B59" s="98">
        <v>505000</v>
      </c>
      <c r="C59" s="50" t="s">
        <v>303</v>
      </c>
      <c r="D59" s="54">
        <v>46054</v>
      </c>
      <c r="E59" s="52" t="s">
        <v>2</v>
      </c>
      <c r="F59" s="53">
        <v>138.4</v>
      </c>
      <c r="G59" s="148">
        <f>IF(OR(E59="",F59=""),"",PID_KVLohnLookup($A$1,E59,F59,LOHNTABELLE!$H$4))</f>
        <v>2400</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6"/>
      <c r="N59" s="72"/>
    </row>
    <row r="60" spans="1:22" ht="22" customHeight="1">
      <c r="A60" s="147" t="s">
        <v>131</v>
      </c>
      <c r="B60" s="97">
        <v>525025</v>
      </c>
      <c r="C60" s="42" t="s">
        <v>358</v>
      </c>
      <c r="D60" s="46">
        <v>46040</v>
      </c>
      <c r="E60" s="44" t="s">
        <v>2</v>
      </c>
      <c r="F60" s="45">
        <v>129.75</v>
      </c>
      <c r="G60" s="148">
        <f>IF(OR(E60="",F60=""),"",PID_KVLohnLookup($A$1,E60,F60,LOHNTABELLE!$H$4))</f>
        <v>2300</v>
      </c>
      <c r="H60" s="149">
        <f>IF(AND(ISNUMBER(D60),ISNUMBER(F60)),ROUNDDOWN(MIN(IF(OR(ISBLANK(I60),I60=""),EOMONTH(DATE(EINSTELLUNG!$C$35,$A$1,1),0),I60)-MAX(D60,DATE(EINSTELLUNG!$C$35,$A$1,1))+1)/DAY(EOMONTH(DATE(EINSTELLUNG!$C$35,$A$1,1),0))*F60,2),"")</f>
        <v>129.75</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8"/>
      <c r="N60" s="71"/>
    </row>
    <row r="61" spans="1:22" ht="22" customHeight="1">
      <c r="A61" s="147" t="s">
        <v>132</v>
      </c>
      <c r="B61" s="98">
        <v>700000</v>
      </c>
      <c r="C61" s="50" t="s">
        <v>311</v>
      </c>
      <c r="D61" s="54">
        <v>46054</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800000</v>
      </c>
      <c r="C62" s="42" t="s">
        <v>312</v>
      </c>
      <c r="D62" s="46">
        <v>46096</v>
      </c>
      <c r="E62" s="44" t="s">
        <v>2</v>
      </c>
      <c r="F62" s="45">
        <v>86.5</v>
      </c>
      <c r="G62" s="148">
        <f>IF(OR(E62="",F62=""),"",PID_KVLohnLookup($A$1,E62,F62,LOHNTABELLE!$H$4))</f>
        <v>2152</v>
      </c>
      <c r="H62" s="149">
        <f>IF(AND(ISNUMBER(D62),ISNUMBER(F62)),ROUNDDOWN(MIN(IF(OR(ISBLANK(I62),I62=""),EOMONTH(DATE(EINSTELLUNG!$C$35,$A$1,1),0),I62)-MAX(D62,DATE(EINSTELLUNG!$C$35,$A$1,1))+1)/DAY(EOMONTH(DATE(EINSTELLUNG!$C$35,$A$1,1),0))*F62,2),"")</f>
        <v>86.5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2152</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SsvWuNWwjlmcbHF7xpY/j/bQiUMulxDWuSr9coVIW12ISBwZPZB7+zszqyJTkSL0vigDFw8jtRuOTQ+zqLd0Og==" saltValue="fPe5iN5ZaV3pVgdHOy0sn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F18 F58</xm:sqref>
        </x14:dataValidation>
        <x14:dataValidation type="list" allowBlank="1" showInputMessage="1" showErrorMessage="1" xr:uid="{06D7D3F2-06CB-3A40-B34B-5555628B189D}">
          <x14:formula1>
            <xm:f>KV_DROPDOWN_HELPER!$XV$1:$XV$13</xm:f>
          </x14:formula1>
          <xm:sqref>F21</xm:sqref>
        </x14:dataValidation>
        <x14:dataValidation type="list" allowBlank="1" showInputMessage="1" showErrorMessage="1" xr:uid="{E69CC798-767E-4549-849E-4EA6C2023E32}">
          <x14:formula1>
            <xm:f>KV_DROPDOWN_HELPER!$XW$1:$XW$13</xm:f>
          </x14:formula1>
          <xm:sqref>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F17</xm:sqref>
        </x14:dataValidation>
        <x14:dataValidation type="list" allowBlank="1" showInputMessage="1" showErrorMessage="1" xr:uid="{D5D87DDB-4323-421D-960A-E1DF4A86890F}">
          <x14:formula1>
            <xm:f>KV_DROPDOWN_HELPER!$XQ$1:$XQ$18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E138E253-B4CB-471F-ABDA-C1BEC6F664A8}">
          <x14:formula1>
            <xm:f>KV_DROPDOWN_HELPER!$XT$1:$XT$13</xm:f>
          </x14:formula1>
          <xm:sqref>F15 F22 F25 F27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10</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46296</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46326</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819.95987759139359</v>
      </c>
      <c r="P5" s="152">
        <f>EINSTELLUNG!I15</f>
        <v>600</v>
      </c>
      <c r="Q5" s="152">
        <f>P5-O5</f>
        <v>-219.95987759139359</v>
      </c>
      <c r="R5" s="153">
        <f>IFERROR(Q5*Q42, 0)</f>
        <v>-3612.2197375015253</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8379.65</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EINSTELLUNG!L31</f>
        <v>10</v>
      </c>
      <c r="R9" s="341"/>
      <c r="S9" s="154">
        <f>IFERROR(Q9/Q8, 0)</f>
        <v>1.1933672647425609E-3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EINSTELLUNG!I31</f>
        <v>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600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-121</v>
      </c>
      <c r="R12" s="330"/>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66</v>
      </c>
      <c r="P13" s="326"/>
      <c r="Q13" s="340">
        <f>Q8-Q9-Q10-Q11-Q12</f>
        <v>7890.65</v>
      </c>
      <c r="R13" s="341"/>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25" t="s">
        <v>68</v>
      </c>
      <c r="P14" s="326"/>
      <c r="Q14" s="340">
        <f>EINSTELLUNG!L15</f>
        <v>9300</v>
      </c>
      <c r="R14" s="341"/>
      <c r="S14" s="145"/>
      <c r="T14" s="145"/>
      <c r="U14" s="145"/>
      <c r="V14" s="145"/>
    </row>
    <row r="15" spans="1:28" ht="22" customHeight="1" thickBo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11" t="s">
        <v>70</v>
      </c>
      <c r="P15" s="312"/>
      <c r="Q15" s="313">
        <f>Q13-Q14</f>
        <v>-1409.3500000000004</v>
      </c>
      <c r="R15" s="314"/>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87" t="s">
        <v>73</v>
      </c>
      <c r="P17" s="322"/>
      <c r="Q17" s="331">
        <f>SUM(L3:L82)</f>
        <v>137612.08387096773</v>
      </c>
      <c r="R17" s="332"/>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79" t="s">
        <v>384</v>
      </c>
      <c r="P18" s="320"/>
      <c r="Q18" s="309">
        <v>20</v>
      </c>
      <c r="R18" s="310"/>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79" t="s">
        <v>295</v>
      </c>
      <c r="P19" s="320"/>
      <c r="Q19" s="309">
        <v>333</v>
      </c>
      <c r="R19" s="310"/>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79" t="s">
        <v>295</v>
      </c>
      <c r="P20" s="320"/>
      <c r="Q20" s="309">
        <v>35</v>
      </c>
      <c r="R20" s="310"/>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79" t="s">
        <v>295</v>
      </c>
      <c r="P21" s="320"/>
      <c r="Q21" s="309">
        <v>100</v>
      </c>
      <c r="R21" s="310"/>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79" t="s">
        <v>295</v>
      </c>
      <c r="P22" s="320"/>
      <c r="Q22" s="309"/>
      <c r="R22" s="310"/>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79" t="s">
        <v>295</v>
      </c>
      <c r="P23" s="320"/>
      <c r="Q23" s="309">
        <v>5000</v>
      </c>
      <c r="R23" s="310"/>
      <c r="S23" s="145"/>
      <c r="T23" s="145"/>
      <c r="U23" s="145"/>
      <c r="V23" s="145"/>
      <c r="W23" s="158"/>
    </row>
    <row r="24" spans="1:29" ht="22" customHeight="1">
      <c r="A24" s="147" t="s">
        <v>80</v>
      </c>
      <c r="B24" s="97">
        <v>401605</v>
      </c>
      <c r="C24" s="42" t="s">
        <v>405</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79"/>
      <c r="P24" s="320"/>
      <c r="Q24" s="309"/>
      <c r="R24" s="310"/>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79"/>
      <c r="P25" s="320"/>
      <c r="Q25" s="309"/>
      <c r="R25" s="310"/>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79"/>
      <c r="P26" s="320"/>
      <c r="Q26" s="309"/>
      <c r="R26" s="310"/>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79"/>
      <c r="P27" s="320"/>
      <c r="Q27" s="309"/>
      <c r="R27" s="310"/>
      <c r="S27" s="318" t="s">
        <v>84</v>
      </c>
      <c r="T27" s="318"/>
      <c r="U27" s="318"/>
      <c r="V27" s="318"/>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EINSTELLUNG!O15</f>
        <v>1250</v>
      </c>
      <c r="R29" s="367"/>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80">
        <v>0</v>
      </c>
      <c r="P31" s="371"/>
      <c r="Q31" s="355">
        <v>1.7094017094017096E-2</v>
      </c>
      <c r="R31" s="356"/>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82"/>
      <c r="P34" s="364"/>
      <c r="Q34" s="352"/>
      <c r="R34" s="352"/>
      <c r="S34" s="352"/>
      <c r="T34" s="352"/>
      <c r="U34" s="352"/>
      <c r="V34" s="354"/>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78" t="s">
        <v>98</v>
      </c>
      <c r="P35" s="326"/>
      <c r="Q35" s="327">
        <f>EINSTELLUNG!C15</f>
        <v>400000</v>
      </c>
      <c r="R35" s="327"/>
      <c r="S35" s="327">
        <f>EINSTELLUNG!C31</f>
        <v>401000</v>
      </c>
      <c r="T35" s="327"/>
      <c r="U35" s="327">
        <f>S35-Q35</f>
        <v>1000</v>
      </c>
      <c r="V35" s="328"/>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EINSTELLUNG!D15</f>
        <v>100000</v>
      </c>
      <c r="R36" s="327"/>
      <c r="S36" s="327">
        <f ca="1">SumMergedCells(Q17:R29)</f>
        <v>144350.0839</v>
      </c>
      <c r="T36" s="327"/>
      <c r="U36" s="327">
        <f t="shared" ref="U36:U41" ca="1" si="2">S36-Q36</f>
        <v>44350.083899999998</v>
      </c>
      <c r="V36" s="328"/>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0.35997527157107229</v>
      </c>
      <c r="T37" s="349"/>
      <c r="U37" s="349">
        <f t="shared" ca="1" si="2"/>
        <v>0.10997527157107229</v>
      </c>
      <c r="V37" s="350"/>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EINSTELLUNG!F15</f>
        <v>30000</v>
      </c>
      <c r="R38" s="340"/>
      <c r="S38" s="340">
        <f>EINSTELLUNG!F31</f>
        <v>31000</v>
      </c>
      <c r="T38" s="340"/>
      <c r="U38" s="340">
        <f t="shared" si="2"/>
        <v>1000</v>
      </c>
      <c r="V38" s="341"/>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12.935483870967742</v>
      </c>
      <c r="T39" s="327"/>
      <c r="U39" s="327">
        <f t="shared" si="2"/>
        <v>-0.39784946236559193</v>
      </c>
      <c r="V39" s="328"/>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IF(Q13=0, 0, Q35/Q13)</f>
        <v>50.692908695734829</v>
      </c>
      <c r="R40" s="327"/>
      <c r="S40" s="327">
        <f>IF(Q13=0, 0, S35/Q13)</f>
        <v>50.819640967474164</v>
      </c>
      <c r="T40" s="327"/>
      <c r="U40" s="327">
        <f t="shared" si="2"/>
        <v>0.12673227173933554</v>
      </c>
      <c r="V40" s="328"/>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IF(Q13=0, 0, Q38/Q13)</f>
        <v>3.8019681521801121</v>
      </c>
      <c r="R41" s="340"/>
      <c r="S41" s="340">
        <f>IF(Q13=0, 0, S38/Q13)</f>
        <v>3.928700423919449</v>
      </c>
      <c r="T41" s="340"/>
      <c r="U41" s="340">
        <f t="shared" si="2"/>
        <v>0.12673227173933688</v>
      </c>
      <c r="V41" s="341"/>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16.422175612462066</v>
      </c>
      <c r="R42" s="335"/>
      <c r="S42" s="335"/>
      <c r="T42" s="335"/>
      <c r="U42" s="335"/>
      <c r="V42" s="336"/>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57"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55.8</v>
      </c>
      <c r="I51" s="54">
        <v>46305</v>
      </c>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402405</v>
      </c>
      <c r="C53" s="50" t="s">
        <v>300</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500600</v>
      </c>
      <c r="C54" s="42" t="s">
        <v>304</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502000</v>
      </c>
      <c r="C55" s="50" t="s">
        <v>299</v>
      </c>
      <c r="D55" s="54">
        <v>46147</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503000</v>
      </c>
      <c r="C56" s="42" t="s">
        <v>301</v>
      </c>
      <c r="D56" s="46">
        <v>42401</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504000</v>
      </c>
      <c r="C57" s="50" t="s">
        <v>302</v>
      </c>
      <c r="D57" s="54">
        <v>46054</v>
      </c>
      <c r="E57" s="52" t="s">
        <v>3</v>
      </c>
      <c r="F57" s="53">
        <v>138.4</v>
      </c>
      <c r="G57" s="148">
        <f>IF(OR(E57="",F57=""),"",PID_KVLohnLookup($A$1,E57,F57,LOHNTABELLE!$H$4))</f>
        <v>1665.6</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6"/>
      <c r="N57" s="72"/>
    </row>
    <row r="58" spans="1:22" ht="22" customHeight="1">
      <c r="A58" s="147" t="s">
        <v>129</v>
      </c>
      <c r="B58" s="97">
        <v>505000</v>
      </c>
      <c r="C58" s="42" t="s">
        <v>303</v>
      </c>
      <c r="D58" s="46">
        <v>46054</v>
      </c>
      <c r="E58" s="44" t="s">
        <v>2</v>
      </c>
      <c r="F58" s="45">
        <v>138.4</v>
      </c>
      <c r="G58" s="148">
        <f>IF(OR(E58="",F58=""),"",PID_KVLohnLookup($A$1,E58,F58,LOHNTABELLE!$H$4))</f>
        <v>2400</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8"/>
      <c r="N58" s="71"/>
    </row>
    <row r="59" spans="1:22" ht="22" customHeight="1">
      <c r="A59" s="147" t="s">
        <v>130</v>
      </c>
      <c r="B59" s="98">
        <v>525025</v>
      </c>
      <c r="C59" s="50" t="s">
        <v>358</v>
      </c>
      <c r="D59" s="54">
        <v>46040</v>
      </c>
      <c r="E59" s="52" t="s">
        <v>2</v>
      </c>
      <c r="F59" s="53">
        <v>129.75</v>
      </c>
      <c r="G59" s="148">
        <f>IF(OR(E59="",F59=""),"",PID_KVLohnLookup($A$1,E59,F59,LOHNTABELLE!$H$4))</f>
        <v>2300</v>
      </c>
      <c r="H59" s="149">
        <f>IF(AND(ISNUMBER(D59),ISNUMBER(F59)),ROUNDDOWN(MIN(IF(OR(ISBLANK(I59),I59=""),EOMONTH(DATE(EINSTELLUNG!$C$35,$A$1,1),0),I59)-MAX(D59,DATE(EINSTELLUNG!$C$35,$A$1,1))+1)/DAY(EOMONTH(DATE(EINSTELLUNG!$C$35,$A$1,1),0))*F59,2),"")</f>
        <v>129.75</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6"/>
      <c r="N59" s="72"/>
    </row>
    <row r="60" spans="1:22" ht="22" customHeight="1">
      <c r="A60" s="147" t="s">
        <v>131</v>
      </c>
      <c r="B60" s="97">
        <v>700000</v>
      </c>
      <c r="C60" s="42" t="s">
        <v>311</v>
      </c>
      <c r="D60" s="46">
        <v>46054</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8"/>
      <c r="N60" s="71"/>
    </row>
    <row r="61" spans="1:22" ht="22" customHeight="1">
      <c r="A61" s="147" t="s">
        <v>132</v>
      </c>
      <c r="B61" s="98">
        <v>800000</v>
      </c>
      <c r="C61" s="50" t="s">
        <v>312</v>
      </c>
      <c r="D61" s="54">
        <v>46096</v>
      </c>
      <c r="E61" s="52" t="s">
        <v>2</v>
      </c>
      <c r="F61" s="53">
        <v>86.5</v>
      </c>
      <c r="G61" s="148">
        <f>IF(OR(E61="",F61=""),"",PID_KVLohnLookup($A$1,E61,F61,LOHNTABELLE!$H$4))</f>
        <v>2152</v>
      </c>
      <c r="H61" s="149">
        <f>IF(AND(ISNUMBER(D61),ISNUMBER(F61)),ROUNDDOWN(MIN(IF(OR(ISBLANK(I61),I61=""),EOMONTH(DATE(EINSTELLUNG!$C$35,$A$1,1),0),I61)-MAX(D61,DATE(EINSTELLUNG!$C$35,$A$1,1))+1)/DAY(EOMONTH(DATE(EINSTELLUNG!$C$35,$A$1,1),0))*F61,2),"")</f>
        <v>86.5</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2152</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2blPIevBWiVQftRFsHiX0sa1EJAuVqRSUDp/N/oKC9noP4CtkTGtPZ6Z3rIZtW+XXZyh6ZO9Ry9+ybe4VuSPiA==" saltValue="CeNeTwV8SIyL6GN7pI0mw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F18 F57</xm:sqref>
        </x14:dataValidation>
        <x14:dataValidation type="list" allowBlank="1" showInputMessage="1" showErrorMessage="1" xr:uid="{7E961C3B-2F1A-054D-804E-CEF26FC2E6E1}">
          <x14:formula1>
            <xm:f>KV_DROPDOWN_HELPER!$AAV$1:$AAV$13</xm:f>
          </x14:formula1>
          <xm:sqref>F15 F21 F24 F26</xm:sqref>
        </x14:dataValidation>
        <x14:dataValidation type="list" allowBlank="1" showInputMessage="1" showErrorMessage="1" xr:uid="{1315ED99-AEB8-6E4E-9342-B14FFA75BBDB}">
          <x14:formula1>
            <xm:f>KV_DROPDOWN_HELPER!$AAX$1:$AAX$13</xm:f>
          </x14:formula1>
          <xm:sqref>F20</xm:sqref>
        </x14:dataValidation>
        <x14:dataValidation type="list" allowBlank="1" showInputMessage="1" showErrorMessage="1" xr:uid="{BB7533D5-0131-974A-9CCA-CFC9572377D5}">
          <x14:formula1>
            <xm:f>KV_DROPDOWN_HELPER!$AAY$1:$AAY$13</xm:f>
          </x14:formula1>
          <xm:sqref>F62 F63 F64 F65 F66 F67 F68 F69 F70 F71 F72 F73 F74 F75 F76 F77 F78 F79 F80 F81 F82</xm:sqref>
        </x14:dataValidation>
        <x14:dataValidation type="list" allowBlank="1" showInputMessage="1" showErrorMessage="1" xr:uid="{F06AC819-0CC3-41DB-9F3D-7A25C27432AC}">
          <x14:formula1>
            <xm:f>KV_DROPDOWN_HELPER!$AAS$1:$AAS$18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17797DA0-16B5-4299-BFBF-4B963442EFB1}">
          <x14:formula1>
            <xm:f>KV_DROPDOWN_HELPER!$AAW$1:$AAW$13</xm:f>
          </x14:formula1>
          <xm:sqref>F17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11</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46327</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46356</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827.63175720189815</v>
      </c>
      <c r="P5" s="152">
        <f>EINSTELLUNG!I16</f>
        <v>600</v>
      </c>
      <c r="Q5" s="152">
        <f>P5-O5</f>
        <v>-227.63175720189815</v>
      </c>
      <c r="R5" s="153">
        <f>IFERROR(Q5*Q42, 0)</f>
        <v>-3820.727868301225</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7988.1499999999987</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EINSTELLUNG!L32</f>
        <v>11</v>
      </c>
      <c r="R9" s="341"/>
      <c r="S9" s="154">
        <f>IFERROR(Q9/Q8, 0)</f>
        <v>1.3770397401150457E-3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EINSTELLUNG!I32</f>
        <v>150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600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66</v>
      </c>
      <c r="P12" s="326"/>
      <c r="Q12" s="340">
        <f>Q8-Q9-Q10-Q11</f>
        <v>7227.1499999999987</v>
      </c>
      <c r="R12" s="341"/>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68</v>
      </c>
      <c r="P13" s="326"/>
      <c r="Q13" s="340">
        <f>EINSTELLUNG!L16</f>
        <v>9300</v>
      </c>
      <c r="R13" s="341"/>
      <c r="S13" s="145"/>
      <c r="T13" s="145"/>
      <c r="U13" s="145"/>
      <c r="V13" s="145"/>
    </row>
    <row r="14" spans="1:28" ht="22" customHeight="1" thickBo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11" t="s">
        <v>70</v>
      </c>
      <c r="P14" s="312"/>
      <c r="Q14" s="313">
        <f>Q12-Q13</f>
        <v>-2072.8500000000013</v>
      </c>
      <c r="R14" s="314"/>
      <c r="S14" s="145"/>
      <c r="T14" s="145"/>
      <c r="U14" s="145"/>
      <c r="V14" s="145"/>
    </row>
    <row r="15" spans="1:28" ht="22" customHeigh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73" t="str">
        <f>IF(Q14&lt;0, "Schlecht! Zu wenig Stunden für Dienstplan.", IF(Q14&gt;0, "Du hast mehr als genug Stunden für Dienstplan.", ""))</f>
        <v>Schlecht! Zu wenig Stunden für Dienstplan.</v>
      </c>
      <c r="P15" s="374"/>
      <c r="Q15" s="374"/>
      <c r="R15" s="374"/>
      <c r="S15" s="156"/>
      <c r="T15" s="156"/>
      <c r="U15" s="156"/>
      <c r="V15" s="145"/>
    </row>
    <row r="16" spans="1:28" ht="22" customHeight="1" thickBot="1">
      <c r="A16" s="147" t="s">
        <v>71</v>
      </c>
      <c r="B16" s="97">
        <v>401432</v>
      </c>
      <c r="C16" s="57"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84"/>
      <c r="P16" s="385"/>
      <c r="Q16" s="385"/>
      <c r="R16" s="386"/>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87" t="s">
        <v>73</v>
      </c>
      <c r="P17" s="322"/>
      <c r="Q17" s="331">
        <f>SUM(L3:L82)</f>
        <v>134078.6</v>
      </c>
      <c r="R17" s="332"/>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79" t="s">
        <v>384</v>
      </c>
      <c r="P18" s="320"/>
      <c r="Q18" s="309">
        <v>20</v>
      </c>
      <c r="R18" s="310"/>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79" t="s">
        <v>295</v>
      </c>
      <c r="P19" s="320"/>
      <c r="Q19" s="309">
        <v>333</v>
      </c>
      <c r="R19" s="310"/>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79" t="s">
        <v>295</v>
      </c>
      <c r="P20" s="320"/>
      <c r="Q20" s="309">
        <v>35</v>
      </c>
      <c r="R20" s="310"/>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79" t="s">
        <v>295</v>
      </c>
      <c r="P21" s="320"/>
      <c r="Q21" s="309">
        <v>100</v>
      </c>
      <c r="R21" s="310"/>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79" t="s">
        <v>295</v>
      </c>
      <c r="P22" s="320"/>
      <c r="Q22" s="309"/>
      <c r="R22" s="310"/>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79" t="s">
        <v>295</v>
      </c>
      <c r="P23" s="320"/>
      <c r="Q23" s="309">
        <v>5000</v>
      </c>
      <c r="R23" s="310"/>
      <c r="S23" s="145"/>
      <c r="T23" s="145"/>
      <c r="U23" s="145"/>
      <c r="V23" s="145"/>
      <c r="W23" s="158"/>
    </row>
    <row r="24" spans="1:29" ht="22" customHeight="1">
      <c r="A24" s="147" t="s">
        <v>80</v>
      </c>
      <c r="B24" s="97">
        <v>401605</v>
      </c>
      <c r="C24" s="42" t="s">
        <v>405</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79"/>
      <c r="P24" s="320"/>
      <c r="Q24" s="309"/>
      <c r="R24" s="310"/>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79"/>
      <c r="P25" s="320"/>
      <c r="Q25" s="309"/>
      <c r="R25" s="310"/>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79"/>
      <c r="P26" s="320"/>
      <c r="Q26" s="309"/>
      <c r="R26" s="310"/>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79"/>
      <c r="P27" s="320"/>
      <c r="Q27" s="309"/>
      <c r="R27" s="310"/>
      <c r="S27" s="318" t="s">
        <v>84</v>
      </c>
      <c r="T27" s="318"/>
      <c r="U27" s="318"/>
      <c r="V27" s="318"/>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EINSTELLUNG!O16</f>
        <v>1250</v>
      </c>
      <c r="R29" s="367"/>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80">
        <v>0</v>
      </c>
      <c r="P31" s="371"/>
      <c r="Q31" s="355">
        <v>0</v>
      </c>
      <c r="R31" s="356"/>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82"/>
      <c r="P34" s="364"/>
      <c r="Q34" s="352"/>
      <c r="R34" s="352"/>
      <c r="S34" s="352"/>
      <c r="T34" s="352"/>
      <c r="U34" s="352"/>
      <c r="V34" s="354"/>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78" t="s">
        <v>98</v>
      </c>
      <c r="P35" s="326"/>
      <c r="Q35" s="327">
        <f>EINSTELLUNG!C16</f>
        <v>400000</v>
      </c>
      <c r="R35" s="327"/>
      <c r="S35" s="327">
        <f>EINSTELLUNG!C32</f>
        <v>398000</v>
      </c>
      <c r="T35" s="327"/>
      <c r="U35" s="327">
        <f>S35-Q35</f>
        <v>-2000</v>
      </c>
      <c r="V35" s="328"/>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EINSTELLUNG!D16</f>
        <v>100000</v>
      </c>
      <c r="R36" s="327"/>
      <c r="S36" s="327">
        <f ca="1">SumMergedCells(Q17:R29)</f>
        <v>140816.6</v>
      </c>
      <c r="T36" s="327"/>
      <c r="U36" s="327">
        <f t="shared" ref="U36:U41" ca="1" si="2">S36-Q36</f>
        <v>40816.600000000006</v>
      </c>
      <c r="V36" s="328"/>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0.35381055276381912</v>
      </c>
      <c r="T37" s="349"/>
      <c r="U37" s="349">
        <f t="shared" ca="1" si="2"/>
        <v>0.10381055276381912</v>
      </c>
      <c r="V37" s="350"/>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EINSTELLUNG!F16</f>
        <v>30000</v>
      </c>
      <c r="R38" s="340"/>
      <c r="S38" s="340">
        <f>EINSTELLUNG!F32</f>
        <v>31000</v>
      </c>
      <c r="T38" s="340"/>
      <c r="U38" s="340">
        <f t="shared" si="2"/>
        <v>1000</v>
      </c>
      <c r="V38" s="341"/>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12.838709677419354</v>
      </c>
      <c r="T39" s="327"/>
      <c r="U39" s="327">
        <f t="shared" si="2"/>
        <v>-0.49462365591397983</v>
      </c>
      <c r="V39" s="328"/>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IF(Q12=0, 0, Q35/Q12)</f>
        <v>55.346851801885954</v>
      </c>
      <c r="R40" s="327"/>
      <c r="S40" s="327">
        <f>IF(Q12=0, 0, S35/Q12)</f>
        <v>55.070117542876524</v>
      </c>
      <c r="T40" s="327"/>
      <c r="U40" s="327">
        <f t="shared" si="2"/>
        <v>-0.27673425900943016</v>
      </c>
      <c r="V40" s="328"/>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IF(Q12=0, 0, Q38/Q12)</f>
        <v>4.1510138851414462</v>
      </c>
      <c r="R41" s="340"/>
      <c r="S41" s="340">
        <f>IF(Q12=0, 0, S38/Q12)</f>
        <v>4.2893810146461613</v>
      </c>
      <c r="T41" s="340"/>
      <c r="U41" s="340">
        <f t="shared" si="2"/>
        <v>0.13836712950471508</v>
      </c>
      <c r="V41" s="341"/>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16.784687318089926</v>
      </c>
      <c r="R42" s="335"/>
      <c r="S42" s="335"/>
      <c r="T42" s="335"/>
      <c r="U42" s="335"/>
      <c r="V42" s="336"/>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42"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-121.1</v>
      </c>
      <c r="I51" s="54">
        <v>46305</v>
      </c>
      <c r="J51" s="55"/>
      <c r="K51" s="148">
        <f t="shared" si="1"/>
        <v>0</v>
      </c>
      <c r="L51" s="150"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402405</v>
      </c>
      <c r="C53" s="50" t="s">
        <v>300</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-121.1</v>
      </c>
      <c r="I53" s="54">
        <v>46305</v>
      </c>
      <c r="J53" s="55">
        <v>2</v>
      </c>
      <c r="K53" s="148">
        <f t="shared" si="1"/>
        <v>207.14285714285714</v>
      </c>
      <c r="L53" s="150"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56"/>
      <c r="N53" s="72" t="s">
        <v>195</v>
      </c>
    </row>
    <row r="54" spans="1:22" ht="22" customHeight="1">
      <c r="A54" s="147" t="s">
        <v>125</v>
      </c>
      <c r="B54" s="97">
        <v>500600</v>
      </c>
      <c r="C54" s="42" t="s">
        <v>304</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502000</v>
      </c>
      <c r="C55" s="50" t="s">
        <v>299</v>
      </c>
      <c r="D55" s="54">
        <v>46147</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503000</v>
      </c>
      <c r="C56" s="42" t="s">
        <v>301</v>
      </c>
      <c r="D56" s="46">
        <v>42401</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504000</v>
      </c>
      <c r="C57" s="50" t="s">
        <v>302</v>
      </c>
      <c r="D57" s="54">
        <v>46054</v>
      </c>
      <c r="E57" s="52" t="s">
        <v>3</v>
      </c>
      <c r="F57" s="53">
        <v>138.4</v>
      </c>
      <c r="G57" s="148">
        <f>IF(OR(E57="",F57=""),"",PID_KVLohnLookup($A$1,E57,F57,LOHNTABELLE!$H$4))</f>
        <v>1665.6</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6"/>
      <c r="N57" s="72"/>
    </row>
    <row r="58" spans="1:22" ht="22" customHeight="1">
      <c r="A58" s="147" t="s">
        <v>129</v>
      </c>
      <c r="B58" s="97">
        <v>505000</v>
      </c>
      <c r="C58" s="42" t="s">
        <v>303</v>
      </c>
      <c r="D58" s="46">
        <v>46054</v>
      </c>
      <c r="E58" s="44" t="s">
        <v>2</v>
      </c>
      <c r="F58" s="45">
        <v>138.4</v>
      </c>
      <c r="G58" s="148">
        <f>IF(OR(E58="",F58=""),"",PID_KVLohnLookup($A$1,E58,F58,LOHNTABELLE!$H$4))</f>
        <v>2400</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8"/>
      <c r="N58" s="71"/>
    </row>
    <row r="59" spans="1:22" ht="22" customHeight="1">
      <c r="A59" s="147" t="s">
        <v>130</v>
      </c>
      <c r="B59" s="98">
        <v>525025</v>
      </c>
      <c r="C59" s="50" t="s">
        <v>358</v>
      </c>
      <c r="D59" s="54">
        <v>46040</v>
      </c>
      <c r="E59" s="52" t="s">
        <v>2</v>
      </c>
      <c r="F59" s="53">
        <v>129.75</v>
      </c>
      <c r="G59" s="148">
        <f>IF(OR(E59="",F59=""),"",PID_KVLohnLookup($A$1,E59,F59,LOHNTABELLE!$H$4))</f>
        <v>2300</v>
      </c>
      <c r="H59" s="149">
        <f>IF(AND(ISNUMBER(D59),ISNUMBER(F59)),ROUNDDOWN(MIN(IF(OR(ISBLANK(I59),I59=""),EOMONTH(DATE(EINSTELLUNG!$C$35,$A$1,1),0),I59)-MAX(D59,DATE(EINSTELLUNG!$C$35,$A$1,1))+1)/DAY(EOMONTH(DATE(EINSTELLUNG!$C$35,$A$1,1),0))*F59,2),"")</f>
        <v>129.75</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6"/>
      <c r="N59" s="72"/>
    </row>
    <row r="60" spans="1:22" ht="22" customHeight="1">
      <c r="A60" s="147" t="s">
        <v>131</v>
      </c>
      <c r="B60" s="97">
        <v>700000</v>
      </c>
      <c r="C60" s="42" t="s">
        <v>311</v>
      </c>
      <c r="D60" s="46">
        <v>46054</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8"/>
      <c r="N60" s="71"/>
    </row>
    <row r="61" spans="1:22" ht="22" customHeight="1">
      <c r="A61" s="147" t="s">
        <v>132</v>
      </c>
      <c r="B61" s="98">
        <v>800000</v>
      </c>
      <c r="C61" s="50" t="s">
        <v>312</v>
      </c>
      <c r="D61" s="54">
        <v>46096</v>
      </c>
      <c r="E61" s="52" t="s">
        <v>2</v>
      </c>
      <c r="F61" s="53">
        <v>166</v>
      </c>
      <c r="G61" s="148">
        <f>IF(OR(E61="",F61=""),"",PID_KVLohnLookup($A$1,E61,F61,LOHNTABELLE!$H$4))</f>
        <v>2454</v>
      </c>
      <c r="H61" s="149">
        <f>IF(AND(ISNUMBER(D61),ISNUMBER(F61)),ROUNDDOWN(MIN(IF(OR(ISBLANK(I61),I61=""),EOMONTH(DATE(EINSTELLUNG!$C$35,$A$1,1),0),I61)-MAX(D61,DATE(EINSTELLUNG!$C$35,$A$1,1))+1)/DAY(EOMONTH(DATE(EINSTELLUNG!$C$35,$A$1,1),0))*F61,2),"")</f>
        <v>166</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2454</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hy/7/U5Gk2JNIlgCu3HUk63mHTnPdVaQ3pmLfUWGAX1m4nzx76YVJtDON05N7FCld8bLW6n+JAiK1Tro7kDUPg==" saltValue="EDM3n791oh1k+52fod3ntQ=="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F18 F57</xm:sqref>
        </x14:dataValidation>
        <x14:dataValidation type="list" allowBlank="1" showInputMessage="1" showErrorMessage="1" xr:uid="{94D41361-8190-8947-9BCD-EE46293E65F0}">
          <x14:formula1>
            <xm:f>KV_DROPDOWN_HELPER!$ADZ$1:$ADZ$13</xm:f>
          </x14:formula1>
          <xm:sqref>F20</xm:sqref>
        </x14:dataValidation>
        <x14:dataValidation type="list" allowBlank="1" showInputMessage="1" showErrorMessage="1" xr:uid="{C6D38AB4-134A-214E-937E-97FC434F9F05}">
          <x14:formula1>
            <xm:f>KV_DROPDOWN_HELPER!$AEA$1:$AEA$13</xm:f>
          </x14:formula1>
          <xm:sqref>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A23D871B-6977-4C25-A55C-D5F1DABCAAEA}">
          <x14:formula1>
            <xm:f>KV_DROPDOWN_HELPER!$ADU$1:$ADU$18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7A7E5196-949B-4B99-A74A-B0E1076B3390}">
          <x14:formula1>
            <xm:f>KV_DROPDOWN_HELPER!$ADX$1:$ADX$13</xm:f>
          </x14:formula1>
          <xm:sqref>F15 F21 F24 F26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17" activePane="bottomLeft" state="frozen"/>
      <selection activeCell="T24" sqref="T24"/>
      <selection pane="bottomLeft" activeCell="I52" sqref="I5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72">
        <v>12</v>
      </c>
      <c r="B1" s="375" t="s">
        <v>180</v>
      </c>
      <c r="C1" s="351" t="s">
        <v>39</v>
      </c>
      <c r="D1" s="351" t="s">
        <v>181</v>
      </c>
      <c r="E1" s="351" t="s">
        <v>0</v>
      </c>
      <c r="F1" s="351" t="s">
        <v>40</v>
      </c>
      <c r="G1" s="351" t="s">
        <v>41</v>
      </c>
      <c r="H1" s="351" t="s">
        <v>42</v>
      </c>
      <c r="I1" s="351" t="s">
        <v>182</v>
      </c>
      <c r="J1" s="351" t="s">
        <v>43</v>
      </c>
      <c r="K1" s="351" t="s">
        <v>44</v>
      </c>
      <c r="L1" s="351" t="s">
        <v>45</v>
      </c>
      <c r="M1" s="351" t="s">
        <v>46</v>
      </c>
      <c r="N1" s="353" t="s">
        <v>183</v>
      </c>
      <c r="AB1" s="139">
        <f>DATE(EINSTELLUNG!$C$35,$A$1,1)</f>
        <v>46357</v>
      </c>
    </row>
    <row r="2" spans="1:28" ht="18" customHeight="1" thickBot="1">
      <c r="A2" s="358"/>
      <c r="B2" s="376"/>
      <c r="C2" s="365"/>
      <c r="D2" s="365"/>
      <c r="E2" s="365"/>
      <c r="F2" s="365"/>
      <c r="G2" s="365"/>
      <c r="H2" s="365"/>
      <c r="I2" s="365"/>
      <c r="J2" s="365"/>
      <c r="K2" s="365"/>
      <c r="L2" s="365"/>
      <c r="M2" s="365"/>
      <c r="N2" s="369"/>
      <c r="O2" s="140"/>
      <c r="P2" s="140"/>
      <c r="Q2" s="140"/>
      <c r="S2" s="284" t="s">
        <v>393</v>
      </c>
      <c r="T2" s="284"/>
      <c r="U2" s="284"/>
      <c r="V2" s="284"/>
      <c r="AB2" s="139">
        <f>EOMONTH(DATE(EINSTELLUNG!$C$35,$A$1,1),0)</f>
        <v>46387</v>
      </c>
    </row>
    <row r="3" spans="1:28" ht="22" customHeight="1">
      <c r="A3" s="141" t="s">
        <v>399</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307" t="s">
        <v>47</v>
      </c>
      <c r="P3" s="307" t="s">
        <v>48</v>
      </c>
      <c r="Q3" s="307" t="s">
        <v>49</v>
      </c>
      <c r="R3" s="343"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308"/>
      <c r="P4" s="308"/>
      <c r="Q4" s="308"/>
      <c r="R4" s="344"/>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810.93697515639758</v>
      </c>
      <c r="P5" s="152">
        <f>EINSTELLUNG!I17</f>
        <v>600</v>
      </c>
      <c r="Q5" s="152">
        <f>P5-O5</f>
        <v>-210.93697515639758</v>
      </c>
      <c r="R5" s="153">
        <f>IFERROR(Q5*Q42, 0)</f>
        <v>-3436.9957646499402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337" t="str">
        <f>IF(Q5&lt;0, "Schlecht! Zu wenig Urlaub abgebaut.", IF(Q5&gt;0, "Gut! Mehr Urlaub abgebaut als aufgebaut.", ""))</f>
        <v>Schlecht! Zu wenig Urlaub abgebaut.</v>
      </c>
      <c r="P6" s="338"/>
      <c r="Q6" s="338"/>
      <c r="R6" s="339"/>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321" t="s">
        <v>56</v>
      </c>
      <c r="P8" s="322"/>
      <c r="Q8" s="323">
        <f>SUM(H3:H82)</f>
        <v>8286.15</v>
      </c>
      <c r="R8" s="324"/>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325" t="s">
        <v>58</v>
      </c>
      <c r="P9" s="326"/>
      <c r="Q9" s="340">
        <f>EINSTELLUNG!L33</f>
        <v>12</v>
      </c>
      <c r="R9" s="341"/>
      <c r="S9" s="154">
        <f>IFERROR(Q9/Q8, 0)</f>
        <v>1.4481997067395595E-3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325" t="s">
        <v>60</v>
      </c>
      <c r="P10" s="326"/>
      <c r="Q10" s="340">
        <f>EINSTELLUNG!I33</f>
        <v>400</v>
      </c>
      <c r="R10" s="341"/>
      <c r="S10" s="145"/>
      <c r="T10" s="145"/>
      <c r="U10" s="145"/>
      <c r="V10" s="145"/>
    </row>
    <row r="11" spans="1:28" ht="22" customHeight="1">
      <c r="A11" s="147" t="s">
        <v>61</v>
      </c>
      <c r="B11" s="98">
        <v>401276</v>
      </c>
      <c r="C11" s="50" t="s">
        <v>404</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325" t="s">
        <v>62</v>
      </c>
      <c r="P11" s="326"/>
      <c r="Q11" s="340">
        <f>P5</f>
        <v>600</v>
      </c>
      <c r="R11" s="341"/>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325" t="s">
        <v>64</v>
      </c>
      <c r="P12" s="326"/>
      <c r="Q12" s="329">
        <v>-303</v>
      </c>
      <c r="R12" s="330"/>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325" t="s">
        <v>66</v>
      </c>
      <c r="P13" s="326"/>
      <c r="Q13" s="340">
        <f>Q8-Q9-Q10-Q11-Q12</f>
        <v>7577.15</v>
      </c>
      <c r="R13" s="341"/>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325" t="s">
        <v>68</v>
      </c>
      <c r="P14" s="326"/>
      <c r="Q14" s="340">
        <f>EINSTELLUNG!L17</f>
        <v>9300</v>
      </c>
      <c r="R14" s="341"/>
      <c r="S14" s="145"/>
      <c r="T14" s="145"/>
      <c r="U14" s="145"/>
      <c r="V14" s="145"/>
    </row>
    <row r="15" spans="1:28" ht="22" customHeight="1" thickBot="1">
      <c r="A15" s="147" t="s">
        <v>69</v>
      </c>
      <c r="B15" s="98">
        <v>401406</v>
      </c>
      <c r="C15" s="50" t="s">
        <v>405</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11" t="s">
        <v>70</v>
      </c>
      <c r="P15" s="312"/>
      <c r="Q15" s="313">
        <f>Q13-Q14</f>
        <v>-1722.8500000000004</v>
      </c>
      <c r="R15" s="314"/>
      <c r="S15" s="156"/>
      <c r="T15" s="156"/>
      <c r="U15" s="156"/>
      <c r="V15" s="145"/>
    </row>
    <row r="16" spans="1:28" ht="22" customHeight="1" thickBot="1">
      <c r="A16" s="147" t="s">
        <v>71</v>
      </c>
      <c r="B16" s="97">
        <v>401432</v>
      </c>
      <c r="C16" s="57"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90" t="str">
        <f>IF(Q15&lt;0, "Schlecht! Zu wenig Stunden für Dienstplan.", IF(Q15&gt;0, "Du hast mehr als genug Stunden für Dienstplan.", ""))</f>
        <v>Schlecht! Zu wenig Stunden für Dienstplan.</v>
      </c>
      <c r="P16" s="316"/>
      <c r="Q16" s="316"/>
      <c r="R16" s="317"/>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87" t="s">
        <v>73</v>
      </c>
      <c r="P17" s="322"/>
      <c r="Q17" s="331">
        <f>SUM(L3:L82)</f>
        <v>135014.08387096773</v>
      </c>
      <c r="R17" s="332"/>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79" t="s">
        <v>384</v>
      </c>
      <c r="P18" s="320"/>
      <c r="Q18" s="309">
        <v>20</v>
      </c>
      <c r="R18" s="310"/>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79" t="s">
        <v>295</v>
      </c>
      <c r="P19" s="320"/>
      <c r="Q19" s="309">
        <v>333</v>
      </c>
      <c r="R19" s="310"/>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79" t="s">
        <v>295</v>
      </c>
      <c r="P20" s="320"/>
      <c r="Q20" s="309">
        <v>35</v>
      </c>
      <c r="R20" s="310"/>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79" t="s">
        <v>295</v>
      </c>
      <c r="P21" s="320"/>
      <c r="Q21" s="309">
        <v>100</v>
      </c>
      <c r="R21" s="310"/>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79" t="s">
        <v>295</v>
      </c>
      <c r="P22" s="320"/>
      <c r="Q22" s="309"/>
      <c r="R22" s="310"/>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79" t="s">
        <v>295</v>
      </c>
      <c r="P23" s="320"/>
      <c r="Q23" s="309">
        <v>5000</v>
      </c>
      <c r="R23" s="310"/>
      <c r="S23" s="145"/>
      <c r="T23" s="145"/>
      <c r="U23" s="145"/>
      <c r="V23" s="145"/>
      <c r="W23" s="158"/>
    </row>
    <row r="24" spans="1:29" ht="22" customHeight="1">
      <c r="A24" s="147" t="s">
        <v>80</v>
      </c>
      <c r="B24" s="97">
        <v>401605</v>
      </c>
      <c r="C24" s="42" t="s">
        <v>405</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79"/>
      <c r="P24" s="320"/>
      <c r="Q24" s="309"/>
      <c r="R24" s="310"/>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79"/>
      <c r="P25" s="320"/>
      <c r="Q25" s="309"/>
      <c r="R25" s="310"/>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79"/>
      <c r="P26" s="320"/>
      <c r="Q26" s="309"/>
      <c r="R26" s="310"/>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79"/>
      <c r="P27" s="320"/>
      <c r="Q27" s="309"/>
      <c r="R27" s="310"/>
      <c r="S27" s="318"/>
      <c r="T27" s="318"/>
      <c r="U27" s="318"/>
      <c r="V27" s="318"/>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79"/>
      <c r="P28" s="320"/>
      <c r="Q28" s="309"/>
      <c r="R28" s="310"/>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83" t="s">
        <v>87</v>
      </c>
      <c r="P29" s="312"/>
      <c r="Q29" s="366">
        <f>EINSTELLUNG!O17</f>
        <v>1250</v>
      </c>
      <c r="R29" s="367"/>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80">
        <v>0</v>
      </c>
      <c r="P31" s="371"/>
      <c r="Q31" s="355">
        <v>1.7391304347826087E-2</v>
      </c>
      <c r="R31" s="356"/>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81"/>
      <c r="P33" s="362"/>
      <c r="Q33" s="351" t="str">
        <f>EINSTELLUNG!B3</f>
        <v>Budget</v>
      </c>
      <c r="R33" s="351"/>
      <c r="S33" s="351" t="str">
        <f>EINSTELLUNG!B19</f>
        <v>Projection/Aktuell Zahlen</v>
      </c>
      <c r="T33" s="351"/>
      <c r="U33" s="351" t="s">
        <v>95</v>
      </c>
      <c r="V33" s="353"/>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82"/>
      <c r="P34" s="364"/>
      <c r="Q34" s="352"/>
      <c r="R34" s="352"/>
      <c r="S34" s="352"/>
      <c r="T34" s="352"/>
      <c r="U34" s="352"/>
      <c r="V34" s="354"/>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78" t="s">
        <v>98</v>
      </c>
      <c r="P35" s="326"/>
      <c r="Q35" s="327">
        <f>EINSTELLUNG!C17</f>
        <v>400000</v>
      </c>
      <c r="R35" s="327"/>
      <c r="S35" s="327">
        <f>EINSTELLUNG!C33</f>
        <v>390000</v>
      </c>
      <c r="T35" s="327"/>
      <c r="U35" s="327">
        <f>S35-Q35</f>
        <v>-10000</v>
      </c>
      <c r="V35" s="328"/>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78" t="s">
        <v>100</v>
      </c>
      <c r="P36" s="326"/>
      <c r="Q36" s="327">
        <f>EINSTELLUNG!D17</f>
        <v>100000</v>
      </c>
      <c r="R36" s="327"/>
      <c r="S36" s="327">
        <f ca="1">SumMergedCells(Q17:R29)</f>
        <v>141752.0839</v>
      </c>
      <c r="T36" s="327"/>
      <c r="U36" s="327">
        <f t="shared" ref="U36:U41" ca="1" si="2">S36-Q36</f>
        <v>41752.083899999998</v>
      </c>
      <c r="V36" s="328"/>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78" t="s">
        <v>102</v>
      </c>
      <c r="P37" s="326"/>
      <c r="Q37" s="349">
        <f>IF(ISERROR(Q36/Q35), 0, Q36/Q35)</f>
        <v>0.25</v>
      </c>
      <c r="R37" s="349"/>
      <c r="S37" s="349">
        <f ca="1">IF(ISERROR(S36/S35), 0, S36/S35)</f>
        <v>0.3634668817948718</v>
      </c>
      <c r="T37" s="349"/>
      <c r="U37" s="349">
        <f t="shared" ca="1" si="2"/>
        <v>0.1134668817948718</v>
      </c>
      <c r="V37" s="350"/>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78" t="s">
        <v>104</v>
      </c>
      <c r="P38" s="326"/>
      <c r="Q38" s="340">
        <f>EINSTELLUNG!F17</f>
        <v>30000</v>
      </c>
      <c r="R38" s="340"/>
      <c r="S38" s="340">
        <f>EINSTELLUNG!F33</f>
        <v>31000</v>
      </c>
      <c r="T38" s="340"/>
      <c r="U38" s="340">
        <f t="shared" si="2"/>
        <v>1000</v>
      </c>
      <c r="V38" s="341"/>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78" t="s">
        <v>106</v>
      </c>
      <c r="P39" s="326"/>
      <c r="Q39" s="327">
        <f>IF(Q38=0, 0, Q35/Q38)</f>
        <v>13.333333333333334</v>
      </c>
      <c r="R39" s="327"/>
      <c r="S39" s="327">
        <f>IF(S38=0, 0, S35/S38)</f>
        <v>12.580645161290322</v>
      </c>
      <c r="T39" s="327"/>
      <c r="U39" s="327">
        <f t="shared" si="2"/>
        <v>-0.75268817204301186</v>
      </c>
      <c r="V39" s="328"/>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78" t="s">
        <v>108</v>
      </c>
      <c r="P40" s="326"/>
      <c r="Q40" s="327">
        <f>IF(Q13=0, 0, Q35/Q13)</f>
        <v>52.790297143385047</v>
      </c>
      <c r="R40" s="327"/>
      <c r="S40" s="327">
        <f>IF(Q13=0, 0, S35/Q13)</f>
        <v>51.470539714800424</v>
      </c>
      <c r="T40" s="327"/>
      <c r="U40" s="327">
        <f t="shared" si="2"/>
        <v>-1.319757428584623</v>
      </c>
      <c r="V40" s="328"/>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78" t="s">
        <v>110</v>
      </c>
      <c r="P41" s="326"/>
      <c r="Q41" s="340">
        <f>IF(Q13=0, 0, Q38/Q13)</f>
        <v>3.9592722857538787</v>
      </c>
      <c r="R41" s="340"/>
      <c r="S41" s="340">
        <f>IF(Q13=0, 0, S38/Q13)</f>
        <v>4.0912480286123412</v>
      </c>
      <c r="T41" s="340"/>
      <c r="U41" s="340">
        <f t="shared" si="2"/>
        <v>0.13197574285846247</v>
      </c>
      <c r="V41" s="341"/>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77" t="s">
        <v>112</v>
      </c>
      <c r="P42" s="334"/>
      <c r="Q42" s="335">
        <f>IFERROR(Q17/Q8, 0)</f>
        <v>16.293946388970479</v>
      </c>
      <c r="R42" s="335"/>
      <c r="S42" s="335"/>
      <c r="T42" s="335"/>
      <c r="U42" s="335"/>
      <c r="V42" s="336"/>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46" t="s">
        <v>115</v>
      </c>
      <c r="P44" s="346"/>
      <c r="Q44" s="346"/>
      <c r="R44" s="346"/>
      <c r="S44" s="346"/>
      <c r="T44" s="346"/>
      <c r="U44" s="346"/>
      <c r="V44" s="346"/>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47"/>
      <c r="P45" s="347"/>
      <c r="Q45" s="347"/>
      <c r="R45" s="348"/>
      <c r="S45" s="348"/>
      <c r="T45" s="348"/>
      <c r="U45" s="348"/>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42"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55.8</v>
      </c>
      <c r="I51" s="54">
        <v>46366</v>
      </c>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500600</v>
      </c>
      <c r="C53" s="50" t="s">
        <v>304</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502000</v>
      </c>
      <c r="C54" s="42" t="s">
        <v>299</v>
      </c>
      <c r="D54" s="46">
        <v>46147</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503000</v>
      </c>
      <c r="C55" s="50" t="s">
        <v>301</v>
      </c>
      <c r="D55" s="54">
        <v>42401</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504000</v>
      </c>
      <c r="C56" s="42" t="s">
        <v>302</v>
      </c>
      <c r="D56" s="46">
        <v>46054</v>
      </c>
      <c r="E56" s="44" t="s">
        <v>3</v>
      </c>
      <c r="F56" s="45">
        <v>138.4</v>
      </c>
      <c r="G56" s="148">
        <f>IF(OR(E56="",F56=""),"",PID_KVLohnLookup($A$1,E56,F56,LOHNTABELLE!$H$4))</f>
        <v>1665.6</v>
      </c>
      <c r="H56" s="149">
        <f>IF(AND(ISNUMBER(D56),ISNUMBER(F56)),ROUNDDOWN(MIN(IF(OR(ISBLANK(I56),I56=""),EOMONTH(DATE(EINSTELLUNG!$C$35,$A$1,1),0),I56)-MAX(D56,DATE(EINSTELLUNG!$C$35,$A$1,1))+1)/DAY(EOMONTH(DATE(EINSTELLUNG!$C$35,$A$1,1),0))*F56,2),"")</f>
        <v>138.4</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8"/>
      <c r="N56" s="71"/>
    </row>
    <row r="57" spans="1:22" ht="22" customHeight="1">
      <c r="A57" s="147" t="s">
        <v>128</v>
      </c>
      <c r="B57" s="98">
        <v>505000</v>
      </c>
      <c r="C57" s="50" t="s">
        <v>303</v>
      </c>
      <c r="D57" s="54">
        <v>46054</v>
      </c>
      <c r="E57" s="52" t="s">
        <v>2</v>
      </c>
      <c r="F57" s="53">
        <v>138.4</v>
      </c>
      <c r="G57" s="148">
        <f>IF(OR(E57="",F57=""),"",PID_KVLohnLookup($A$1,E57,F57,LOHNTABELLE!$H$4))</f>
        <v>2400</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56"/>
      <c r="N57" s="72"/>
    </row>
    <row r="58" spans="1:22" ht="22" customHeight="1">
      <c r="A58" s="147" t="s">
        <v>129</v>
      </c>
      <c r="B58" s="97">
        <v>525025</v>
      </c>
      <c r="C58" s="42" t="s">
        <v>358</v>
      </c>
      <c r="D58" s="46">
        <v>46040</v>
      </c>
      <c r="E58" s="44" t="s">
        <v>2</v>
      </c>
      <c r="F58" s="45">
        <v>129.75</v>
      </c>
      <c r="G58" s="148">
        <f>IF(OR(E58="",F58=""),"",PID_KVLohnLookup($A$1,E58,F58,LOHNTABELLE!$H$4))</f>
        <v>2300</v>
      </c>
      <c r="H58" s="149">
        <f>IF(AND(ISNUMBER(D58),ISNUMBER(F58)),ROUNDDOWN(MIN(IF(OR(ISBLANK(I58),I58=""),EOMONTH(DATE(EINSTELLUNG!$C$35,$A$1,1),0),I58)-MAX(D58,DATE(EINSTELLUNG!$C$35,$A$1,1))+1)/DAY(EOMONTH(DATE(EINSTELLUNG!$C$35,$A$1,1),0))*F58,2),"")</f>
        <v>129.75</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48"/>
      <c r="N58" s="71"/>
    </row>
    <row r="59" spans="1:22" ht="22" customHeight="1">
      <c r="A59" s="147" t="s">
        <v>130</v>
      </c>
      <c r="B59" s="98">
        <v>700000</v>
      </c>
      <c r="C59" s="50" t="s">
        <v>311</v>
      </c>
      <c r="D59" s="54">
        <v>46054</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800000</v>
      </c>
      <c r="C60" s="42" t="s">
        <v>312</v>
      </c>
      <c r="D60" s="46">
        <v>46096</v>
      </c>
      <c r="E60" s="44" t="s">
        <v>2</v>
      </c>
      <c r="F60" s="45">
        <v>166</v>
      </c>
      <c r="G60" s="148">
        <f>IF(OR(E60="",F60=""),"",PID_KVLohnLookup($A$1,E60,F60,LOHNTABELLE!$H$4))</f>
        <v>2454</v>
      </c>
      <c r="H60" s="149">
        <f>IF(AND(ISNUMBER(D60),ISNUMBER(F60)),ROUNDDOWN(MIN(IF(OR(ISBLANK(I60),I60=""),EOMONTH(DATE(EINSTELLUNG!$C$35,$A$1,1),0),I60)-MAX(D60,DATE(EINSTELLUNG!$C$35,$A$1,1))+1)/DAY(EOMONTH(DATE(EINSTELLUNG!$C$35,$A$1,1),0))*F60,2),"")</f>
        <v>166</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2454</v>
      </c>
      <c r="M60" s="48"/>
      <c r="N60" s="71"/>
    </row>
    <row r="61" spans="1:22" ht="22" customHeight="1">
      <c r="A61" s="147" t="s">
        <v>132</v>
      </c>
      <c r="B61" s="98"/>
      <c r="C61" s="50"/>
      <c r="D61" s="54"/>
      <c r="E61" s="52"/>
      <c r="F61" s="53"/>
      <c r="G61" s="148" t="str">
        <f>IF(OR(E61="",F61=""),"",PID_KVLohnLookup($A$1,E61,F61,LOHNTABELLE!$H$4))</f>
        <v/>
      </c>
      <c r="H61" s="149" t="str">
        <f>IF(AND(ISNUMBER(D61),ISNUMBER(F61)),ROUNDDOWN(MIN(IF(OR(ISBLANK(I61),I61=""),EOMONTH(DATE(EINSTELLUNG!$C$35,$A$1,1),0),I61)-MAX(D61,DATE(EINSTELLUNG!$C$35,$A$1,1))+1)/DAY(EOMONTH(DATE(EINSTELLUNG!$C$35,$A$1,1),0))*F61,2),"")</f>
        <v/>
      </c>
      <c r="I61" s="54"/>
      <c r="J61" s="55"/>
      <c r="K61" s="148" t="str">
        <f t="shared" si="1"/>
        <v/>
      </c>
      <c r="L61" s="15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309AahiDONpaarRWbceeuFuSi+dqRTSvc6cUhneap+Y0Y+6SITb1aBcRSbwIEeK0teVSFduv+BPw+YVavj3MA==" saltValue="IRTZTt2duUTzh1HwJlu7VA=="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F18 F57</xm:sqref>
        </x14:dataValidation>
        <x14:dataValidation type="list" allowBlank="1" showInputMessage="1" showErrorMessage="1" xr:uid="{134117C3-5B75-2042-8C64-33A5B30B90E1}">
          <x14:formula1>
            <xm:f>KV_DROPDOWN_HELPER!$AGZ$1:$AGZ$13</xm:f>
          </x14:formula1>
          <xm:sqref>F15 F21 F24 F26</xm:sqref>
        </x14:dataValidation>
        <x14:dataValidation type="list" allowBlank="1" showInputMessage="1" showErrorMessage="1" xr:uid="{5D1F5899-6135-AC47-B765-32157EDD8FD9}">
          <x14:formula1>
            <xm:f>KV_DROPDOWN_HELPER!$AHB$1:$AHB$13</xm:f>
          </x14:formula1>
          <xm:sqref>F20</xm:sqref>
        </x14:dataValidation>
        <x14:dataValidation type="list" allowBlank="1" showInputMessage="1" showErrorMessage="1" xr:uid="{75383239-9BF9-384D-91EA-600D933C570A}">
          <x14:formula1>
            <xm:f>KV_DROPDOWN_HELPER!$AHC$1:$AHC$13</xm:f>
          </x14:formula1>
          <xm:sqref>F62 F63 F64 F65 F66 F67 F68 F69 F70 F71 F72 F73 F74 F75 F76 F77 F78 F79 F80 F81 F82</xm:sqref>
        </x14:dataValidation>
        <x14:dataValidation type="list" allowBlank="1" showInputMessage="1" showErrorMessage="1" xr:uid="{4142B64C-77CE-442F-BAE3-5BD71E9BB429}">
          <x14:formula1>
            <xm:f>KV_DROPDOWN_HELPER!$AGW$1:$AGW$18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5FAD274F-3D32-4ADF-8D37-4CA97291C40E}">
          <x14:formula1>
            <xm:f>KV_DROPDOWN_HELPER!$AHA$1:$AHA$13</xm:f>
          </x14:formula1>
          <xm:sqref>F17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276</v>
      </c>
      <c r="B2">
        <v>400002</v>
      </c>
      <c r="C2" t="s">
        <v>396</v>
      </c>
      <c r="D2" s="3">
        <v>33359</v>
      </c>
      <c r="E2" s="3">
        <v>46037</v>
      </c>
      <c r="F2" t="s">
        <v>194</v>
      </c>
      <c r="G2">
        <v>12679</v>
      </c>
      <c r="H2" s="5">
        <v>1</v>
      </c>
      <c r="I2" s="5">
        <v>2</v>
      </c>
      <c r="J2" s="5">
        <v>2</v>
      </c>
      <c r="K2" t="s">
        <v>215</v>
      </c>
    </row>
    <row r="3" spans="1:11">
      <c r="A3" t="s">
        <v>276</v>
      </c>
      <c r="B3">
        <v>401691</v>
      </c>
      <c r="C3" t="s">
        <v>252</v>
      </c>
      <c r="D3" s="3">
        <v>45539</v>
      </c>
      <c r="E3" s="3">
        <v>46047</v>
      </c>
      <c r="F3" t="s">
        <v>186</v>
      </c>
      <c r="G3">
        <v>509</v>
      </c>
      <c r="H3" s="5">
        <v>0.5</v>
      </c>
      <c r="I3" s="5">
        <v>1.25</v>
      </c>
      <c r="J3" s="5">
        <v>0.625</v>
      </c>
      <c r="K3" t="s">
        <v>277</v>
      </c>
    </row>
    <row r="4" spans="1:11">
      <c r="A4" t="s">
        <v>313</v>
      </c>
      <c r="B4">
        <v>600000</v>
      </c>
      <c r="C4" t="s">
        <v>305</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277</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277</v>
      </c>
    </row>
    <row r="12" spans="1:11">
      <c r="A12" t="s">
        <v>176</v>
      </c>
      <c r="B12">
        <v>402000</v>
      </c>
      <c r="C12" t="s">
        <v>297</v>
      </c>
      <c r="D12" s="3">
        <v>46143</v>
      </c>
      <c r="E12" s="3">
        <v>46305</v>
      </c>
      <c r="F12" t="s">
        <v>195</v>
      </c>
      <c r="G12">
        <v>163</v>
      </c>
      <c r="H12" s="5">
        <v>1.1000000000000001</v>
      </c>
      <c r="I12" s="5">
        <v>0.75</v>
      </c>
      <c r="J12" s="5">
        <v>0.82500000000000007</v>
      </c>
      <c r="K12" t="s">
        <v>277</v>
      </c>
    </row>
    <row r="13" spans="1:11">
      <c r="A13" t="s">
        <v>178</v>
      </c>
      <c r="B13">
        <v>402000</v>
      </c>
      <c r="C13" t="s">
        <v>297</v>
      </c>
      <c r="D13" s="3">
        <v>46143</v>
      </c>
      <c r="E13" s="3">
        <v>46366</v>
      </c>
      <c r="F13" t="s">
        <v>195</v>
      </c>
      <c r="G13">
        <v>224</v>
      </c>
      <c r="H13" s="5">
        <v>1.1000000000000001</v>
      </c>
      <c r="I13" s="5">
        <v>1</v>
      </c>
      <c r="J13" s="5">
        <v>1.1000000000000001</v>
      </c>
      <c r="K13" t="s">
        <v>220</v>
      </c>
    </row>
  </sheetData>
  <sheetProtection algorithmName="SHA-512" hashValue="G7XGCNqYIB0HQvloK74C3e4vJeFiBGlSo1iYF6XpTc+enhONyto704dVOG6WiUOhEq/haWydWO35Qogq2rDPRA==" saltValue="gFQ4OmR5KBsuMEq5X3CEMQ=="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169</v>
      </c>
      <c r="FF2" s="5">
        <v>151.38</v>
      </c>
      <c r="FG2" s="5">
        <v>151.38</v>
      </c>
      <c r="FH2" s="5">
        <v>151.38</v>
      </c>
      <c r="FI2" s="5">
        <v>151.38</v>
      </c>
      <c r="FJ2" s="5">
        <v>151.38</v>
      </c>
      <c r="FK2" s="5">
        <v>151.38</v>
      </c>
      <c r="IG2" s="5">
        <v>169</v>
      </c>
      <c r="IH2" s="5">
        <v>151.38</v>
      </c>
      <c r="II2" s="5">
        <v>151.38</v>
      </c>
      <c r="IJ2" s="5">
        <v>151.38</v>
      </c>
      <c r="IK2" s="5">
        <v>151.38</v>
      </c>
      <c r="IL2" s="5">
        <v>151.38</v>
      </c>
      <c r="IM2" s="5">
        <v>151.38</v>
      </c>
      <c r="LI2" s="5">
        <v>172</v>
      </c>
      <c r="LJ2" s="5">
        <v>151.38</v>
      </c>
      <c r="LK2" s="5">
        <v>151.38</v>
      </c>
      <c r="LL2" s="5">
        <v>151.38</v>
      </c>
      <c r="LM2" s="5">
        <v>151.38</v>
      </c>
      <c r="LN2" s="5">
        <v>151.38</v>
      </c>
      <c r="LO2" s="5">
        <v>151.38</v>
      </c>
      <c r="OK2" s="5">
        <v>172</v>
      </c>
      <c r="OL2" s="5">
        <v>151.38</v>
      </c>
      <c r="OM2" s="5">
        <v>151.38</v>
      </c>
      <c r="ON2" s="5">
        <v>151.38</v>
      </c>
      <c r="OO2" s="5">
        <v>151.38</v>
      </c>
      <c r="OP2" s="5">
        <v>151.38</v>
      </c>
      <c r="OQ2" s="5">
        <v>151.38</v>
      </c>
      <c r="RM2" s="5">
        <v>172</v>
      </c>
      <c r="RN2" s="5">
        <v>151.38</v>
      </c>
      <c r="RO2" s="5">
        <v>151.38</v>
      </c>
      <c r="RP2" s="5">
        <v>151.38</v>
      </c>
      <c r="RQ2" s="5">
        <v>151.38</v>
      </c>
      <c r="RR2" s="5">
        <v>151.38</v>
      </c>
      <c r="RS2" s="5">
        <v>151.38</v>
      </c>
      <c r="UO2" s="5">
        <v>172</v>
      </c>
      <c r="UP2" s="5">
        <v>151.38</v>
      </c>
      <c r="UQ2" s="5">
        <v>151.38</v>
      </c>
      <c r="UR2" s="5">
        <v>151.38</v>
      </c>
      <c r="US2" s="5">
        <v>151.38</v>
      </c>
      <c r="UT2" s="5">
        <v>151.38</v>
      </c>
      <c r="UU2" s="5">
        <v>151.38</v>
      </c>
      <c r="XQ2" s="5">
        <v>172</v>
      </c>
      <c r="XR2" s="5">
        <v>151.38</v>
      </c>
      <c r="XS2" s="5">
        <v>151.38</v>
      </c>
      <c r="XT2" s="5">
        <v>151.38</v>
      </c>
      <c r="XU2" s="5">
        <v>151.38</v>
      </c>
      <c r="XV2" s="5">
        <v>151.38</v>
      </c>
      <c r="XW2" s="5">
        <v>151.38</v>
      </c>
      <c r="AAS2" s="5">
        <v>172</v>
      </c>
      <c r="AAT2" s="5">
        <v>151.38</v>
      </c>
      <c r="AAU2" s="5">
        <v>151.38</v>
      </c>
      <c r="AAV2" s="5">
        <v>151.38</v>
      </c>
      <c r="AAW2" s="5">
        <v>151.38</v>
      </c>
      <c r="AAX2" s="5">
        <v>151.38</v>
      </c>
      <c r="AAY2" s="5">
        <v>151.38</v>
      </c>
      <c r="ADU2" s="5">
        <v>172</v>
      </c>
      <c r="ADV2" s="5">
        <v>151.38</v>
      </c>
      <c r="ADW2" s="5">
        <v>151.38</v>
      </c>
      <c r="ADX2" s="5">
        <v>151.38</v>
      </c>
      <c r="ADY2" s="5">
        <v>151.38</v>
      </c>
      <c r="ADZ2" s="5">
        <v>151.38</v>
      </c>
      <c r="AEA2" s="5">
        <v>151.38</v>
      </c>
      <c r="AGW2" s="5">
        <v>172</v>
      </c>
      <c r="AGX2" s="5">
        <v>151.38</v>
      </c>
      <c r="AGY2" s="5">
        <v>151.38</v>
      </c>
      <c r="AGZ2" s="5">
        <v>151.38</v>
      </c>
      <c r="AHA2" s="5">
        <v>151.38</v>
      </c>
      <c r="AHB2" s="5">
        <v>151.38</v>
      </c>
      <c r="AHC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151.38</v>
      </c>
      <c r="FF3" s="5">
        <v>138.4</v>
      </c>
      <c r="FG3" s="5">
        <v>138.4</v>
      </c>
      <c r="FH3" s="5">
        <v>138.4</v>
      </c>
      <c r="FI3" s="5">
        <v>138.4</v>
      </c>
      <c r="FJ3" s="5">
        <v>138.4</v>
      </c>
      <c r="FK3" s="5">
        <v>138.4</v>
      </c>
      <c r="IG3" s="5">
        <v>151.38</v>
      </c>
      <c r="IH3" s="5">
        <v>138.4</v>
      </c>
      <c r="II3" s="5">
        <v>138.4</v>
      </c>
      <c r="IJ3" s="5">
        <v>138.4</v>
      </c>
      <c r="IK3" s="5">
        <v>138.4</v>
      </c>
      <c r="IL3" s="5">
        <v>138.4</v>
      </c>
      <c r="IM3" s="5">
        <v>138.4</v>
      </c>
      <c r="LI3" s="5">
        <v>170</v>
      </c>
      <c r="LJ3" s="5">
        <v>138.4</v>
      </c>
      <c r="LK3" s="5">
        <v>138.4</v>
      </c>
      <c r="LL3" s="5">
        <v>138.4</v>
      </c>
      <c r="LM3" s="5">
        <v>138.4</v>
      </c>
      <c r="LN3" s="5">
        <v>138.4</v>
      </c>
      <c r="LO3" s="5">
        <v>138.4</v>
      </c>
      <c r="OK3" s="5">
        <v>170</v>
      </c>
      <c r="OL3" s="5">
        <v>138.4</v>
      </c>
      <c r="OM3" s="5">
        <v>138.4</v>
      </c>
      <c r="ON3" s="5">
        <v>138.4</v>
      </c>
      <c r="OO3" s="5">
        <v>138.4</v>
      </c>
      <c r="OP3" s="5">
        <v>138.4</v>
      </c>
      <c r="OQ3" s="5">
        <v>138.4</v>
      </c>
      <c r="RM3" s="5">
        <v>170</v>
      </c>
      <c r="RN3" s="5">
        <v>138.4</v>
      </c>
      <c r="RO3" s="5">
        <v>138.4</v>
      </c>
      <c r="RP3" s="5">
        <v>138.4</v>
      </c>
      <c r="RQ3" s="5">
        <v>138.4</v>
      </c>
      <c r="RR3" s="5">
        <v>138.4</v>
      </c>
      <c r="RS3" s="5">
        <v>138.4</v>
      </c>
      <c r="UO3" s="5">
        <v>170</v>
      </c>
      <c r="UP3" s="5">
        <v>138.4</v>
      </c>
      <c r="UQ3" s="5">
        <v>138.4</v>
      </c>
      <c r="UR3" s="5">
        <v>138.4</v>
      </c>
      <c r="US3" s="5">
        <v>138.4</v>
      </c>
      <c r="UT3" s="5">
        <v>138.4</v>
      </c>
      <c r="UU3" s="5">
        <v>138.4</v>
      </c>
      <c r="XQ3" s="5">
        <v>170</v>
      </c>
      <c r="XR3" s="5">
        <v>138.4</v>
      </c>
      <c r="XS3" s="5">
        <v>138.4</v>
      </c>
      <c r="XT3" s="5">
        <v>138.4</v>
      </c>
      <c r="XU3" s="5">
        <v>138.4</v>
      </c>
      <c r="XV3" s="5">
        <v>138.4</v>
      </c>
      <c r="XW3" s="5">
        <v>138.4</v>
      </c>
      <c r="AAS3" s="5">
        <v>170</v>
      </c>
      <c r="AAT3" s="5">
        <v>138.4</v>
      </c>
      <c r="AAU3" s="5">
        <v>138.4</v>
      </c>
      <c r="AAV3" s="5">
        <v>138.4</v>
      </c>
      <c r="AAW3" s="5">
        <v>138.4</v>
      </c>
      <c r="AAX3" s="5">
        <v>138.4</v>
      </c>
      <c r="AAY3" s="5">
        <v>138.4</v>
      </c>
      <c r="ADU3" s="5">
        <v>170</v>
      </c>
      <c r="ADV3" s="5">
        <v>138.4</v>
      </c>
      <c r="ADW3" s="5">
        <v>138.4</v>
      </c>
      <c r="ADX3" s="5">
        <v>138.4</v>
      </c>
      <c r="ADY3" s="5">
        <v>138.4</v>
      </c>
      <c r="ADZ3" s="5">
        <v>138.4</v>
      </c>
      <c r="AEA3" s="5">
        <v>138.4</v>
      </c>
      <c r="AGW3" s="5">
        <v>170</v>
      </c>
      <c r="AGX3" s="5">
        <v>138.4</v>
      </c>
      <c r="AGY3" s="5">
        <v>138.4</v>
      </c>
      <c r="AGZ3" s="5">
        <v>138.4</v>
      </c>
      <c r="AHA3" s="5">
        <v>138.4</v>
      </c>
      <c r="AHB3" s="5">
        <v>138.4</v>
      </c>
      <c r="AHC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138.4</v>
      </c>
      <c r="FF4" s="5">
        <v>129.75</v>
      </c>
      <c r="FG4" s="5">
        <v>129.75</v>
      </c>
      <c r="FH4" s="5">
        <v>129.75</v>
      </c>
      <c r="FI4" s="5">
        <v>129.75</v>
      </c>
      <c r="FJ4" s="5">
        <v>129.75</v>
      </c>
      <c r="FK4" s="5">
        <v>129.75</v>
      </c>
      <c r="IG4" s="5">
        <v>138.4</v>
      </c>
      <c r="IH4" s="5">
        <v>129.75</v>
      </c>
      <c r="II4" s="5">
        <v>129.75</v>
      </c>
      <c r="IJ4" s="5">
        <v>129.75</v>
      </c>
      <c r="IK4" s="5">
        <v>129.75</v>
      </c>
      <c r="IL4" s="5">
        <v>129.75</v>
      </c>
      <c r="IM4" s="5">
        <v>129.75</v>
      </c>
      <c r="LI4" s="5">
        <v>166</v>
      </c>
      <c r="LJ4" s="5">
        <v>129.75</v>
      </c>
      <c r="LK4" s="5">
        <v>129.75</v>
      </c>
      <c r="LL4" s="5">
        <v>129.75</v>
      </c>
      <c r="LM4" s="5">
        <v>129.75</v>
      </c>
      <c r="LN4" s="5">
        <v>129.75</v>
      </c>
      <c r="LO4" s="5">
        <v>129.75</v>
      </c>
      <c r="OK4" s="5">
        <v>166</v>
      </c>
      <c r="OL4" s="5">
        <v>129.75</v>
      </c>
      <c r="OM4" s="5">
        <v>129.75</v>
      </c>
      <c r="ON4" s="5">
        <v>129.75</v>
      </c>
      <c r="OO4" s="5">
        <v>129.75</v>
      </c>
      <c r="OP4" s="5">
        <v>129.75</v>
      </c>
      <c r="OQ4" s="5">
        <v>129.75</v>
      </c>
      <c r="RM4" s="5">
        <v>166</v>
      </c>
      <c r="RN4" s="5">
        <v>129.75</v>
      </c>
      <c r="RO4" s="5">
        <v>129.75</v>
      </c>
      <c r="RP4" s="5">
        <v>129.75</v>
      </c>
      <c r="RQ4" s="5">
        <v>129.75</v>
      </c>
      <c r="RR4" s="5">
        <v>129.75</v>
      </c>
      <c r="RS4" s="5">
        <v>129.75</v>
      </c>
      <c r="UO4" s="5">
        <v>166</v>
      </c>
      <c r="UP4" s="5">
        <v>129.75</v>
      </c>
      <c r="UQ4" s="5">
        <v>129.75</v>
      </c>
      <c r="UR4" s="5">
        <v>129.75</v>
      </c>
      <c r="US4" s="5">
        <v>129.75</v>
      </c>
      <c r="UT4" s="5">
        <v>129.75</v>
      </c>
      <c r="UU4" s="5">
        <v>129.75</v>
      </c>
      <c r="XQ4" s="5">
        <v>166</v>
      </c>
      <c r="XR4" s="5">
        <v>129.75</v>
      </c>
      <c r="XS4" s="5">
        <v>129.75</v>
      </c>
      <c r="XT4" s="5">
        <v>129.75</v>
      </c>
      <c r="XU4" s="5">
        <v>129.75</v>
      </c>
      <c r="XV4" s="5">
        <v>129.75</v>
      </c>
      <c r="XW4" s="5">
        <v>129.75</v>
      </c>
      <c r="AAS4" s="5">
        <v>166</v>
      </c>
      <c r="AAT4" s="5">
        <v>129.75</v>
      </c>
      <c r="AAU4" s="5">
        <v>129.75</v>
      </c>
      <c r="AAV4" s="5">
        <v>129.75</v>
      </c>
      <c r="AAW4" s="5">
        <v>129.75</v>
      </c>
      <c r="AAX4" s="5">
        <v>129.75</v>
      </c>
      <c r="AAY4" s="5">
        <v>129.75</v>
      </c>
      <c r="ADU4" s="5">
        <v>166</v>
      </c>
      <c r="ADV4" s="5">
        <v>129.75</v>
      </c>
      <c r="ADW4" s="5">
        <v>129.75</v>
      </c>
      <c r="ADX4" s="5">
        <v>129.75</v>
      </c>
      <c r="ADY4" s="5">
        <v>129.75</v>
      </c>
      <c r="ADZ4" s="5">
        <v>129.75</v>
      </c>
      <c r="AEA4" s="5">
        <v>129.75</v>
      </c>
      <c r="AGW4" s="5">
        <v>166</v>
      </c>
      <c r="AGX4" s="5">
        <v>129.75</v>
      </c>
      <c r="AGY4" s="5">
        <v>129.75</v>
      </c>
      <c r="AGZ4" s="5">
        <v>129.75</v>
      </c>
      <c r="AHA4" s="5">
        <v>129.75</v>
      </c>
      <c r="AHB4" s="5">
        <v>129.75</v>
      </c>
      <c r="AHC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129.75</v>
      </c>
      <c r="FF5" s="5">
        <v>108.13</v>
      </c>
      <c r="FG5" s="5">
        <v>108.13</v>
      </c>
      <c r="FH5" s="5">
        <v>108.13</v>
      </c>
      <c r="FI5" s="5">
        <v>108.13</v>
      </c>
      <c r="FJ5" s="5">
        <v>108.13</v>
      </c>
      <c r="FK5" s="5">
        <v>108.13</v>
      </c>
      <c r="IG5" s="5">
        <v>129.75</v>
      </c>
      <c r="IH5" s="5">
        <v>108.13</v>
      </c>
      <c r="II5" s="5">
        <v>108.13</v>
      </c>
      <c r="IJ5" s="5">
        <v>108.13</v>
      </c>
      <c r="IK5" s="5">
        <v>108.13</v>
      </c>
      <c r="IL5" s="5">
        <v>108.13</v>
      </c>
      <c r="IM5" s="5">
        <v>108.13</v>
      </c>
      <c r="LI5" s="5">
        <v>151.38</v>
      </c>
      <c r="LJ5" s="5">
        <v>108.13</v>
      </c>
      <c r="LK5" s="5">
        <v>108.13</v>
      </c>
      <c r="LL5" s="5">
        <v>108.13</v>
      </c>
      <c r="LM5" s="5">
        <v>108.13</v>
      </c>
      <c r="LN5" s="5">
        <v>108.13</v>
      </c>
      <c r="LO5" s="5">
        <v>108.13</v>
      </c>
      <c r="OK5" s="5">
        <v>151.38</v>
      </c>
      <c r="OL5" s="5">
        <v>108.13</v>
      </c>
      <c r="OM5" s="5">
        <v>108.13</v>
      </c>
      <c r="ON5" s="5">
        <v>108.13</v>
      </c>
      <c r="OO5" s="5">
        <v>108.13</v>
      </c>
      <c r="OP5" s="5">
        <v>108.13</v>
      </c>
      <c r="OQ5" s="5">
        <v>108.13</v>
      </c>
      <c r="RM5" s="5">
        <v>151.38</v>
      </c>
      <c r="RN5" s="5">
        <v>108.13</v>
      </c>
      <c r="RO5" s="5">
        <v>108.13</v>
      </c>
      <c r="RP5" s="5">
        <v>108.13</v>
      </c>
      <c r="RQ5" s="5">
        <v>108.13</v>
      </c>
      <c r="RR5" s="5">
        <v>108.13</v>
      </c>
      <c r="RS5" s="5">
        <v>108.13</v>
      </c>
      <c r="UO5" s="5">
        <v>151.38</v>
      </c>
      <c r="UP5" s="5">
        <v>108.13</v>
      </c>
      <c r="UQ5" s="5">
        <v>108.13</v>
      </c>
      <c r="UR5" s="5">
        <v>108.13</v>
      </c>
      <c r="US5" s="5">
        <v>108.13</v>
      </c>
      <c r="UT5" s="5">
        <v>108.13</v>
      </c>
      <c r="UU5" s="5">
        <v>108.13</v>
      </c>
      <c r="XQ5" s="5">
        <v>151.38</v>
      </c>
      <c r="XR5" s="5">
        <v>108.13</v>
      </c>
      <c r="XS5" s="5">
        <v>108.13</v>
      </c>
      <c r="XT5" s="5">
        <v>108.13</v>
      </c>
      <c r="XU5" s="5">
        <v>108.13</v>
      </c>
      <c r="XV5" s="5">
        <v>108.13</v>
      </c>
      <c r="XW5" s="5">
        <v>108.13</v>
      </c>
      <c r="AAS5" s="5">
        <v>151.38</v>
      </c>
      <c r="AAT5" s="5">
        <v>108.13</v>
      </c>
      <c r="AAU5" s="5">
        <v>108.13</v>
      </c>
      <c r="AAV5" s="5">
        <v>108.13</v>
      </c>
      <c r="AAW5" s="5">
        <v>108.13</v>
      </c>
      <c r="AAX5" s="5">
        <v>108.13</v>
      </c>
      <c r="AAY5" s="5">
        <v>108.13</v>
      </c>
      <c r="ADU5" s="5">
        <v>151.38</v>
      </c>
      <c r="ADV5" s="5">
        <v>108.13</v>
      </c>
      <c r="ADW5" s="5">
        <v>108.13</v>
      </c>
      <c r="ADX5" s="5">
        <v>108.13</v>
      </c>
      <c r="ADY5" s="5">
        <v>108.13</v>
      </c>
      <c r="ADZ5" s="5">
        <v>108.13</v>
      </c>
      <c r="AEA5" s="5">
        <v>108.13</v>
      </c>
      <c r="AGW5" s="5">
        <v>151.38</v>
      </c>
      <c r="AGX5" s="5">
        <v>108.13</v>
      </c>
      <c r="AGY5" s="5">
        <v>108.13</v>
      </c>
      <c r="AGZ5" s="5">
        <v>108.13</v>
      </c>
      <c r="AHA5" s="5">
        <v>108.13</v>
      </c>
      <c r="AHB5" s="5">
        <v>108.13</v>
      </c>
      <c r="AHC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108.13</v>
      </c>
      <c r="FF6" s="5">
        <v>103.8</v>
      </c>
      <c r="FG6" s="5">
        <v>103.8</v>
      </c>
      <c r="FH6" s="5">
        <v>103.8</v>
      </c>
      <c r="FI6" s="5">
        <v>103.8</v>
      </c>
      <c r="FJ6" s="5">
        <v>103.8</v>
      </c>
      <c r="FK6" s="5">
        <v>103.8</v>
      </c>
      <c r="IG6" s="5">
        <v>108.13</v>
      </c>
      <c r="IH6" s="5">
        <v>103.8</v>
      </c>
      <c r="II6" s="5">
        <v>103.8</v>
      </c>
      <c r="IJ6" s="5">
        <v>103.8</v>
      </c>
      <c r="IK6" s="5">
        <v>103.8</v>
      </c>
      <c r="IL6" s="5">
        <v>103.8</v>
      </c>
      <c r="IM6" s="5">
        <v>103.8</v>
      </c>
      <c r="LI6" s="5">
        <v>138.4</v>
      </c>
      <c r="LJ6" s="5">
        <v>103.8</v>
      </c>
      <c r="LK6" s="5">
        <v>103.8</v>
      </c>
      <c r="LL6" s="5">
        <v>103.8</v>
      </c>
      <c r="LM6" s="5">
        <v>103.8</v>
      </c>
      <c r="LN6" s="5">
        <v>103.8</v>
      </c>
      <c r="LO6" s="5">
        <v>103.8</v>
      </c>
      <c r="OK6" s="5">
        <v>138.4</v>
      </c>
      <c r="OL6" s="5">
        <v>103.8</v>
      </c>
      <c r="OM6" s="5">
        <v>103.8</v>
      </c>
      <c r="ON6" s="5">
        <v>103.8</v>
      </c>
      <c r="OO6" s="5">
        <v>103.8</v>
      </c>
      <c r="OP6" s="5">
        <v>103.8</v>
      </c>
      <c r="OQ6" s="5">
        <v>103.8</v>
      </c>
      <c r="RM6" s="5">
        <v>138.4</v>
      </c>
      <c r="RN6" s="5">
        <v>103.8</v>
      </c>
      <c r="RO6" s="5">
        <v>103.8</v>
      </c>
      <c r="RP6" s="5">
        <v>103.8</v>
      </c>
      <c r="RQ6" s="5">
        <v>103.8</v>
      </c>
      <c r="RR6" s="5">
        <v>103.8</v>
      </c>
      <c r="RS6" s="5">
        <v>103.8</v>
      </c>
      <c r="UO6" s="5">
        <v>138.4</v>
      </c>
      <c r="UP6" s="5">
        <v>103.8</v>
      </c>
      <c r="UQ6" s="5">
        <v>103.8</v>
      </c>
      <c r="UR6" s="5">
        <v>103.8</v>
      </c>
      <c r="US6" s="5">
        <v>103.8</v>
      </c>
      <c r="UT6" s="5">
        <v>103.8</v>
      </c>
      <c r="UU6" s="5">
        <v>103.8</v>
      </c>
      <c r="XQ6" s="5">
        <v>138.4</v>
      </c>
      <c r="XR6" s="5">
        <v>103.8</v>
      </c>
      <c r="XS6" s="5">
        <v>103.8</v>
      </c>
      <c r="XT6" s="5">
        <v>103.8</v>
      </c>
      <c r="XU6" s="5">
        <v>103.8</v>
      </c>
      <c r="XV6" s="5">
        <v>103.8</v>
      </c>
      <c r="XW6" s="5">
        <v>103.8</v>
      </c>
      <c r="AAS6" s="5">
        <v>138.4</v>
      </c>
      <c r="AAT6" s="5">
        <v>103.8</v>
      </c>
      <c r="AAU6" s="5">
        <v>103.8</v>
      </c>
      <c r="AAV6" s="5">
        <v>103.8</v>
      </c>
      <c r="AAW6" s="5">
        <v>103.8</v>
      </c>
      <c r="AAX6" s="5">
        <v>103.8</v>
      </c>
      <c r="AAY6" s="5">
        <v>103.8</v>
      </c>
      <c r="ADU6" s="5">
        <v>138.4</v>
      </c>
      <c r="ADV6" s="5">
        <v>103.8</v>
      </c>
      <c r="ADW6" s="5">
        <v>103.8</v>
      </c>
      <c r="ADX6" s="5">
        <v>103.8</v>
      </c>
      <c r="ADY6" s="5">
        <v>103.8</v>
      </c>
      <c r="ADZ6" s="5">
        <v>103.8</v>
      </c>
      <c r="AEA6" s="5">
        <v>103.8</v>
      </c>
      <c r="AGW6" s="5">
        <v>138.4</v>
      </c>
      <c r="AGX6" s="5">
        <v>103.8</v>
      </c>
      <c r="AGY6" s="5">
        <v>103.8</v>
      </c>
      <c r="AGZ6" s="5">
        <v>103.8</v>
      </c>
      <c r="AHA6" s="5">
        <v>103.8</v>
      </c>
      <c r="AHB6" s="5">
        <v>103.8</v>
      </c>
      <c r="AHC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103.8</v>
      </c>
      <c r="FF7" s="5">
        <v>86.5</v>
      </c>
      <c r="FG7" s="5">
        <v>86.5</v>
      </c>
      <c r="FH7" s="5">
        <v>86.5</v>
      </c>
      <c r="FI7" s="5">
        <v>86.5</v>
      </c>
      <c r="FJ7" s="5">
        <v>86.5</v>
      </c>
      <c r="FK7" s="5">
        <v>86.5</v>
      </c>
      <c r="IG7" s="5">
        <v>103.8</v>
      </c>
      <c r="IH7" s="5">
        <v>86.5</v>
      </c>
      <c r="II7" s="5">
        <v>86.5</v>
      </c>
      <c r="IJ7" s="5">
        <v>86.5</v>
      </c>
      <c r="IK7" s="5">
        <v>86.5</v>
      </c>
      <c r="IL7" s="5">
        <v>86.5</v>
      </c>
      <c r="IM7" s="5">
        <v>86.5</v>
      </c>
      <c r="LI7" s="5">
        <v>129.75</v>
      </c>
      <c r="LJ7" s="5">
        <v>86.5</v>
      </c>
      <c r="LK7" s="5">
        <v>86.5</v>
      </c>
      <c r="LL7" s="5">
        <v>86.5</v>
      </c>
      <c r="LM7" s="5">
        <v>86.5</v>
      </c>
      <c r="LN7" s="5">
        <v>86.5</v>
      </c>
      <c r="LO7" s="5">
        <v>86.5</v>
      </c>
      <c r="OK7" s="5">
        <v>129.75</v>
      </c>
      <c r="OL7" s="5">
        <v>86.5</v>
      </c>
      <c r="OM7" s="5">
        <v>86.5</v>
      </c>
      <c r="ON7" s="5">
        <v>86.5</v>
      </c>
      <c r="OO7" s="5">
        <v>86.5</v>
      </c>
      <c r="OP7" s="5">
        <v>86.5</v>
      </c>
      <c r="OQ7" s="5">
        <v>86.5</v>
      </c>
      <c r="RM7" s="5">
        <v>129.75</v>
      </c>
      <c r="RN7" s="5">
        <v>86.5</v>
      </c>
      <c r="RO7" s="5">
        <v>86.5</v>
      </c>
      <c r="RP7" s="5">
        <v>86.5</v>
      </c>
      <c r="RQ7" s="5">
        <v>86.5</v>
      </c>
      <c r="RR7" s="5">
        <v>86.5</v>
      </c>
      <c r="RS7" s="5">
        <v>86.5</v>
      </c>
      <c r="UO7" s="5">
        <v>129.75</v>
      </c>
      <c r="UP7" s="5">
        <v>86.5</v>
      </c>
      <c r="UQ7" s="5">
        <v>86.5</v>
      </c>
      <c r="UR7" s="5">
        <v>86.5</v>
      </c>
      <c r="US7" s="5">
        <v>86.5</v>
      </c>
      <c r="UT7" s="5">
        <v>86.5</v>
      </c>
      <c r="UU7" s="5">
        <v>86.5</v>
      </c>
      <c r="XQ7" s="5">
        <v>129.75</v>
      </c>
      <c r="XR7" s="5">
        <v>86.5</v>
      </c>
      <c r="XS7" s="5">
        <v>86.5</v>
      </c>
      <c r="XT7" s="5">
        <v>86.5</v>
      </c>
      <c r="XU7" s="5">
        <v>86.5</v>
      </c>
      <c r="XV7" s="5">
        <v>86.5</v>
      </c>
      <c r="XW7" s="5">
        <v>86.5</v>
      </c>
      <c r="AAS7" s="5">
        <v>129.75</v>
      </c>
      <c r="AAT7" s="5">
        <v>86.5</v>
      </c>
      <c r="AAU7" s="5">
        <v>86.5</v>
      </c>
      <c r="AAV7" s="5">
        <v>86.5</v>
      </c>
      <c r="AAW7" s="5">
        <v>86.5</v>
      </c>
      <c r="AAX7" s="5">
        <v>86.5</v>
      </c>
      <c r="AAY7" s="5">
        <v>86.5</v>
      </c>
      <c r="ADU7" s="5">
        <v>129.75</v>
      </c>
      <c r="ADV7" s="5">
        <v>86.5</v>
      </c>
      <c r="ADW7" s="5">
        <v>86.5</v>
      </c>
      <c r="ADX7" s="5">
        <v>86.5</v>
      </c>
      <c r="ADY7" s="5">
        <v>86.5</v>
      </c>
      <c r="ADZ7" s="5">
        <v>86.5</v>
      </c>
      <c r="AEA7" s="5">
        <v>86.5</v>
      </c>
      <c r="AGW7" s="5">
        <v>129.75</v>
      </c>
      <c r="AGX7" s="5">
        <v>86.5</v>
      </c>
      <c r="AGY7" s="5">
        <v>86.5</v>
      </c>
      <c r="AGZ7" s="5">
        <v>86.5</v>
      </c>
      <c r="AHA7" s="5">
        <v>86.5</v>
      </c>
      <c r="AHB7" s="5">
        <v>86.5</v>
      </c>
      <c r="AHC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86.5</v>
      </c>
      <c r="FF8" s="5">
        <v>69.2</v>
      </c>
      <c r="FG8" s="5">
        <v>69.2</v>
      </c>
      <c r="FH8" s="5">
        <v>69.2</v>
      </c>
      <c r="FI8" s="5">
        <v>69.2</v>
      </c>
      <c r="FJ8" s="5">
        <v>69.2</v>
      </c>
      <c r="FK8" s="5">
        <v>69.2</v>
      </c>
      <c r="IG8" s="5">
        <v>86.5</v>
      </c>
      <c r="IH8" s="5">
        <v>69.2</v>
      </c>
      <c r="II8" s="5">
        <v>69.2</v>
      </c>
      <c r="IJ8" s="5">
        <v>69.2</v>
      </c>
      <c r="IK8" s="5">
        <v>69.2</v>
      </c>
      <c r="IL8" s="5">
        <v>69.2</v>
      </c>
      <c r="IM8" s="5">
        <v>69.2</v>
      </c>
      <c r="LI8" s="5">
        <v>108.13</v>
      </c>
      <c r="LJ8" s="5">
        <v>69.2</v>
      </c>
      <c r="LK8" s="5">
        <v>69.2</v>
      </c>
      <c r="LL8" s="5">
        <v>69.2</v>
      </c>
      <c r="LM8" s="5">
        <v>69.2</v>
      </c>
      <c r="LN8" s="5">
        <v>69.2</v>
      </c>
      <c r="LO8" s="5">
        <v>69.2</v>
      </c>
      <c r="OK8" s="5">
        <v>108.13</v>
      </c>
      <c r="OL8" s="5">
        <v>69.2</v>
      </c>
      <c r="OM8" s="5">
        <v>69.2</v>
      </c>
      <c r="ON8" s="5">
        <v>69.2</v>
      </c>
      <c r="OO8" s="5">
        <v>69.2</v>
      </c>
      <c r="OP8" s="5">
        <v>69.2</v>
      </c>
      <c r="OQ8" s="5">
        <v>69.2</v>
      </c>
      <c r="RM8" s="5">
        <v>108.13</v>
      </c>
      <c r="RN8" s="5">
        <v>69.2</v>
      </c>
      <c r="RO8" s="5">
        <v>69.2</v>
      </c>
      <c r="RP8" s="5">
        <v>69.2</v>
      </c>
      <c r="RQ8" s="5">
        <v>69.2</v>
      </c>
      <c r="RR8" s="5">
        <v>69.2</v>
      </c>
      <c r="RS8" s="5">
        <v>69.2</v>
      </c>
      <c r="UO8" s="5">
        <v>108.13</v>
      </c>
      <c r="UP8" s="5">
        <v>69.2</v>
      </c>
      <c r="UQ8" s="5">
        <v>69.2</v>
      </c>
      <c r="UR8" s="5">
        <v>69.2</v>
      </c>
      <c r="US8" s="5">
        <v>69.2</v>
      </c>
      <c r="UT8" s="5">
        <v>69.2</v>
      </c>
      <c r="UU8" s="5">
        <v>69.2</v>
      </c>
      <c r="XQ8" s="5">
        <v>108.13</v>
      </c>
      <c r="XR8" s="5">
        <v>69.2</v>
      </c>
      <c r="XS8" s="5">
        <v>69.2</v>
      </c>
      <c r="XT8" s="5">
        <v>69.2</v>
      </c>
      <c r="XU8" s="5">
        <v>69.2</v>
      </c>
      <c r="XV8" s="5">
        <v>69.2</v>
      </c>
      <c r="XW8" s="5">
        <v>69.2</v>
      </c>
      <c r="AAS8" s="5">
        <v>108.13</v>
      </c>
      <c r="AAT8" s="5">
        <v>69.2</v>
      </c>
      <c r="AAU8" s="5">
        <v>69.2</v>
      </c>
      <c r="AAV8" s="5">
        <v>69.2</v>
      </c>
      <c r="AAW8" s="5">
        <v>69.2</v>
      </c>
      <c r="AAX8" s="5">
        <v>69.2</v>
      </c>
      <c r="AAY8" s="5">
        <v>69.2</v>
      </c>
      <c r="ADU8" s="5">
        <v>108.13</v>
      </c>
      <c r="ADV8" s="5">
        <v>69.2</v>
      </c>
      <c r="ADW8" s="5">
        <v>69.2</v>
      </c>
      <c r="ADX8" s="5">
        <v>69.2</v>
      </c>
      <c r="ADY8" s="5">
        <v>69.2</v>
      </c>
      <c r="ADZ8" s="5">
        <v>69.2</v>
      </c>
      <c r="AEA8" s="5">
        <v>69.2</v>
      </c>
      <c r="AGW8" s="5">
        <v>108.13</v>
      </c>
      <c r="AGX8" s="5">
        <v>69.2</v>
      </c>
      <c r="AGY8" s="5">
        <v>69.2</v>
      </c>
      <c r="AGZ8" s="5">
        <v>69.2</v>
      </c>
      <c r="AHA8" s="5">
        <v>69.2</v>
      </c>
      <c r="AHB8" s="5">
        <v>69.2</v>
      </c>
      <c r="AHC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69.2</v>
      </c>
      <c r="FF9" s="5">
        <v>51.9</v>
      </c>
      <c r="FG9" s="5">
        <v>51.9</v>
      </c>
      <c r="FH9" s="5">
        <v>51.9</v>
      </c>
      <c r="FI9" s="5">
        <v>51.9</v>
      </c>
      <c r="FJ9" s="5">
        <v>51.9</v>
      </c>
      <c r="FK9" s="5">
        <v>51.9</v>
      </c>
      <c r="IG9" s="5">
        <v>69.2</v>
      </c>
      <c r="IH9" s="5">
        <v>51.9</v>
      </c>
      <c r="II9" s="5">
        <v>51.9</v>
      </c>
      <c r="IJ9" s="5">
        <v>51.9</v>
      </c>
      <c r="IK9" s="5">
        <v>51.9</v>
      </c>
      <c r="IL9" s="5">
        <v>51.9</v>
      </c>
      <c r="IM9" s="5">
        <v>51.9</v>
      </c>
      <c r="LI9" s="5">
        <v>105</v>
      </c>
      <c r="LJ9" s="5">
        <v>51.9</v>
      </c>
      <c r="LK9" s="5">
        <v>51.9</v>
      </c>
      <c r="LL9" s="5">
        <v>51.9</v>
      </c>
      <c r="LM9" s="5">
        <v>51.9</v>
      </c>
      <c r="LN9" s="5">
        <v>51.9</v>
      </c>
      <c r="LO9" s="5">
        <v>51.9</v>
      </c>
      <c r="OK9" s="5">
        <v>105</v>
      </c>
      <c r="OL9" s="5">
        <v>51.9</v>
      </c>
      <c r="OM9" s="5">
        <v>51.9</v>
      </c>
      <c r="ON9" s="5">
        <v>51.9</v>
      </c>
      <c r="OO9" s="5">
        <v>51.9</v>
      </c>
      <c r="OP9" s="5">
        <v>51.9</v>
      </c>
      <c r="OQ9" s="5">
        <v>51.9</v>
      </c>
      <c r="RM9" s="5">
        <v>105</v>
      </c>
      <c r="RN9" s="5">
        <v>51.9</v>
      </c>
      <c r="RO9" s="5">
        <v>51.9</v>
      </c>
      <c r="RP9" s="5">
        <v>51.9</v>
      </c>
      <c r="RQ9" s="5">
        <v>51.9</v>
      </c>
      <c r="RR9" s="5">
        <v>51.9</v>
      </c>
      <c r="RS9" s="5">
        <v>51.9</v>
      </c>
      <c r="UO9" s="5">
        <v>105</v>
      </c>
      <c r="UP9" s="5">
        <v>51.9</v>
      </c>
      <c r="UQ9" s="5">
        <v>51.9</v>
      </c>
      <c r="UR9" s="5">
        <v>51.9</v>
      </c>
      <c r="US9" s="5">
        <v>51.9</v>
      </c>
      <c r="UT9" s="5">
        <v>51.9</v>
      </c>
      <c r="UU9" s="5">
        <v>51.9</v>
      </c>
      <c r="XQ9" s="5">
        <v>105</v>
      </c>
      <c r="XR9" s="5">
        <v>51.9</v>
      </c>
      <c r="XS9" s="5">
        <v>51.9</v>
      </c>
      <c r="XT9" s="5">
        <v>51.9</v>
      </c>
      <c r="XU9" s="5">
        <v>51.9</v>
      </c>
      <c r="XV9" s="5">
        <v>51.9</v>
      </c>
      <c r="XW9" s="5">
        <v>51.9</v>
      </c>
      <c r="AAS9" s="5">
        <v>105</v>
      </c>
      <c r="AAT9" s="5">
        <v>51.9</v>
      </c>
      <c r="AAU9" s="5">
        <v>51.9</v>
      </c>
      <c r="AAV9" s="5">
        <v>51.9</v>
      </c>
      <c r="AAW9" s="5">
        <v>51.9</v>
      </c>
      <c r="AAX9" s="5">
        <v>51.9</v>
      </c>
      <c r="AAY9" s="5">
        <v>51.9</v>
      </c>
      <c r="ADU9" s="5">
        <v>105</v>
      </c>
      <c r="ADV9" s="5">
        <v>51.9</v>
      </c>
      <c r="ADW9" s="5">
        <v>51.9</v>
      </c>
      <c r="ADX9" s="5">
        <v>51.9</v>
      </c>
      <c r="ADY9" s="5">
        <v>51.9</v>
      </c>
      <c r="ADZ9" s="5">
        <v>51.9</v>
      </c>
      <c r="AEA9" s="5">
        <v>51.9</v>
      </c>
      <c r="AGW9" s="5">
        <v>105</v>
      </c>
      <c r="AGX9" s="5">
        <v>51.9</v>
      </c>
      <c r="AGY9" s="5">
        <v>51.9</v>
      </c>
      <c r="AGZ9" s="5">
        <v>51.9</v>
      </c>
      <c r="AHA9" s="5">
        <v>51.9</v>
      </c>
      <c r="AHB9" s="5">
        <v>51.9</v>
      </c>
      <c r="AHC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55</v>
      </c>
      <c r="FF10" s="5">
        <v>47.58</v>
      </c>
      <c r="FG10" s="5">
        <v>47.58</v>
      </c>
      <c r="FH10" s="5">
        <v>47.58</v>
      </c>
      <c r="FI10" s="5">
        <v>47.58</v>
      </c>
      <c r="FJ10" s="5">
        <v>47.58</v>
      </c>
      <c r="FK10" s="5">
        <v>47.58</v>
      </c>
      <c r="IG10" s="5">
        <v>55</v>
      </c>
      <c r="IH10" s="5">
        <v>47.58</v>
      </c>
      <c r="II10" s="5">
        <v>47.58</v>
      </c>
      <c r="IJ10" s="5">
        <v>47.58</v>
      </c>
      <c r="IK10" s="5">
        <v>47.58</v>
      </c>
      <c r="IL10" s="5">
        <v>47.58</v>
      </c>
      <c r="IM10" s="5">
        <v>47.58</v>
      </c>
      <c r="LI10" s="5">
        <v>103.8</v>
      </c>
      <c r="LJ10" s="5">
        <v>47.58</v>
      </c>
      <c r="LK10" s="5">
        <v>47.58</v>
      </c>
      <c r="LL10" s="5">
        <v>47.58</v>
      </c>
      <c r="LM10" s="5">
        <v>47.58</v>
      </c>
      <c r="LN10" s="5">
        <v>47.58</v>
      </c>
      <c r="LO10" s="5">
        <v>47.58</v>
      </c>
      <c r="OK10" s="5">
        <v>103.8</v>
      </c>
      <c r="OL10" s="5">
        <v>47.58</v>
      </c>
      <c r="OM10" s="5">
        <v>47.58</v>
      </c>
      <c r="ON10" s="5">
        <v>47.58</v>
      </c>
      <c r="OO10" s="5">
        <v>47.58</v>
      </c>
      <c r="OP10" s="5">
        <v>47.58</v>
      </c>
      <c r="OQ10" s="5">
        <v>47.58</v>
      </c>
      <c r="RM10" s="5">
        <v>103.8</v>
      </c>
      <c r="RN10" s="5">
        <v>47.58</v>
      </c>
      <c r="RO10" s="5">
        <v>47.58</v>
      </c>
      <c r="RP10" s="5">
        <v>47.58</v>
      </c>
      <c r="RQ10" s="5">
        <v>47.58</v>
      </c>
      <c r="RR10" s="5">
        <v>47.58</v>
      </c>
      <c r="RS10" s="5">
        <v>47.58</v>
      </c>
      <c r="UO10" s="5">
        <v>103.8</v>
      </c>
      <c r="UP10" s="5">
        <v>47.58</v>
      </c>
      <c r="UQ10" s="5">
        <v>47.58</v>
      </c>
      <c r="UR10" s="5">
        <v>47.58</v>
      </c>
      <c r="US10" s="5">
        <v>47.58</v>
      </c>
      <c r="UT10" s="5">
        <v>47.58</v>
      </c>
      <c r="UU10" s="5">
        <v>47.58</v>
      </c>
      <c r="XQ10" s="5">
        <v>103.8</v>
      </c>
      <c r="XR10" s="5">
        <v>47.58</v>
      </c>
      <c r="XS10" s="5">
        <v>47.58</v>
      </c>
      <c r="XT10" s="5">
        <v>47.58</v>
      </c>
      <c r="XU10" s="5">
        <v>47.58</v>
      </c>
      <c r="XV10" s="5">
        <v>47.58</v>
      </c>
      <c r="XW10" s="5">
        <v>47.58</v>
      </c>
      <c r="AAS10" s="5">
        <v>103.8</v>
      </c>
      <c r="AAT10" s="5">
        <v>47.58</v>
      </c>
      <c r="AAU10" s="5">
        <v>47.58</v>
      </c>
      <c r="AAV10" s="5">
        <v>47.58</v>
      </c>
      <c r="AAW10" s="5">
        <v>47.58</v>
      </c>
      <c r="AAX10" s="5">
        <v>47.58</v>
      </c>
      <c r="AAY10" s="5">
        <v>47.58</v>
      </c>
      <c r="ADU10" s="5">
        <v>103.8</v>
      </c>
      <c r="ADV10" s="5">
        <v>47.58</v>
      </c>
      <c r="ADW10" s="5">
        <v>47.58</v>
      </c>
      <c r="ADX10" s="5">
        <v>47.58</v>
      </c>
      <c r="ADY10" s="5">
        <v>47.58</v>
      </c>
      <c r="ADZ10" s="5">
        <v>47.58</v>
      </c>
      <c r="AEA10" s="5">
        <v>47.58</v>
      </c>
      <c r="AGW10" s="5">
        <v>103.8</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86.5</v>
      </c>
      <c r="LJ11" s="5">
        <v>43.25</v>
      </c>
      <c r="LK11" s="5">
        <v>43.25</v>
      </c>
      <c r="LL11" s="5">
        <v>43.25</v>
      </c>
      <c r="LM11" s="5">
        <v>43.25</v>
      </c>
      <c r="LN11" s="5">
        <v>43.25</v>
      </c>
      <c r="LO11" s="5">
        <v>43.25</v>
      </c>
      <c r="OK11" s="5">
        <v>86.5</v>
      </c>
      <c r="OL11" s="5">
        <v>43.25</v>
      </c>
      <c r="OM11" s="5">
        <v>43.25</v>
      </c>
      <c r="ON11" s="5">
        <v>43.25</v>
      </c>
      <c r="OO11" s="5">
        <v>43.25</v>
      </c>
      <c r="OP11" s="5">
        <v>43.25</v>
      </c>
      <c r="OQ11" s="5">
        <v>43.25</v>
      </c>
      <c r="RM11" s="5">
        <v>86.5</v>
      </c>
      <c r="RN11" s="5">
        <v>43.25</v>
      </c>
      <c r="RO11" s="5">
        <v>43.25</v>
      </c>
      <c r="RP11" s="5">
        <v>43.25</v>
      </c>
      <c r="RQ11" s="5">
        <v>43.25</v>
      </c>
      <c r="RR11" s="5">
        <v>43.25</v>
      </c>
      <c r="RS11" s="5">
        <v>43.25</v>
      </c>
      <c r="UO11" s="5">
        <v>86.5</v>
      </c>
      <c r="UP11" s="5">
        <v>43.25</v>
      </c>
      <c r="UQ11" s="5">
        <v>43.25</v>
      </c>
      <c r="UR11" s="5">
        <v>43.25</v>
      </c>
      <c r="US11" s="5">
        <v>43.25</v>
      </c>
      <c r="UT11" s="5">
        <v>43.25</v>
      </c>
      <c r="UU11" s="5">
        <v>43.25</v>
      </c>
      <c r="XQ11" s="5">
        <v>86.5</v>
      </c>
      <c r="XR11" s="5">
        <v>43.25</v>
      </c>
      <c r="XS11" s="5">
        <v>43.25</v>
      </c>
      <c r="XT11" s="5">
        <v>43.25</v>
      </c>
      <c r="XU11" s="5">
        <v>43.25</v>
      </c>
      <c r="XV11" s="5">
        <v>43.25</v>
      </c>
      <c r="XW11" s="5">
        <v>43.25</v>
      </c>
      <c r="AAS11" s="5">
        <v>86.5</v>
      </c>
      <c r="AAT11" s="5">
        <v>43.25</v>
      </c>
      <c r="AAU11" s="5">
        <v>43.25</v>
      </c>
      <c r="AAV11" s="5">
        <v>43.25</v>
      </c>
      <c r="AAW11" s="5">
        <v>43.25</v>
      </c>
      <c r="AAX11" s="5">
        <v>43.25</v>
      </c>
      <c r="AAY11" s="5">
        <v>43.25</v>
      </c>
      <c r="ADU11" s="5">
        <v>86.5</v>
      </c>
      <c r="ADV11" s="5">
        <v>43.25</v>
      </c>
      <c r="ADW11" s="5">
        <v>43.25</v>
      </c>
      <c r="ADX11" s="5">
        <v>43.25</v>
      </c>
      <c r="ADY11" s="5">
        <v>43.25</v>
      </c>
      <c r="ADZ11" s="5">
        <v>43.25</v>
      </c>
      <c r="AEA11" s="5">
        <v>43.25</v>
      </c>
      <c r="AGW11" s="5">
        <v>86.5</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69.2</v>
      </c>
      <c r="LJ12" s="5">
        <v>34.6</v>
      </c>
      <c r="LK12" s="5">
        <v>34.6</v>
      </c>
      <c r="LL12" s="5">
        <v>34.6</v>
      </c>
      <c r="LM12" s="5">
        <v>34.6</v>
      </c>
      <c r="LN12" s="5">
        <v>34.6</v>
      </c>
      <c r="LO12" s="5">
        <v>34.6</v>
      </c>
      <c r="OK12" s="5">
        <v>69.2</v>
      </c>
      <c r="OL12" s="5">
        <v>34.6</v>
      </c>
      <c r="OM12" s="5">
        <v>34.6</v>
      </c>
      <c r="ON12" s="5">
        <v>34.6</v>
      </c>
      <c r="OO12" s="5">
        <v>34.6</v>
      </c>
      <c r="OP12" s="5">
        <v>34.6</v>
      </c>
      <c r="OQ12" s="5">
        <v>34.6</v>
      </c>
      <c r="RM12" s="5">
        <v>69.2</v>
      </c>
      <c r="RN12" s="5">
        <v>34.6</v>
      </c>
      <c r="RO12" s="5">
        <v>34.6</v>
      </c>
      <c r="RP12" s="5">
        <v>34.6</v>
      </c>
      <c r="RQ12" s="5">
        <v>34.6</v>
      </c>
      <c r="RR12" s="5">
        <v>34.6</v>
      </c>
      <c r="RS12" s="5">
        <v>34.6</v>
      </c>
      <c r="UO12" s="5">
        <v>69.2</v>
      </c>
      <c r="UP12" s="5">
        <v>34.6</v>
      </c>
      <c r="UQ12" s="5">
        <v>34.6</v>
      </c>
      <c r="UR12" s="5">
        <v>34.6</v>
      </c>
      <c r="US12" s="5">
        <v>34.6</v>
      </c>
      <c r="UT12" s="5">
        <v>34.6</v>
      </c>
      <c r="UU12" s="5">
        <v>34.6</v>
      </c>
      <c r="XQ12" s="5">
        <v>69.2</v>
      </c>
      <c r="XR12" s="5">
        <v>34.6</v>
      </c>
      <c r="XS12" s="5">
        <v>34.6</v>
      </c>
      <c r="XT12" s="5">
        <v>34.6</v>
      </c>
      <c r="XU12" s="5">
        <v>34.6</v>
      </c>
      <c r="XV12" s="5">
        <v>34.6</v>
      </c>
      <c r="XW12" s="5">
        <v>34.6</v>
      </c>
      <c r="AAS12" s="5">
        <v>69.2</v>
      </c>
      <c r="AAT12" s="5">
        <v>34.6</v>
      </c>
      <c r="AAU12" s="5">
        <v>34.6</v>
      </c>
      <c r="AAV12" s="5">
        <v>34.6</v>
      </c>
      <c r="AAW12" s="5">
        <v>34.6</v>
      </c>
      <c r="AAX12" s="5">
        <v>34.6</v>
      </c>
      <c r="AAY12" s="5">
        <v>34.6</v>
      </c>
      <c r="ADU12" s="5">
        <v>69.2</v>
      </c>
      <c r="ADV12" s="5">
        <v>34.6</v>
      </c>
      <c r="ADW12" s="5">
        <v>34.6</v>
      </c>
      <c r="ADX12" s="5">
        <v>34.6</v>
      </c>
      <c r="ADY12" s="5">
        <v>34.6</v>
      </c>
      <c r="ADZ12" s="5">
        <v>34.6</v>
      </c>
      <c r="AEA12" s="5">
        <v>34.6</v>
      </c>
      <c r="AGW12" s="5">
        <v>69.2</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51.9</v>
      </c>
      <c r="LJ13" s="5">
        <v>32.01</v>
      </c>
      <c r="LK13" s="5">
        <v>32.01</v>
      </c>
      <c r="LL13" s="5">
        <v>32.01</v>
      </c>
      <c r="LM13" s="5">
        <v>32.01</v>
      </c>
      <c r="LN13" s="5">
        <v>32.01</v>
      </c>
      <c r="LO13" s="5">
        <v>32.01</v>
      </c>
      <c r="OK13" s="5">
        <v>51.9</v>
      </c>
      <c r="OL13" s="5">
        <v>32.01</v>
      </c>
      <c r="OM13" s="5">
        <v>32.01</v>
      </c>
      <c r="ON13" s="5">
        <v>32.01</v>
      </c>
      <c r="OO13" s="5">
        <v>32.01</v>
      </c>
      <c r="OP13" s="5">
        <v>32.01</v>
      </c>
      <c r="OQ13" s="5">
        <v>32.01</v>
      </c>
      <c r="RM13" s="5">
        <v>51.9</v>
      </c>
      <c r="RN13" s="5">
        <v>32.01</v>
      </c>
      <c r="RO13" s="5">
        <v>32.01</v>
      </c>
      <c r="RP13" s="5">
        <v>32.01</v>
      </c>
      <c r="RQ13" s="5">
        <v>32.01</v>
      </c>
      <c r="RR13" s="5">
        <v>32.01</v>
      </c>
      <c r="RS13" s="5">
        <v>32.01</v>
      </c>
      <c r="UO13" s="5">
        <v>51.9</v>
      </c>
      <c r="UP13" s="5">
        <v>32.01</v>
      </c>
      <c r="UQ13" s="5">
        <v>32.01</v>
      </c>
      <c r="UR13" s="5">
        <v>32.01</v>
      </c>
      <c r="US13" s="5">
        <v>32.01</v>
      </c>
      <c r="UT13" s="5">
        <v>32.01</v>
      </c>
      <c r="UU13" s="5">
        <v>32.01</v>
      </c>
      <c r="XQ13" s="5">
        <v>51.9</v>
      </c>
      <c r="XR13" s="5">
        <v>32.01</v>
      </c>
      <c r="XS13" s="5">
        <v>32.01</v>
      </c>
      <c r="XT13" s="5">
        <v>32.01</v>
      </c>
      <c r="XU13" s="5">
        <v>32.01</v>
      </c>
      <c r="XV13" s="5">
        <v>32.01</v>
      </c>
      <c r="XW13" s="5">
        <v>32.01</v>
      </c>
      <c r="AAS13" s="5">
        <v>51.9</v>
      </c>
      <c r="AAT13" s="5">
        <v>32.01</v>
      </c>
      <c r="AAU13" s="5">
        <v>32.01</v>
      </c>
      <c r="AAV13" s="5">
        <v>32.01</v>
      </c>
      <c r="AAW13" s="5">
        <v>32.01</v>
      </c>
      <c r="AAX13" s="5">
        <v>32.01</v>
      </c>
      <c r="AAY13" s="5">
        <v>32.01</v>
      </c>
      <c r="ADU13" s="5">
        <v>51.9</v>
      </c>
      <c r="ADV13" s="5">
        <v>32.01</v>
      </c>
      <c r="ADW13" s="5">
        <v>32.01</v>
      </c>
      <c r="ADX13" s="5">
        <v>32.01</v>
      </c>
      <c r="ADY13" s="5">
        <v>32.01</v>
      </c>
      <c r="ADZ13" s="5">
        <v>32.01</v>
      </c>
      <c r="AEA13" s="5">
        <v>32.01</v>
      </c>
      <c r="AGW13" s="5">
        <v>51.9</v>
      </c>
      <c r="AGX13" s="5">
        <v>32.01</v>
      </c>
      <c r="AGY13" s="5">
        <v>32.01</v>
      </c>
      <c r="AGZ13" s="5">
        <v>32.01</v>
      </c>
      <c r="AHA13" s="5">
        <v>32.01</v>
      </c>
      <c r="AHB13" s="5">
        <v>32.01</v>
      </c>
      <c r="AHC13" s="5">
        <v>32.01</v>
      </c>
    </row>
    <row r="14" spans="1:961">
      <c r="A14" s="5">
        <v>34.6</v>
      </c>
      <c r="CC14" s="5">
        <v>34.6</v>
      </c>
      <c r="FE14" s="5">
        <v>34.6</v>
      </c>
      <c r="IG14" s="5">
        <v>34.6</v>
      </c>
      <c r="LI14" s="5">
        <v>47.58</v>
      </c>
      <c r="OK14" s="5">
        <v>47.58</v>
      </c>
      <c r="RM14" s="5">
        <v>47.58</v>
      </c>
      <c r="UO14" s="5">
        <v>47.58</v>
      </c>
      <c r="XQ14" s="5">
        <v>47.58</v>
      </c>
      <c r="AAS14" s="5">
        <v>47.58</v>
      </c>
      <c r="ADU14" s="5">
        <v>47.58</v>
      </c>
      <c r="AGW14" s="5">
        <v>47.58</v>
      </c>
    </row>
    <row r="15" spans="1:961">
      <c r="A15" s="5">
        <v>32.01</v>
      </c>
      <c r="CC15" s="5">
        <v>32.01</v>
      </c>
      <c r="FE15" s="5">
        <v>32.01</v>
      </c>
      <c r="IG15" s="5">
        <v>32.01</v>
      </c>
      <c r="LI15" s="5">
        <v>43.25</v>
      </c>
      <c r="OK15" s="5">
        <v>43.25</v>
      </c>
      <c r="RM15" s="5">
        <v>43.25</v>
      </c>
      <c r="UO15" s="5">
        <v>43.25</v>
      </c>
      <c r="XQ15" s="5">
        <v>43.25</v>
      </c>
      <c r="AAS15" s="5">
        <v>43.25</v>
      </c>
      <c r="ADU15" s="5">
        <v>43.25</v>
      </c>
      <c r="AGW15" s="5">
        <v>43.25</v>
      </c>
    </row>
    <row r="16" spans="1:961">
      <c r="LI16" s="5">
        <v>40</v>
      </c>
      <c r="OK16" s="5">
        <v>40</v>
      </c>
      <c r="RM16" s="5">
        <v>40</v>
      </c>
      <c r="UO16" s="5">
        <v>40</v>
      </c>
      <c r="XQ16" s="5">
        <v>40</v>
      </c>
      <c r="AAS16" s="5">
        <v>40</v>
      </c>
      <c r="ADU16" s="5">
        <v>40</v>
      </c>
      <c r="AGW16" s="5">
        <v>40</v>
      </c>
    </row>
    <row r="17" spans="321:881">
      <c r="LI17" s="5">
        <v>39</v>
      </c>
      <c r="OK17" s="5">
        <v>39</v>
      </c>
      <c r="RM17" s="5">
        <v>39</v>
      </c>
      <c r="UO17" s="5">
        <v>39</v>
      </c>
      <c r="XQ17" s="5">
        <v>39</v>
      </c>
      <c r="AAS17" s="5">
        <v>39</v>
      </c>
      <c r="ADU17" s="5">
        <v>39</v>
      </c>
      <c r="AGW17" s="5">
        <v>39</v>
      </c>
    </row>
    <row r="18" spans="321:881">
      <c r="LI18" s="5">
        <v>34.6</v>
      </c>
      <c r="OK18" s="5">
        <v>34.6</v>
      </c>
      <c r="RM18" s="5">
        <v>34.6</v>
      </c>
      <c r="UO18" s="5">
        <v>34.6</v>
      </c>
      <c r="XQ18" s="5">
        <v>34.6</v>
      </c>
      <c r="AAS18" s="5">
        <v>34.6</v>
      </c>
      <c r="ADU18" s="5">
        <v>34.6</v>
      </c>
      <c r="AGW18" s="5">
        <v>34.6</v>
      </c>
    </row>
  </sheetData>
  <sheetProtection algorithmName="SHA-512" hashValue="DcPzdVQfuu4nAA9Vl4Slor5jLSiO829iFJm7mpSRXRrYvT2bq7JaotXw+TKFT4J6y+DAz/MhepwiMIg0V4DRgg==" saltValue="kOkiavn9lZwIsyk98tt87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4"/>
  <sheetViews>
    <sheetView workbookViewId="0"/>
  </sheetViews>
  <sheetFormatPr baseColWidth="10" defaultRowHeight="14.5"/>
  <sheetData>
    <row r="1" spans="1:5">
      <c r="A1" t="s">
        <v>306</v>
      </c>
      <c r="B1" t="s">
        <v>307</v>
      </c>
      <c r="C1" t="s">
        <v>308</v>
      </c>
      <c r="D1" t="s">
        <v>309</v>
      </c>
      <c r="E1" t="s">
        <v>310</v>
      </c>
    </row>
    <row r="2" spans="1:5">
      <c r="A2">
        <v>2026</v>
      </c>
      <c r="B2">
        <v>7</v>
      </c>
      <c r="C2" t="s">
        <v>356</v>
      </c>
      <c r="D2" t="s">
        <v>315</v>
      </c>
      <c r="E2">
        <v>129.75</v>
      </c>
    </row>
    <row r="3" spans="1:5">
      <c r="A3">
        <v>2026</v>
      </c>
      <c r="B3">
        <v>9</v>
      </c>
      <c r="C3" t="s">
        <v>356</v>
      </c>
      <c r="D3" t="s">
        <v>315</v>
      </c>
      <c r="E3">
        <v>86.5</v>
      </c>
    </row>
    <row r="4" spans="1:5">
      <c r="A4">
        <v>2026</v>
      </c>
      <c r="B4">
        <v>11</v>
      </c>
      <c r="C4" t="s">
        <v>356</v>
      </c>
      <c r="D4" t="s">
        <v>315</v>
      </c>
      <c r="E4">
        <v>166</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137" customWidth="1"/>
    <col min="2" max="2" width="16.36328125" style="137" customWidth="1"/>
    <col min="3" max="4" width="15.6328125" style="137" customWidth="1"/>
    <col min="5" max="5" width="14.6328125" style="137" customWidth="1"/>
    <col min="6" max="6" width="20.81640625" style="137" customWidth="1"/>
    <col min="7" max="7" width="15.81640625" style="137" customWidth="1"/>
    <col min="8" max="8" width="14.6328125" style="137" customWidth="1"/>
    <col min="9" max="9" width="15.6328125" style="137" customWidth="1"/>
    <col min="10" max="10" width="28.6328125" style="137" customWidth="1"/>
    <col min="11" max="11" width="14" style="137" customWidth="1"/>
    <col min="12" max="13" width="20.6328125" style="137" customWidth="1"/>
    <col min="14" max="15" width="15.6328125" style="137" customWidth="1"/>
    <col min="16" max="16" width="11.6328125" style="137" customWidth="1"/>
    <col min="17" max="17" width="20.6328125" style="137" customWidth="1"/>
    <col min="18" max="16384" width="11.453125" style="137"/>
  </cols>
  <sheetData>
    <row r="2" spans="2:21" ht="28" customHeight="1">
      <c r="B2" s="393" t="str">
        <f xml:space="preserve"> "FINANZIELL ÜBERSICHT " &amp; EINSTELLUNG!C35</f>
        <v>FINANZIELL ÜBERSICHT 2026</v>
      </c>
      <c r="C2" s="394"/>
      <c r="D2" s="394"/>
      <c r="E2" s="394"/>
      <c r="F2" s="394"/>
      <c r="G2" s="394"/>
      <c r="H2" s="394"/>
      <c r="I2" s="394"/>
      <c r="J2" s="394"/>
      <c r="K2" s="394"/>
      <c r="L2" s="394"/>
      <c r="M2" s="394"/>
      <c r="N2" s="394"/>
      <c r="O2" s="394"/>
      <c r="P2" s="394"/>
      <c r="Q2" s="395"/>
      <c r="R2" s="207"/>
      <c r="S2" s="81"/>
      <c r="T2" s="81"/>
      <c r="U2" s="81"/>
    </row>
    <row r="3" spans="2:21" ht="18" customHeight="1" thickBot="1">
      <c r="B3" s="396"/>
      <c r="C3" s="397"/>
      <c r="D3" s="397"/>
      <c r="E3" s="397"/>
      <c r="F3" s="397"/>
      <c r="G3" s="397"/>
      <c r="H3" s="397"/>
      <c r="I3" s="397"/>
      <c r="J3" s="397"/>
      <c r="K3" s="397"/>
      <c r="L3" s="397"/>
      <c r="M3" s="397"/>
      <c r="N3" s="397"/>
      <c r="O3" s="397"/>
      <c r="P3" s="397"/>
      <c r="Q3" s="398"/>
      <c r="R3" s="207"/>
    </row>
    <row r="4" spans="2:21" ht="24" customHeight="1">
      <c r="B4" s="401"/>
      <c r="C4" s="399" t="s">
        <v>17</v>
      </c>
      <c r="D4" s="399"/>
      <c r="E4" s="399"/>
      <c r="F4" s="399" t="s">
        <v>154</v>
      </c>
      <c r="G4" s="399"/>
      <c r="H4" s="399"/>
      <c r="I4" s="399" t="s">
        <v>155</v>
      </c>
      <c r="J4" s="399"/>
      <c r="K4" s="399"/>
      <c r="L4" s="399" t="s">
        <v>156</v>
      </c>
      <c r="M4" s="399" t="s">
        <v>157</v>
      </c>
      <c r="N4" s="399" t="s">
        <v>158</v>
      </c>
      <c r="O4" s="399"/>
      <c r="P4" s="399"/>
      <c r="Q4" s="403" t="s">
        <v>90</v>
      </c>
    </row>
    <row r="5" spans="2:21" ht="30" customHeight="1">
      <c r="B5" s="402"/>
      <c r="C5" s="400"/>
      <c r="D5" s="400"/>
      <c r="E5" s="400"/>
      <c r="F5" s="400"/>
      <c r="G5" s="400"/>
      <c r="H5" s="400"/>
      <c r="I5" s="400"/>
      <c r="J5" s="400"/>
      <c r="K5" s="400"/>
      <c r="L5" s="400"/>
      <c r="M5" s="400"/>
      <c r="N5" s="400"/>
      <c r="O5" s="400"/>
      <c r="P5" s="400"/>
      <c r="Q5" s="404"/>
    </row>
    <row r="6" spans="2:21" ht="30" customHeight="1">
      <c r="B6" s="402"/>
      <c r="C6" s="208" t="s">
        <v>159</v>
      </c>
      <c r="D6" s="208" t="s">
        <v>160</v>
      </c>
      <c r="E6" s="208" t="s">
        <v>161</v>
      </c>
      <c r="F6" s="208" t="s">
        <v>159</v>
      </c>
      <c r="G6" s="208" t="s">
        <v>160</v>
      </c>
      <c r="H6" s="208" t="s">
        <v>161</v>
      </c>
      <c r="I6" s="208" t="s">
        <v>159</v>
      </c>
      <c r="J6" s="208" t="s">
        <v>160</v>
      </c>
      <c r="K6" s="208" t="s">
        <v>161</v>
      </c>
      <c r="L6" s="400"/>
      <c r="M6" s="400"/>
      <c r="N6" s="208" t="s">
        <v>162</v>
      </c>
      <c r="O6" s="208" t="s">
        <v>163</v>
      </c>
      <c r="P6" s="208" t="s">
        <v>161</v>
      </c>
      <c r="Q6" s="404"/>
    </row>
    <row r="7" spans="2:21" ht="30" customHeight="1">
      <c r="B7" s="209" t="s">
        <v>164</v>
      </c>
      <c r="C7" s="210">
        <f>EINSTELLUNG!C6</f>
        <v>450000</v>
      </c>
      <c r="D7" s="210">
        <f>EINSTELLUNG!C22</f>
        <v>450000</v>
      </c>
      <c r="E7" s="210">
        <f>D7-C7</f>
        <v>0</v>
      </c>
      <c r="F7" s="210">
        <f>EINSTELLUNG!D6</f>
        <v>100000</v>
      </c>
      <c r="G7" s="210">
        <v>91676.220799999996</v>
      </c>
      <c r="H7" s="210">
        <f t="shared" ref="H7:H23" si="0">G7-F7</f>
        <v>-8323.7792000000045</v>
      </c>
      <c r="I7" s="211">
        <f>EINSTELLUNG!E6</f>
        <v>0.22222222222222221</v>
      </c>
      <c r="J7" s="211">
        <v>0.20372493511111109</v>
      </c>
      <c r="K7" s="211">
        <f t="shared" ref="K7:K23" si="1">J7-I7</f>
        <v>-1.8497287111111121E-2</v>
      </c>
      <c r="L7" s="212">
        <f>Januar!S40</f>
        <v>71.8616806371097</v>
      </c>
      <c r="M7" s="212">
        <f>Januar!S41</f>
        <v>4.6310860855026243</v>
      </c>
      <c r="N7" s="212">
        <f>Januar!O5</f>
        <v>725.95088438176754</v>
      </c>
      <c r="O7" s="212">
        <f>Januar!P5</f>
        <v>600</v>
      </c>
      <c r="P7" s="212">
        <f>O7-N7</f>
        <v>-125.95088438176754</v>
      </c>
      <c r="Q7" s="213">
        <v>3.8834951456310676E-2</v>
      </c>
    </row>
    <row r="8" spans="2:21" ht="30" customHeight="1">
      <c r="B8" s="214" t="s">
        <v>165</v>
      </c>
      <c r="C8" s="215">
        <f>EINSTELLUNG!C7</f>
        <v>400000</v>
      </c>
      <c r="D8" s="215">
        <f>EINSTELLUNG!C23</f>
        <v>425000</v>
      </c>
      <c r="E8" s="215">
        <f>D8-C8</f>
        <v>25000</v>
      </c>
      <c r="F8" s="215">
        <f>EINSTELLUNG!D7</f>
        <v>100000</v>
      </c>
      <c r="G8" s="215">
        <v>112062.4129</v>
      </c>
      <c r="H8" s="215">
        <f t="shared" si="0"/>
        <v>12062.412899999996</v>
      </c>
      <c r="I8" s="216">
        <f>EINSTELLUNG!E7</f>
        <v>0.25</v>
      </c>
      <c r="J8" s="216">
        <v>0.26367626564705882</v>
      </c>
      <c r="K8" s="216">
        <f t="shared" si="1"/>
        <v>1.3676265647058816E-2</v>
      </c>
      <c r="L8" s="217">
        <f>Februar!S40</f>
        <v>53.280579291531275</v>
      </c>
      <c r="M8" s="217">
        <f>Februar!S41</f>
        <v>3.6356159987162515</v>
      </c>
      <c r="N8" s="217">
        <f>Februar!O5</f>
        <v>863.78512798528698</v>
      </c>
      <c r="O8" s="217">
        <f>Februar!P5</f>
        <v>600</v>
      </c>
      <c r="P8" s="217">
        <f t="shared" ref="P8:P23" si="2">O8-N8</f>
        <v>-263.78512798528698</v>
      </c>
      <c r="Q8" s="218">
        <v>1.6260162601626018E-2</v>
      </c>
    </row>
    <row r="9" spans="2:21" ht="30" customHeight="1">
      <c r="B9" s="209" t="s">
        <v>166</v>
      </c>
      <c r="C9" s="210">
        <f>EINSTELLUNG!C8</f>
        <v>400000</v>
      </c>
      <c r="D9" s="210">
        <f>EINSTELLUNG!C24</f>
        <v>430000</v>
      </c>
      <c r="E9" s="210">
        <f>D9-C9</f>
        <v>30000</v>
      </c>
      <c r="F9" s="210">
        <f>EINSTELLUNG!D8</f>
        <v>100000</v>
      </c>
      <c r="G9" s="210">
        <v>114609.03419999999</v>
      </c>
      <c r="H9" s="210">
        <f t="shared" si="0"/>
        <v>14609.034199999995</v>
      </c>
      <c r="I9" s="211">
        <f>EINSTELLUNG!E8</f>
        <v>0.25</v>
      </c>
      <c r="J9" s="211">
        <v>0.26653263767441859</v>
      </c>
      <c r="K9" s="211">
        <f t="shared" si="1"/>
        <v>1.6532637674418593E-2</v>
      </c>
      <c r="L9" s="212">
        <f>Marz!S40</f>
        <v>48.690232739312492</v>
      </c>
      <c r="M9" s="212">
        <f>Marz!S41</f>
        <v>3.2837598824187495</v>
      </c>
      <c r="N9" s="212">
        <f>Marz!O5</f>
        <v>882.56627527832359</v>
      </c>
      <c r="O9" s="212">
        <f>Marz!P5</f>
        <v>600</v>
      </c>
      <c r="P9" s="212">
        <f t="shared" si="2"/>
        <v>-282.56627527832359</v>
      </c>
      <c r="Q9" s="213">
        <v>1.6129032258064516E-2</v>
      </c>
    </row>
    <row r="10" spans="2:21" ht="30" customHeight="1">
      <c r="B10" s="219" t="s">
        <v>167</v>
      </c>
      <c r="C10" s="220">
        <f>SUM(C7:C9)</f>
        <v>1250000</v>
      </c>
      <c r="D10" s="220">
        <f>SUM(D7:D9)</f>
        <v>1305000</v>
      </c>
      <c r="E10" s="220">
        <f>D10-C10</f>
        <v>55000</v>
      </c>
      <c r="F10" s="220">
        <f>SUM(F7:F9)</f>
        <v>300000</v>
      </c>
      <c r="G10" s="220">
        <f>SUM(G7:G9)</f>
        <v>318347.6679</v>
      </c>
      <c r="H10" s="220">
        <f t="shared" si="0"/>
        <v>18347.6679</v>
      </c>
      <c r="I10" s="221">
        <f>AVERAGE(I7:I9)</f>
        <v>0.24074074074074073</v>
      </c>
      <c r="J10" s="221">
        <f>AVERAGE(J7:J9)</f>
        <v>0.24464461281086283</v>
      </c>
      <c r="K10" s="221">
        <f t="shared" si="1"/>
        <v>3.9038720701221052E-3</v>
      </c>
      <c r="L10" s="222">
        <f>AVERAGE(L7:L9)</f>
        <v>57.94416422265116</v>
      </c>
      <c r="M10" s="222">
        <f>AVERAGE(M7:M9)</f>
        <v>3.8501539888792085</v>
      </c>
      <c r="N10" s="222">
        <f>SUM(N7:N9)</f>
        <v>2472.3022876453783</v>
      </c>
      <c r="O10" s="222">
        <f>SUM(O7:O9)</f>
        <v>1800</v>
      </c>
      <c r="P10" s="222">
        <f t="shared" si="2"/>
        <v>-672.30228764537833</v>
      </c>
      <c r="Q10" s="223">
        <v>7.0175438596491224E-2</v>
      </c>
    </row>
    <row r="11" spans="2:21" ht="30" customHeight="1">
      <c r="B11" s="209" t="s">
        <v>168</v>
      </c>
      <c r="C11" s="210">
        <f>EINSTELLUNG!C9</f>
        <v>400000</v>
      </c>
      <c r="D11" s="210">
        <f>EINSTELLUNG!C25</f>
        <v>300000</v>
      </c>
      <c r="E11" s="210">
        <f t="shared" ref="E11:E21" si="3">D11-C11</f>
        <v>-100000</v>
      </c>
      <c r="F11" s="210">
        <f>EINSTELLUNG!D9</f>
        <v>100000</v>
      </c>
      <c r="G11" s="210">
        <v>115005.21</v>
      </c>
      <c r="H11" s="210">
        <f t="shared" si="0"/>
        <v>15005.210000000006</v>
      </c>
      <c r="I11" s="211">
        <f>EINSTELLUNG!E9</f>
        <v>0.25</v>
      </c>
      <c r="J11" s="211">
        <v>0.38335070000000004</v>
      </c>
      <c r="K11" s="211">
        <f t="shared" si="1"/>
        <v>0.13335070000000004</v>
      </c>
      <c r="L11" s="212">
        <f>April!S40</f>
        <v>35.002280981977329</v>
      </c>
      <c r="M11" s="212">
        <f>April!S41</f>
        <v>2.9168567484981107</v>
      </c>
      <c r="N11" s="212">
        <f>April!O5</f>
        <v>884.65264052585962</v>
      </c>
      <c r="O11" s="212">
        <f>April!P5</f>
        <v>600</v>
      </c>
      <c r="P11" s="212">
        <f t="shared" si="2"/>
        <v>-284.65264052585962</v>
      </c>
      <c r="Q11" s="213">
        <v>1.6129032258064516E-2</v>
      </c>
    </row>
    <row r="12" spans="2:21" ht="30" customHeight="1">
      <c r="B12" s="214" t="s">
        <v>169</v>
      </c>
      <c r="C12" s="215">
        <f>EINSTELLUNG!C10</f>
        <v>400000</v>
      </c>
      <c r="D12" s="215">
        <f>EINSTELLUNG!C26</f>
        <v>420000</v>
      </c>
      <c r="E12" s="215">
        <f t="shared" si="3"/>
        <v>20000</v>
      </c>
      <c r="F12" s="215">
        <f>EINSTELLUNG!D10</f>
        <v>100000</v>
      </c>
      <c r="G12" s="215">
        <v>156533.9871</v>
      </c>
      <c r="H12" s="215">
        <f t="shared" si="0"/>
        <v>56533.987099999998</v>
      </c>
      <c r="I12" s="216">
        <f>EINSTELLUNG!E10</f>
        <v>0.25</v>
      </c>
      <c r="J12" s="216">
        <v>0.37269996928571431</v>
      </c>
      <c r="K12" s="216">
        <f t="shared" si="1"/>
        <v>0.12269996928571431</v>
      </c>
      <c r="L12" s="217">
        <f>Mai!S40</f>
        <v>51.813918945759475</v>
      </c>
      <c r="M12" s="217">
        <f>Mai!S41</f>
        <v>3.8243606840917708</v>
      </c>
      <c r="N12" s="217">
        <f>Mai!O5</f>
        <v>903.43378781889612</v>
      </c>
      <c r="O12" s="217">
        <f>Mai!P5</f>
        <v>600</v>
      </c>
      <c r="P12" s="217">
        <f t="shared" si="2"/>
        <v>-303.43378781889612</v>
      </c>
      <c r="Q12" s="218">
        <v>3.2000000000000001E-2</v>
      </c>
    </row>
    <row r="13" spans="2:21" ht="30" customHeight="1">
      <c r="B13" s="209" t="s">
        <v>170</v>
      </c>
      <c r="C13" s="210">
        <f>EINSTELLUNG!C11</f>
        <v>400000</v>
      </c>
      <c r="D13" s="210">
        <f>EINSTELLUNG!C27</f>
        <v>435000</v>
      </c>
      <c r="E13" s="210">
        <f t="shared" si="3"/>
        <v>35000</v>
      </c>
      <c r="F13" s="210">
        <f>EINSTELLUNG!D11</f>
        <v>100000</v>
      </c>
      <c r="G13" s="210">
        <v>154631.76670000001</v>
      </c>
      <c r="H13" s="210">
        <f t="shared" si="0"/>
        <v>54631.766700000007</v>
      </c>
      <c r="I13" s="211">
        <f>EINSTELLUNG!E11</f>
        <v>0.25</v>
      </c>
      <c r="J13" s="211">
        <v>0.35547532574712648</v>
      </c>
      <c r="K13" s="211">
        <f t="shared" si="1"/>
        <v>0.10547532574712648</v>
      </c>
      <c r="L13" s="212">
        <f>Juni!S40</f>
        <v>4350</v>
      </c>
      <c r="M13" s="212">
        <f>Juni!S41</f>
        <v>310</v>
      </c>
      <c r="N13" s="212">
        <f>Juni!O5</f>
        <v>878.39161475064532</v>
      </c>
      <c r="O13" s="212">
        <f>Juni!P5</f>
        <v>600</v>
      </c>
      <c r="P13" s="212">
        <f t="shared" si="2"/>
        <v>-278.39161475064532</v>
      </c>
      <c r="Q13" s="213">
        <v>1.6260162601626018E-2</v>
      </c>
    </row>
    <row r="14" spans="2:21" ht="30" customHeight="1">
      <c r="B14" s="219" t="s">
        <v>171</v>
      </c>
      <c r="C14" s="220">
        <f>SUM(C11:C13)</f>
        <v>1200000</v>
      </c>
      <c r="D14" s="220">
        <f>SUM(D11:D13)</f>
        <v>1155000</v>
      </c>
      <c r="E14" s="220">
        <f t="shared" si="3"/>
        <v>-45000</v>
      </c>
      <c r="F14" s="220">
        <f>SUM(F11:F13)</f>
        <v>300000</v>
      </c>
      <c r="G14" s="220">
        <f>SUM(G11:G13)</f>
        <v>426170.96380000003</v>
      </c>
      <c r="H14" s="220">
        <f t="shared" si="0"/>
        <v>126170.96380000003</v>
      </c>
      <c r="I14" s="221">
        <f>AVERAGE(I11:I13)</f>
        <v>0.25</v>
      </c>
      <c r="J14" s="221">
        <f>AVERAGE(J11:J13)</f>
        <v>0.37050866501094698</v>
      </c>
      <c r="K14" s="221">
        <f t="shared" si="1"/>
        <v>0.12050866501094698</v>
      </c>
      <c r="L14" s="222">
        <f>AVERAGE(L11:L13)</f>
        <v>1478.9387333092457</v>
      </c>
      <c r="M14" s="222">
        <f>AVERAGE(M11:M13)</f>
        <v>105.5804058108633</v>
      </c>
      <c r="N14" s="222">
        <f>SUM(N11:N13)</f>
        <v>2666.4780430954011</v>
      </c>
      <c r="O14" s="222">
        <f>SUM(O11:O13)</f>
        <v>1800</v>
      </c>
      <c r="P14" s="222">
        <f t="shared" si="2"/>
        <v>-866.47804309540106</v>
      </c>
      <c r="Q14" s="223">
        <v>6.5040650406504072E-2</v>
      </c>
    </row>
    <row r="15" spans="2:21" ht="30" customHeight="1">
      <c r="B15" s="209" t="s">
        <v>172</v>
      </c>
      <c r="C15" s="210">
        <f>EINSTELLUNG!C12</f>
        <v>400000</v>
      </c>
      <c r="D15" s="210">
        <f>EINSTELLUNG!C28</f>
        <v>435000</v>
      </c>
      <c r="E15" s="210">
        <f t="shared" si="3"/>
        <v>35000</v>
      </c>
      <c r="F15" s="210">
        <f>EINSTELLUNG!D12</f>
        <v>100000</v>
      </c>
      <c r="G15" s="210">
        <v>151701.30970000001</v>
      </c>
      <c r="H15" s="210">
        <f t="shared" si="0"/>
        <v>51701.309700000013</v>
      </c>
      <c r="I15" s="211">
        <f>EINSTELLUNG!E12</f>
        <v>0.25</v>
      </c>
      <c r="J15" s="211">
        <v>0.34873864298850576</v>
      </c>
      <c r="K15" s="211">
        <f t="shared" si="1"/>
        <v>9.8738642988505765E-2</v>
      </c>
      <c r="L15" s="212">
        <f>Juli!S40</f>
        <v>52.437373502370527</v>
      </c>
      <c r="M15" s="212">
        <f>Juli!S41</f>
        <v>3.7369162725827274</v>
      </c>
      <c r="N15" s="212">
        <f>Juli!O5</f>
        <v>857.52313719376957</v>
      </c>
      <c r="O15" s="212">
        <f>Juli!P5</f>
        <v>600</v>
      </c>
      <c r="P15" s="212">
        <f t="shared" si="2"/>
        <v>-257.52313719376957</v>
      </c>
      <c r="Q15" s="213">
        <v>1.6528925619834711E-2</v>
      </c>
    </row>
    <row r="16" spans="2:21" ht="30" customHeight="1">
      <c r="B16" s="214" t="s">
        <v>173</v>
      </c>
      <c r="C16" s="215">
        <f>EINSTELLUNG!C13</f>
        <v>400000</v>
      </c>
      <c r="D16" s="215">
        <f>EINSTELLUNG!C29</f>
        <v>435000</v>
      </c>
      <c r="E16" s="215">
        <f t="shared" si="3"/>
        <v>35000</v>
      </c>
      <c r="F16" s="215">
        <f>EINSTELLUNG!D13</f>
        <v>100000</v>
      </c>
      <c r="G16" s="215">
        <v>149362.6</v>
      </c>
      <c r="H16" s="215">
        <f t="shared" si="0"/>
        <v>49362.600000000006</v>
      </c>
      <c r="I16" s="216">
        <f>EINSTELLUNG!E13</f>
        <v>0.25</v>
      </c>
      <c r="J16" s="216">
        <v>0.34336229885057473</v>
      </c>
      <c r="K16" s="216">
        <f t="shared" si="1"/>
        <v>9.3362298850574732E-2</v>
      </c>
      <c r="L16" s="217">
        <f>August!S40</f>
        <v>54.81972501921841</v>
      </c>
      <c r="M16" s="217">
        <f>August!S41</f>
        <v>3.9066930473465993</v>
      </c>
      <c r="N16" s="217">
        <f>August!O5</f>
        <v>840.82835514826911</v>
      </c>
      <c r="O16" s="217">
        <f>August!P5</f>
        <v>620</v>
      </c>
      <c r="P16" s="217">
        <f t="shared" si="2"/>
        <v>-220.82835514826911</v>
      </c>
      <c r="Q16" s="218">
        <v>0</v>
      </c>
    </row>
    <row r="17" spans="2:17" ht="30" customHeight="1">
      <c r="B17" s="209" t="s">
        <v>174</v>
      </c>
      <c r="C17" s="210">
        <f>EINSTELLUNG!C14</f>
        <v>400000</v>
      </c>
      <c r="D17" s="210">
        <f>EINSTELLUNG!C30</f>
        <v>450000</v>
      </c>
      <c r="E17" s="210">
        <f t="shared" si="3"/>
        <v>50000</v>
      </c>
      <c r="F17" s="210">
        <f>EINSTELLUNG!D14</f>
        <v>100000</v>
      </c>
      <c r="G17" s="210">
        <v>147667.9333</v>
      </c>
      <c r="H17" s="210">
        <f t="shared" si="0"/>
        <v>47667.933300000004</v>
      </c>
      <c r="I17" s="211">
        <f>EINSTELLUNG!E14</f>
        <v>0.25</v>
      </c>
      <c r="J17" s="211">
        <v>0.3281509628888889</v>
      </c>
      <c r="K17" s="211">
        <f t="shared" si="1"/>
        <v>7.8150962888888897E-2</v>
      </c>
      <c r="L17" s="212">
        <f>September!S40</f>
        <v>57.851696533140675</v>
      </c>
      <c r="M17" s="212">
        <f>September!S41</f>
        <v>3.9853390945052465</v>
      </c>
      <c r="N17" s="212">
        <f>September!O5</f>
        <v>836.65465963689394</v>
      </c>
      <c r="O17" s="212">
        <f>September!P5</f>
        <v>600</v>
      </c>
      <c r="P17" s="212">
        <f t="shared" si="2"/>
        <v>-236.65465963689394</v>
      </c>
      <c r="Q17" s="213">
        <v>1.680672268907563E-2</v>
      </c>
    </row>
    <row r="18" spans="2:17" ht="30" customHeight="1">
      <c r="B18" s="219" t="s">
        <v>175</v>
      </c>
      <c r="C18" s="220">
        <f>SUM(C15:C17)</f>
        <v>1200000</v>
      </c>
      <c r="D18" s="220">
        <f>SUM(D15:D17)</f>
        <v>1320000</v>
      </c>
      <c r="E18" s="220">
        <f>D18-C18</f>
        <v>120000</v>
      </c>
      <c r="F18" s="220">
        <f>SUM(F15:F17)</f>
        <v>300000</v>
      </c>
      <c r="G18" s="220">
        <f>SUM(G15:G17)</f>
        <v>448731.84299999999</v>
      </c>
      <c r="H18" s="220">
        <f t="shared" si="0"/>
        <v>148731.84299999999</v>
      </c>
      <c r="I18" s="221">
        <f>AVERAGE(I15:I17)</f>
        <v>0.25</v>
      </c>
      <c r="J18" s="221">
        <f>AVERAGE(J15:J17)</f>
        <v>0.34008396824265646</v>
      </c>
      <c r="K18" s="221">
        <f t="shared" si="1"/>
        <v>9.0083968242656465E-2</v>
      </c>
      <c r="L18" s="222">
        <f>AVERAGE(L15:L17)</f>
        <v>55.036265018243206</v>
      </c>
      <c r="M18" s="222">
        <f>AVERAGE(M15:M17)</f>
        <v>3.8763161381448579</v>
      </c>
      <c r="N18" s="222">
        <f>SUM(N15:N17)</f>
        <v>2535.0061519789324</v>
      </c>
      <c r="O18" s="222">
        <f>SUM(O15:O17)</f>
        <v>1820</v>
      </c>
      <c r="P18" s="222">
        <f t="shared" si="2"/>
        <v>-715.00615197893239</v>
      </c>
      <c r="Q18" s="223">
        <v>3.3333333333333333E-2</v>
      </c>
    </row>
    <row r="19" spans="2:17" ht="30" customHeight="1">
      <c r="B19" s="209" t="s">
        <v>176</v>
      </c>
      <c r="C19" s="210">
        <f>EINSTELLUNG!C15</f>
        <v>400000</v>
      </c>
      <c r="D19" s="210">
        <f>EINSTELLUNG!C31</f>
        <v>401000</v>
      </c>
      <c r="E19" s="210">
        <f>D19-C19</f>
        <v>1000</v>
      </c>
      <c r="F19" s="210">
        <f>EINSTELLUNG!D15</f>
        <v>100000</v>
      </c>
      <c r="G19" s="210">
        <v>144350.0839</v>
      </c>
      <c r="H19" s="210">
        <f t="shared" si="0"/>
        <v>44350.083899999998</v>
      </c>
      <c r="I19" s="211">
        <f>EINSTELLUNG!E15</f>
        <v>0.25</v>
      </c>
      <c r="J19" s="211">
        <v>0.35997527157107229</v>
      </c>
      <c r="K19" s="211">
        <f t="shared" si="1"/>
        <v>0.10997527157107229</v>
      </c>
      <c r="L19" s="212">
        <f>Oktober!S40</f>
        <v>50.819640967474164</v>
      </c>
      <c r="M19" s="212">
        <f>Oktober!S41</f>
        <v>3.928700423919449</v>
      </c>
      <c r="N19" s="212">
        <f>Oktober!O5</f>
        <v>819.95987759139359</v>
      </c>
      <c r="O19" s="212">
        <f>Oktober!P5</f>
        <v>600</v>
      </c>
      <c r="P19" s="212">
        <f t="shared" si="2"/>
        <v>-219.95987759139359</v>
      </c>
      <c r="Q19" s="213">
        <v>1.7094017094017096E-2</v>
      </c>
    </row>
    <row r="20" spans="2:17" ht="30" customHeight="1">
      <c r="B20" s="214" t="s">
        <v>177</v>
      </c>
      <c r="C20" s="215">
        <f>EINSTELLUNG!C16</f>
        <v>400000</v>
      </c>
      <c r="D20" s="215">
        <f>EINSTELLUNG!C32</f>
        <v>398000</v>
      </c>
      <c r="E20" s="215">
        <f>D20-C20</f>
        <v>-2000</v>
      </c>
      <c r="F20" s="215">
        <f>EINSTELLUNG!D16</f>
        <v>100000</v>
      </c>
      <c r="G20" s="215">
        <v>140816.6</v>
      </c>
      <c r="H20" s="215">
        <f t="shared" si="0"/>
        <v>40816.600000000006</v>
      </c>
      <c r="I20" s="216">
        <f>EINSTELLUNG!E16</f>
        <v>0.25</v>
      </c>
      <c r="J20" s="216">
        <v>0.35381055276381912</v>
      </c>
      <c r="K20" s="216">
        <f t="shared" si="1"/>
        <v>0.10381055276381912</v>
      </c>
      <c r="L20" s="217">
        <f>November!S40</f>
        <v>55.070117542876524</v>
      </c>
      <c r="M20" s="217">
        <f>November!S41</f>
        <v>4.2893810146461613</v>
      </c>
      <c r="N20" s="217">
        <f>November!O5</f>
        <v>827.63175720189815</v>
      </c>
      <c r="O20" s="217">
        <f>November!P5</f>
        <v>600</v>
      </c>
      <c r="P20" s="217">
        <f t="shared" si="2"/>
        <v>-227.63175720189815</v>
      </c>
      <c r="Q20" s="218">
        <v>0</v>
      </c>
    </row>
    <row r="21" spans="2:17" ht="30" customHeight="1">
      <c r="B21" s="209" t="s">
        <v>178</v>
      </c>
      <c r="C21" s="210">
        <f>EINSTELLUNG!C17</f>
        <v>400000</v>
      </c>
      <c r="D21" s="210">
        <f>EINSTELLUNG!C33</f>
        <v>390000</v>
      </c>
      <c r="E21" s="210">
        <f t="shared" si="3"/>
        <v>-10000</v>
      </c>
      <c r="F21" s="210">
        <f>EINSTELLUNG!D17</f>
        <v>100000</v>
      </c>
      <c r="G21" s="210">
        <v>141752.0839</v>
      </c>
      <c r="H21" s="210">
        <f t="shared" si="0"/>
        <v>41752.083899999998</v>
      </c>
      <c r="I21" s="211">
        <f>EINSTELLUNG!E17</f>
        <v>0.25</v>
      </c>
      <c r="J21" s="211">
        <v>0.3634668817948718</v>
      </c>
      <c r="K21" s="211">
        <f t="shared" si="1"/>
        <v>0.1134668817948718</v>
      </c>
      <c r="L21" s="212">
        <f>Dezember!S40</f>
        <v>51.470539714800424</v>
      </c>
      <c r="M21" s="212">
        <f>Dezember!S41</f>
        <v>4.0912480286123412</v>
      </c>
      <c r="N21" s="212">
        <f>Dezember!O5</f>
        <v>810.93697515639758</v>
      </c>
      <c r="O21" s="212">
        <f>Dezember!P5</f>
        <v>600</v>
      </c>
      <c r="P21" s="212">
        <f t="shared" si="2"/>
        <v>-210.93697515639758</v>
      </c>
      <c r="Q21" s="213">
        <v>1.7391304347826087E-2</v>
      </c>
    </row>
    <row r="22" spans="2:17" ht="30" customHeight="1">
      <c r="B22" s="219" t="s">
        <v>179</v>
      </c>
      <c r="C22" s="220">
        <f>SUM(C19:C21)</f>
        <v>1200000</v>
      </c>
      <c r="D22" s="220">
        <f>SUM(D19:D21)</f>
        <v>1189000</v>
      </c>
      <c r="E22" s="220">
        <f>D22-C22</f>
        <v>-11000</v>
      </c>
      <c r="F22" s="220">
        <f>SUM(F19:F21)</f>
        <v>300000</v>
      </c>
      <c r="G22" s="220">
        <f>SUM(G19:G21)</f>
        <v>426918.76780000003</v>
      </c>
      <c r="H22" s="220">
        <f t="shared" si="0"/>
        <v>126918.76780000003</v>
      </c>
      <c r="I22" s="221">
        <f>AVERAGE(I19:I21)</f>
        <v>0.25</v>
      </c>
      <c r="J22" s="221">
        <f>AVERAGE(J19:J21)</f>
        <v>0.35908423537658773</v>
      </c>
      <c r="K22" s="221">
        <f t="shared" si="1"/>
        <v>0.10908423537658773</v>
      </c>
      <c r="L22" s="222">
        <f>AVERAGE(L19:L21)</f>
        <v>52.45343274171703</v>
      </c>
      <c r="M22" s="222">
        <f>AVERAGE(M19:M21)</f>
        <v>4.1031098223926508</v>
      </c>
      <c r="N22" s="222">
        <f>SUM(N19:N21)</f>
        <v>2458.5286099496893</v>
      </c>
      <c r="O22" s="222">
        <f>SUM(O19:O21)</f>
        <v>1800</v>
      </c>
      <c r="P22" s="222">
        <f>O22-N22</f>
        <v>-658.52860994968933</v>
      </c>
      <c r="Q22" s="223">
        <v>3.4482758620689655E-2</v>
      </c>
    </row>
    <row r="23" spans="2:17" ht="32" customHeight="1" thickBot="1">
      <c r="B23" s="224" t="str">
        <f xml:space="preserve"> "GESAMT " &amp; EINSTELLUNG!C35</f>
        <v>GESAMT 2026</v>
      </c>
      <c r="C23" s="225">
        <f>SUM(C10,C14,C18,C22)</f>
        <v>4850000</v>
      </c>
      <c r="D23" s="225">
        <f>SUM(D10,D14,D18,D22)</f>
        <v>4969000</v>
      </c>
      <c r="E23" s="225">
        <f>D23-C23</f>
        <v>119000</v>
      </c>
      <c r="F23" s="225">
        <f>SUM(F10,F14,F18,F22)</f>
        <v>1200000</v>
      </c>
      <c r="G23" s="225">
        <f>SUM(G10,G14,G18,G22)</f>
        <v>1620169.2425000002</v>
      </c>
      <c r="H23" s="225">
        <f t="shared" si="0"/>
        <v>420169.24250000017</v>
      </c>
      <c r="I23" s="226">
        <f>AVERAGE(I10,I14,I18,I22)</f>
        <v>0.24768518518518517</v>
      </c>
      <c r="J23" s="226">
        <f>AVERAGE(J10,J14,J18,J22)</f>
        <v>0.3285803703602635</v>
      </c>
      <c r="K23" s="226">
        <f t="shared" si="1"/>
        <v>8.0895185175078321E-2</v>
      </c>
      <c r="L23" s="227">
        <f>AVERAGE(L22,L18,L14,L10)</f>
        <v>411.09314882296428</v>
      </c>
      <c r="M23" s="227">
        <f>AVERAGE(M10,M14,M18,M22)</f>
        <v>29.352496440070006</v>
      </c>
      <c r="N23" s="227">
        <f>SUM(N10,N14,N18,N22)</f>
        <v>10132.315092669402</v>
      </c>
      <c r="O23" s="227">
        <f>SUM(O10,O14,O18,O22)</f>
        <v>7220</v>
      </c>
      <c r="P23" s="227">
        <f t="shared" si="2"/>
        <v>-2912.3150926694016</v>
      </c>
      <c r="Q23" s="228">
        <v>0.1415929203539823</v>
      </c>
    </row>
    <row r="24" spans="2:17">
      <c r="B24" s="206" t="s">
        <v>393</v>
      </c>
      <c r="O24" s="229"/>
    </row>
    <row r="25" spans="2:17">
      <c r="B25" s="206"/>
      <c r="C25" s="206"/>
      <c r="D25" s="206"/>
      <c r="E25" s="206"/>
      <c r="F25" s="206"/>
      <c r="G25" s="206"/>
      <c r="H25" s="206"/>
    </row>
    <row r="26" spans="2:17">
      <c r="B26" s="230"/>
      <c r="C26" s="230"/>
      <c r="D26" s="230"/>
      <c r="E26" s="230"/>
    </row>
    <row r="27" spans="2:17" ht="14.5" thickBot="1">
      <c r="B27" s="230"/>
      <c r="C27" s="230"/>
      <c r="D27" s="230"/>
      <c r="E27" s="230"/>
    </row>
    <row r="28" spans="2:17" ht="28" customHeight="1">
      <c r="B28" s="405" t="str">
        <f xml:space="preserve"> "DURCHRECHNUNGSSTUNDEN - " &amp; EINSTELLUNG!C35</f>
        <v>DURCHRECHNUNGSSTUNDEN - 2026</v>
      </c>
      <c r="C28" s="406"/>
      <c r="D28" s="406"/>
      <c r="E28" s="406"/>
      <c r="F28" s="406"/>
      <c r="G28" s="406"/>
      <c r="H28" s="406"/>
      <c r="I28" s="406"/>
      <c r="J28" s="406"/>
      <c r="K28" s="406"/>
      <c r="L28" s="406"/>
      <c r="M28" s="406"/>
      <c r="N28" s="406"/>
      <c r="O28" s="406"/>
      <c r="P28" s="406"/>
      <c r="Q28" s="407"/>
    </row>
    <row r="29" spans="2:17" ht="48" customHeight="1" thickBot="1">
      <c r="B29" s="408" t="s">
        <v>350</v>
      </c>
      <c r="C29" s="409"/>
      <c r="D29" s="409"/>
      <c r="E29" s="409"/>
      <c r="F29" s="409"/>
      <c r="G29" s="409"/>
      <c r="H29" s="409"/>
      <c r="I29" s="409"/>
      <c r="J29" s="409"/>
      <c r="K29" s="409"/>
      <c r="L29" s="409"/>
      <c r="M29" s="409"/>
      <c r="N29" s="409"/>
      <c r="O29" s="409"/>
      <c r="P29" s="409"/>
      <c r="Q29" s="410"/>
    </row>
    <row r="30" spans="2:17" ht="40" customHeight="1" thickBot="1">
      <c r="B30" s="411" t="s">
        <v>342</v>
      </c>
      <c r="C30" s="412"/>
      <c r="D30" s="412"/>
      <c r="E30" s="21">
        <v>1200</v>
      </c>
      <c r="F30" s="412" t="s">
        <v>343</v>
      </c>
      <c r="G30" s="412"/>
      <c r="H30" s="412"/>
      <c r="I30" s="21">
        <v>2000</v>
      </c>
      <c r="J30" s="428"/>
      <c r="K30" s="428"/>
      <c r="L30" s="428"/>
      <c r="M30" s="428"/>
      <c r="N30" s="428"/>
      <c r="O30" s="428"/>
      <c r="P30" s="428"/>
      <c r="Q30" s="429"/>
    </row>
    <row r="31" spans="2:17" s="235" customFormat="1" ht="30" customHeight="1">
      <c r="B31" s="231" t="s">
        <v>329</v>
      </c>
      <c r="C31" s="232" t="s">
        <v>336</v>
      </c>
      <c r="D31" s="232" t="s">
        <v>344</v>
      </c>
      <c r="E31" s="233" t="s">
        <v>337</v>
      </c>
      <c r="F31" s="232" t="s">
        <v>95</v>
      </c>
      <c r="G31" s="232" t="s">
        <v>338</v>
      </c>
      <c r="H31" s="232" t="s">
        <v>339</v>
      </c>
      <c r="I31" s="234" t="s">
        <v>340</v>
      </c>
      <c r="J31" s="416" t="s">
        <v>341</v>
      </c>
      <c r="K31" s="417"/>
      <c r="L31" s="417"/>
      <c r="M31" s="417"/>
      <c r="N31" s="417"/>
      <c r="O31" s="417"/>
      <c r="P31" s="417"/>
      <c r="Q31" s="418"/>
    </row>
    <row r="32" spans="2:17" ht="42" customHeight="1">
      <c r="B32" s="236" t="s">
        <v>345</v>
      </c>
      <c r="C32" s="237" t="s">
        <v>168</v>
      </c>
      <c r="D32" s="238">
        <f>Februar!Q12+Marz!Q13+April!Q13</f>
        <v>25378.85</v>
      </c>
      <c r="E32" s="238">
        <f>EINSTELLUNG!L7+EINSTELLUNG!L8+EINSTELLUNG!L9</f>
        <v>27900</v>
      </c>
      <c r="F32" s="238">
        <f>April!Q15</f>
        <v>-729.13000000000102</v>
      </c>
      <c r="G32" s="239">
        <f>April!Q42</f>
        <v>11.94360316253846</v>
      </c>
      <c r="H32" s="238">
        <f>MAX(0,-F32)</f>
        <v>729.13000000000102</v>
      </c>
      <c r="I32" s="240">
        <f>IF(OR(G32=0,H32=0),"",H32*G32*3/2)</f>
        <v>13062.659060852518</v>
      </c>
      <c r="J32" s="419" t="str">
        <f>IF(F32&lt;0,"ACHTUNG: Überstunden",IF(F32&gt;0,"Reserve möglich","OK"))</f>
        <v>ACHTUNG: Überstunden</v>
      </c>
      <c r="K32" s="420"/>
      <c r="L32" s="420"/>
      <c r="M32" s="420"/>
      <c r="N32" s="420"/>
      <c r="O32" s="420"/>
      <c r="P32" s="420"/>
      <c r="Q32" s="421"/>
    </row>
    <row r="33" spans="2:17" ht="42" customHeight="1">
      <c r="B33" s="241" t="s">
        <v>330</v>
      </c>
      <c r="C33" s="242" t="s">
        <v>172</v>
      </c>
      <c r="D33" s="243">
        <f>Mai!Q12+Juni!Q13+Juli!Q13</f>
        <v>24590.22</v>
      </c>
      <c r="E33" s="243">
        <f>EINSTELLUNG!L10+EINSTELLUNG!L11+EINSTELLUNG!L12</f>
        <v>27900</v>
      </c>
      <c r="F33" s="243">
        <f>Juli!Q15</f>
        <v>-1004.3899999999994</v>
      </c>
      <c r="G33" s="244">
        <f>Juli!Q42</f>
        <v>16.375205693848407</v>
      </c>
      <c r="H33" s="243">
        <f>MAX(0,-F33)</f>
        <v>1004.3899999999994</v>
      </c>
      <c r="I33" s="245">
        <f>IF(OR(G33=0,H33=0),"",H33*G33*3/2)</f>
        <v>24670.639270266591</v>
      </c>
      <c r="J33" s="422" t="str">
        <f>IF(F33&lt;0,"ACHTUNG: Überstunden",IF(F33&gt;0,"Reserve möglich","OK"))</f>
        <v>ACHTUNG: Überstunden</v>
      </c>
      <c r="K33" s="423"/>
      <c r="L33" s="423"/>
      <c r="M33" s="423"/>
      <c r="N33" s="423"/>
      <c r="O33" s="423"/>
      <c r="P33" s="423"/>
      <c r="Q33" s="424"/>
    </row>
    <row r="34" spans="2:17" ht="42" customHeight="1">
      <c r="B34" s="236" t="s">
        <v>331</v>
      </c>
      <c r="C34" s="237" t="s">
        <v>176</v>
      </c>
      <c r="D34" s="238">
        <f>August!Q12+September!Q13+Oktober!Q13</f>
        <v>23604.26</v>
      </c>
      <c r="E34" s="238">
        <f>EINSTELLUNG!L13+EINSTELLUNG!L14+EINSTELLUNG!L15</f>
        <v>27900</v>
      </c>
      <c r="F34" s="238">
        <f>Oktober!Q15</f>
        <v>-1409.3500000000004</v>
      </c>
      <c r="G34" s="239">
        <f>Oktober!Q42</f>
        <v>16.422175612462066</v>
      </c>
      <c r="H34" s="238">
        <f>MAX(0,-F34)</f>
        <v>1409.3500000000004</v>
      </c>
      <c r="I34" s="240">
        <f>IF(OR(G34=0,H34=0),"",H34*G34*3/2)</f>
        <v>34716.889799135126</v>
      </c>
      <c r="J34" s="419" t="str">
        <f>IF(F34&lt;0,"ACHTUNG: Überstunden",IF(F34&gt;0,"Reserve möglich","OK"))</f>
        <v>ACHTUNG: Überstunden</v>
      </c>
      <c r="K34" s="420"/>
      <c r="L34" s="420"/>
      <c r="M34" s="420"/>
      <c r="N34" s="420"/>
      <c r="O34" s="420"/>
      <c r="P34" s="420"/>
      <c r="Q34" s="421"/>
    </row>
    <row r="35" spans="2:17" ht="42" customHeight="1" thickBot="1">
      <c r="B35" s="246" t="s">
        <v>346</v>
      </c>
      <c r="C35" s="247" t="s">
        <v>347</v>
      </c>
      <c r="D35" s="248">
        <f>November!Q12+Dezember!Q13+E30</f>
        <v>16004.3</v>
      </c>
      <c r="E35" s="248">
        <f>EINSTELLUNG!L16+EINSTELLUNG!L17+I30</f>
        <v>20600</v>
      </c>
      <c r="F35" s="248">
        <f>D35-E35</f>
        <v>-4595.7000000000007</v>
      </c>
      <c r="G35" s="249">
        <f>Dezember!Q42</f>
        <v>16.293946388970479</v>
      </c>
      <c r="H35" s="248">
        <f>MAX(0,-F35)</f>
        <v>4595.7000000000007</v>
      </c>
      <c r="I35" s="250">
        <f>IF(OR(G35=0,H35=0),"",H35*G35*3/2)</f>
        <v>112323.13412968745</v>
      </c>
      <c r="J35" s="425" t="str">
        <f>IF(F35&lt;0,"ACHTUNG: Überstunden",IF(F35&gt;0,"Reserve möglich","OK"))</f>
        <v>ACHTUNG: Überstunden</v>
      </c>
      <c r="K35" s="426"/>
      <c r="L35" s="426"/>
      <c r="M35" s="426"/>
      <c r="N35" s="426"/>
      <c r="O35" s="426"/>
      <c r="P35" s="426"/>
      <c r="Q35" s="427"/>
    </row>
    <row r="36" spans="2:17" ht="40" customHeight="1" thickBot="1">
      <c r="B36" s="413" t="s">
        <v>348</v>
      </c>
      <c r="C36" s="414"/>
      <c r="D36" s="414"/>
      <c r="E36" s="414"/>
      <c r="F36" s="414"/>
      <c r="G36" s="414"/>
      <c r="H36" s="414"/>
      <c r="I36" s="414"/>
      <c r="J36" s="414"/>
      <c r="K36" s="414"/>
      <c r="L36" s="414"/>
      <c r="M36" s="414"/>
      <c r="N36" s="414"/>
      <c r="O36" s="414"/>
      <c r="P36" s="414"/>
      <c r="Q36" s="415"/>
    </row>
    <row r="37" spans="2:17">
      <c r="B37" s="251"/>
      <c r="C37" s="251"/>
      <c r="D37" s="251"/>
      <c r="E37" s="251"/>
      <c r="F37" s="251"/>
      <c r="G37" s="251"/>
      <c r="H37" s="251"/>
      <c r="I37" s="251"/>
      <c r="J37" s="251"/>
      <c r="K37" s="251"/>
      <c r="L37" s="251"/>
      <c r="M37" s="251"/>
      <c r="N37" s="251"/>
      <c r="O37" s="251"/>
      <c r="P37" s="251"/>
      <c r="Q37" s="251"/>
    </row>
    <row r="38" spans="2:17" ht="40" customHeight="1">
      <c r="B38" s="251"/>
      <c r="C38" s="251"/>
      <c r="D38" s="251"/>
      <c r="E38" s="251"/>
      <c r="F38" s="251"/>
      <c r="G38" s="251"/>
      <c r="H38" s="251"/>
      <c r="I38" s="251"/>
      <c r="J38" s="251"/>
      <c r="K38" s="251"/>
      <c r="L38" s="251"/>
      <c r="M38" s="251"/>
      <c r="N38" s="251"/>
      <c r="O38" s="251"/>
      <c r="P38" s="251"/>
      <c r="Q38" s="251"/>
    </row>
    <row r="100" spans="26:26">
      <c r="Z100" s="138"/>
    </row>
  </sheetData>
  <sheetProtection algorithmName="SHA-512" hashValue="u2hVZ7JkMHJ83evaZQZbW3zFVxY2GJnc6py6cQNC+Bs8vEYpW21RX698kgbIrJfzh/v+zIdTIDyWQD76t/+l/A==" saltValue="KxZiN5g6fzgaBx5hy0VBsQ==" spinCount="100000" sheet="1" objects="1" scenarios="1" selectLockedCells="1" sort="0"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5"/>
  <sheetViews>
    <sheetView showGridLines="0" showRowColHeaders="0" tabSelected="1" topLeftCell="A68" workbookViewId="0">
      <selection activeCell="G8" sqref="G8"/>
    </sheetView>
  </sheetViews>
  <sheetFormatPr baseColWidth="10" defaultColWidth="10.81640625" defaultRowHeight="15" customHeight="1"/>
  <cols>
    <col min="1" max="1" width="16.6328125" style="252" customWidth="1"/>
    <col min="2" max="2" width="20.6328125" style="252" customWidth="1"/>
    <col min="3" max="4" width="26.6328125" style="252" customWidth="1"/>
    <col min="5" max="5" width="27.6328125" style="252" customWidth="1"/>
    <col min="6" max="6" width="14.26953125" style="252" customWidth="1"/>
    <col min="7" max="7" width="11.81640625" style="252" customWidth="1"/>
    <col min="8" max="8" width="16.26953125" style="252" customWidth="1"/>
    <col min="9" max="9" width="22" style="252" customWidth="1"/>
    <col min="10" max="10" width="15.1796875" style="252" customWidth="1"/>
    <col min="11" max="12" width="37.453125" style="252" customWidth="1"/>
    <col min="13" max="14" width="31.453125" style="252" customWidth="1"/>
    <col min="15" max="15" width="10.81640625" style="252"/>
    <col min="16" max="19" width="2.6328125" style="252" customWidth="1"/>
    <col min="20" max="26" width="10.81640625" style="252" hidden="1" customWidth="1"/>
    <col min="27" max="16384" width="10.81640625" style="252"/>
  </cols>
  <sheetData>
    <row r="1" spans="1:17" ht="28" customHeight="1">
      <c r="A1" s="259" t="s">
        <v>359</v>
      </c>
      <c r="B1" s="259"/>
      <c r="C1" s="259"/>
      <c r="D1" s="259"/>
      <c r="E1" s="259"/>
      <c r="P1" s="252" t="s">
        <v>206</v>
      </c>
      <c r="Q1" s="252" t="s">
        <v>218</v>
      </c>
    </row>
    <row r="2" spans="1:17" ht="18" customHeight="1">
      <c r="A2" s="8" t="s">
        <v>316</v>
      </c>
      <c r="B2" s="8">
        <v>2026</v>
      </c>
      <c r="C2" s="8" t="s">
        <v>317</v>
      </c>
      <c r="D2" s="8" t="s">
        <v>410</v>
      </c>
      <c r="E2" s="8"/>
      <c r="P2" s="252" t="s">
        <v>276</v>
      </c>
      <c r="Q2" s="252">
        <v>2</v>
      </c>
    </row>
    <row r="3" spans="1:17" ht="15" customHeight="1">
      <c r="P3" s="252" t="s">
        <v>313</v>
      </c>
      <c r="Q3" s="252">
        <v>1</v>
      </c>
    </row>
    <row r="4" spans="1:17" ht="22" customHeight="1" thickBot="1">
      <c r="A4" s="258" t="s">
        <v>318</v>
      </c>
      <c r="B4" s="258"/>
      <c r="C4" s="258"/>
      <c r="D4" s="258"/>
      <c r="E4" s="258"/>
      <c r="P4" s="252" t="s">
        <v>168</v>
      </c>
      <c r="Q4" s="252">
        <v>1</v>
      </c>
    </row>
    <row r="5" spans="1:17" ht="24" customHeight="1">
      <c r="A5" s="273" t="s">
        <v>287</v>
      </c>
      <c r="B5" s="275" t="s">
        <v>415</v>
      </c>
      <c r="C5" s="271" t="s">
        <v>416</v>
      </c>
      <c r="D5" s="271"/>
      <c r="E5" s="272"/>
      <c r="P5" s="252" t="s">
        <v>169</v>
      </c>
      <c r="Q5" s="252">
        <v>2</v>
      </c>
    </row>
    <row r="6" spans="1:17" ht="24" customHeight="1" thickBot="1">
      <c r="A6" s="274"/>
      <c r="B6" s="276"/>
      <c r="C6" s="263"/>
      <c r="D6" s="263"/>
      <c r="E6" s="264"/>
      <c r="P6" s="252" t="s">
        <v>170</v>
      </c>
      <c r="Q6" s="252">
        <v>1</v>
      </c>
    </row>
    <row r="7" spans="1:17" ht="15" customHeight="1" thickBot="1">
      <c r="P7" s="252" t="s">
        <v>172</v>
      </c>
      <c r="Q7" s="252">
        <v>1</v>
      </c>
    </row>
    <row r="8" spans="1:17" ht="24" customHeight="1">
      <c r="A8" s="9" t="s">
        <v>212</v>
      </c>
      <c r="B8" s="10" t="s">
        <v>319</v>
      </c>
      <c r="C8" s="10" t="s">
        <v>214</v>
      </c>
      <c r="D8" s="10" t="s">
        <v>320</v>
      </c>
      <c r="E8" s="11" t="s">
        <v>321</v>
      </c>
      <c r="P8" s="252" t="s">
        <v>174</v>
      </c>
      <c r="Q8" s="252">
        <v>1</v>
      </c>
    </row>
    <row r="9" spans="1:17" ht="22" customHeight="1" thickBot="1">
      <c r="A9" s="201">
        <v>11</v>
      </c>
      <c r="B9" s="253">
        <v>0.1415929203539823</v>
      </c>
      <c r="C9" s="202">
        <v>10.049999999999999</v>
      </c>
      <c r="D9" s="203">
        <v>6</v>
      </c>
      <c r="E9" s="204">
        <v>0</v>
      </c>
      <c r="P9" s="252" t="s">
        <v>176</v>
      </c>
      <c r="Q9" s="252">
        <v>1</v>
      </c>
    </row>
    <row r="10" spans="1:17" ht="22" customHeight="1" thickBot="1">
      <c r="A10" s="205" t="s">
        <v>411</v>
      </c>
      <c r="B10" s="256" t="s">
        <v>412</v>
      </c>
      <c r="C10" s="256"/>
      <c r="D10" s="256"/>
      <c r="E10" s="257"/>
      <c r="P10" s="252" t="s">
        <v>178</v>
      </c>
      <c r="Q10" s="252">
        <v>1</v>
      </c>
    </row>
    <row r="11" spans="1:17" ht="22" customHeight="1" thickBot="1">
      <c r="A11" s="270" t="s">
        <v>360</v>
      </c>
      <c r="B11" s="270"/>
      <c r="C11" s="270"/>
      <c r="D11" s="270"/>
      <c r="E11" s="270"/>
    </row>
    <row r="12" spans="1:17" ht="22" customHeight="1">
      <c r="A12" s="9" t="s">
        <v>322</v>
      </c>
      <c r="B12" s="10" t="s">
        <v>323</v>
      </c>
      <c r="C12" s="10" t="s">
        <v>324</v>
      </c>
      <c r="D12" s="277" t="s">
        <v>361</v>
      </c>
      <c r="E12" s="278"/>
    </row>
    <row r="13" spans="1:17" ht="57.25" customHeight="1">
      <c r="A13" s="23">
        <v>1</v>
      </c>
      <c r="B13" s="24" t="s">
        <v>385</v>
      </c>
      <c r="C13" s="24" t="s">
        <v>397</v>
      </c>
      <c r="D13" s="268" t="s">
        <v>386</v>
      </c>
      <c r="E13" s="269"/>
    </row>
    <row r="14" spans="1:17" ht="57.25" customHeight="1">
      <c r="A14" s="23">
        <v>2</v>
      </c>
      <c r="B14" s="24" t="s">
        <v>219</v>
      </c>
      <c r="C14" s="24" t="s">
        <v>362</v>
      </c>
      <c r="D14" s="268" t="s">
        <v>363</v>
      </c>
      <c r="E14" s="269"/>
    </row>
    <row r="15" spans="1:17" ht="73" customHeight="1">
      <c r="A15" s="23">
        <v>3</v>
      </c>
      <c r="B15" s="24" t="s">
        <v>219</v>
      </c>
      <c r="C15" s="24" t="s">
        <v>364</v>
      </c>
      <c r="D15" s="268" t="s">
        <v>363</v>
      </c>
      <c r="E15" s="269"/>
    </row>
    <row r="16" spans="1:17" ht="57.25" customHeight="1">
      <c r="A16" s="23">
        <v>4</v>
      </c>
      <c r="B16" s="24" t="s">
        <v>385</v>
      </c>
      <c r="C16" s="24" t="s">
        <v>403</v>
      </c>
      <c r="D16" s="268" t="s">
        <v>386</v>
      </c>
      <c r="E16" s="269"/>
    </row>
    <row r="17" spans="1:17" ht="57.25" customHeight="1">
      <c r="A17" s="23">
        <v>5</v>
      </c>
      <c r="B17" s="24" t="s">
        <v>220</v>
      </c>
      <c r="C17" s="24" t="s">
        <v>365</v>
      </c>
      <c r="D17" s="268" t="s">
        <v>366</v>
      </c>
      <c r="E17" s="269"/>
    </row>
    <row r="18" spans="1:17" ht="73" customHeight="1">
      <c r="A18" s="23">
        <v>6</v>
      </c>
      <c r="B18" s="24" t="s">
        <v>385</v>
      </c>
      <c r="C18" s="24" t="s">
        <v>394</v>
      </c>
      <c r="D18" s="268" t="s">
        <v>386</v>
      </c>
      <c r="E18" s="269"/>
    </row>
    <row r="19" spans="1:17" ht="73" customHeight="1" thickBot="1">
      <c r="A19" s="25">
        <v>7</v>
      </c>
      <c r="B19" s="22" t="s">
        <v>220</v>
      </c>
      <c r="C19" s="22" t="s">
        <v>413</v>
      </c>
      <c r="D19" s="263" t="s">
        <v>366</v>
      </c>
      <c r="E19" s="264"/>
    </row>
    <row r="20" spans="1:17" ht="15" customHeight="1">
      <c r="P20" s="252" t="s">
        <v>211</v>
      </c>
      <c r="Q20" s="252" t="s">
        <v>326</v>
      </c>
    </row>
    <row r="21" spans="1:17" ht="15" customHeight="1">
      <c r="P21" s="252" t="s">
        <v>296</v>
      </c>
      <c r="Q21" s="252">
        <v>1</v>
      </c>
    </row>
    <row r="22" spans="1:17" ht="22" customHeight="1" thickBot="1">
      <c r="A22" s="258" t="s">
        <v>325</v>
      </c>
      <c r="B22" s="258"/>
      <c r="C22" s="258"/>
      <c r="D22" s="258"/>
      <c r="E22" s="258"/>
      <c r="P22" s="252" t="s">
        <v>388</v>
      </c>
      <c r="Q22" s="252">
        <v>3</v>
      </c>
    </row>
    <row r="23" spans="1:17" ht="41.5" customHeight="1">
      <c r="A23" s="26">
        <v>1</v>
      </c>
      <c r="B23" s="271" t="s">
        <v>387</v>
      </c>
      <c r="C23" s="271"/>
      <c r="D23" s="271"/>
      <c r="E23" s="272"/>
      <c r="P23" s="252" t="s">
        <v>216</v>
      </c>
      <c r="Q23" s="252">
        <v>2</v>
      </c>
    </row>
    <row r="24" spans="1:17" ht="41.5" customHeight="1">
      <c r="A24" s="23">
        <v>2</v>
      </c>
      <c r="B24" s="268" t="s">
        <v>367</v>
      </c>
      <c r="C24" s="268"/>
      <c r="D24" s="268"/>
      <c r="E24" s="269"/>
      <c r="P24" s="252" t="s">
        <v>327</v>
      </c>
      <c r="Q24" s="252">
        <v>4</v>
      </c>
    </row>
    <row r="25" spans="1:17" ht="41.5" customHeight="1">
      <c r="A25" s="23">
        <v>3</v>
      </c>
      <c r="B25" s="268" t="s">
        <v>368</v>
      </c>
      <c r="C25" s="268"/>
      <c r="D25" s="268"/>
      <c r="E25" s="269"/>
      <c r="P25" s="252" t="s">
        <v>335</v>
      </c>
      <c r="Q25" s="252">
        <v>1</v>
      </c>
    </row>
    <row r="26" spans="1:17" ht="41.5" customHeight="1">
      <c r="A26" s="23">
        <v>4</v>
      </c>
      <c r="B26" s="268" t="s">
        <v>395</v>
      </c>
      <c r="C26" s="268"/>
      <c r="D26" s="268"/>
      <c r="E26" s="269"/>
    </row>
    <row r="27" spans="1:17" ht="41.5" customHeight="1" thickBot="1">
      <c r="A27" s="25">
        <v>5</v>
      </c>
      <c r="B27" s="263" t="s">
        <v>398</v>
      </c>
      <c r="C27" s="263"/>
      <c r="D27" s="263"/>
      <c r="E27" s="264"/>
    </row>
    <row r="29" spans="1:17" ht="15" customHeight="1">
      <c r="A29" s="265" t="s">
        <v>328</v>
      </c>
      <c r="B29" s="265"/>
      <c r="C29" s="265"/>
      <c r="D29" s="265"/>
      <c r="E29" s="265"/>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252" t="s">
        <v>183</v>
      </c>
      <c r="S40" s="252" t="s">
        <v>326</v>
      </c>
    </row>
    <row r="41" spans="18:19" ht="18" customHeight="1">
      <c r="R41" s="252" t="s">
        <v>194</v>
      </c>
      <c r="S41" s="252">
        <v>3</v>
      </c>
    </row>
    <row r="42" spans="18:19" ht="18" customHeight="1">
      <c r="R42" s="252" t="s">
        <v>186</v>
      </c>
      <c r="S42" s="252">
        <v>3</v>
      </c>
    </row>
    <row r="43" spans="18:19" ht="18" customHeight="1">
      <c r="R43" s="252" t="s">
        <v>184</v>
      </c>
      <c r="S43" s="252">
        <v>2</v>
      </c>
    </row>
    <row r="44" spans="18:19" ht="18" customHeight="1">
      <c r="R44" s="252" t="s">
        <v>185</v>
      </c>
      <c r="S44" s="252">
        <v>1</v>
      </c>
    </row>
    <row r="45" spans="18:19" ht="18" customHeight="1">
      <c r="R45" s="252" t="s">
        <v>195</v>
      </c>
      <c r="S45" s="252">
        <v>3</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row r="61" spans="1:13" ht="18" customHeight="1">
      <c r="A61" s="259" t="s">
        <v>369</v>
      </c>
      <c r="B61" s="259"/>
      <c r="C61" s="259"/>
      <c r="D61" s="259"/>
      <c r="E61" s="259"/>
      <c r="F61" s="259"/>
      <c r="G61" s="259"/>
      <c r="H61" s="259"/>
      <c r="I61" s="259"/>
      <c r="J61" s="259"/>
      <c r="K61" s="259"/>
      <c r="L61" s="259"/>
      <c r="M61" s="259"/>
    </row>
    <row r="62" spans="1:13" ht="15" customHeight="1" thickBot="1"/>
    <row r="63" spans="1:13" ht="18" customHeight="1">
      <c r="A63" s="9" t="s">
        <v>206</v>
      </c>
      <c r="B63" s="10" t="s">
        <v>218</v>
      </c>
      <c r="C63" s="10" t="s">
        <v>222</v>
      </c>
      <c r="D63" s="10" t="s">
        <v>214</v>
      </c>
      <c r="E63" s="10" t="s">
        <v>414</v>
      </c>
      <c r="F63" s="10" t="s">
        <v>296</v>
      </c>
      <c r="G63" s="10" t="s">
        <v>388</v>
      </c>
      <c r="H63" s="10" t="s">
        <v>216</v>
      </c>
      <c r="I63" s="10" t="s">
        <v>332</v>
      </c>
      <c r="J63" s="10" t="s">
        <v>370</v>
      </c>
      <c r="K63" s="10" t="s">
        <v>293</v>
      </c>
      <c r="L63" s="10"/>
      <c r="M63" s="11"/>
    </row>
    <row r="64" spans="1:13" ht="73" customHeight="1">
      <c r="A64" s="27" t="s">
        <v>276</v>
      </c>
      <c r="B64" s="28">
        <v>2</v>
      </c>
      <c r="C64" s="29">
        <v>3.8834951456310676E-2</v>
      </c>
      <c r="D64" s="30">
        <v>2.625</v>
      </c>
      <c r="E64" s="30">
        <v>1.3125</v>
      </c>
      <c r="F64" s="28">
        <v>0</v>
      </c>
      <c r="G64" s="28">
        <v>1</v>
      </c>
      <c r="H64" s="28">
        <v>0</v>
      </c>
      <c r="I64" s="28">
        <v>0</v>
      </c>
      <c r="J64" s="31" t="s">
        <v>389</v>
      </c>
      <c r="K64" s="266" t="s">
        <v>390</v>
      </c>
      <c r="L64" s="266"/>
      <c r="M64" s="267"/>
    </row>
    <row r="65" spans="1:13" ht="41.5" customHeight="1">
      <c r="A65" s="27" t="s">
        <v>313</v>
      </c>
      <c r="B65" s="28">
        <v>1</v>
      </c>
      <c r="C65" s="29">
        <v>1.6260162601626018E-2</v>
      </c>
      <c r="D65" s="30">
        <v>0.22499999999999998</v>
      </c>
      <c r="E65" s="30">
        <v>0.22499999999999998</v>
      </c>
      <c r="F65" s="28">
        <v>1</v>
      </c>
      <c r="G65" s="28">
        <v>0</v>
      </c>
      <c r="H65" s="28">
        <v>0</v>
      </c>
      <c r="I65" s="28">
        <v>0</v>
      </c>
      <c r="J65" s="31" t="s">
        <v>372</v>
      </c>
      <c r="K65" s="266" t="s">
        <v>373</v>
      </c>
      <c r="L65" s="266"/>
      <c r="M65" s="267"/>
    </row>
    <row r="66" spans="1:13" ht="41.5" customHeight="1">
      <c r="A66" s="27" t="s">
        <v>168</v>
      </c>
      <c r="B66" s="28">
        <v>1</v>
      </c>
      <c r="C66" s="29">
        <v>1.6129032258064516E-2</v>
      </c>
      <c r="D66" s="30">
        <v>1.125</v>
      </c>
      <c r="E66" s="30">
        <v>1.125</v>
      </c>
      <c r="F66" s="28">
        <v>0</v>
      </c>
      <c r="G66" s="28">
        <v>1</v>
      </c>
      <c r="H66" s="28">
        <v>0</v>
      </c>
      <c r="I66" s="28">
        <v>0</v>
      </c>
      <c r="J66" s="31" t="s">
        <v>372</v>
      </c>
      <c r="K66" s="266" t="s">
        <v>390</v>
      </c>
      <c r="L66" s="266"/>
      <c r="M66" s="267"/>
    </row>
    <row r="67" spans="1:13" ht="73" customHeight="1">
      <c r="A67" s="27" t="s">
        <v>169</v>
      </c>
      <c r="B67" s="28">
        <v>2</v>
      </c>
      <c r="C67" s="29">
        <v>3.2000000000000001E-2</v>
      </c>
      <c r="D67" s="30">
        <v>1.75</v>
      </c>
      <c r="E67" s="30">
        <v>0.875</v>
      </c>
      <c r="F67" s="28">
        <v>0</v>
      </c>
      <c r="G67" s="28">
        <v>0</v>
      </c>
      <c r="H67" s="28">
        <v>1</v>
      </c>
      <c r="I67" s="28">
        <v>0</v>
      </c>
      <c r="J67" s="31" t="s">
        <v>389</v>
      </c>
      <c r="K67" s="266" t="s">
        <v>374</v>
      </c>
      <c r="L67" s="266"/>
      <c r="M67" s="267"/>
    </row>
    <row r="68" spans="1:13" ht="34" customHeight="1">
      <c r="A68" s="27" t="s">
        <v>170</v>
      </c>
      <c r="B68" s="28">
        <v>1</v>
      </c>
      <c r="C68" s="29">
        <v>1.6260162601626018E-2</v>
      </c>
      <c r="D68" s="30">
        <v>0</v>
      </c>
      <c r="E68" s="30">
        <v>0</v>
      </c>
      <c r="F68" s="28">
        <v>0</v>
      </c>
      <c r="G68" s="28">
        <v>0</v>
      </c>
      <c r="H68" s="28">
        <v>0</v>
      </c>
      <c r="I68" s="28">
        <v>1</v>
      </c>
      <c r="J68" s="31" t="s">
        <v>333</v>
      </c>
      <c r="K68" s="266" t="s">
        <v>334</v>
      </c>
      <c r="L68" s="266"/>
      <c r="M68" s="267"/>
    </row>
    <row r="69" spans="1:13" ht="57.25" customHeight="1">
      <c r="A69" s="27" t="s">
        <v>172</v>
      </c>
      <c r="B69" s="28">
        <v>1</v>
      </c>
      <c r="C69" s="29">
        <v>1.6528925619834711E-2</v>
      </c>
      <c r="D69" s="30">
        <v>1.6500000000000001</v>
      </c>
      <c r="E69" s="30">
        <v>1.6500000000000001</v>
      </c>
      <c r="F69" s="28">
        <v>0</v>
      </c>
      <c r="G69" s="28">
        <v>1</v>
      </c>
      <c r="H69" s="28">
        <v>0</v>
      </c>
      <c r="I69" s="28">
        <v>0</v>
      </c>
      <c r="J69" s="31" t="s">
        <v>392</v>
      </c>
      <c r="K69" s="266" t="s">
        <v>390</v>
      </c>
      <c r="L69" s="266"/>
      <c r="M69" s="267"/>
    </row>
    <row r="70" spans="1:13" ht="41.5" customHeight="1">
      <c r="A70" s="27" t="s">
        <v>174</v>
      </c>
      <c r="B70" s="28">
        <v>1</v>
      </c>
      <c r="C70" s="29">
        <v>1.680672268907563E-2</v>
      </c>
      <c r="D70" s="30">
        <v>0.75</v>
      </c>
      <c r="E70" s="30">
        <v>0.75</v>
      </c>
      <c r="F70" s="28">
        <v>0</v>
      </c>
      <c r="G70" s="28">
        <v>0</v>
      </c>
      <c r="H70" s="28">
        <v>0</v>
      </c>
      <c r="I70" s="28">
        <v>0</v>
      </c>
      <c r="J70" s="31" t="s">
        <v>371</v>
      </c>
      <c r="K70" s="266" t="s">
        <v>278</v>
      </c>
      <c r="L70" s="266"/>
      <c r="M70" s="267"/>
    </row>
    <row r="71" spans="1:13" ht="57.25" customHeight="1">
      <c r="A71" s="27" t="s">
        <v>176</v>
      </c>
      <c r="B71" s="28">
        <v>1</v>
      </c>
      <c r="C71" s="29">
        <v>1.7094017094017096E-2</v>
      </c>
      <c r="D71" s="30">
        <v>0.82500000000000007</v>
      </c>
      <c r="E71" s="30">
        <v>0.82500000000000007</v>
      </c>
      <c r="F71" s="28">
        <v>0</v>
      </c>
      <c r="G71" s="28">
        <v>0</v>
      </c>
      <c r="H71" s="28">
        <v>0</v>
      </c>
      <c r="I71" s="28">
        <v>0</v>
      </c>
      <c r="J71" s="31" t="s">
        <v>392</v>
      </c>
      <c r="K71" s="266" t="s">
        <v>278</v>
      </c>
      <c r="L71" s="266"/>
      <c r="M71" s="267"/>
    </row>
    <row r="72" spans="1:13" ht="57.25" customHeight="1">
      <c r="A72" s="27" t="s">
        <v>178</v>
      </c>
      <c r="B72" s="28">
        <v>1</v>
      </c>
      <c r="C72" s="29">
        <v>1.7391304347826087E-2</v>
      </c>
      <c r="D72" s="30">
        <v>1.1000000000000001</v>
      </c>
      <c r="E72" s="30">
        <v>1.1000000000000001</v>
      </c>
      <c r="F72" s="28">
        <v>0</v>
      </c>
      <c r="G72" s="28">
        <v>0</v>
      </c>
      <c r="H72" s="28">
        <v>1</v>
      </c>
      <c r="I72" s="28">
        <v>0</v>
      </c>
      <c r="J72" s="31" t="s">
        <v>392</v>
      </c>
      <c r="K72" s="266" t="s">
        <v>374</v>
      </c>
      <c r="L72" s="266"/>
      <c r="M72" s="267"/>
    </row>
    <row r="73" spans="1:13" ht="34" customHeight="1" thickBot="1">
      <c r="A73" s="32" t="s">
        <v>391</v>
      </c>
      <c r="B73" s="76">
        <v>11</v>
      </c>
      <c r="C73" s="77"/>
      <c r="D73" s="78">
        <v>10.049999999999999</v>
      </c>
      <c r="E73" s="78">
        <v>0.91363636363636358</v>
      </c>
      <c r="F73" s="76"/>
      <c r="G73" s="76"/>
      <c r="H73" s="76"/>
      <c r="I73" s="76"/>
      <c r="J73" s="79"/>
      <c r="K73" s="79"/>
      <c r="L73" s="79"/>
      <c r="M73" s="80"/>
    </row>
    <row r="76" spans="1:13" ht="15" customHeight="1" thickBot="1"/>
    <row r="77" spans="1:13" ht="22" customHeight="1">
      <c r="A77" s="260" t="s">
        <v>375</v>
      </c>
      <c r="B77" s="261"/>
      <c r="C77" s="261"/>
      <c r="D77" s="261"/>
      <c r="E77" s="262"/>
    </row>
    <row r="78" spans="1:13" ht="41.5" customHeight="1">
      <c r="A78" s="23" t="s">
        <v>221</v>
      </c>
      <c r="B78" s="266" t="s">
        <v>223</v>
      </c>
      <c r="C78" s="266"/>
      <c r="D78" s="266"/>
      <c r="E78" s="267"/>
    </row>
    <row r="79" spans="1:13" ht="41.5" customHeight="1">
      <c r="A79" s="23" t="s">
        <v>214</v>
      </c>
      <c r="B79" s="266" t="s">
        <v>376</v>
      </c>
      <c r="C79" s="266"/>
      <c r="D79" s="266"/>
      <c r="E79" s="267"/>
    </row>
    <row r="80" spans="1:13" ht="41.5" customHeight="1">
      <c r="A80" s="23" t="s">
        <v>275</v>
      </c>
      <c r="B80" s="266" t="s">
        <v>377</v>
      </c>
      <c r="C80" s="266"/>
      <c r="D80" s="266"/>
      <c r="E80" s="267"/>
    </row>
    <row r="81" spans="1:5" ht="41.5" customHeight="1">
      <c r="A81" s="23" t="s">
        <v>219</v>
      </c>
      <c r="B81" s="266" t="s">
        <v>378</v>
      </c>
      <c r="C81" s="266"/>
      <c r="D81" s="266"/>
      <c r="E81" s="267"/>
    </row>
    <row r="82" spans="1:5" ht="41.5" customHeight="1">
      <c r="A82" s="23" t="s">
        <v>215</v>
      </c>
      <c r="B82" s="266" t="s">
        <v>379</v>
      </c>
      <c r="C82" s="266"/>
      <c r="D82" s="266"/>
      <c r="E82" s="267"/>
    </row>
    <row r="83" spans="1:5" ht="41.5" customHeight="1">
      <c r="A83" s="23" t="s">
        <v>220</v>
      </c>
      <c r="B83" s="266" t="s">
        <v>380</v>
      </c>
      <c r="C83" s="266"/>
      <c r="D83" s="266"/>
      <c r="E83" s="267"/>
    </row>
    <row r="84" spans="1:5" ht="28" customHeight="1">
      <c r="A84" s="23" t="s">
        <v>217</v>
      </c>
      <c r="B84" s="266" t="s">
        <v>381</v>
      </c>
      <c r="C84" s="266"/>
      <c r="D84" s="266"/>
      <c r="E84" s="267"/>
    </row>
    <row r="85" spans="1:5" ht="28" customHeight="1" thickBot="1">
      <c r="A85" s="25" t="s">
        <v>382</v>
      </c>
      <c r="B85" s="254" t="s">
        <v>383</v>
      </c>
      <c r="C85" s="254"/>
      <c r="D85" s="254"/>
      <c r="E85" s="255"/>
    </row>
  </sheetData>
  <sheetProtection algorithmName="SHA-512" hashValue="5of6KG81VxnjcPQ/6rBEnYkvXUeB05anL77Bcv7/iGLPiKtjvNKoMmlMmOTILlzXo1eK2rAdOQWeKB0g2vIjwQ==" saltValue="UWvMmQcwMxauZFX+7oNFWg==" spinCount="100000" sheet="1" objects="1" scenarios="1"/>
  <mergeCells count="41">
    <mergeCell ref="K69:M69"/>
    <mergeCell ref="K70:M70"/>
    <mergeCell ref="K64:M64"/>
    <mergeCell ref="K65:M65"/>
    <mergeCell ref="K66:M66"/>
    <mergeCell ref="B82:E82"/>
    <mergeCell ref="B80:E80"/>
    <mergeCell ref="B79:E79"/>
    <mergeCell ref="B25:E25"/>
    <mergeCell ref="B26:E2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D19:E19"/>
    <mergeCell ref="B85:E85"/>
    <mergeCell ref="B10:E10"/>
    <mergeCell ref="A22:E22"/>
    <mergeCell ref="A61:M61"/>
    <mergeCell ref="A77:E77"/>
    <mergeCell ref="B27:E27"/>
    <mergeCell ref="A29:E29"/>
    <mergeCell ref="K71:M71"/>
    <mergeCell ref="K72:M72"/>
    <mergeCell ref="B84:E84"/>
    <mergeCell ref="K67:M67"/>
    <mergeCell ref="K68:M68"/>
    <mergeCell ref="B83:E83"/>
    <mergeCell ref="B78:E78"/>
    <mergeCell ref="B24:E24"/>
    <mergeCell ref="B81:E81"/>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2026-06-18T19:26:51Z</dcterms:modified>
  <cp:category/>
  <cp:contentStatus/>
</cp:coreProperties>
</file>
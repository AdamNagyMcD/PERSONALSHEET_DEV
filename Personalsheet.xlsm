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062BD6C0-9A0E-464B-B806-54F29047F523}" xr6:coauthVersionLast="47" xr6:coauthVersionMax="47" xr10:uidLastSave="{00000000-0000-0000-0000-000000000000}"/>
  <bookViews>
    <workbookView xWindow="80" yWindow="780" windowWidth="34040" windowHeight="19900" tabRatio="677" activeTab="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K65" i="35" s="1"/>
  <c r="G66" i="35"/>
  <c r="K66" i="35" s="1"/>
  <c r="L66" i="35" s="1"/>
  <c r="G67" i="35"/>
  <c r="G68" i="35"/>
  <c r="G69" i="35"/>
  <c r="G70" i="35"/>
  <c r="G71" i="35"/>
  <c r="G72" i="35"/>
  <c r="G73" i="35"/>
  <c r="K73" i="35" s="1"/>
  <c r="L73" i="35" s="1"/>
  <c r="G74" i="35"/>
  <c r="K74" i="35" s="1"/>
  <c r="L74" i="35" s="1"/>
  <c r="G75" i="35"/>
  <c r="G76" i="35"/>
  <c r="G77" i="35"/>
  <c r="G78" i="35"/>
  <c r="G79" i="35"/>
  <c r="G80" i="35"/>
  <c r="G81" i="35"/>
  <c r="G82" i="35"/>
  <c r="G60" i="36"/>
  <c r="G61" i="36"/>
  <c r="G62" i="36"/>
  <c r="G63" i="36"/>
  <c r="G64" i="36"/>
  <c r="G65" i="36"/>
  <c r="K65" i="36" s="1"/>
  <c r="L65" i="36" s="1"/>
  <c r="G66" i="36"/>
  <c r="K66" i="36" s="1"/>
  <c r="G67" i="36"/>
  <c r="G68" i="36"/>
  <c r="K68" i="36" s="1"/>
  <c r="L68" i="36" s="1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G76" i="36"/>
  <c r="G77" i="36"/>
  <c r="G78" i="36"/>
  <c r="G79" i="36"/>
  <c r="G80" i="36"/>
  <c r="G81" i="36"/>
  <c r="K81" i="36" s="1"/>
  <c r="L81" i="36" s="1"/>
  <c r="G82" i="36"/>
  <c r="K82" i="36" s="1"/>
  <c r="L82" i="36" s="1"/>
  <c r="G61" i="33"/>
  <c r="G62" i="33"/>
  <c r="G63" i="33"/>
  <c r="K63" i="33" s="1"/>
  <c r="G64" i="33"/>
  <c r="G65" i="33"/>
  <c r="G66" i="33"/>
  <c r="G67" i="33"/>
  <c r="G68" i="33"/>
  <c r="G69" i="33"/>
  <c r="G70" i="33"/>
  <c r="G71" i="33"/>
  <c r="G72" i="33"/>
  <c r="G73" i="33"/>
  <c r="G74" i="33"/>
  <c r="K74" i="33" s="1"/>
  <c r="G75" i="33"/>
  <c r="G76" i="33"/>
  <c r="G77" i="33"/>
  <c r="G78" i="33"/>
  <c r="G79" i="33"/>
  <c r="G80" i="33"/>
  <c r="K80" i="33" s="1"/>
  <c r="L80" i="33" s="1"/>
  <c r="G81" i="33"/>
  <c r="G82" i="33"/>
  <c r="K82" i="33" s="1"/>
  <c r="L82" i="33" s="1"/>
  <c r="G62" i="32"/>
  <c r="G63" i="32"/>
  <c r="K63" i="32" s="1"/>
  <c r="G64" i="32"/>
  <c r="G65" i="32"/>
  <c r="G66" i="32"/>
  <c r="K66" i="32" s="1"/>
  <c r="L66" i="32" s="1"/>
  <c r="G67" i="32"/>
  <c r="G68" i="32"/>
  <c r="G69" i="32"/>
  <c r="G70" i="32"/>
  <c r="K70" i="32" s="1"/>
  <c r="L70" i="32" s="1"/>
  <c r="G71" i="32"/>
  <c r="G72" i="32"/>
  <c r="G73" i="32"/>
  <c r="G74" i="32"/>
  <c r="G75" i="32"/>
  <c r="G76" i="32"/>
  <c r="G77" i="32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K64" i="31" s="1"/>
  <c r="L64" i="31" s="1"/>
  <c r="G65" i="31"/>
  <c r="G66" i="31"/>
  <c r="K66" i="31" s="1"/>
  <c r="L66" i="31" s="1"/>
  <c r="G67" i="31"/>
  <c r="G68" i="31"/>
  <c r="G69" i="31"/>
  <c r="G70" i="31"/>
  <c r="K70" i="31" s="1"/>
  <c r="G71" i="31"/>
  <c r="G72" i="31"/>
  <c r="K72" i="31" s="1"/>
  <c r="L72" i="31" s="1"/>
  <c r="G73" i="31"/>
  <c r="G74" i="31"/>
  <c r="K74" i="31" s="1"/>
  <c r="G75" i="31"/>
  <c r="G76" i="31"/>
  <c r="G77" i="3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G65" i="30"/>
  <c r="K65" i="30" s="1"/>
  <c r="L65" i="30" s="1"/>
  <c r="G66" i="30"/>
  <c r="K66" i="30" s="1"/>
  <c r="L66" i="30" s="1"/>
  <c r="G67" i="30"/>
  <c r="K67" i="30" s="1"/>
  <c r="L67" i="30" s="1"/>
  <c r="G68" i="30"/>
  <c r="G69" i="30"/>
  <c r="G70" i="30"/>
  <c r="K70" i="30" s="1"/>
  <c r="L70" i="30" s="1"/>
  <c r="G71" i="30"/>
  <c r="G72" i="30"/>
  <c r="G73" i="30"/>
  <c r="K73" i="30" s="1"/>
  <c r="L73" i="30" s="1"/>
  <c r="G74" i="30"/>
  <c r="K74" i="30" s="1"/>
  <c r="L74" i="30" s="1"/>
  <c r="G75" i="30"/>
  <c r="G76" i="30"/>
  <c r="G77" i="30"/>
  <c r="G78" i="30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K74" i="37" s="1"/>
  <c r="L74" i="37" s="1"/>
  <c r="G75" i="37"/>
  <c r="G76" i="37"/>
  <c r="G77" i="37"/>
  <c r="K77" i="37" s="1"/>
  <c r="L77" i="37" s="1"/>
  <c r="G78" i="37"/>
  <c r="G79" i="37"/>
  <c r="G80" i="37"/>
  <c r="K80" i="37" s="1"/>
  <c r="L80" i="37" s="1"/>
  <c r="G81" i="37"/>
  <c r="K81" i="37" s="1"/>
  <c r="L81" i="37" s="1"/>
  <c r="G82" i="37"/>
  <c r="G65" i="28"/>
  <c r="G66" i="28"/>
  <c r="K66" i="28" s="1"/>
  <c r="L66" i="28" s="1"/>
  <c r="G67" i="28"/>
  <c r="K67" i="28" s="1"/>
  <c r="L67" i="28" s="1"/>
  <c r="G68" i="28"/>
  <c r="G69" i="28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G76" i="28"/>
  <c r="G77" i="28"/>
  <c r="G78" i="28"/>
  <c r="K78" i="28" s="1"/>
  <c r="L78" i="28" s="1"/>
  <c r="G79" i="28"/>
  <c r="K79" i="28" s="1"/>
  <c r="L79" i="28" s="1"/>
  <c r="G80" i="28"/>
  <c r="G81" i="28"/>
  <c r="K81" i="28" s="1"/>
  <c r="L81" i="28" s="1"/>
  <c r="G82" i="28"/>
  <c r="G63" i="27"/>
  <c r="G64" i="27"/>
  <c r="G65" i="27"/>
  <c r="G66" i="27"/>
  <c r="K66" i="27" s="1"/>
  <c r="L66" i="27" s="1"/>
  <c r="G67" i="27"/>
  <c r="K67" i="27" s="1"/>
  <c r="L67" i="27" s="1"/>
  <c r="G68" i="27"/>
  <c r="G69" i="27"/>
  <c r="K69" i="27" s="1"/>
  <c r="L69" i="27" s="1"/>
  <c r="G70" i="27"/>
  <c r="G71" i="27"/>
  <c r="K71" i="27" s="1"/>
  <c r="L71" i="27" s="1"/>
  <c r="G72" i="27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K77" i="27" s="1"/>
  <c r="L77" i="27" s="1"/>
  <c r="G78" i="27"/>
  <c r="G79" i="27"/>
  <c r="K79" i="27" s="1"/>
  <c r="L79" i="27" s="1"/>
  <c r="G80" i="27"/>
  <c r="G81" i="27"/>
  <c r="K81" i="27" s="1"/>
  <c r="L81" i="27" s="1"/>
  <c r="G82" i="27"/>
  <c r="K82" i="27" s="1"/>
  <c r="L82" i="27" s="1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G68" i="26"/>
  <c r="G69" i="26"/>
  <c r="G70" i="26"/>
  <c r="G71" i="26"/>
  <c r="K71" i="26" s="1"/>
  <c r="L71" i="26" s="1"/>
  <c r="G72" i="26"/>
  <c r="G73" i="26"/>
  <c r="K73" i="26" s="1"/>
  <c r="L73" i="26" s="1"/>
  <c r="G74" i="26"/>
  <c r="K74" i="26" s="1"/>
  <c r="L74" i="26" s="1"/>
  <c r="G75" i="26"/>
  <c r="G76" i="26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62" i="25"/>
  <c r="G63" i="25"/>
  <c r="G64" i="25"/>
  <c r="G65" i="25"/>
  <c r="G66" i="25"/>
  <c r="K66" i="25" s="1"/>
  <c r="L66" i="25" s="1"/>
  <c r="G67" i="25"/>
  <c r="G68" i="25"/>
  <c r="K68" i="25" s="1"/>
  <c r="L68" i="25" s="1"/>
  <c r="G69" i="25"/>
  <c r="G70" i="25"/>
  <c r="G71" i="25"/>
  <c r="G72" i="25"/>
  <c r="G73" i="25"/>
  <c r="K73" i="25" s="1"/>
  <c r="L73" i="25" s="1"/>
  <c r="G74" i="25"/>
  <c r="K74" i="25" s="1"/>
  <c r="L74" i="25" s="1"/>
  <c r="G75" i="25"/>
  <c r="G76" i="25"/>
  <c r="K76" i="25" s="1"/>
  <c r="L76" i="25" s="1"/>
  <c r="G77" i="25"/>
  <c r="G78" i="25"/>
  <c r="G79" i="25"/>
  <c r="G80" i="25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9" i="28"/>
  <c r="L69" i="28" s="1"/>
  <c r="K75" i="28"/>
  <c r="L75" i="28" s="1"/>
  <c r="K80" i="28"/>
  <c r="L80" i="28" s="1"/>
  <c r="K82" i="28"/>
  <c r="L82" i="28" s="1"/>
  <c r="K65" i="27"/>
  <c r="L65" i="27" s="1"/>
  <c r="K70" i="27"/>
  <c r="L70" i="27" s="1"/>
  <c r="K78" i="27"/>
  <c r="L78" i="27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59" i="35"/>
  <c r="K61" i="35"/>
  <c r="K63" i="35"/>
  <c r="L63" i="35" s="1"/>
  <c r="K67" i="35"/>
  <c r="K69" i="35"/>
  <c r="K71" i="35"/>
  <c r="L71" i="35" s="1"/>
  <c r="K75" i="35"/>
  <c r="K77" i="35"/>
  <c r="L77" i="35" s="1"/>
  <c r="K79" i="35"/>
  <c r="L79" i="35" s="1"/>
  <c r="K81" i="35"/>
  <c r="L81" i="35" s="1"/>
  <c r="K82" i="35"/>
  <c r="K60" i="36"/>
  <c r="L60" i="36" s="1"/>
  <c r="K61" i="36"/>
  <c r="L61" i="36" s="1"/>
  <c r="K63" i="36"/>
  <c r="L63" i="36" s="1"/>
  <c r="K67" i="36"/>
  <c r="L67" i="36" s="1"/>
  <c r="K75" i="36"/>
  <c r="K76" i="36"/>
  <c r="L76" i="36" s="1"/>
  <c r="K77" i="36"/>
  <c r="L77" i="36" s="1"/>
  <c r="K79" i="36"/>
  <c r="L79" i="36" s="1"/>
  <c r="K65" i="33"/>
  <c r="L65" i="33" s="1"/>
  <c r="K71" i="33"/>
  <c r="K73" i="33"/>
  <c r="L73" i="33" s="1"/>
  <c r="K79" i="33"/>
  <c r="L79" i="33" s="1"/>
  <c r="K65" i="32"/>
  <c r="L65" i="32" s="1"/>
  <c r="K67" i="32"/>
  <c r="K69" i="32"/>
  <c r="K71" i="32"/>
  <c r="L71" i="32" s="1"/>
  <c r="K73" i="32"/>
  <c r="L73" i="32" s="1"/>
  <c r="K75" i="32"/>
  <c r="K77" i="32"/>
  <c r="L77" i="32" s="1"/>
  <c r="K81" i="32"/>
  <c r="L81" i="32" s="1"/>
  <c r="K65" i="31"/>
  <c r="L65" i="31" s="1"/>
  <c r="K67" i="31"/>
  <c r="L67" i="31" s="1"/>
  <c r="K69" i="31"/>
  <c r="L69" i="31" s="1"/>
  <c r="K71" i="31"/>
  <c r="L71" i="31" s="1"/>
  <c r="K75" i="31"/>
  <c r="L75" i="31" s="1"/>
  <c r="K77" i="31"/>
  <c r="L77" i="31" s="1"/>
  <c r="K82" i="31"/>
  <c r="L82" i="31" s="1"/>
  <c r="K69" i="30"/>
  <c r="L69" i="30" s="1"/>
  <c r="K75" i="30"/>
  <c r="L75" i="30" s="1"/>
  <c r="K77" i="30"/>
  <c r="L77" i="30" s="1"/>
  <c r="K67" i="37"/>
  <c r="L67" i="37" s="1"/>
  <c r="K79" i="37"/>
  <c r="L79" i="37" s="1"/>
  <c r="K65" i="28"/>
  <c r="L65" i="28" s="1"/>
  <c r="K70" i="28"/>
  <c r="L70" i="28" s="1"/>
  <c r="K74" i="28"/>
  <c r="L74" i="28" s="1"/>
  <c r="K76" i="28"/>
  <c r="L76" i="28" s="1"/>
  <c r="K77" i="28"/>
  <c r="L77" i="28" s="1"/>
  <c r="K63" i="27"/>
  <c r="L63" i="27" s="1"/>
  <c r="K72" i="27"/>
  <c r="L72" i="27" s="1"/>
  <c r="K67" i="26"/>
  <c r="L67" i="26" s="1"/>
  <c r="K69" i="26"/>
  <c r="L69" i="26" s="1"/>
  <c r="K72" i="26"/>
  <c r="L72" i="26" s="1"/>
  <c r="K75" i="26"/>
  <c r="L75" i="26" s="1"/>
  <c r="K77" i="26"/>
  <c r="L77" i="26" s="1"/>
  <c r="K63" i="25"/>
  <c r="L63" i="25" s="1"/>
  <c r="K65" i="25"/>
  <c r="L65" i="25" s="1"/>
  <c r="K69" i="25"/>
  <c r="L69" i="25" s="1"/>
  <c r="K71" i="25"/>
  <c r="L71" i="25" s="1"/>
  <c r="K72" i="25"/>
  <c r="L72" i="25" s="1"/>
  <c r="K75" i="25"/>
  <c r="L75" i="25" s="1"/>
  <c r="K77" i="25"/>
  <c r="L77" i="25" s="1"/>
  <c r="K79" i="25"/>
  <c r="L79" i="25" s="1"/>
  <c r="K73" i="31"/>
  <c r="K81" i="31"/>
  <c r="L81" i="31" s="1"/>
  <c r="K71" i="30"/>
  <c r="L71" i="30" s="1"/>
  <c r="K78" i="30"/>
  <c r="L78" i="30" s="1"/>
  <c r="K68" i="26"/>
  <c r="L68" i="26" s="1"/>
  <c r="K70" i="26"/>
  <c r="L70" i="26" s="1"/>
  <c r="K76" i="26"/>
  <c r="L76" i="26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60" i="35"/>
  <c r="L60" i="35" s="1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4" i="36"/>
  <c r="L64" i="36" s="1"/>
  <c r="K69" i="36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5" i="33"/>
  <c r="K76" i="33"/>
  <c r="L76" i="33" s="1"/>
  <c r="K77" i="33"/>
  <c r="L77" i="33" s="1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L62" i="32" s="1"/>
  <c r="K64" i="32"/>
  <c r="K68" i="32"/>
  <c r="L68" i="32" s="1"/>
  <c r="K72" i="32"/>
  <c r="L7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K76" i="31"/>
  <c r="L76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62" i="35"/>
  <c r="L70" i="35"/>
  <c r="L67" i="33"/>
  <c r="L75" i="33"/>
  <c r="K68" i="30"/>
  <c r="L68" i="30" s="1"/>
  <c r="K72" i="30"/>
  <c r="L72" i="30" s="1"/>
  <c r="K76" i="30"/>
  <c r="L76" i="30" s="1"/>
  <c r="K66" i="37"/>
  <c r="L66" i="37" s="1"/>
  <c r="K68" i="37"/>
  <c r="L68" i="37" s="1"/>
  <c r="K70" i="37"/>
  <c r="L70" i="37" s="1"/>
  <c r="K75" i="37"/>
  <c r="L75" i="37" s="1"/>
  <c r="K76" i="37"/>
  <c r="L76" i="37" s="1"/>
  <c r="K78" i="37"/>
  <c r="L78" i="37" s="1"/>
  <c r="K82" i="37"/>
  <c r="L82" i="37" s="1"/>
  <c r="K68" i="28"/>
  <c r="L68" i="28" s="1"/>
  <c r="K64" i="27"/>
  <c r="L64" i="27" s="1"/>
  <c r="K80" i="27"/>
  <c r="L80" i="27" s="1"/>
  <c r="K62" i="25"/>
  <c r="L62" i="25" s="1"/>
  <c r="K64" i="25"/>
  <c r="L64" i="25" s="1"/>
  <c r="K67" i="25"/>
  <c r="L67" i="25" s="1"/>
  <c r="K70" i="25"/>
  <c r="L70" i="25" s="1"/>
  <c r="K78" i="25"/>
  <c r="L78" i="25" s="1"/>
  <c r="K80" i="25"/>
  <c r="L80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54" i="35"/>
  <c r="G9" i="36"/>
  <c r="G9" i="33"/>
  <c r="G42" i="32"/>
  <c r="G3" i="30"/>
  <c r="G19" i="37"/>
  <c r="G35" i="28"/>
  <c r="G59" i="27"/>
  <c r="G35" i="35"/>
  <c r="G36" i="36"/>
  <c r="G13" i="33"/>
  <c r="G61" i="32"/>
  <c r="G6" i="35"/>
  <c r="G16" i="36"/>
  <c r="G24" i="33"/>
  <c r="G49" i="32"/>
  <c r="G51" i="36"/>
  <c r="G36" i="33"/>
  <c r="G13" i="32"/>
  <c r="G37" i="31"/>
  <c r="G6" i="30"/>
  <c r="G46" i="37"/>
  <c r="G62" i="28"/>
  <c r="G62" i="27"/>
  <c r="G14" i="26"/>
  <c r="G40" i="25"/>
  <c r="G26" i="3"/>
  <c r="G22" i="35"/>
  <c r="G32" i="36"/>
  <c r="G40" i="33"/>
  <c r="G10" i="32"/>
  <c r="G42" i="31"/>
  <c r="G58" i="30"/>
  <c r="G3" i="28"/>
  <c r="G27" i="27"/>
  <c r="G59" i="26"/>
  <c r="G28" i="25"/>
  <c r="G21" i="3"/>
  <c r="G7" i="27"/>
  <c r="G30" i="26"/>
  <c r="G56" i="25"/>
  <c r="G42" i="3"/>
  <c r="G41" i="35"/>
  <c r="G22" i="36"/>
  <c r="G46" i="33"/>
  <c r="G55" i="32"/>
  <c r="G24" i="31"/>
  <c r="G8" i="30"/>
  <c r="G64" i="37"/>
  <c r="G25" i="28"/>
  <c r="G27" i="31"/>
  <c r="G37" i="30"/>
  <c r="G8" i="37"/>
  <c r="G15" i="27"/>
  <c r="G38" i="35"/>
  <c r="G48" i="36"/>
  <c r="G57" i="33"/>
  <c r="G34" i="35"/>
  <c r="G38" i="36"/>
  <c r="G50" i="33"/>
  <c r="G18" i="31"/>
  <c r="G56" i="28"/>
  <c r="G42" i="26"/>
  <c r="G33" i="3"/>
  <c r="G43" i="28"/>
  <c r="G50" i="26"/>
  <c r="G45" i="3"/>
  <c r="G6" i="3"/>
  <c r="G44" i="3"/>
  <c r="G23" i="25"/>
  <c r="G61" i="26"/>
  <c r="G40" i="31"/>
  <c r="G46" i="28"/>
  <c r="G15" i="26"/>
  <c r="G8" i="3"/>
  <c r="G46" i="27"/>
  <c r="G19" i="3"/>
  <c r="G54" i="28"/>
  <c r="G24" i="3"/>
  <c r="G39" i="27"/>
  <c r="G9" i="31"/>
  <c r="G39" i="28"/>
  <c r="G14" i="3"/>
  <c r="G17" i="25"/>
  <c r="G16" i="32"/>
  <c r="G16" i="37"/>
  <c r="G60" i="26"/>
  <c r="G27" i="3"/>
  <c r="G33" i="31"/>
  <c r="G25" i="30"/>
  <c r="G10" i="37"/>
  <c r="G12" i="31"/>
  <c r="G9" i="37"/>
  <c r="G24" i="27"/>
  <c r="G31" i="35"/>
  <c r="G34" i="36"/>
  <c r="G51" i="32"/>
  <c r="G33" i="35"/>
  <c r="G44" i="25"/>
  <c r="G16" i="3"/>
  <c r="G47" i="35"/>
  <c r="G50" i="36"/>
  <c r="G3" i="32"/>
  <c r="G43" i="31"/>
  <c r="G9" i="30"/>
  <c r="G29" i="37"/>
  <c r="G36" i="28"/>
  <c r="G44" i="27"/>
  <c r="G28" i="35"/>
  <c r="G45" i="36"/>
  <c r="G14" i="33"/>
  <c r="G23" i="32"/>
  <c r="G10" i="35"/>
  <c r="G10" i="36"/>
  <c r="G25" i="33"/>
  <c r="G51" i="35"/>
  <c r="G52" i="36"/>
  <c r="G29" i="33"/>
  <c r="G6" i="32"/>
  <c r="G62" i="31"/>
  <c r="G41" i="30"/>
  <c r="G47" i="37"/>
  <c r="G8" i="28"/>
  <c r="G55" i="27"/>
  <c r="G48" i="26"/>
  <c r="G49" i="25"/>
  <c r="G44" i="32"/>
  <c r="G15" i="35"/>
  <c r="G17" i="36"/>
  <c r="G41" i="33"/>
  <c r="G11" i="31"/>
  <c r="G35" i="30"/>
  <c r="G51" i="37"/>
  <c r="G4" i="28"/>
  <c r="G12" i="27"/>
  <c r="G28" i="26"/>
  <c r="G29" i="25"/>
  <c r="G30" i="3"/>
  <c r="G16" i="27"/>
  <c r="G26" i="26"/>
  <c r="G10" i="25"/>
  <c r="G3" i="33"/>
  <c r="G45" i="35"/>
  <c r="G31" i="36"/>
  <c r="G47" i="33"/>
  <c r="G9" i="32"/>
  <c r="G34" i="28"/>
  <c r="G30" i="30"/>
  <c r="G47" i="36"/>
  <c r="G18" i="33"/>
  <c r="G5" i="30"/>
  <c r="G4" i="30"/>
  <c r="G54" i="27"/>
  <c r="G5" i="3"/>
  <c r="G40" i="35"/>
  <c r="G19" i="33"/>
  <c r="G30" i="32"/>
  <c r="G28" i="31"/>
  <c r="G60" i="30"/>
  <c r="G44" i="37"/>
  <c r="G37" i="28"/>
  <c r="G29" i="27"/>
  <c r="G13" i="35"/>
  <c r="G54" i="36"/>
  <c r="G15" i="33"/>
  <c r="G32" i="32"/>
  <c r="G17" i="35"/>
  <c r="G57" i="36"/>
  <c r="G19" i="32"/>
  <c r="G44" i="35"/>
  <c r="G6" i="36"/>
  <c r="G30" i="33"/>
  <c r="G39" i="32"/>
  <c r="G8" i="31"/>
  <c r="G63" i="30"/>
  <c r="G48" i="37"/>
  <c r="G9" i="28"/>
  <c r="G9" i="27"/>
  <c r="G47" i="26"/>
  <c r="G58" i="25"/>
  <c r="G61" i="31"/>
  <c r="G8" i="35"/>
  <c r="G58" i="36"/>
  <c r="G35" i="32"/>
  <c r="G55" i="31"/>
  <c r="G28" i="30"/>
  <c r="G12" i="37"/>
  <c r="G5" i="28"/>
  <c r="G34" i="27"/>
  <c r="G21" i="26"/>
  <c r="G30" i="25"/>
  <c r="G39" i="3"/>
  <c r="G25" i="27"/>
  <c r="G16" i="26"/>
  <c r="G11" i="3"/>
  <c r="G3" i="37"/>
  <c r="G30" i="35"/>
  <c r="G40" i="36"/>
  <c r="G48" i="33"/>
  <c r="G18" i="32"/>
  <c r="G50" i="31"/>
  <c r="G17" i="30"/>
  <c r="G11" i="28"/>
  <c r="G35" i="27"/>
  <c r="G47" i="31"/>
  <c r="G23" i="30"/>
  <c r="G19" i="28"/>
  <c r="G33" i="27"/>
  <c r="G24" i="35"/>
  <c r="G42" i="33"/>
  <c r="G28" i="37"/>
  <c r="G46" i="35"/>
  <c r="G56" i="36"/>
  <c r="G10" i="33"/>
  <c r="G47" i="30"/>
  <c r="G37" i="27"/>
  <c r="G6" i="25"/>
  <c r="G11" i="30"/>
  <c r="G64" i="28"/>
  <c r="G3" i="25"/>
  <c r="G41" i="3"/>
  <c r="G10" i="3"/>
  <c r="G32" i="3"/>
  <c r="G34" i="32"/>
  <c r="G45" i="25"/>
  <c r="G61" i="30"/>
  <c r="G50" i="27"/>
  <c r="G60" i="25"/>
  <c r="G56" i="31"/>
  <c r="G23" i="26"/>
  <c r="G18" i="3"/>
  <c r="G41" i="27"/>
  <c r="G59" i="31"/>
  <c r="G24" i="26"/>
  <c r="G38" i="30"/>
  <c r="G12" i="26"/>
  <c r="G49" i="31"/>
  <c r="G42" i="37"/>
  <c r="G23" i="31"/>
  <c r="G45" i="28"/>
  <c r="G62" i="26"/>
  <c r="G7" i="3"/>
  <c r="G19" i="30"/>
  <c r="G49" i="3"/>
  <c r="G28" i="27"/>
  <c r="G45" i="32"/>
  <c r="G52" i="30"/>
  <c r="G36" i="31"/>
  <c r="G50" i="37"/>
  <c r="G27" i="36"/>
  <c r="G12" i="33"/>
  <c r="G60" i="32"/>
  <c r="G13" i="31"/>
  <c r="G53" i="30"/>
  <c r="G22" i="37"/>
  <c r="G38" i="28"/>
  <c r="G38" i="27"/>
  <c r="G58" i="35"/>
  <c r="G8" i="36"/>
  <c r="G16" i="33"/>
  <c r="G41" i="32"/>
  <c r="G56" i="35"/>
  <c r="G35" i="33"/>
  <c r="G12" i="32"/>
  <c r="G29" i="35"/>
  <c r="G15" i="36"/>
  <c r="G31" i="33"/>
  <c r="G48" i="32"/>
  <c r="G17" i="31"/>
  <c r="G56" i="30"/>
  <c r="G49" i="37"/>
  <c r="G18" i="28"/>
  <c r="G42" i="27"/>
  <c r="G19" i="25"/>
  <c r="G4" i="3"/>
  <c r="G51" i="30"/>
  <c r="G26" i="35"/>
  <c r="G51" i="33"/>
  <c r="G28" i="32"/>
  <c r="G60" i="31"/>
  <c r="G21" i="30"/>
  <c r="G37" i="37"/>
  <c r="G6" i="28"/>
  <c r="G6" i="27"/>
  <c r="G40" i="26"/>
  <c r="G39" i="25"/>
  <c r="G9" i="3"/>
  <c r="G3" i="26"/>
  <c r="G35" i="25"/>
  <c r="G20" i="3"/>
  <c r="G18" i="37"/>
  <c r="G23" i="35"/>
  <c r="G49" i="36"/>
  <c r="G49" i="33"/>
  <c r="G19" i="31"/>
  <c r="G43" i="30"/>
  <c r="G59" i="37"/>
  <c r="G12" i="28"/>
  <c r="G37" i="32"/>
  <c r="G7" i="31"/>
  <c r="G16" i="30"/>
  <c r="G21" i="28"/>
  <c r="G11" i="26"/>
  <c r="G11" i="36"/>
  <c r="G60" i="33"/>
  <c r="G20" i="28"/>
  <c r="G39" i="35"/>
  <c r="G18" i="36"/>
  <c r="G58" i="33"/>
  <c r="G11" i="37"/>
  <c r="G32" i="27"/>
  <c r="G8" i="25"/>
  <c r="G45" i="30"/>
  <c r="G10" i="27"/>
  <c r="G52" i="25"/>
  <c r="G45" i="26"/>
  <c r="G36" i="27"/>
  <c r="G23" i="28"/>
  <c r="G5" i="31"/>
  <c r="G36" i="37"/>
  <c r="G24" i="30"/>
  <c r="G30" i="27"/>
  <c r="G46" i="25"/>
  <c r="G57" i="30"/>
  <c r="G54" i="25"/>
  <c r="G35" i="31"/>
  <c r="G6" i="26"/>
  <c r="G15" i="25"/>
  <c r="G54" i="26"/>
  <c r="G48" i="30"/>
  <c r="G53" i="26"/>
  <c r="G53" i="37"/>
  <c r="G18" i="30"/>
  <c r="G26" i="31"/>
  <c r="G40" i="28"/>
  <c r="G57" i="26"/>
  <c r="G25" i="3"/>
  <c r="G51" i="27"/>
  <c r="G46" i="3"/>
  <c r="G46" i="26"/>
  <c r="G41" i="28"/>
  <c r="G11" i="25"/>
  <c r="G40" i="3"/>
  <c r="G19" i="26"/>
  <c r="G27" i="35"/>
  <c r="G28" i="36"/>
  <c r="G5" i="33"/>
  <c r="G53" i="32"/>
  <c r="G38" i="31"/>
  <c r="G46" i="30"/>
  <c r="G23" i="37"/>
  <c r="G47" i="28"/>
  <c r="G31" i="27"/>
  <c r="G25" i="35"/>
  <c r="G41" i="36"/>
  <c r="G17" i="33"/>
  <c r="G50" i="32"/>
  <c r="G43" i="36"/>
  <c r="G28" i="33"/>
  <c r="G5" i="32"/>
  <c r="G14" i="35"/>
  <c r="G24" i="36"/>
  <c r="G32" i="33"/>
  <c r="G57" i="32"/>
  <c r="G34" i="31"/>
  <c r="G50" i="30"/>
  <c r="G58" i="37"/>
  <c r="G19" i="27"/>
  <c r="G51" i="26"/>
  <c r="G20" i="25"/>
  <c r="G13" i="3"/>
  <c r="G41" i="26"/>
  <c r="G59" i="36"/>
  <c r="G44" i="33"/>
  <c r="G21" i="32"/>
  <c r="G45" i="31"/>
  <c r="G14" i="30"/>
  <c r="G54" i="37"/>
  <c r="G7" i="28"/>
  <c r="G26" i="27"/>
  <c r="G22" i="26"/>
  <c r="G48" i="25"/>
  <c r="G34" i="3"/>
  <c r="G9" i="26"/>
  <c r="G36" i="25"/>
  <c r="G29" i="3"/>
  <c r="G22" i="28"/>
  <c r="G16" i="35"/>
  <c r="G33" i="36"/>
  <c r="G43" i="32"/>
  <c r="G4" i="31"/>
  <c r="G36" i="30"/>
  <c r="G20" i="37"/>
  <c r="G13" i="28"/>
  <c r="G54" i="32"/>
  <c r="G32" i="31"/>
  <c r="G10" i="30"/>
  <c r="G31" i="28"/>
  <c r="G11" i="35"/>
  <c r="G12" i="36"/>
  <c r="G53" i="33"/>
  <c r="G33" i="28"/>
  <c r="G32" i="35"/>
  <c r="G11" i="33"/>
  <c r="G59" i="32"/>
  <c r="G60" i="37"/>
  <c r="G43" i="26"/>
  <c r="G41" i="25"/>
  <c r="G55" i="30"/>
  <c r="G45" i="27"/>
  <c r="G14" i="25"/>
  <c r="G43" i="25"/>
  <c r="G46" i="31"/>
  <c r="G54" i="31"/>
  <c r="G57" i="27"/>
  <c r="G53" i="25"/>
  <c r="G35" i="37"/>
  <c r="G56" i="27"/>
  <c r="G24" i="25"/>
  <c r="G21" i="37"/>
  <c r="G10" i="28"/>
  <c r="G29" i="31"/>
  <c r="G5" i="25"/>
  <c r="G34" i="30"/>
  <c r="G4" i="25"/>
  <c r="G45" i="37"/>
  <c r="G38" i="26"/>
  <c r="G26" i="37"/>
  <c r="G44" i="26"/>
  <c r="G49" i="30"/>
  <c r="G11" i="27"/>
  <c r="G12" i="25"/>
  <c r="G54" i="30"/>
  <c r="G3" i="27"/>
  <c r="G15" i="37"/>
  <c r="G31" i="26"/>
  <c r="G52" i="28"/>
  <c r="G25" i="25"/>
  <c r="G31" i="30"/>
  <c r="G21" i="27"/>
  <c r="G31" i="3"/>
  <c r="G56" i="37"/>
  <c r="G17" i="28"/>
  <c r="G17" i="27"/>
  <c r="G55" i="26"/>
  <c r="G3" i="3"/>
  <c r="G5" i="27"/>
  <c r="G20" i="36"/>
  <c r="G44" i="31"/>
  <c r="G62" i="30"/>
  <c r="G47" i="27"/>
  <c r="G53" i="3"/>
  <c r="G57" i="28"/>
  <c r="G17" i="26"/>
  <c r="G14" i="31"/>
  <c r="G44" i="28"/>
  <c r="G42" i="25"/>
  <c r="G23" i="27"/>
  <c r="G20" i="31"/>
  <c r="G35" i="26"/>
  <c r="G23" i="3"/>
  <c r="G20" i="35"/>
  <c r="G37" i="36"/>
  <c r="G6" i="33"/>
  <c r="G15" i="32"/>
  <c r="G31" i="31"/>
  <c r="G39" i="30"/>
  <c r="G24" i="37"/>
  <c r="G48" i="28"/>
  <c r="G40" i="27"/>
  <c r="G55" i="35"/>
  <c r="G25" i="36"/>
  <c r="G11" i="32"/>
  <c r="G43" i="35"/>
  <c r="G44" i="36"/>
  <c r="G21" i="33"/>
  <c r="G22" i="32"/>
  <c r="G7" i="35"/>
  <c r="G42" i="36"/>
  <c r="G33" i="33"/>
  <c r="G3" i="31"/>
  <c r="G27" i="30"/>
  <c r="G43" i="37"/>
  <c r="G59" i="28"/>
  <c r="G4" i="27"/>
  <c r="G20" i="26"/>
  <c r="G21" i="25"/>
  <c r="G22" i="3"/>
  <c r="G49" i="35"/>
  <c r="G5" i="36"/>
  <c r="G37" i="33"/>
  <c r="G38" i="32"/>
  <c r="G15" i="31"/>
  <c r="G7" i="30"/>
  <c r="G55" i="37"/>
  <c r="G16" i="28"/>
  <c r="G8" i="27"/>
  <c r="G33" i="26"/>
  <c r="G57" i="25"/>
  <c r="G20" i="27"/>
  <c r="G36" i="26"/>
  <c r="G37" i="25"/>
  <c r="G38" i="3"/>
  <c r="G42" i="28"/>
  <c r="G3" i="36"/>
  <c r="G59" i="33"/>
  <c r="G36" i="32"/>
  <c r="G22" i="31"/>
  <c r="G29" i="30"/>
  <c r="G61" i="37"/>
  <c r="G14" i="28"/>
  <c r="G8" i="32"/>
  <c r="G41" i="31"/>
  <c r="G5" i="37"/>
  <c r="G32" i="28"/>
  <c r="G4" i="35"/>
  <c r="G21" i="36"/>
  <c r="G54" i="33"/>
  <c r="G13" i="27"/>
  <c r="G19" i="36"/>
  <c r="G4" i="33"/>
  <c r="G25" i="32"/>
  <c r="G32" i="37"/>
  <c r="G34" i="26"/>
  <c r="G35" i="3"/>
  <c r="G27" i="37"/>
  <c r="G48" i="27"/>
  <c r="G16" i="25"/>
  <c r="G32" i="25"/>
  <c r="G52" i="27"/>
  <c r="G10" i="31"/>
  <c r="G51" i="25"/>
  <c r="G52" i="3"/>
  <c r="G30" i="37"/>
  <c r="G18" i="26"/>
  <c r="G26" i="25"/>
  <c r="G33" i="37"/>
  <c r="G59" i="30"/>
  <c r="G7" i="25"/>
  <c r="G29" i="28"/>
  <c r="G52" i="32"/>
  <c r="G61" i="25"/>
  <c r="G31" i="37"/>
  <c r="G22" i="25"/>
  <c r="G52" i="35"/>
  <c r="G14" i="36"/>
  <c r="G38" i="25"/>
  <c r="G47" i="3"/>
  <c r="G3" i="35"/>
  <c r="G4" i="36"/>
  <c r="G52" i="33"/>
  <c r="G29" i="32"/>
  <c r="G53" i="31"/>
  <c r="G22" i="30"/>
  <c r="G62" i="37"/>
  <c r="G15" i="28"/>
  <c r="G58" i="31"/>
  <c r="G6" i="37"/>
  <c r="G43" i="27"/>
  <c r="G57" i="35"/>
  <c r="G30" i="36"/>
  <c r="G55" i="33"/>
  <c r="G19" i="35"/>
  <c r="G34" i="33"/>
  <c r="G37" i="3"/>
  <c r="G14" i="37"/>
  <c r="G28" i="28"/>
  <c r="G52" i="26"/>
  <c r="G40" i="30"/>
  <c r="G9" i="25"/>
  <c r="G63" i="28"/>
  <c r="G51" i="31"/>
  <c r="G41" i="37"/>
  <c r="G13" i="25"/>
  <c r="G50" i="28"/>
  <c r="G7" i="32"/>
  <c r="G42" i="30"/>
  <c r="G55" i="25"/>
  <c r="G30" i="28"/>
  <c r="G54" i="3"/>
  <c r="G5" i="35"/>
  <c r="G46" i="36"/>
  <c r="G7" i="33"/>
  <c r="G24" i="32"/>
  <c r="G48" i="31"/>
  <c r="G32" i="30"/>
  <c r="G25" i="37"/>
  <c r="G49" i="28"/>
  <c r="G49" i="27"/>
  <c r="G48" i="35"/>
  <c r="G27" i="33"/>
  <c r="G4" i="32"/>
  <c r="G36" i="35"/>
  <c r="G53" i="36"/>
  <c r="G22" i="33"/>
  <c r="G31" i="32"/>
  <c r="G50" i="35"/>
  <c r="G26" i="36"/>
  <c r="G27" i="32"/>
  <c r="G30" i="31"/>
  <c r="G20" i="30"/>
  <c r="G4" i="37"/>
  <c r="G60" i="28"/>
  <c r="G61" i="27"/>
  <c r="G13" i="26"/>
  <c r="G38" i="33"/>
  <c r="G47" i="32"/>
  <c r="G16" i="31"/>
  <c r="G33" i="30"/>
  <c r="G29" i="26"/>
  <c r="G17" i="32"/>
  <c r="G27" i="28"/>
  <c r="G10" i="26"/>
  <c r="G49" i="26"/>
  <c r="G18" i="25"/>
  <c r="G34" i="25"/>
  <c r="G59" i="25"/>
  <c r="G12" i="30"/>
  <c r="G58" i="32"/>
  <c r="G17" i="37"/>
  <c r="G37" i="26"/>
  <c r="G51" i="3"/>
  <c r="G55" i="28"/>
  <c r="G52" i="37"/>
  <c r="G33" i="25"/>
  <c r="G39" i="26"/>
  <c r="G63" i="31"/>
  <c r="G25" i="26"/>
  <c r="G18" i="35"/>
  <c r="G55" i="36"/>
  <c r="G8" i="33"/>
  <c r="G33" i="32"/>
  <c r="G57" i="31"/>
  <c r="G26" i="30"/>
  <c r="G34" i="37"/>
  <c r="G58" i="28"/>
  <c r="G27" i="26"/>
  <c r="G35" i="36"/>
  <c r="G20" i="33"/>
  <c r="G14" i="32"/>
  <c r="G21" i="35"/>
  <c r="G7" i="36"/>
  <c r="G23" i="33"/>
  <c r="G40" i="32"/>
  <c r="G9" i="35"/>
  <c r="G43" i="33"/>
  <c r="G20" i="32"/>
  <c r="G52" i="31"/>
  <c r="G13" i="30"/>
  <c r="G13" i="37"/>
  <c r="G61" i="28"/>
  <c r="G53" i="27"/>
  <c r="G32" i="26"/>
  <c r="G31" i="25"/>
  <c r="G48" i="3"/>
  <c r="G37" i="35"/>
  <c r="G23" i="36"/>
  <c r="G39" i="33"/>
  <c r="G56" i="32"/>
  <c r="G25" i="31"/>
  <c r="G64" i="30"/>
  <c r="G57" i="37"/>
  <c r="G26" i="28"/>
  <c r="G58" i="27"/>
  <c r="G27" i="25"/>
  <c r="G12" i="3"/>
  <c r="G14" i="27"/>
  <c r="G56" i="26"/>
  <c r="G47" i="25"/>
  <c r="G17" i="3"/>
  <c r="G42" i="35"/>
  <c r="G13" i="36"/>
  <c r="G45" i="33"/>
  <c r="G46" i="32"/>
  <c r="G6" i="31"/>
  <c r="G15" i="30"/>
  <c r="G63" i="37"/>
  <c r="G24" i="28"/>
  <c r="G26" i="32"/>
  <c r="G44" i="30"/>
  <c r="G7" i="37"/>
  <c r="G22" i="27"/>
  <c r="G53" i="35"/>
  <c r="G39" i="36"/>
  <c r="G56" i="33"/>
  <c r="G12" i="35"/>
  <c r="G29" i="36"/>
  <c r="G26" i="33"/>
  <c r="G39" i="31"/>
  <c r="G53" i="28"/>
  <c r="G8" i="26"/>
  <c r="G15" i="3"/>
  <c r="G40" i="37"/>
  <c r="G5" i="26"/>
  <c r="G43" i="3"/>
  <c r="G28" i="3"/>
  <c r="G50" i="25"/>
  <c r="G39" i="37"/>
  <c r="G18" i="27"/>
  <c r="G21" i="31"/>
  <c r="G51" i="28"/>
  <c r="G58" i="26"/>
  <c r="G38" i="37"/>
  <c r="G36" i="3"/>
  <c r="G60" i="27"/>
  <c r="G7" i="26"/>
  <c r="G4" i="26"/>
  <c r="G50" i="3"/>
  <c r="K58" i="25" l="1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K33" i="35"/>
  <c r="L33" i="35" s="1"/>
  <c r="K53" i="35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K51" i="35"/>
  <c r="K43" i="35"/>
  <c r="L43" i="35" s="1"/>
  <c r="K35" i="35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L53" i="36"/>
  <c r="K53" i="36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L51" i="36"/>
  <c r="K51" i="36"/>
  <c r="K43" i="36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L33" i="33"/>
  <c r="K33" i="33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K43" i="32"/>
  <c r="K35" i="32"/>
  <c r="L35" i="32" s="1"/>
  <c r="K27" i="32"/>
  <c r="K19" i="32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43" i="36"/>
  <c r="L63" i="32"/>
  <c r="L5" i="31"/>
  <c r="L53" i="32"/>
  <c r="L61" i="35"/>
  <c r="K39" i="32"/>
  <c r="L39" i="32" s="1"/>
  <c r="K55" i="35"/>
  <c r="L55" i="35" s="1"/>
  <c r="K41" i="35"/>
  <c r="L41" i="35" s="1"/>
  <c r="L60" i="32"/>
  <c r="L57" i="35"/>
  <c r="L3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K17" i="35"/>
  <c r="L17" i="35" s="1"/>
  <c r="L67" i="35"/>
  <c r="L82" i="35"/>
  <c r="L53" i="35"/>
  <c r="L18" i="35"/>
  <c r="L75" i="35"/>
  <c r="L59" i="35"/>
  <c r="L51" i="35"/>
  <c r="L50" i="35"/>
  <c r="L42" i="35"/>
  <c r="L34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51" i="32"/>
  <c r="L43" i="32"/>
  <c r="L27" i="32"/>
  <c r="L19" i="32"/>
  <c r="L67" i="32"/>
  <c r="L16" i="31"/>
  <c r="K63" i="31"/>
  <c r="L63" i="31" s="1"/>
  <c r="L13" i="31"/>
  <c r="L21" i="31"/>
  <c r="K37" i="31"/>
  <c r="L37" i="31" s="1"/>
  <c r="L53" i="31"/>
  <c r="K82" i="30"/>
  <c r="L82" i="30" s="1"/>
  <c r="L73" i="31"/>
  <c r="L74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1" a="1"/>
  <c r="S36" i="28" a="1"/>
  <c r="S36" i="33" a="1"/>
  <c r="S36" i="32" a="1"/>
  <c r="S36" i="30" a="1"/>
  <c r="S36" i="35" a="1"/>
  <c r="S36" i="36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<sst xmlns="http://schemas.openxmlformats.org/spreadsheetml/2006/main" count="4712" uniqueCount="494">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</sst>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15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horizontal="left" vertical="center" wrapText="1"/>
    </xf>
    <xf numFmtId="0" fontId="5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F15E2C57-539E-F0D5-FBBF-162F8E3A9C1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44DA4509-998E-B90B-4550-3CED3AA2B43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104C0164-B647-5483-CFA6-01EFEE1707A0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40B1CDE2-5247-3052-F378-65209CDEE41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96" t="s">
        <v>292</v>
      </c>
      <c r="B1" s="296"/>
      <c r="C1" s="296"/>
      <c r="D1" s="296"/>
      <c r="E1" s="296"/>
      <c r="F1" s="296"/>
      <c r="G1" s="296"/>
      <c r="H1" s="296"/>
      <c r="I1" s="296"/>
      <c r="J1" s="296"/>
    </row>
    <row r="2" spans="1:10" ht="74" customHeight="1">
      <c r="A2" s="303" t="s">
        <v>352</v>
      </c>
      <c r="B2" s="303"/>
      <c r="C2" s="303"/>
      <c r="D2" s="303"/>
      <c r="E2" s="303"/>
      <c r="F2" s="303"/>
      <c r="G2" s="303"/>
      <c r="H2" s="303"/>
      <c r="I2" s="214"/>
      <c r="J2" s="214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04" t="s">
        <v>487</v>
      </c>
      <c r="B4" s="305"/>
      <c r="C4" s="305"/>
      <c r="D4" s="306"/>
      <c r="E4" s="306"/>
      <c r="F4" s="306"/>
      <c r="G4" s="307"/>
      <c r="H4" s="308"/>
      <c r="I4" s="306"/>
      <c r="J4" s="309"/>
    </row>
    <row r="5" spans="1:10" ht="24" customHeight="1">
      <c r="A5" s="194" t="s">
        <v>486</v>
      </c>
      <c r="B5" s="176">
        <v>46143</v>
      </c>
      <c r="C5" s="176">
        <v>46507</v>
      </c>
      <c r="D5" s="177" t="s">
        <v>302</v>
      </c>
      <c r="E5" s="177" t="s">
        <v>2</v>
      </c>
      <c r="F5" s="177" t="s">
        <v>293</v>
      </c>
      <c r="G5" s="130">
        <v>173</v>
      </c>
      <c r="H5" s="131">
        <v>2200</v>
      </c>
      <c r="I5" s="17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02" t="str">
        <f t="shared" ref="J5:J36" si="1">IF($G5="","",IF(COUNTIFS($A:$A,$A5,$D:$D,$D5,$G:$G,$G5)&gt;1,"Doppelte Monatsstunden",""))</f>
        <v/>
      </c>
    </row>
    <row r="6" spans="1:10" ht="24" customHeight="1">
      <c r="A6" s="195" t="s">
        <v>486</v>
      </c>
      <c r="B6" s="178">
        <v>46143</v>
      </c>
      <c r="C6" s="178">
        <v>46507</v>
      </c>
      <c r="D6" s="179" t="s">
        <v>302</v>
      </c>
      <c r="E6" s="179" t="s">
        <v>2</v>
      </c>
      <c r="F6" s="179" t="s">
        <v>293</v>
      </c>
      <c r="G6" s="132">
        <v>151.38</v>
      </c>
      <c r="H6" s="133"/>
      <c r="I6" s="179" t="str">
        <f t="shared" si="0"/>
        <v>Monatslohn fehlt</v>
      </c>
      <c r="J6" s="203" t="str">
        <f t="shared" si="1"/>
        <v/>
      </c>
    </row>
    <row r="7" spans="1:10" ht="24" customHeight="1">
      <c r="A7" s="195" t="s">
        <v>486</v>
      </c>
      <c r="B7" s="178">
        <v>46143</v>
      </c>
      <c r="C7" s="178">
        <v>46507</v>
      </c>
      <c r="D7" s="179" t="s">
        <v>302</v>
      </c>
      <c r="E7" s="179" t="s">
        <v>2</v>
      </c>
      <c r="F7" s="179" t="s">
        <v>293</v>
      </c>
      <c r="G7" s="132">
        <v>138.4</v>
      </c>
      <c r="H7" s="133"/>
      <c r="I7" s="179" t="str">
        <f t="shared" si="0"/>
        <v>Monatslohn fehlt</v>
      </c>
      <c r="J7" s="203" t="str">
        <f t="shared" si="1"/>
        <v/>
      </c>
    </row>
    <row r="8" spans="1:10" ht="24" customHeight="1">
      <c r="A8" s="195" t="s">
        <v>486</v>
      </c>
      <c r="B8" s="178">
        <v>46143</v>
      </c>
      <c r="C8" s="178">
        <v>46507</v>
      </c>
      <c r="D8" s="179" t="s">
        <v>302</v>
      </c>
      <c r="E8" s="179" t="s">
        <v>2</v>
      </c>
      <c r="F8" s="179" t="s">
        <v>293</v>
      </c>
      <c r="G8" s="132">
        <v>129.75</v>
      </c>
      <c r="H8" s="133"/>
      <c r="I8" s="179" t="str">
        <f t="shared" si="0"/>
        <v>Monatslohn fehlt</v>
      </c>
      <c r="J8" s="203" t="str">
        <f t="shared" si="1"/>
        <v/>
      </c>
    </row>
    <row r="9" spans="1:10" ht="24" customHeight="1">
      <c r="A9" s="195" t="s">
        <v>486</v>
      </c>
      <c r="B9" s="178">
        <v>46143</v>
      </c>
      <c r="C9" s="178">
        <v>46507</v>
      </c>
      <c r="D9" s="179" t="s">
        <v>302</v>
      </c>
      <c r="E9" s="179" t="s">
        <v>2</v>
      </c>
      <c r="F9" s="179" t="s">
        <v>293</v>
      </c>
      <c r="G9" s="132">
        <v>108.13</v>
      </c>
      <c r="H9" s="133"/>
      <c r="I9" s="179" t="str">
        <f t="shared" si="0"/>
        <v>Monatslohn fehlt</v>
      </c>
      <c r="J9" s="203" t="str">
        <f t="shared" si="1"/>
        <v/>
      </c>
    </row>
    <row r="10" spans="1:10" ht="24" customHeight="1">
      <c r="A10" s="195" t="s">
        <v>486</v>
      </c>
      <c r="B10" s="178">
        <v>46143</v>
      </c>
      <c r="C10" s="178">
        <v>46507</v>
      </c>
      <c r="D10" s="179" t="s">
        <v>302</v>
      </c>
      <c r="E10" s="179" t="s">
        <v>2</v>
      </c>
      <c r="F10" s="179" t="s">
        <v>293</v>
      </c>
      <c r="G10" s="132">
        <v>103.8</v>
      </c>
      <c r="H10" s="133"/>
      <c r="I10" s="179" t="str">
        <f t="shared" si="0"/>
        <v>Monatslohn fehlt</v>
      </c>
      <c r="J10" s="203" t="str">
        <f t="shared" si="1"/>
        <v/>
      </c>
    </row>
    <row r="11" spans="1:10" ht="24" customHeight="1">
      <c r="A11" s="195" t="s">
        <v>486</v>
      </c>
      <c r="B11" s="178">
        <v>46143</v>
      </c>
      <c r="C11" s="178">
        <v>46507</v>
      </c>
      <c r="D11" s="179" t="s">
        <v>302</v>
      </c>
      <c r="E11" s="179" t="s">
        <v>2</v>
      </c>
      <c r="F11" s="179" t="s">
        <v>293</v>
      </c>
      <c r="G11" s="132">
        <v>86.5</v>
      </c>
      <c r="H11" s="133">
        <v>1333</v>
      </c>
      <c r="I11" s="179" t="str">
        <f t="shared" si="0"/>
        <v>OK</v>
      </c>
      <c r="J11" s="203" t="str">
        <f t="shared" si="1"/>
        <v/>
      </c>
    </row>
    <row r="12" spans="1:10" ht="24" customHeight="1">
      <c r="A12" s="195" t="s">
        <v>486</v>
      </c>
      <c r="B12" s="178">
        <v>46143</v>
      </c>
      <c r="C12" s="178">
        <v>46507</v>
      </c>
      <c r="D12" s="179" t="s">
        <v>302</v>
      </c>
      <c r="E12" s="179" t="s">
        <v>2</v>
      </c>
      <c r="F12" s="179" t="s">
        <v>293</v>
      </c>
      <c r="G12" s="132">
        <v>69.2</v>
      </c>
      <c r="H12" s="133"/>
      <c r="I12" s="179" t="str">
        <f t="shared" si="0"/>
        <v>Monatslohn fehlt</v>
      </c>
      <c r="J12" s="203" t="str">
        <f t="shared" si="1"/>
        <v/>
      </c>
    </row>
    <row r="13" spans="1:10" ht="24" customHeight="1">
      <c r="A13" s="195" t="s">
        <v>486</v>
      </c>
      <c r="B13" s="178">
        <v>46143</v>
      </c>
      <c r="C13" s="178">
        <v>46507</v>
      </c>
      <c r="D13" s="179" t="s">
        <v>302</v>
      </c>
      <c r="E13" s="179" t="s">
        <v>2</v>
      </c>
      <c r="F13" s="179" t="s">
        <v>293</v>
      </c>
      <c r="G13" s="132">
        <v>64</v>
      </c>
      <c r="H13" s="133"/>
      <c r="I13" s="179" t="str">
        <f t="shared" si="0"/>
        <v>Monatslohn fehlt</v>
      </c>
      <c r="J13" s="203" t="str">
        <f t="shared" si="1"/>
        <v/>
      </c>
    </row>
    <row r="14" spans="1:10" ht="24" customHeight="1">
      <c r="A14" s="195" t="s">
        <v>486</v>
      </c>
      <c r="B14" s="178">
        <v>46143</v>
      </c>
      <c r="C14" s="178">
        <v>46507</v>
      </c>
      <c r="D14" s="179" t="s">
        <v>302</v>
      </c>
      <c r="E14" s="179" t="s">
        <v>2</v>
      </c>
      <c r="F14" s="179" t="s">
        <v>293</v>
      </c>
      <c r="G14" s="132">
        <v>51.9</v>
      </c>
      <c r="H14" s="133"/>
      <c r="I14" s="179" t="str">
        <f t="shared" si="0"/>
        <v>Monatslohn fehlt</v>
      </c>
      <c r="J14" s="203" t="str">
        <f t="shared" si="1"/>
        <v/>
      </c>
    </row>
    <row r="15" spans="1:10" ht="24" customHeight="1">
      <c r="A15" s="195" t="s">
        <v>486</v>
      </c>
      <c r="B15" s="178">
        <v>46143</v>
      </c>
      <c r="C15" s="178">
        <v>46507</v>
      </c>
      <c r="D15" s="179" t="s">
        <v>302</v>
      </c>
      <c r="E15" s="179" t="s">
        <v>2</v>
      </c>
      <c r="F15" s="179" t="s">
        <v>293</v>
      </c>
      <c r="G15" s="132">
        <v>47.58</v>
      </c>
      <c r="H15" s="133"/>
      <c r="I15" s="179" t="str">
        <f t="shared" si="0"/>
        <v>Monatslohn fehlt</v>
      </c>
      <c r="J15" s="203" t="str">
        <f t="shared" si="1"/>
        <v/>
      </c>
    </row>
    <row r="16" spans="1:10" ht="24" customHeight="1">
      <c r="A16" s="195" t="s">
        <v>486</v>
      </c>
      <c r="B16" s="178">
        <v>46143</v>
      </c>
      <c r="C16" s="178">
        <v>46507</v>
      </c>
      <c r="D16" s="179" t="s">
        <v>302</v>
      </c>
      <c r="E16" s="179" t="s">
        <v>2</v>
      </c>
      <c r="F16" s="179" t="s">
        <v>293</v>
      </c>
      <c r="G16" s="132">
        <v>43.25</v>
      </c>
      <c r="H16" s="133"/>
      <c r="I16" s="179" t="str">
        <f t="shared" si="0"/>
        <v>Monatslohn fehlt</v>
      </c>
      <c r="J16" s="203" t="str">
        <f t="shared" si="1"/>
        <v/>
      </c>
    </row>
    <row r="17" spans="1:10" ht="24" customHeight="1">
      <c r="A17" s="195" t="s">
        <v>486</v>
      </c>
      <c r="B17" s="178">
        <v>46143</v>
      </c>
      <c r="C17" s="178">
        <v>46507</v>
      </c>
      <c r="D17" s="179" t="s">
        <v>302</v>
      </c>
      <c r="E17" s="179" t="s">
        <v>2</v>
      </c>
      <c r="F17" s="179" t="s">
        <v>293</v>
      </c>
      <c r="G17" s="132">
        <v>34.6</v>
      </c>
      <c r="H17" s="133"/>
      <c r="I17" s="179" t="str">
        <f t="shared" si="0"/>
        <v>Monatslohn fehlt</v>
      </c>
      <c r="J17" s="203" t="str">
        <f t="shared" si="1"/>
        <v/>
      </c>
    </row>
    <row r="18" spans="1:10" ht="24" customHeight="1">
      <c r="A18" s="195" t="s">
        <v>486</v>
      </c>
      <c r="B18" s="178">
        <v>46143</v>
      </c>
      <c r="C18" s="178">
        <v>46507</v>
      </c>
      <c r="D18" s="179" t="s">
        <v>302</v>
      </c>
      <c r="E18" s="179" t="s">
        <v>2</v>
      </c>
      <c r="F18" s="179" t="s">
        <v>293</v>
      </c>
      <c r="G18" s="132">
        <v>32.01</v>
      </c>
      <c r="H18" s="133"/>
      <c r="I18" s="179" t="str">
        <f t="shared" si="0"/>
        <v>Monatslohn fehlt</v>
      </c>
      <c r="J18" s="203" t="str">
        <f t="shared" si="1"/>
        <v/>
      </c>
    </row>
    <row r="19" spans="1:10" ht="24" customHeight="1" thickBot="1">
      <c r="A19" s="195" t="s">
        <v>486</v>
      </c>
      <c r="B19" s="178">
        <v>46143</v>
      </c>
      <c r="C19" s="178">
        <v>46507</v>
      </c>
      <c r="D19" s="179" t="s">
        <v>302</v>
      </c>
      <c r="E19" s="179" t="s">
        <v>2</v>
      </c>
      <c r="F19" s="179" t="s">
        <v>293</v>
      </c>
      <c r="G19" s="132">
        <v>10</v>
      </c>
      <c r="H19" s="133"/>
      <c r="I19" s="179" t="str">
        <f t="shared" si="0"/>
        <v>Monatslohn fehlt</v>
      </c>
      <c r="J19" s="203" t="str">
        <f t="shared" si="1"/>
        <v/>
      </c>
    </row>
    <row r="20" spans="1:10" ht="24" customHeight="1">
      <c r="A20" s="196" t="s">
        <v>486</v>
      </c>
      <c r="B20" s="180">
        <v>46143</v>
      </c>
      <c r="C20" s="180">
        <v>46507</v>
      </c>
      <c r="D20" s="181" t="s">
        <v>3</v>
      </c>
      <c r="E20" s="181" t="s">
        <v>2</v>
      </c>
      <c r="F20" s="181" t="s">
        <v>294</v>
      </c>
      <c r="G20" s="134">
        <v>173</v>
      </c>
      <c r="H20" s="135"/>
      <c r="I20" s="181" t="str">
        <f t="shared" si="0"/>
        <v>Monatslohn fehlt</v>
      </c>
      <c r="J20" s="204" t="str">
        <f t="shared" si="1"/>
        <v/>
      </c>
    </row>
    <row r="21" spans="1:10" ht="24" customHeight="1">
      <c r="A21" s="195" t="s">
        <v>486</v>
      </c>
      <c r="B21" s="178">
        <v>46143</v>
      </c>
      <c r="C21" s="178">
        <v>46507</v>
      </c>
      <c r="D21" s="179" t="s">
        <v>3</v>
      </c>
      <c r="E21" s="179" t="s">
        <v>2</v>
      </c>
      <c r="F21" s="179" t="s">
        <v>294</v>
      </c>
      <c r="G21" s="132">
        <v>151.38</v>
      </c>
      <c r="H21" s="133"/>
      <c r="I21" s="179" t="str">
        <f t="shared" si="0"/>
        <v>Monatslohn fehlt</v>
      </c>
      <c r="J21" s="203" t="str">
        <f t="shared" si="1"/>
        <v/>
      </c>
    </row>
    <row r="22" spans="1:10" ht="24" customHeight="1">
      <c r="A22" s="195" t="s">
        <v>486</v>
      </c>
      <c r="B22" s="178">
        <v>46143</v>
      </c>
      <c r="C22" s="178">
        <v>46507</v>
      </c>
      <c r="D22" s="179" t="s">
        <v>3</v>
      </c>
      <c r="E22" s="179" t="s">
        <v>2</v>
      </c>
      <c r="F22" s="179" t="s">
        <v>294</v>
      </c>
      <c r="G22" s="132">
        <v>138.4</v>
      </c>
      <c r="H22" s="133"/>
      <c r="I22" s="179" t="str">
        <f t="shared" si="0"/>
        <v>Monatslohn fehlt</v>
      </c>
      <c r="J22" s="203" t="str">
        <f t="shared" si="1"/>
        <v/>
      </c>
    </row>
    <row r="23" spans="1:10" ht="24" customHeight="1">
      <c r="A23" s="195" t="s">
        <v>486</v>
      </c>
      <c r="B23" s="178">
        <v>46143</v>
      </c>
      <c r="C23" s="178">
        <v>46507</v>
      </c>
      <c r="D23" s="179" t="s">
        <v>3</v>
      </c>
      <c r="E23" s="179" t="s">
        <v>2</v>
      </c>
      <c r="F23" s="179" t="s">
        <v>294</v>
      </c>
      <c r="G23" s="132">
        <v>129.75</v>
      </c>
      <c r="H23" s="133"/>
      <c r="I23" s="179" t="str">
        <f t="shared" si="0"/>
        <v>Monatslohn fehlt</v>
      </c>
      <c r="J23" s="203" t="str">
        <f t="shared" si="1"/>
        <v/>
      </c>
    </row>
    <row r="24" spans="1:10" ht="24" customHeight="1">
      <c r="A24" s="195" t="s">
        <v>486</v>
      </c>
      <c r="B24" s="178">
        <v>46143</v>
      </c>
      <c r="C24" s="178">
        <v>46507</v>
      </c>
      <c r="D24" s="179" t="s">
        <v>3</v>
      </c>
      <c r="E24" s="179" t="s">
        <v>2</v>
      </c>
      <c r="F24" s="179" t="s">
        <v>294</v>
      </c>
      <c r="G24" s="132">
        <v>108.13</v>
      </c>
      <c r="H24" s="133"/>
      <c r="I24" s="179" t="str">
        <f t="shared" si="0"/>
        <v>Monatslohn fehlt</v>
      </c>
      <c r="J24" s="203" t="str">
        <f t="shared" si="1"/>
        <v/>
      </c>
    </row>
    <row r="25" spans="1:10" ht="24" customHeight="1">
      <c r="A25" s="195" t="s">
        <v>486</v>
      </c>
      <c r="B25" s="178">
        <v>46143</v>
      </c>
      <c r="C25" s="178">
        <v>46507</v>
      </c>
      <c r="D25" s="179" t="s">
        <v>3</v>
      </c>
      <c r="E25" s="179" t="s">
        <v>2</v>
      </c>
      <c r="F25" s="179" t="s">
        <v>294</v>
      </c>
      <c r="G25" s="132">
        <v>103.8</v>
      </c>
      <c r="H25" s="133"/>
      <c r="I25" s="179" t="str">
        <f t="shared" si="0"/>
        <v>Monatslohn fehlt</v>
      </c>
      <c r="J25" s="203" t="str">
        <f t="shared" si="1"/>
        <v/>
      </c>
    </row>
    <row r="26" spans="1:10" ht="24" customHeight="1">
      <c r="A26" s="195" t="s">
        <v>486</v>
      </c>
      <c r="B26" s="178">
        <v>46143</v>
      </c>
      <c r="C26" s="178">
        <v>46507</v>
      </c>
      <c r="D26" s="179" t="s">
        <v>3</v>
      </c>
      <c r="E26" s="179" t="s">
        <v>2</v>
      </c>
      <c r="F26" s="179" t="s">
        <v>294</v>
      </c>
      <c r="G26" s="132">
        <v>100</v>
      </c>
      <c r="H26" s="133"/>
      <c r="I26" s="179" t="str">
        <f t="shared" si="0"/>
        <v>Monatslohn fehlt</v>
      </c>
      <c r="J26" s="203" t="str">
        <f t="shared" si="1"/>
        <v/>
      </c>
    </row>
    <row r="27" spans="1:10" ht="24" customHeight="1">
      <c r="A27" s="195" t="s">
        <v>486</v>
      </c>
      <c r="B27" s="178">
        <v>46143</v>
      </c>
      <c r="C27" s="178">
        <v>46507</v>
      </c>
      <c r="D27" s="179" t="s">
        <v>3</v>
      </c>
      <c r="E27" s="179" t="s">
        <v>2</v>
      </c>
      <c r="F27" s="179" t="s">
        <v>294</v>
      </c>
      <c r="G27" s="132">
        <v>86.5</v>
      </c>
      <c r="H27" s="133"/>
      <c r="I27" s="179" t="str">
        <f t="shared" si="0"/>
        <v>Monatslohn fehlt</v>
      </c>
      <c r="J27" s="203" t="str">
        <f t="shared" si="1"/>
        <v/>
      </c>
    </row>
    <row r="28" spans="1:10" ht="24" customHeight="1">
      <c r="A28" s="195" t="s">
        <v>486</v>
      </c>
      <c r="B28" s="178">
        <v>46143</v>
      </c>
      <c r="C28" s="178">
        <v>46507</v>
      </c>
      <c r="D28" s="179" t="s">
        <v>3</v>
      </c>
      <c r="E28" s="179" t="s">
        <v>2</v>
      </c>
      <c r="F28" s="179" t="s">
        <v>294</v>
      </c>
      <c r="G28" s="132">
        <v>69.2</v>
      </c>
      <c r="H28" s="133"/>
      <c r="I28" s="179" t="str">
        <f t="shared" si="0"/>
        <v>Monatslohn fehlt</v>
      </c>
      <c r="J28" s="203" t="str">
        <f t="shared" si="1"/>
        <v/>
      </c>
    </row>
    <row r="29" spans="1:10" ht="24" customHeight="1">
      <c r="A29" s="195" t="s">
        <v>486</v>
      </c>
      <c r="B29" s="178">
        <v>46143</v>
      </c>
      <c r="C29" s="178">
        <v>46507</v>
      </c>
      <c r="D29" s="179" t="s">
        <v>3</v>
      </c>
      <c r="E29" s="179" t="s">
        <v>2</v>
      </c>
      <c r="F29" s="179" t="s">
        <v>294</v>
      </c>
      <c r="G29" s="132">
        <v>51.9</v>
      </c>
      <c r="H29" s="133"/>
      <c r="I29" s="179" t="str">
        <f t="shared" si="0"/>
        <v>Monatslohn fehlt</v>
      </c>
      <c r="J29" s="203" t="str">
        <f t="shared" si="1"/>
        <v/>
      </c>
    </row>
    <row r="30" spans="1:10" ht="24" customHeight="1">
      <c r="A30" s="195" t="s">
        <v>486</v>
      </c>
      <c r="B30" s="178">
        <v>46143</v>
      </c>
      <c r="C30" s="178">
        <v>46507</v>
      </c>
      <c r="D30" s="179" t="s">
        <v>3</v>
      </c>
      <c r="E30" s="179" t="s">
        <v>2</v>
      </c>
      <c r="F30" s="179" t="s">
        <v>294</v>
      </c>
      <c r="G30" s="132">
        <v>47.58</v>
      </c>
      <c r="H30" s="133"/>
      <c r="I30" s="179" t="str">
        <f t="shared" si="0"/>
        <v>Monatslohn fehlt</v>
      </c>
      <c r="J30" s="203" t="str">
        <f t="shared" si="1"/>
        <v/>
      </c>
    </row>
    <row r="31" spans="1:10" ht="24" customHeight="1">
      <c r="A31" s="195" t="s">
        <v>486</v>
      </c>
      <c r="B31" s="178">
        <v>46143</v>
      </c>
      <c r="C31" s="178">
        <v>46507</v>
      </c>
      <c r="D31" s="179" t="s">
        <v>3</v>
      </c>
      <c r="E31" s="179" t="s">
        <v>2</v>
      </c>
      <c r="F31" s="179" t="s">
        <v>294</v>
      </c>
      <c r="G31" s="132">
        <v>43.25</v>
      </c>
      <c r="H31" s="133"/>
      <c r="I31" s="179" t="str">
        <f t="shared" si="0"/>
        <v>Monatslohn fehlt</v>
      </c>
      <c r="J31" s="203" t="str">
        <f t="shared" si="1"/>
        <v/>
      </c>
    </row>
    <row r="32" spans="1:10" ht="24" customHeight="1">
      <c r="A32" s="195" t="s">
        <v>486</v>
      </c>
      <c r="B32" s="178">
        <v>46143</v>
      </c>
      <c r="C32" s="178">
        <v>46507</v>
      </c>
      <c r="D32" s="179" t="s">
        <v>3</v>
      </c>
      <c r="E32" s="179" t="s">
        <v>2</v>
      </c>
      <c r="F32" s="179" t="s">
        <v>294</v>
      </c>
      <c r="G32" s="132">
        <v>34.6</v>
      </c>
      <c r="H32" s="133"/>
      <c r="I32" s="179" t="str">
        <f t="shared" si="0"/>
        <v>Monatslohn fehlt</v>
      </c>
      <c r="J32" s="203" t="str">
        <f t="shared" si="1"/>
        <v/>
      </c>
    </row>
    <row r="33" spans="1:10" ht="24" customHeight="1">
      <c r="A33" s="195" t="s">
        <v>486</v>
      </c>
      <c r="B33" s="178">
        <v>46143</v>
      </c>
      <c r="C33" s="178">
        <v>46507</v>
      </c>
      <c r="D33" s="179" t="s">
        <v>3</v>
      </c>
      <c r="E33" s="179" t="s">
        <v>2</v>
      </c>
      <c r="F33" s="179" t="s">
        <v>294</v>
      </c>
      <c r="G33" s="132">
        <v>32.01</v>
      </c>
      <c r="H33" s="133"/>
      <c r="I33" s="179" t="str">
        <f t="shared" si="0"/>
        <v>Monatslohn fehlt</v>
      </c>
      <c r="J33" s="203" t="str">
        <f t="shared" si="1"/>
        <v/>
      </c>
    </row>
    <row r="34" spans="1:10" ht="24" customHeight="1" thickBot="1">
      <c r="A34" s="195" t="s">
        <v>486</v>
      </c>
      <c r="B34" s="178">
        <v>46143</v>
      </c>
      <c r="C34" s="178">
        <v>46507</v>
      </c>
      <c r="D34" s="179" t="s">
        <v>3</v>
      </c>
      <c r="E34" s="179" t="s">
        <v>2</v>
      </c>
      <c r="F34" s="179" t="s">
        <v>294</v>
      </c>
      <c r="G34" s="132"/>
      <c r="H34" s="133"/>
      <c r="I34" s="179" t="str">
        <f t="shared" si="0"/>
        <v>Werte fehlen</v>
      </c>
      <c r="J34" s="203" t="str">
        <f t="shared" si="1"/>
        <v/>
      </c>
    </row>
    <row r="35" spans="1:10" ht="24" customHeight="1">
      <c r="A35" s="196" t="s">
        <v>486</v>
      </c>
      <c r="B35" s="180">
        <v>46143</v>
      </c>
      <c r="C35" s="180">
        <v>46507</v>
      </c>
      <c r="D35" s="181" t="s">
        <v>4</v>
      </c>
      <c r="E35" s="181" t="s">
        <v>2</v>
      </c>
      <c r="F35" s="181" t="s">
        <v>295</v>
      </c>
      <c r="G35" s="134">
        <v>173</v>
      </c>
      <c r="H35" s="135"/>
      <c r="I35" s="181" t="str">
        <f t="shared" si="0"/>
        <v>Monatslohn fehlt</v>
      </c>
      <c r="J35" s="204" t="str">
        <f t="shared" si="1"/>
        <v/>
      </c>
    </row>
    <row r="36" spans="1:10" ht="24" customHeight="1">
      <c r="A36" s="195" t="s">
        <v>486</v>
      </c>
      <c r="B36" s="178">
        <v>46143</v>
      </c>
      <c r="C36" s="178">
        <v>46507</v>
      </c>
      <c r="D36" s="179" t="s">
        <v>4</v>
      </c>
      <c r="E36" s="179" t="s">
        <v>2</v>
      </c>
      <c r="F36" s="179" t="s">
        <v>295</v>
      </c>
      <c r="G36" s="132">
        <v>151.38</v>
      </c>
      <c r="H36" s="133"/>
      <c r="I36" s="179" t="str">
        <f t="shared" si="0"/>
        <v>Monatslohn fehlt</v>
      </c>
      <c r="J36" s="203" t="str">
        <f t="shared" si="1"/>
        <v/>
      </c>
    </row>
    <row r="37" spans="1:10" ht="24" customHeight="1">
      <c r="A37" s="195" t="s">
        <v>486</v>
      </c>
      <c r="B37" s="178">
        <v>46143</v>
      </c>
      <c r="C37" s="178">
        <v>46507</v>
      </c>
      <c r="D37" s="179" t="s">
        <v>4</v>
      </c>
      <c r="E37" s="179" t="s">
        <v>2</v>
      </c>
      <c r="F37" s="179" t="s">
        <v>295</v>
      </c>
      <c r="G37" s="132">
        <v>138.4</v>
      </c>
      <c r="H37" s="133"/>
      <c r="I37" s="17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203" t="str">
        <f t="shared" ref="J37:J68" si="3">IF($G37="","",IF(COUNTIFS($A:$A,$A37,$D:$D,$D37,$G:$G,$G37)&gt;1,"Doppelte Monatsstunden",""))</f>
        <v/>
      </c>
    </row>
    <row r="38" spans="1:10" ht="24" customHeight="1">
      <c r="A38" s="195" t="s">
        <v>486</v>
      </c>
      <c r="B38" s="178">
        <v>46143</v>
      </c>
      <c r="C38" s="178">
        <v>46507</v>
      </c>
      <c r="D38" s="179" t="s">
        <v>4</v>
      </c>
      <c r="E38" s="179" t="s">
        <v>2</v>
      </c>
      <c r="F38" s="179" t="s">
        <v>295</v>
      </c>
      <c r="G38" s="132">
        <v>129.75</v>
      </c>
      <c r="H38" s="133"/>
      <c r="I38" s="179" t="str">
        <f t="shared" si="2"/>
        <v>Monatslohn fehlt</v>
      </c>
      <c r="J38" s="203" t="str">
        <f t="shared" si="3"/>
        <v/>
      </c>
    </row>
    <row r="39" spans="1:10" ht="24" customHeight="1">
      <c r="A39" s="195" t="s">
        <v>486</v>
      </c>
      <c r="B39" s="178">
        <v>46143</v>
      </c>
      <c r="C39" s="178">
        <v>46507</v>
      </c>
      <c r="D39" s="179" t="s">
        <v>4</v>
      </c>
      <c r="E39" s="179" t="s">
        <v>2</v>
      </c>
      <c r="F39" s="179" t="s">
        <v>295</v>
      </c>
      <c r="G39" s="132">
        <v>108.13</v>
      </c>
      <c r="H39" s="133"/>
      <c r="I39" s="179" t="str">
        <f t="shared" si="2"/>
        <v>Monatslohn fehlt</v>
      </c>
      <c r="J39" s="203" t="str">
        <f t="shared" si="3"/>
        <v/>
      </c>
    </row>
    <row r="40" spans="1:10" ht="24" customHeight="1">
      <c r="A40" s="195" t="s">
        <v>486</v>
      </c>
      <c r="B40" s="178">
        <v>46143</v>
      </c>
      <c r="C40" s="178">
        <v>46507</v>
      </c>
      <c r="D40" s="179" t="s">
        <v>4</v>
      </c>
      <c r="E40" s="179" t="s">
        <v>2</v>
      </c>
      <c r="F40" s="179" t="s">
        <v>295</v>
      </c>
      <c r="G40" s="132">
        <v>103.8</v>
      </c>
      <c r="H40" s="133"/>
      <c r="I40" s="179" t="str">
        <f t="shared" si="2"/>
        <v>Monatslohn fehlt</v>
      </c>
      <c r="J40" s="203" t="str">
        <f t="shared" si="3"/>
        <v/>
      </c>
    </row>
    <row r="41" spans="1:10" ht="24" customHeight="1">
      <c r="A41" s="195" t="s">
        <v>486</v>
      </c>
      <c r="B41" s="178">
        <v>46143</v>
      </c>
      <c r="C41" s="178">
        <v>46507</v>
      </c>
      <c r="D41" s="179" t="s">
        <v>4</v>
      </c>
      <c r="E41" s="179" t="s">
        <v>2</v>
      </c>
      <c r="F41" s="179" t="s">
        <v>295</v>
      </c>
      <c r="G41" s="132">
        <v>86.5</v>
      </c>
      <c r="H41" s="133"/>
      <c r="I41" s="179" t="str">
        <f t="shared" si="2"/>
        <v>Monatslohn fehlt</v>
      </c>
      <c r="J41" s="203" t="str">
        <f t="shared" si="3"/>
        <v/>
      </c>
    </row>
    <row r="42" spans="1:10" ht="24" customHeight="1">
      <c r="A42" s="195" t="s">
        <v>486</v>
      </c>
      <c r="B42" s="178">
        <v>46143</v>
      </c>
      <c r="C42" s="178">
        <v>46507</v>
      </c>
      <c r="D42" s="179" t="s">
        <v>4</v>
      </c>
      <c r="E42" s="179" t="s">
        <v>2</v>
      </c>
      <c r="F42" s="179" t="s">
        <v>295</v>
      </c>
      <c r="G42" s="132">
        <v>69.2</v>
      </c>
      <c r="H42" s="133"/>
      <c r="I42" s="179" t="str">
        <f t="shared" si="2"/>
        <v>Monatslohn fehlt</v>
      </c>
      <c r="J42" s="203" t="str">
        <f t="shared" si="3"/>
        <v/>
      </c>
    </row>
    <row r="43" spans="1:10" ht="24" customHeight="1">
      <c r="A43" s="195" t="s">
        <v>486</v>
      </c>
      <c r="B43" s="178">
        <v>46143</v>
      </c>
      <c r="C43" s="178">
        <v>46507</v>
      </c>
      <c r="D43" s="179" t="s">
        <v>4</v>
      </c>
      <c r="E43" s="179" t="s">
        <v>2</v>
      </c>
      <c r="F43" s="179" t="s">
        <v>295</v>
      </c>
      <c r="G43" s="132">
        <v>51.9</v>
      </c>
      <c r="H43" s="133"/>
      <c r="I43" s="179" t="str">
        <f t="shared" si="2"/>
        <v>Monatslohn fehlt</v>
      </c>
      <c r="J43" s="203" t="str">
        <f t="shared" si="3"/>
        <v/>
      </c>
    </row>
    <row r="44" spans="1:10" ht="24" customHeight="1">
      <c r="A44" s="195" t="s">
        <v>486</v>
      </c>
      <c r="B44" s="178">
        <v>46143</v>
      </c>
      <c r="C44" s="178">
        <v>46507</v>
      </c>
      <c r="D44" s="179" t="s">
        <v>4</v>
      </c>
      <c r="E44" s="179" t="s">
        <v>2</v>
      </c>
      <c r="F44" s="179" t="s">
        <v>295</v>
      </c>
      <c r="G44" s="132">
        <v>47.58</v>
      </c>
      <c r="H44" s="133"/>
      <c r="I44" s="179" t="str">
        <f t="shared" si="2"/>
        <v>Monatslohn fehlt</v>
      </c>
      <c r="J44" s="203" t="str">
        <f t="shared" si="3"/>
        <v/>
      </c>
    </row>
    <row r="45" spans="1:10" ht="24" customHeight="1">
      <c r="A45" s="195" t="s">
        <v>486</v>
      </c>
      <c r="B45" s="178">
        <v>46143</v>
      </c>
      <c r="C45" s="178">
        <v>46507</v>
      </c>
      <c r="D45" s="179" t="s">
        <v>4</v>
      </c>
      <c r="E45" s="179" t="s">
        <v>2</v>
      </c>
      <c r="F45" s="179" t="s">
        <v>295</v>
      </c>
      <c r="G45" s="132">
        <v>43.25</v>
      </c>
      <c r="H45" s="133"/>
      <c r="I45" s="179" t="str">
        <f t="shared" si="2"/>
        <v>Monatslohn fehlt</v>
      </c>
      <c r="J45" s="203" t="str">
        <f t="shared" si="3"/>
        <v/>
      </c>
    </row>
    <row r="46" spans="1:10" ht="24" customHeight="1">
      <c r="A46" s="195" t="s">
        <v>486</v>
      </c>
      <c r="B46" s="178">
        <v>46143</v>
      </c>
      <c r="C46" s="178">
        <v>46507</v>
      </c>
      <c r="D46" s="179" t="s">
        <v>4</v>
      </c>
      <c r="E46" s="179" t="s">
        <v>2</v>
      </c>
      <c r="F46" s="179" t="s">
        <v>295</v>
      </c>
      <c r="G46" s="132">
        <v>34.6</v>
      </c>
      <c r="H46" s="133"/>
      <c r="I46" s="179" t="str">
        <f t="shared" si="2"/>
        <v>Monatslohn fehlt</v>
      </c>
      <c r="J46" s="203" t="str">
        <f t="shared" si="3"/>
        <v/>
      </c>
    </row>
    <row r="47" spans="1:10" ht="24" customHeight="1">
      <c r="A47" s="195" t="s">
        <v>486</v>
      </c>
      <c r="B47" s="178">
        <v>46143</v>
      </c>
      <c r="C47" s="178">
        <v>46507</v>
      </c>
      <c r="D47" s="179" t="s">
        <v>4</v>
      </c>
      <c r="E47" s="179" t="s">
        <v>2</v>
      </c>
      <c r="F47" s="179" t="s">
        <v>295</v>
      </c>
      <c r="G47" s="132">
        <v>32.01</v>
      </c>
      <c r="H47" s="133"/>
      <c r="I47" s="179" t="str">
        <f t="shared" si="2"/>
        <v>Monatslohn fehlt</v>
      </c>
      <c r="J47" s="203" t="str">
        <f t="shared" si="3"/>
        <v/>
      </c>
    </row>
    <row r="48" spans="1:10" ht="24" customHeight="1">
      <c r="A48" s="195" t="s">
        <v>486</v>
      </c>
      <c r="B48" s="178">
        <v>46143</v>
      </c>
      <c r="C48" s="178">
        <v>46507</v>
      </c>
      <c r="D48" s="179" t="s">
        <v>4</v>
      </c>
      <c r="E48" s="179" t="s">
        <v>2</v>
      </c>
      <c r="F48" s="179" t="s">
        <v>295</v>
      </c>
      <c r="G48" s="132"/>
      <c r="H48" s="133"/>
      <c r="I48" s="179" t="str">
        <f t="shared" si="2"/>
        <v>Werte fehlen</v>
      </c>
      <c r="J48" s="203" t="str">
        <f t="shared" si="3"/>
        <v/>
      </c>
    </row>
    <row r="49" spans="1:10" ht="24" customHeight="1" thickBot="1">
      <c r="A49" s="195" t="s">
        <v>486</v>
      </c>
      <c r="B49" s="178">
        <v>46143</v>
      </c>
      <c r="C49" s="178">
        <v>46507</v>
      </c>
      <c r="D49" s="179" t="s">
        <v>4</v>
      </c>
      <c r="E49" s="179" t="s">
        <v>2</v>
      </c>
      <c r="F49" s="179" t="s">
        <v>295</v>
      </c>
      <c r="G49" s="132"/>
      <c r="H49" s="133"/>
      <c r="I49" s="179" t="str">
        <f t="shared" si="2"/>
        <v>Werte fehlen</v>
      </c>
      <c r="J49" s="203" t="str">
        <f t="shared" si="3"/>
        <v/>
      </c>
    </row>
    <row r="50" spans="1:10" ht="24" customHeight="1">
      <c r="A50" s="196" t="s">
        <v>486</v>
      </c>
      <c r="B50" s="180">
        <v>46143</v>
      </c>
      <c r="C50" s="180">
        <v>46507</v>
      </c>
      <c r="D50" s="181" t="s">
        <v>5</v>
      </c>
      <c r="E50" s="181" t="s">
        <v>2</v>
      </c>
      <c r="F50" s="181" t="s">
        <v>296</v>
      </c>
      <c r="G50" s="134">
        <v>173</v>
      </c>
      <c r="H50" s="135"/>
      <c r="I50" s="181" t="str">
        <f t="shared" si="2"/>
        <v>Monatslohn fehlt</v>
      </c>
      <c r="J50" s="204" t="str">
        <f t="shared" si="3"/>
        <v/>
      </c>
    </row>
    <row r="51" spans="1:10" ht="24" customHeight="1">
      <c r="A51" s="195" t="s">
        <v>486</v>
      </c>
      <c r="B51" s="178">
        <v>46143</v>
      </c>
      <c r="C51" s="178">
        <v>46507</v>
      </c>
      <c r="D51" s="179" t="s">
        <v>5</v>
      </c>
      <c r="E51" s="179" t="s">
        <v>2</v>
      </c>
      <c r="F51" s="179" t="s">
        <v>296</v>
      </c>
      <c r="G51" s="132">
        <v>151.38</v>
      </c>
      <c r="H51" s="133"/>
      <c r="I51" s="179" t="str">
        <f t="shared" si="2"/>
        <v>Monatslohn fehlt</v>
      </c>
      <c r="J51" s="203" t="str">
        <f t="shared" si="3"/>
        <v/>
      </c>
    </row>
    <row r="52" spans="1:10" ht="24" customHeight="1">
      <c r="A52" s="195" t="s">
        <v>486</v>
      </c>
      <c r="B52" s="178">
        <v>46143</v>
      </c>
      <c r="C52" s="178">
        <v>46507</v>
      </c>
      <c r="D52" s="179" t="s">
        <v>5</v>
      </c>
      <c r="E52" s="179" t="s">
        <v>2</v>
      </c>
      <c r="F52" s="179" t="s">
        <v>296</v>
      </c>
      <c r="G52" s="132">
        <v>138.4</v>
      </c>
      <c r="H52" s="133"/>
      <c r="I52" s="179" t="str">
        <f t="shared" si="2"/>
        <v>Monatslohn fehlt</v>
      </c>
      <c r="J52" s="203" t="str">
        <f t="shared" si="3"/>
        <v/>
      </c>
    </row>
    <row r="53" spans="1:10" ht="24" customHeight="1">
      <c r="A53" s="195" t="s">
        <v>486</v>
      </c>
      <c r="B53" s="178">
        <v>46143</v>
      </c>
      <c r="C53" s="178">
        <v>46507</v>
      </c>
      <c r="D53" s="179" t="s">
        <v>5</v>
      </c>
      <c r="E53" s="179" t="s">
        <v>2</v>
      </c>
      <c r="F53" s="179" t="s">
        <v>296</v>
      </c>
      <c r="G53" s="132">
        <v>129.75</v>
      </c>
      <c r="H53" s="133"/>
      <c r="I53" s="179" t="str">
        <f t="shared" si="2"/>
        <v>Monatslohn fehlt</v>
      </c>
      <c r="J53" s="203" t="str">
        <f t="shared" si="3"/>
        <v/>
      </c>
    </row>
    <row r="54" spans="1:10" ht="24" customHeight="1">
      <c r="A54" s="195" t="s">
        <v>486</v>
      </c>
      <c r="B54" s="178">
        <v>46143</v>
      </c>
      <c r="C54" s="178">
        <v>46507</v>
      </c>
      <c r="D54" s="179" t="s">
        <v>5</v>
      </c>
      <c r="E54" s="179" t="s">
        <v>2</v>
      </c>
      <c r="F54" s="179" t="s">
        <v>296</v>
      </c>
      <c r="G54" s="132">
        <v>108.13</v>
      </c>
      <c r="H54" s="133"/>
      <c r="I54" s="179" t="str">
        <f t="shared" si="2"/>
        <v>Monatslohn fehlt</v>
      </c>
      <c r="J54" s="203" t="str">
        <f t="shared" si="3"/>
        <v/>
      </c>
    </row>
    <row r="55" spans="1:10" ht="24" customHeight="1">
      <c r="A55" s="195" t="s">
        <v>486</v>
      </c>
      <c r="B55" s="178">
        <v>46143</v>
      </c>
      <c r="C55" s="178">
        <v>46507</v>
      </c>
      <c r="D55" s="179" t="s">
        <v>5</v>
      </c>
      <c r="E55" s="179" t="s">
        <v>2</v>
      </c>
      <c r="F55" s="179" t="s">
        <v>296</v>
      </c>
      <c r="G55" s="132">
        <v>103.8</v>
      </c>
      <c r="H55" s="133"/>
      <c r="I55" s="179" t="str">
        <f t="shared" si="2"/>
        <v>Monatslohn fehlt</v>
      </c>
      <c r="J55" s="203" t="str">
        <f t="shared" si="3"/>
        <v/>
      </c>
    </row>
    <row r="56" spans="1:10" ht="24" customHeight="1">
      <c r="A56" s="195" t="s">
        <v>486</v>
      </c>
      <c r="B56" s="178">
        <v>46143</v>
      </c>
      <c r="C56" s="178">
        <v>46507</v>
      </c>
      <c r="D56" s="179" t="s">
        <v>5</v>
      </c>
      <c r="E56" s="179" t="s">
        <v>2</v>
      </c>
      <c r="F56" s="179" t="s">
        <v>296</v>
      </c>
      <c r="G56" s="132">
        <v>86.5</v>
      </c>
      <c r="H56" s="133"/>
      <c r="I56" s="179" t="str">
        <f t="shared" si="2"/>
        <v>Monatslohn fehlt</v>
      </c>
      <c r="J56" s="203" t="str">
        <f t="shared" si="3"/>
        <v/>
      </c>
    </row>
    <row r="57" spans="1:10" ht="24" customHeight="1">
      <c r="A57" s="195" t="s">
        <v>486</v>
      </c>
      <c r="B57" s="178">
        <v>46143</v>
      </c>
      <c r="C57" s="178">
        <v>46507</v>
      </c>
      <c r="D57" s="179" t="s">
        <v>5</v>
      </c>
      <c r="E57" s="179" t="s">
        <v>2</v>
      </c>
      <c r="F57" s="179" t="s">
        <v>296</v>
      </c>
      <c r="G57" s="132">
        <v>69.2</v>
      </c>
      <c r="H57" s="133"/>
      <c r="I57" s="179" t="str">
        <f t="shared" si="2"/>
        <v>Monatslohn fehlt</v>
      </c>
      <c r="J57" s="203" t="str">
        <f t="shared" si="3"/>
        <v/>
      </c>
    </row>
    <row r="58" spans="1:10" ht="24" customHeight="1">
      <c r="A58" s="195" t="s">
        <v>486</v>
      </c>
      <c r="B58" s="178">
        <v>46143</v>
      </c>
      <c r="C58" s="178">
        <v>46507</v>
      </c>
      <c r="D58" s="179" t="s">
        <v>5</v>
      </c>
      <c r="E58" s="179" t="s">
        <v>2</v>
      </c>
      <c r="F58" s="179" t="s">
        <v>296</v>
      </c>
      <c r="G58" s="132">
        <v>51.9</v>
      </c>
      <c r="H58" s="133"/>
      <c r="I58" s="179" t="str">
        <f t="shared" si="2"/>
        <v>Monatslohn fehlt</v>
      </c>
      <c r="J58" s="203" t="str">
        <f t="shared" si="3"/>
        <v/>
      </c>
    </row>
    <row r="59" spans="1:10" ht="24" customHeight="1">
      <c r="A59" s="195" t="s">
        <v>486</v>
      </c>
      <c r="B59" s="178">
        <v>46143</v>
      </c>
      <c r="C59" s="178">
        <v>46507</v>
      </c>
      <c r="D59" s="179" t="s">
        <v>5</v>
      </c>
      <c r="E59" s="179" t="s">
        <v>2</v>
      </c>
      <c r="F59" s="179" t="s">
        <v>296</v>
      </c>
      <c r="G59" s="132">
        <v>47.58</v>
      </c>
      <c r="H59" s="133"/>
      <c r="I59" s="179" t="str">
        <f t="shared" si="2"/>
        <v>Monatslohn fehlt</v>
      </c>
      <c r="J59" s="203" t="str">
        <f t="shared" si="3"/>
        <v/>
      </c>
    </row>
    <row r="60" spans="1:10" ht="24" customHeight="1">
      <c r="A60" s="195" t="s">
        <v>486</v>
      </c>
      <c r="B60" s="178">
        <v>46143</v>
      </c>
      <c r="C60" s="178">
        <v>46507</v>
      </c>
      <c r="D60" s="179" t="s">
        <v>5</v>
      </c>
      <c r="E60" s="179" t="s">
        <v>2</v>
      </c>
      <c r="F60" s="179" t="s">
        <v>296</v>
      </c>
      <c r="G60" s="132">
        <v>43.25</v>
      </c>
      <c r="H60" s="133"/>
      <c r="I60" s="179" t="str">
        <f t="shared" si="2"/>
        <v>Monatslohn fehlt</v>
      </c>
      <c r="J60" s="203" t="str">
        <f t="shared" si="3"/>
        <v/>
      </c>
    </row>
    <row r="61" spans="1:10" ht="24" customHeight="1">
      <c r="A61" s="195" t="s">
        <v>486</v>
      </c>
      <c r="B61" s="178">
        <v>46143</v>
      </c>
      <c r="C61" s="178">
        <v>46507</v>
      </c>
      <c r="D61" s="179" t="s">
        <v>5</v>
      </c>
      <c r="E61" s="179" t="s">
        <v>2</v>
      </c>
      <c r="F61" s="179" t="s">
        <v>296</v>
      </c>
      <c r="G61" s="132">
        <v>34.6</v>
      </c>
      <c r="H61" s="133"/>
      <c r="I61" s="179" t="str">
        <f t="shared" si="2"/>
        <v>Monatslohn fehlt</v>
      </c>
      <c r="J61" s="203" t="str">
        <f t="shared" si="3"/>
        <v/>
      </c>
    </row>
    <row r="62" spans="1:10" ht="24" customHeight="1">
      <c r="A62" s="195" t="s">
        <v>486</v>
      </c>
      <c r="B62" s="178">
        <v>46143</v>
      </c>
      <c r="C62" s="178">
        <v>46507</v>
      </c>
      <c r="D62" s="179" t="s">
        <v>5</v>
      </c>
      <c r="E62" s="179" t="s">
        <v>2</v>
      </c>
      <c r="F62" s="179" t="s">
        <v>296</v>
      </c>
      <c r="G62" s="132">
        <v>32.01</v>
      </c>
      <c r="H62" s="133"/>
      <c r="I62" s="179" t="str">
        <f t="shared" si="2"/>
        <v>Monatslohn fehlt</v>
      </c>
      <c r="J62" s="203" t="str">
        <f t="shared" si="3"/>
        <v/>
      </c>
    </row>
    <row r="63" spans="1:10" ht="24" customHeight="1">
      <c r="A63" s="195" t="s">
        <v>486</v>
      </c>
      <c r="B63" s="178">
        <v>46143</v>
      </c>
      <c r="C63" s="178">
        <v>46507</v>
      </c>
      <c r="D63" s="179" t="s">
        <v>5</v>
      </c>
      <c r="E63" s="179" t="s">
        <v>2</v>
      </c>
      <c r="F63" s="179" t="s">
        <v>296</v>
      </c>
      <c r="G63" s="132"/>
      <c r="H63" s="133"/>
      <c r="I63" s="179" t="str">
        <f t="shared" si="2"/>
        <v>Werte fehlen</v>
      </c>
      <c r="J63" s="203" t="str">
        <f t="shared" si="3"/>
        <v/>
      </c>
    </row>
    <row r="64" spans="1:10" ht="24" customHeight="1" thickBot="1">
      <c r="A64" s="195" t="s">
        <v>486</v>
      </c>
      <c r="B64" s="178">
        <v>46143</v>
      </c>
      <c r="C64" s="178">
        <v>46507</v>
      </c>
      <c r="D64" s="179" t="s">
        <v>5</v>
      </c>
      <c r="E64" s="179" t="s">
        <v>2</v>
      </c>
      <c r="F64" s="179" t="s">
        <v>296</v>
      </c>
      <c r="G64" s="132"/>
      <c r="H64" s="133"/>
      <c r="I64" s="179" t="str">
        <f t="shared" si="2"/>
        <v>Werte fehlen</v>
      </c>
      <c r="J64" s="203" t="str">
        <f t="shared" si="3"/>
        <v/>
      </c>
    </row>
    <row r="65" spans="1:10" ht="24" customHeight="1">
      <c r="A65" s="197" t="s">
        <v>486</v>
      </c>
      <c r="B65" s="182">
        <v>46143</v>
      </c>
      <c r="C65" s="182">
        <v>46507</v>
      </c>
      <c r="D65" s="183" t="s">
        <v>303</v>
      </c>
      <c r="E65" s="183" t="s">
        <v>6</v>
      </c>
      <c r="F65" s="183" t="s">
        <v>293</v>
      </c>
      <c r="G65" s="136">
        <v>173</v>
      </c>
      <c r="H65" s="137"/>
      <c r="I65" s="183" t="str">
        <f t="shared" si="2"/>
        <v>Monatslohn fehlt</v>
      </c>
      <c r="J65" s="205" t="str">
        <f t="shared" si="3"/>
        <v/>
      </c>
    </row>
    <row r="66" spans="1:10" ht="24" customHeight="1">
      <c r="A66" s="198" t="s">
        <v>486</v>
      </c>
      <c r="B66" s="184">
        <v>46143</v>
      </c>
      <c r="C66" s="184">
        <v>46507</v>
      </c>
      <c r="D66" s="185" t="s">
        <v>303</v>
      </c>
      <c r="E66" s="185" t="s">
        <v>6</v>
      </c>
      <c r="F66" s="185" t="s">
        <v>293</v>
      </c>
      <c r="G66" s="138">
        <v>151.38</v>
      </c>
      <c r="H66" s="139"/>
      <c r="I66" s="185" t="str">
        <f t="shared" si="2"/>
        <v>Monatslohn fehlt</v>
      </c>
      <c r="J66" s="206" t="str">
        <f t="shared" si="3"/>
        <v/>
      </c>
    </row>
    <row r="67" spans="1:10" ht="24" customHeight="1">
      <c r="A67" s="198" t="s">
        <v>486</v>
      </c>
      <c r="B67" s="184">
        <v>46143</v>
      </c>
      <c r="C67" s="184">
        <v>46507</v>
      </c>
      <c r="D67" s="185" t="s">
        <v>303</v>
      </c>
      <c r="E67" s="185" t="s">
        <v>6</v>
      </c>
      <c r="F67" s="185" t="s">
        <v>293</v>
      </c>
      <c r="G67" s="138">
        <v>138.4</v>
      </c>
      <c r="H67" s="139"/>
      <c r="I67" s="185" t="str">
        <f t="shared" si="2"/>
        <v>Monatslohn fehlt</v>
      </c>
      <c r="J67" s="206" t="str">
        <f t="shared" si="3"/>
        <v/>
      </c>
    </row>
    <row r="68" spans="1:10" ht="24" customHeight="1">
      <c r="A68" s="198" t="s">
        <v>486</v>
      </c>
      <c r="B68" s="184">
        <v>46143</v>
      </c>
      <c r="C68" s="184">
        <v>46507</v>
      </c>
      <c r="D68" s="185" t="s">
        <v>303</v>
      </c>
      <c r="E68" s="185" t="s">
        <v>6</v>
      </c>
      <c r="F68" s="185" t="s">
        <v>293</v>
      </c>
      <c r="G68" s="138">
        <v>129.75</v>
      </c>
      <c r="H68" s="139"/>
      <c r="I68" s="185" t="str">
        <f t="shared" si="2"/>
        <v>Monatslohn fehlt</v>
      </c>
      <c r="J68" s="206" t="str">
        <f t="shared" si="3"/>
        <v/>
      </c>
    </row>
    <row r="69" spans="1:10" ht="24" customHeight="1">
      <c r="A69" s="198" t="s">
        <v>486</v>
      </c>
      <c r="B69" s="184">
        <v>46143</v>
      </c>
      <c r="C69" s="184">
        <v>46507</v>
      </c>
      <c r="D69" s="185" t="s">
        <v>303</v>
      </c>
      <c r="E69" s="185" t="s">
        <v>6</v>
      </c>
      <c r="F69" s="185" t="s">
        <v>293</v>
      </c>
      <c r="G69" s="138">
        <v>108.13</v>
      </c>
      <c r="H69" s="139"/>
      <c r="I69" s="18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206" t="str">
        <f t="shared" ref="J69:J100" si="5">IF($G69="","",IF(COUNTIFS($A:$A,$A69,$D:$D,$D69,$G:$G,$G69)&gt;1,"Doppelte Monatsstunden",""))</f>
        <v/>
      </c>
    </row>
    <row r="70" spans="1:10" ht="24" customHeight="1">
      <c r="A70" s="198" t="s">
        <v>486</v>
      </c>
      <c r="B70" s="184">
        <v>46143</v>
      </c>
      <c r="C70" s="184">
        <v>46507</v>
      </c>
      <c r="D70" s="185" t="s">
        <v>303</v>
      </c>
      <c r="E70" s="185" t="s">
        <v>6</v>
      </c>
      <c r="F70" s="185" t="s">
        <v>293</v>
      </c>
      <c r="G70" s="138">
        <v>103.8</v>
      </c>
      <c r="H70" s="139"/>
      <c r="I70" s="185" t="str">
        <f t="shared" si="4"/>
        <v>Monatslohn fehlt</v>
      </c>
      <c r="J70" s="206" t="str">
        <f t="shared" si="5"/>
        <v/>
      </c>
    </row>
    <row r="71" spans="1:10" ht="24" customHeight="1">
      <c r="A71" s="198" t="s">
        <v>486</v>
      </c>
      <c r="B71" s="184">
        <v>46143</v>
      </c>
      <c r="C71" s="184">
        <v>46507</v>
      </c>
      <c r="D71" s="185" t="s">
        <v>303</v>
      </c>
      <c r="E71" s="185" t="s">
        <v>6</v>
      </c>
      <c r="F71" s="185" t="s">
        <v>293</v>
      </c>
      <c r="G71" s="138">
        <v>86.5</v>
      </c>
      <c r="H71" s="139"/>
      <c r="I71" s="185" t="str">
        <f t="shared" si="4"/>
        <v>Monatslohn fehlt</v>
      </c>
      <c r="J71" s="206" t="str">
        <f t="shared" si="5"/>
        <v/>
      </c>
    </row>
    <row r="72" spans="1:10" ht="24" customHeight="1">
      <c r="A72" s="198" t="s">
        <v>486</v>
      </c>
      <c r="B72" s="184">
        <v>46143</v>
      </c>
      <c r="C72" s="184">
        <v>46507</v>
      </c>
      <c r="D72" s="185" t="s">
        <v>303</v>
      </c>
      <c r="E72" s="185" t="s">
        <v>6</v>
      </c>
      <c r="F72" s="185" t="s">
        <v>293</v>
      </c>
      <c r="G72" s="138">
        <v>69.2</v>
      </c>
      <c r="H72" s="139"/>
      <c r="I72" s="185" t="str">
        <f t="shared" si="4"/>
        <v>Monatslohn fehlt</v>
      </c>
      <c r="J72" s="206" t="str">
        <f t="shared" si="5"/>
        <v/>
      </c>
    </row>
    <row r="73" spans="1:10" ht="24" customHeight="1">
      <c r="A73" s="198" t="s">
        <v>486</v>
      </c>
      <c r="B73" s="184">
        <v>46143</v>
      </c>
      <c r="C73" s="184">
        <v>46507</v>
      </c>
      <c r="D73" s="185" t="s">
        <v>303</v>
      </c>
      <c r="E73" s="185" t="s">
        <v>6</v>
      </c>
      <c r="F73" s="185" t="s">
        <v>293</v>
      </c>
      <c r="G73" s="138">
        <v>51.9</v>
      </c>
      <c r="H73" s="139"/>
      <c r="I73" s="185" t="str">
        <f t="shared" si="4"/>
        <v>Monatslohn fehlt</v>
      </c>
      <c r="J73" s="206" t="str">
        <f t="shared" si="5"/>
        <v/>
      </c>
    </row>
    <row r="74" spans="1:10" ht="24" customHeight="1">
      <c r="A74" s="198" t="s">
        <v>486</v>
      </c>
      <c r="B74" s="184">
        <v>46143</v>
      </c>
      <c r="C74" s="184">
        <v>46507</v>
      </c>
      <c r="D74" s="185" t="s">
        <v>303</v>
      </c>
      <c r="E74" s="185" t="s">
        <v>6</v>
      </c>
      <c r="F74" s="185" t="s">
        <v>293</v>
      </c>
      <c r="G74" s="138">
        <v>47.58</v>
      </c>
      <c r="H74" s="139"/>
      <c r="I74" s="185" t="str">
        <f t="shared" si="4"/>
        <v>Monatslohn fehlt</v>
      </c>
      <c r="J74" s="206" t="str">
        <f t="shared" si="5"/>
        <v/>
      </c>
    </row>
    <row r="75" spans="1:10" ht="24" customHeight="1">
      <c r="A75" s="198" t="s">
        <v>486</v>
      </c>
      <c r="B75" s="184">
        <v>46143</v>
      </c>
      <c r="C75" s="184">
        <v>46507</v>
      </c>
      <c r="D75" s="185" t="s">
        <v>303</v>
      </c>
      <c r="E75" s="185" t="s">
        <v>6</v>
      </c>
      <c r="F75" s="185" t="s">
        <v>293</v>
      </c>
      <c r="G75" s="138">
        <v>43.25</v>
      </c>
      <c r="H75" s="139"/>
      <c r="I75" s="185" t="str">
        <f t="shared" si="4"/>
        <v>Monatslohn fehlt</v>
      </c>
      <c r="J75" s="206" t="str">
        <f t="shared" si="5"/>
        <v/>
      </c>
    </row>
    <row r="76" spans="1:10" ht="24" customHeight="1">
      <c r="A76" s="198" t="s">
        <v>486</v>
      </c>
      <c r="B76" s="184">
        <v>46143</v>
      </c>
      <c r="C76" s="184">
        <v>46507</v>
      </c>
      <c r="D76" s="185" t="s">
        <v>303</v>
      </c>
      <c r="E76" s="185" t="s">
        <v>6</v>
      </c>
      <c r="F76" s="185" t="s">
        <v>293</v>
      </c>
      <c r="G76" s="138">
        <v>34.6</v>
      </c>
      <c r="H76" s="139"/>
      <c r="I76" s="185" t="str">
        <f t="shared" si="4"/>
        <v>Monatslohn fehlt</v>
      </c>
      <c r="J76" s="206" t="str">
        <f t="shared" si="5"/>
        <v/>
      </c>
    </row>
    <row r="77" spans="1:10" ht="24" customHeight="1">
      <c r="A77" s="198" t="s">
        <v>486</v>
      </c>
      <c r="B77" s="184">
        <v>46143</v>
      </c>
      <c r="C77" s="184">
        <v>46507</v>
      </c>
      <c r="D77" s="185" t="s">
        <v>303</v>
      </c>
      <c r="E77" s="185" t="s">
        <v>6</v>
      </c>
      <c r="F77" s="185" t="s">
        <v>293</v>
      </c>
      <c r="G77" s="138">
        <v>32.01</v>
      </c>
      <c r="H77" s="139"/>
      <c r="I77" s="185" t="str">
        <f t="shared" si="4"/>
        <v>Monatslohn fehlt</v>
      </c>
      <c r="J77" s="206" t="str">
        <f t="shared" si="5"/>
        <v/>
      </c>
    </row>
    <row r="78" spans="1:10" ht="24" customHeight="1">
      <c r="A78" s="198" t="s">
        <v>486</v>
      </c>
      <c r="B78" s="184">
        <v>46143</v>
      </c>
      <c r="C78" s="184">
        <v>46507</v>
      </c>
      <c r="D78" s="185" t="s">
        <v>303</v>
      </c>
      <c r="E78" s="185" t="s">
        <v>6</v>
      </c>
      <c r="F78" s="185" t="s">
        <v>293</v>
      </c>
      <c r="G78" s="138"/>
      <c r="H78" s="139"/>
      <c r="I78" s="185" t="str">
        <f t="shared" si="4"/>
        <v>Werte fehlen</v>
      </c>
      <c r="J78" s="206" t="str">
        <f t="shared" si="5"/>
        <v/>
      </c>
    </row>
    <row r="79" spans="1:10" ht="24" customHeight="1" thickBot="1">
      <c r="A79" s="198" t="s">
        <v>486</v>
      </c>
      <c r="B79" s="184">
        <v>46143</v>
      </c>
      <c r="C79" s="184">
        <v>46507</v>
      </c>
      <c r="D79" s="185" t="s">
        <v>303</v>
      </c>
      <c r="E79" s="185" t="s">
        <v>6</v>
      </c>
      <c r="F79" s="185" t="s">
        <v>293</v>
      </c>
      <c r="G79" s="138"/>
      <c r="H79" s="139"/>
      <c r="I79" s="185" t="str">
        <f t="shared" si="4"/>
        <v>Werte fehlen</v>
      </c>
      <c r="J79" s="206" t="str">
        <f t="shared" si="5"/>
        <v/>
      </c>
    </row>
    <row r="80" spans="1:10" ht="24" customHeight="1">
      <c r="A80" s="197" t="s">
        <v>486</v>
      </c>
      <c r="B80" s="182">
        <v>46143</v>
      </c>
      <c r="C80" s="182">
        <v>46507</v>
      </c>
      <c r="D80" s="183" t="s">
        <v>7</v>
      </c>
      <c r="E80" s="183" t="s">
        <v>6</v>
      </c>
      <c r="F80" s="183" t="s">
        <v>294</v>
      </c>
      <c r="G80" s="136">
        <v>173</v>
      </c>
      <c r="H80" s="137"/>
      <c r="I80" s="183" t="str">
        <f t="shared" si="4"/>
        <v>Monatslohn fehlt</v>
      </c>
      <c r="J80" s="205" t="str">
        <f t="shared" si="5"/>
        <v/>
      </c>
    </row>
    <row r="81" spans="1:10" ht="24" customHeight="1">
      <c r="A81" s="198" t="s">
        <v>486</v>
      </c>
      <c r="B81" s="184">
        <v>46143</v>
      </c>
      <c r="C81" s="184">
        <v>46507</v>
      </c>
      <c r="D81" s="185" t="s">
        <v>7</v>
      </c>
      <c r="E81" s="185" t="s">
        <v>6</v>
      </c>
      <c r="F81" s="185" t="s">
        <v>294</v>
      </c>
      <c r="G81" s="138">
        <v>151.38</v>
      </c>
      <c r="H81" s="139"/>
      <c r="I81" s="185" t="str">
        <f t="shared" si="4"/>
        <v>Monatslohn fehlt</v>
      </c>
      <c r="J81" s="206" t="str">
        <f t="shared" si="5"/>
        <v/>
      </c>
    </row>
    <row r="82" spans="1:10" ht="24" customHeight="1">
      <c r="A82" s="198" t="s">
        <v>486</v>
      </c>
      <c r="B82" s="184">
        <v>46143</v>
      </c>
      <c r="C82" s="184">
        <v>46507</v>
      </c>
      <c r="D82" s="185" t="s">
        <v>7</v>
      </c>
      <c r="E82" s="185" t="s">
        <v>6</v>
      </c>
      <c r="F82" s="185" t="s">
        <v>294</v>
      </c>
      <c r="G82" s="138">
        <v>138.4</v>
      </c>
      <c r="H82" s="139"/>
      <c r="I82" s="185" t="str">
        <f t="shared" si="4"/>
        <v>Monatslohn fehlt</v>
      </c>
      <c r="J82" s="206" t="str">
        <f t="shared" si="5"/>
        <v/>
      </c>
    </row>
    <row r="83" spans="1:10" ht="24" customHeight="1">
      <c r="A83" s="198" t="s">
        <v>486</v>
      </c>
      <c r="B83" s="184">
        <v>46143</v>
      </c>
      <c r="C83" s="184">
        <v>46507</v>
      </c>
      <c r="D83" s="185" t="s">
        <v>7</v>
      </c>
      <c r="E83" s="185" t="s">
        <v>6</v>
      </c>
      <c r="F83" s="185" t="s">
        <v>294</v>
      </c>
      <c r="G83" s="138">
        <v>129.75</v>
      </c>
      <c r="H83" s="139"/>
      <c r="I83" s="185" t="str">
        <f t="shared" si="4"/>
        <v>Monatslohn fehlt</v>
      </c>
      <c r="J83" s="206" t="str">
        <f t="shared" si="5"/>
        <v/>
      </c>
    </row>
    <row r="84" spans="1:10" ht="24" customHeight="1">
      <c r="A84" s="198" t="s">
        <v>486</v>
      </c>
      <c r="B84" s="184">
        <v>46143</v>
      </c>
      <c r="C84" s="184">
        <v>46507</v>
      </c>
      <c r="D84" s="185" t="s">
        <v>7</v>
      </c>
      <c r="E84" s="185" t="s">
        <v>6</v>
      </c>
      <c r="F84" s="185" t="s">
        <v>294</v>
      </c>
      <c r="G84" s="138">
        <v>108.13</v>
      </c>
      <c r="H84" s="139"/>
      <c r="I84" s="185" t="str">
        <f t="shared" si="4"/>
        <v>Monatslohn fehlt</v>
      </c>
      <c r="J84" s="206" t="str">
        <f t="shared" si="5"/>
        <v/>
      </c>
    </row>
    <row r="85" spans="1:10" ht="24" customHeight="1">
      <c r="A85" s="198" t="s">
        <v>486</v>
      </c>
      <c r="B85" s="184">
        <v>46143</v>
      </c>
      <c r="C85" s="184">
        <v>46507</v>
      </c>
      <c r="D85" s="185" t="s">
        <v>7</v>
      </c>
      <c r="E85" s="185" t="s">
        <v>6</v>
      </c>
      <c r="F85" s="185" t="s">
        <v>294</v>
      </c>
      <c r="G85" s="138">
        <v>103.8</v>
      </c>
      <c r="H85" s="139"/>
      <c r="I85" s="185" t="str">
        <f t="shared" si="4"/>
        <v>Monatslohn fehlt</v>
      </c>
      <c r="J85" s="206" t="str">
        <f t="shared" si="5"/>
        <v/>
      </c>
    </row>
    <row r="86" spans="1:10" ht="24" customHeight="1">
      <c r="A86" s="198" t="s">
        <v>486</v>
      </c>
      <c r="B86" s="184">
        <v>46143</v>
      </c>
      <c r="C86" s="184">
        <v>46507</v>
      </c>
      <c r="D86" s="185" t="s">
        <v>7</v>
      </c>
      <c r="E86" s="185" t="s">
        <v>6</v>
      </c>
      <c r="F86" s="185" t="s">
        <v>294</v>
      </c>
      <c r="G86" s="138">
        <v>86.5</v>
      </c>
      <c r="H86" s="139"/>
      <c r="I86" s="185" t="str">
        <f t="shared" si="4"/>
        <v>Monatslohn fehlt</v>
      </c>
      <c r="J86" s="206" t="str">
        <f t="shared" si="5"/>
        <v/>
      </c>
    </row>
    <row r="87" spans="1:10" ht="24" customHeight="1">
      <c r="A87" s="198" t="s">
        <v>486</v>
      </c>
      <c r="B87" s="184">
        <v>46143</v>
      </c>
      <c r="C87" s="184">
        <v>46507</v>
      </c>
      <c r="D87" s="185" t="s">
        <v>7</v>
      </c>
      <c r="E87" s="185" t="s">
        <v>6</v>
      </c>
      <c r="F87" s="185" t="s">
        <v>294</v>
      </c>
      <c r="G87" s="138">
        <v>69.2</v>
      </c>
      <c r="H87" s="139"/>
      <c r="I87" s="185" t="str">
        <f t="shared" si="4"/>
        <v>Monatslohn fehlt</v>
      </c>
      <c r="J87" s="206" t="str">
        <f t="shared" si="5"/>
        <v/>
      </c>
    </row>
    <row r="88" spans="1:10" ht="24" customHeight="1">
      <c r="A88" s="198" t="s">
        <v>486</v>
      </c>
      <c r="B88" s="184">
        <v>46143</v>
      </c>
      <c r="C88" s="184">
        <v>46507</v>
      </c>
      <c r="D88" s="185" t="s">
        <v>7</v>
      </c>
      <c r="E88" s="185" t="s">
        <v>6</v>
      </c>
      <c r="F88" s="185" t="s">
        <v>294</v>
      </c>
      <c r="G88" s="138">
        <v>51.9</v>
      </c>
      <c r="H88" s="139"/>
      <c r="I88" s="185" t="str">
        <f t="shared" si="4"/>
        <v>Monatslohn fehlt</v>
      </c>
      <c r="J88" s="206" t="str">
        <f t="shared" si="5"/>
        <v/>
      </c>
    </row>
    <row r="89" spans="1:10" ht="24" customHeight="1">
      <c r="A89" s="198" t="s">
        <v>486</v>
      </c>
      <c r="B89" s="184">
        <v>46143</v>
      </c>
      <c r="C89" s="184">
        <v>46507</v>
      </c>
      <c r="D89" s="185" t="s">
        <v>7</v>
      </c>
      <c r="E89" s="185" t="s">
        <v>6</v>
      </c>
      <c r="F89" s="185" t="s">
        <v>294</v>
      </c>
      <c r="G89" s="138">
        <v>47.58</v>
      </c>
      <c r="H89" s="139"/>
      <c r="I89" s="185" t="str">
        <f t="shared" si="4"/>
        <v>Monatslohn fehlt</v>
      </c>
      <c r="J89" s="206" t="str">
        <f t="shared" si="5"/>
        <v/>
      </c>
    </row>
    <row r="90" spans="1:10" ht="24" customHeight="1">
      <c r="A90" s="198" t="s">
        <v>486</v>
      </c>
      <c r="B90" s="184">
        <v>46143</v>
      </c>
      <c r="C90" s="184">
        <v>46507</v>
      </c>
      <c r="D90" s="185" t="s">
        <v>7</v>
      </c>
      <c r="E90" s="185" t="s">
        <v>6</v>
      </c>
      <c r="F90" s="185" t="s">
        <v>294</v>
      </c>
      <c r="G90" s="138">
        <v>43.25</v>
      </c>
      <c r="H90" s="139"/>
      <c r="I90" s="185" t="str">
        <f t="shared" si="4"/>
        <v>Monatslohn fehlt</v>
      </c>
      <c r="J90" s="206" t="str">
        <f t="shared" si="5"/>
        <v/>
      </c>
    </row>
    <row r="91" spans="1:10" ht="24" customHeight="1">
      <c r="A91" s="198" t="s">
        <v>486</v>
      </c>
      <c r="B91" s="184">
        <v>46143</v>
      </c>
      <c r="C91" s="184">
        <v>46507</v>
      </c>
      <c r="D91" s="185" t="s">
        <v>7</v>
      </c>
      <c r="E91" s="185" t="s">
        <v>6</v>
      </c>
      <c r="F91" s="185" t="s">
        <v>294</v>
      </c>
      <c r="G91" s="138">
        <v>34.6</v>
      </c>
      <c r="H91" s="139"/>
      <c r="I91" s="185" t="str">
        <f t="shared" si="4"/>
        <v>Monatslohn fehlt</v>
      </c>
      <c r="J91" s="206" t="str">
        <f t="shared" si="5"/>
        <v/>
      </c>
    </row>
    <row r="92" spans="1:10" ht="24" customHeight="1">
      <c r="A92" s="198" t="s">
        <v>486</v>
      </c>
      <c r="B92" s="184">
        <v>46143</v>
      </c>
      <c r="C92" s="184">
        <v>46507</v>
      </c>
      <c r="D92" s="185" t="s">
        <v>7</v>
      </c>
      <c r="E92" s="185" t="s">
        <v>6</v>
      </c>
      <c r="F92" s="185" t="s">
        <v>294</v>
      </c>
      <c r="G92" s="138">
        <v>32.01</v>
      </c>
      <c r="H92" s="139"/>
      <c r="I92" s="185" t="str">
        <f t="shared" si="4"/>
        <v>Monatslohn fehlt</v>
      </c>
      <c r="J92" s="206" t="str">
        <f t="shared" si="5"/>
        <v/>
      </c>
    </row>
    <row r="93" spans="1:10" ht="24" customHeight="1">
      <c r="A93" s="198" t="s">
        <v>486</v>
      </c>
      <c r="B93" s="184">
        <v>46143</v>
      </c>
      <c r="C93" s="184">
        <v>46507</v>
      </c>
      <c r="D93" s="185" t="s">
        <v>7</v>
      </c>
      <c r="E93" s="185" t="s">
        <v>6</v>
      </c>
      <c r="F93" s="185" t="s">
        <v>294</v>
      </c>
      <c r="G93" s="138"/>
      <c r="H93" s="139"/>
      <c r="I93" s="185" t="str">
        <f t="shared" si="4"/>
        <v>Werte fehlen</v>
      </c>
      <c r="J93" s="206" t="str">
        <f t="shared" si="5"/>
        <v/>
      </c>
    </row>
    <row r="94" spans="1:10" ht="24" customHeight="1" thickBot="1">
      <c r="A94" s="198" t="s">
        <v>486</v>
      </c>
      <c r="B94" s="184">
        <v>46143</v>
      </c>
      <c r="C94" s="184">
        <v>46507</v>
      </c>
      <c r="D94" s="185" t="s">
        <v>7</v>
      </c>
      <c r="E94" s="185" t="s">
        <v>6</v>
      </c>
      <c r="F94" s="185" t="s">
        <v>294</v>
      </c>
      <c r="G94" s="138"/>
      <c r="H94" s="139"/>
      <c r="I94" s="185" t="str">
        <f t="shared" si="4"/>
        <v>Werte fehlen</v>
      </c>
      <c r="J94" s="206" t="str">
        <f t="shared" si="5"/>
        <v/>
      </c>
    </row>
    <row r="95" spans="1:10" ht="24" customHeight="1">
      <c r="A95" s="197" t="s">
        <v>486</v>
      </c>
      <c r="B95" s="182">
        <v>46143</v>
      </c>
      <c r="C95" s="182">
        <v>46507</v>
      </c>
      <c r="D95" s="183" t="s">
        <v>8</v>
      </c>
      <c r="E95" s="183" t="s">
        <v>6</v>
      </c>
      <c r="F95" s="183" t="s">
        <v>295</v>
      </c>
      <c r="G95" s="136">
        <v>173</v>
      </c>
      <c r="H95" s="137"/>
      <c r="I95" s="183" t="str">
        <f t="shared" si="4"/>
        <v>Monatslohn fehlt</v>
      </c>
      <c r="J95" s="205" t="str">
        <f t="shared" si="5"/>
        <v/>
      </c>
    </row>
    <row r="96" spans="1:10" ht="24" customHeight="1">
      <c r="A96" s="198" t="s">
        <v>486</v>
      </c>
      <c r="B96" s="184">
        <v>46143</v>
      </c>
      <c r="C96" s="184">
        <v>46507</v>
      </c>
      <c r="D96" s="185" t="s">
        <v>8</v>
      </c>
      <c r="E96" s="185" t="s">
        <v>6</v>
      </c>
      <c r="F96" s="185" t="s">
        <v>295</v>
      </c>
      <c r="G96" s="138">
        <v>151.38</v>
      </c>
      <c r="H96" s="139"/>
      <c r="I96" s="185" t="str">
        <f t="shared" si="4"/>
        <v>Monatslohn fehlt</v>
      </c>
      <c r="J96" s="206" t="str">
        <f t="shared" si="5"/>
        <v/>
      </c>
    </row>
    <row r="97" spans="1:10" ht="24" customHeight="1">
      <c r="A97" s="198" t="s">
        <v>486</v>
      </c>
      <c r="B97" s="184">
        <v>46143</v>
      </c>
      <c r="C97" s="184">
        <v>46507</v>
      </c>
      <c r="D97" s="185" t="s">
        <v>8</v>
      </c>
      <c r="E97" s="185" t="s">
        <v>6</v>
      </c>
      <c r="F97" s="185" t="s">
        <v>295</v>
      </c>
      <c r="G97" s="138">
        <v>138.4</v>
      </c>
      <c r="H97" s="139"/>
      <c r="I97" s="185" t="str">
        <f t="shared" si="4"/>
        <v>Monatslohn fehlt</v>
      </c>
      <c r="J97" s="206" t="str">
        <f t="shared" si="5"/>
        <v/>
      </c>
    </row>
    <row r="98" spans="1:10" ht="24" customHeight="1">
      <c r="A98" s="198" t="s">
        <v>486</v>
      </c>
      <c r="B98" s="184">
        <v>46143</v>
      </c>
      <c r="C98" s="184">
        <v>46507</v>
      </c>
      <c r="D98" s="185" t="s">
        <v>8</v>
      </c>
      <c r="E98" s="185" t="s">
        <v>6</v>
      </c>
      <c r="F98" s="185" t="s">
        <v>295</v>
      </c>
      <c r="G98" s="138">
        <v>129.75</v>
      </c>
      <c r="H98" s="139"/>
      <c r="I98" s="185" t="str">
        <f t="shared" si="4"/>
        <v>Monatslohn fehlt</v>
      </c>
      <c r="J98" s="206" t="str">
        <f t="shared" si="5"/>
        <v/>
      </c>
    </row>
    <row r="99" spans="1:10" ht="24" customHeight="1">
      <c r="A99" s="198" t="s">
        <v>486</v>
      </c>
      <c r="B99" s="184">
        <v>46143</v>
      </c>
      <c r="C99" s="184">
        <v>46507</v>
      </c>
      <c r="D99" s="185" t="s">
        <v>8</v>
      </c>
      <c r="E99" s="185" t="s">
        <v>6</v>
      </c>
      <c r="F99" s="185" t="s">
        <v>295</v>
      </c>
      <c r="G99" s="138">
        <v>108.13</v>
      </c>
      <c r="H99" s="139"/>
      <c r="I99" s="185" t="str">
        <f t="shared" si="4"/>
        <v>Monatslohn fehlt</v>
      </c>
      <c r="J99" s="206" t="str">
        <f t="shared" si="5"/>
        <v/>
      </c>
    </row>
    <row r="100" spans="1:10" ht="24" customHeight="1">
      <c r="A100" s="198" t="s">
        <v>486</v>
      </c>
      <c r="B100" s="184">
        <v>46143</v>
      </c>
      <c r="C100" s="184">
        <v>46507</v>
      </c>
      <c r="D100" s="185" t="s">
        <v>8</v>
      </c>
      <c r="E100" s="185" t="s">
        <v>6</v>
      </c>
      <c r="F100" s="185" t="s">
        <v>295</v>
      </c>
      <c r="G100" s="138">
        <v>103.8</v>
      </c>
      <c r="H100" s="139"/>
      <c r="I100" s="185" t="str">
        <f t="shared" si="4"/>
        <v>Monatslohn fehlt</v>
      </c>
      <c r="J100" s="206" t="str">
        <f t="shared" si="5"/>
        <v/>
      </c>
    </row>
    <row r="101" spans="1:10" ht="24" customHeight="1">
      <c r="A101" s="198" t="s">
        <v>486</v>
      </c>
      <c r="B101" s="184">
        <v>46143</v>
      </c>
      <c r="C101" s="184">
        <v>46507</v>
      </c>
      <c r="D101" s="185" t="s">
        <v>8</v>
      </c>
      <c r="E101" s="185" t="s">
        <v>6</v>
      </c>
      <c r="F101" s="185" t="s">
        <v>295</v>
      </c>
      <c r="G101" s="138">
        <v>86.5</v>
      </c>
      <c r="H101" s="139"/>
      <c r="I101" s="18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206" t="str">
        <f t="shared" ref="J101:J132" si="7">IF($G101="","",IF(COUNTIFS($A:$A,$A101,$D:$D,$D101,$G:$G,$G101)&gt;1,"Doppelte Monatsstunden",""))</f>
        <v/>
      </c>
    </row>
    <row r="102" spans="1:10" ht="24" customHeight="1">
      <c r="A102" s="198" t="s">
        <v>486</v>
      </c>
      <c r="B102" s="184">
        <v>46143</v>
      </c>
      <c r="C102" s="184">
        <v>46507</v>
      </c>
      <c r="D102" s="185" t="s">
        <v>8</v>
      </c>
      <c r="E102" s="185" t="s">
        <v>6</v>
      </c>
      <c r="F102" s="185" t="s">
        <v>295</v>
      </c>
      <c r="G102" s="138">
        <v>69.2</v>
      </c>
      <c r="H102" s="139"/>
      <c r="I102" s="185" t="str">
        <f t="shared" si="6"/>
        <v>Monatslohn fehlt</v>
      </c>
      <c r="J102" s="206" t="str">
        <f t="shared" si="7"/>
        <v/>
      </c>
    </row>
    <row r="103" spans="1:10" ht="24" customHeight="1">
      <c r="A103" s="198" t="s">
        <v>486</v>
      </c>
      <c r="B103" s="184">
        <v>46143</v>
      </c>
      <c r="C103" s="184">
        <v>46507</v>
      </c>
      <c r="D103" s="185" t="s">
        <v>8</v>
      </c>
      <c r="E103" s="185" t="s">
        <v>6</v>
      </c>
      <c r="F103" s="185" t="s">
        <v>295</v>
      </c>
      <c r="G103" s="138">
        <v>51.9</v>
      </c>
      <c r="H103" s="139"/>
      <c r="I103" s="185" t="str">
        <f t="shared" si="6"/>
        <v>Monatslohn fehlt</v>
      </c>
      <c r="J103" s="206" t="str">
        <f t="shared" si="7"/>
        <v/>
      </c>
    </row>
    <row r="104" spans="1:10" ht="24" customHeight="1">
      <c r="A104" s="198" t="s">
        <v>486</v>
      </c>
      <c r="B104" s="184">
        <v>46143</v>
      </c>
      <c r="C104" s="184">
        <v>46507</v>
      </c>
      <c r="D104" s="185" t="s">
        <v>8</v>
      </c>
      <c r="E104" s="185" t="s">
        <v>6</v>
      </c>
      <c r="F104" s="185" t="s">
        <v>295</v>
      </c>
      <c r="G104" s="138">
        <v>47.58</v>
      </c>
      <c r="H104" s="139"/>
      <c r="I104" s="185" t="str">
        <f t="shared" si="6"/>
        <v>Monatslohn fehlt</v>
      </c>
      <c r="J104" s="206" t="str">
        <f t="shared" si="7"/>
        <v/>
      </c>
    </row>
    <row r="105" spans="1:10" ht="24" customHeight="1">
      <c r="A105" s="198" t="s">
        <v>486</v>
      </c>
      <c r="B105" s="184">
        <v>46143</v>
      </c>
      <c r="C105" s="184">
        <v>46507</v>
      </c>
      <c r="D105" s="185" t="s">
        <v>8</v>
      </c>
      <c r="E105" s="185" t="s">
        <v>6</v>
      </c>
      <c r="F105" s="185" t="s">
        <v>295</v>
      </c>
      <c r="G105" s="138">
        <v>43.25</v>
      </c>
      <c r="H105" s="139"/>
      <c r="I105" s="185" t="str">
        <f t="shared" si="6"/>
        <v>Monatslohn fehlt</v>
      </c>
      <c r="J105" s="206" t="str">
        <f t="shared" si="7"/>
        <v/>
      </c>
    </row>
    <row r="106" spans="1:10" ht="24" customHeight="1">
      <c r="A106" s="198" t="s">
        <v>486</v>
      </c>
      <c r="B106" s="184">
        <v>46143</v>
      </c>
      <c r="C106" s="184">
        <v>46507</v>
      </c>
      <c r="D106" s="185" t="s">
        <v>8</v>
      </c>
      <c r="E106" s="185" t="s">
        <v>6</v>
      </c>
      <c r="F106" s="185" t="s">
        <v>295</v>
      </c>
      <c r="G106" s="138">
        <v>34.6</v>
      </c>
      <c r="H106" s="139"/>
      <c r="I106" s="185" t="str">
        <f t="shared" si="6"/>
        <v>Monatslohn fehlt</v>
      </c>
      <c r="J106" s="206" t="str">
        <f t="shared" si="7"/>
        <v/>
      </c>
    </row>
    <row r="107" spans="1:10" ht="24" customHeight="1">
      <c r="A107" s="198" t="s">
        <v>486</v>
      </c>
      <c r="B107" s="184">
        <v>46143</v>
      </c>
      <c r="C107" s="184">
        <v>46507</v>
      </c>
      <c r="D107" s="185" t="s">
        <v>8</v>
      </c>
      <c r="E107" s="185" t="s">
        <v>6</v>
      </c>
      <c r="F107" s="185" t="s">
        <v>295</v>
      </c>
      <c r="G107" s="138">
        <v>32.01</v>
      </c>
      <c r="H107" s="139"/>
      <c r="I107" s="185" t="str">
        <f t="shared" si="6"/>
        <v>Monatslohn fehlt</v>
      </c>
      <c r="J107" s="206" t="str">
        <f t="shared" si="7"/>
        <v/>
      </c>
    </row>
    <row r="108" spans="1:10" ht="24" customHeight="1">
      <c r="A108" s="198" t="s">
        <v>486</v>
      </c>
      <c r="B108" s="184">
        <v>46143</v>
      </c>
      <c r="C108" s="184">
        <v>46507</v>
      </c>
      <c r="D108" s="185" t="s">
        <v>8</v>
      </c>
      <c r="E108" s="185" t="s">
        <v>6</v>
      </c>
      <c r="F108" s="185" t="s">
        <v>295</v>
      </c>
      <c r="G108" s="138"/>
      <c r="H108" s="139"/>
      <c r="I108" s="185" t="str">
        <f t="shared" si="6"/>
        <v>Werte fehlen</v>
      </c>
      <c r="J108" s="206" t="str">
        <f t="shared" si="7"/>
        <v/>
      </c>
    </row>
    <row r="109" spans="1:10" ht="24" customHeight="1" thickBot="1">
      <c r="A109" s="198" t="s">
        <v>486</v>
      </c>
      <c r="B109" s="184">
        <v>46143</v>
      </c>
      <c r="C109" s="184">
        <v>46507</v>
      </c>
      <c r="D109" s="185" t="s">
        <v>8</v>
      </c>
      <c r="E109" s="185" t="s">
        <v>6</v>
      </c>
      <c r="F109" s="185" t="s">
        <v>295</v>
      </c>
      <c r="G109" s="138"/>
      <c r="H109" s="139"/>
      <c r="I109" s="185" t="str">
        <f t="shared" si="6"/>
        <v>Werte fehlen</v>
      </c>
      <c r="J109" s="206" t="str">
        <f t="shared" si="7"/>
        <v/>
      </c>
    </row>
    <row r="110" spans="1:10" ht="24" customHeight="1">
      <c r="A110" s="197" t="s">
        <v>486</v>
      </c>
      <c r="B110" s="182">
        <v>46143</v>
      </c>
      <c r="C110" s="182">
        <v>46507</v>
      </c>
      <c r="D110" s="183" t="s">
        <v>9</v>
      </c>
      <c r="E110" s="183" t="s">
        <v>6</v>
      </c>
      <c r="F110" s="183" t="s">
        <v>296</v>
      </c>
      <c r="G110" s="136">
        <v>173</v>
      </c>
      <c r="H110" s="137"/>
      <c r="I110" s="183" t="str">
        <f t="shared" si="6"/>
        <v>Monatslohn fehlt</v>
      </c>
      <c r="J110" s="205" t="str">
        <f t="shared" si="7"/>
        <v/>
      </c>
    </row>
    <row r="111" spans="1:10" ht="24" customHeight="1">
      <c r="A111" s="198" t="s">
        <v>486</v>
      </c>
      <c r="B111" s="184">
        <v>46143</v>
      </c>
      <c r="C111" s="184">
        <v>46507</v>
      </c>
      <c r="D111" s="185" t="s">
        <v>9</v>
      </c>
      <c r="E111" s="185" t="s">
        <v>6</v>
      </c>
      <c r="F111" s="185" t="s">
        <v>296</v>
      </c>
      <c r="G111" s="138">
        <v>151.38</v>
      </c>
      <c r="H111" s="139"/>
      <c r="I111" s="185" t="str">
        <f t="shared" si="6"/>
        <v>Monatslohn fehlt</v>
      </c>
      <c r="J111" s="206" t="str">
        <f t="shared" si="7"/>
        <v/>
      </c>
    </row>
    <row r="112" spans="1:10" ht="24" customHeight="1">
      <c r="A112" s="198" t="s">
        <v>486</v>
      </c>
      <c r="B112" s="184">
        <v>46143</v>
      </c>
      <c r="C112" s="184">
        <v>46507</v>
      </c>
      <c r="D112" s="185" t="s">
        <v>9</v>
      </c>
      <c r="E112" s="185" t="s">
        <v>6</v>
      </c>
      <c r="F112" s="185" t="s">
        <v>296</v>
      </c>
      <c r="G112" s="138">
        <v>138.4</v>
      </c>
      <c r="H112" s="139"/>
      <c r="I112" s="185" t="str">
        <f t="shared" si="6"/>
        <v>Monatslohn fehlt</v>
      </c>
      <c r="J112" s="206" t="str">
        <f t="shared" si="7"/>
        <v/>
      </c>
    </row>
    <row r="113" spans="1:10" ht="24" customHeight="1">
      <c r="A113" s="198" t="s">
        <v>486</v>
      </c>
      <c r="B113" s="184">
        <v>46143</v>
      </c>
      <c r="C113" s="184">
        <v>46507</v>
      </c>
      <c r="D113" s="185" t="s">
        <v>9</v>
      </c>
      <c r="E113" s="185" t="s">
        <v>6</v>
      </c>
      <c r="F113" s="185" t="s">
        <v>296</v>
      </c>
      <c r="G113" s="138">
        <v>129.75</v>
      </c>
      <c r="H113" s="139"/>
      <c r="I113" s="185" t="str">
        <f t="shared" si="6"/>
        <v>Monatslohn fehlt</v>
      </c>
      <c r="J113" s="206" t="str">
        <f t="shared" si="7"/>
        <v/>
      </c>
    </row>
    <row r="114" spans="1:10" ht="24" customHeight="1">
      <c r="A114" s="198" t="s">
        <v>486</v>
      </c>
      <c r="B114" s="184">
        <v>46143</v>
      </c>
      <c r="C114" s="184">
        <v>46507</v>
      </c>
      <c r="D114" s="185" t="s">
        <v>9</v>
      </c>
      <c r="E114" s="185" t="s">
        <v>6</v>
      </c>
      <c r="F114" s="185" t="s">
        <v>296</v>
      </c>
      <c r="G114" s="138">
        <v>108.13</v>
      </c>
      <c r="H114" s="139"/>
      <c r="I114" s="185" t="str">
        <f t="shared" si="6"/>
        <v>Monatslohn fehlt</v>
      </c>
      <c r="J114" s="206" t="str">
        <f t="shared" si="7"/>
        <v/>
      </c>
    </row>
    <row r="115" spans="1:10" ht="24" customHeight="1">
      <c r="A115" s="198" t="s">
        <v>486</v>
      </c>
      <c r="B115" s="184">
        <v>46143</v>
      </c>
      <c r="C115" s="184">
        <v>46507</v>
      </c>
      <c r="D115" s="185" t="s">
        <v>9</v>
      </c>
      <c r="E115" s="185" t="s">
        <v>6</v>
      </c>
      <c r="F115" s="185" t="s">
        <v>296</v>
      </c>
      <c r="G115" s="138">
        <v>103.8</v>
      </c>
      <c r="H115" s="139"/>
      <c r="I115" s="185" t="str">
        <f t="shared" si="6"/>
        <v>Monatslohn fehlt</v>
      </c>
      <c r="J115" s="206" t="str">
        <f t="shared" si="7"/>
        <v/>
      </c>
    </row>
    <row r="116" spans="1:10" ht="24" customHeight="1">
      <c r="A116" s="198" t="s">
        <v>486</v>
      </c>
      <c r="B116" s="184">
        <v>46143</v>
      </c>
      <c r="C116" s="184">
        <v>46507</v>
      </c>
      <c r="D116" s="185" t="s">
        <v>9</v>
      </c>
      <c r="E116" s="185" t="s">
        <v>6</v>
      </c>
      <c r="F116" s="185" t="s">
        <v>296</v>
      </c>
      <c r="G116" s="138">
        <v>86.5</v>
      </c>
      <c r="H116" s="139"/>
      <c r="I116" s="185" t="str">
        <f t="shared" si="6"/>
        <v>Monatslohn fehlt</v>
      </c>
      <c r="J116" s="206" t="str">
        <f t="shared" si="7"/>
        <v/>
      </c>
    </row>
    <row r="117" spans="1:10" ht="24" customHeight="1">
      <c r="A117" s="198" t="s">
        <v>486</v>
      </c>
      <c r="B117" s="184">
        <v>46143</v>
      </c>
      <c r="C117" s="184">
        <v>46507</v>
      </c>
      <c r="D117" s="185" t="s">
        <v>9</v>
      </c>
      <c r="E117" s="185" t="s">
        <v>6</v>
      </c>
      <c r="F117" s="185" t="s">
        <v>296</v>
      </c>
      <c r="G117" s="138">
        <v>69.2</v>
      </c>
      <c r="H117" s="139"/>
      <c r="I117" s="185" t="str">
        <f t="shared" si="6"/>
        <v>Monatslohn fehlt</v>
      </c>
      <c r="J117" s="206" t="str">
        <f t="shared" si="7"/>
        <v/>
      </c>
    </row>
    <row r="118" spans="1:10" ht="24" customHeight="1">
      <c r="A118" s="198" t="s">
        <v>486</v>
      </c>
      <c r="B118" s="184">
        <v>46143</v>
      </c>
      <c r="C118" s="184">
        <v>46507</v>
      </c>
      <c r="D118" s="185" t="s">
        <v>9</v>
      </c>
      <c r="E118" s="185" t="s">
        <v>6</v>
      </c>
      <c r="F118" s="185" t="s">
        <v>296</v>
      </c>
      <c r="G118" s="138">
        <v>51.9</v>
      </c>
      <c r="H118" s="139"/>
      <c r="I118" s="185" t="str">
        <f t="shared" si="6"/>
        <v>Monatslohn fehlt</v>
      </c>
      <c r="J118" s="206" t="str">
        <f t="shared" si="7"/>
        <v/>
      </c>
    </row>
    <row r="119" spans="1:10" ht="24" customHeight="1">
      <c r="A119" s="198" t="s">
        <v>486</v>
      </c>
      <c r="B119" s="184">
        <v>46143</v>
      </c>
      <c r="C119" s="184">
        <v>46507</v>
      </c>
      <c r="D119" s="185" t="s">
        <v>9</v>
      </c>
      <c r="E119" s="185" t="s">
        <v>6</v>
      </c>
      <c r="F119" s="185" t="s">
        <v>296</v>
      </c>
      <c r="G119" s="138">
        <v>47.58</v>
      </c>
      <c r="H119" s="139"/>
      <c r="I119" s="185" t="str">
        <f t="shared" si="6"/>
        <v>Monatslohn fehlt</v>
      </c>
      <c r="J119" s="206" t="str">
        <f t="shared" si="7"/>
        <v/>
      </c>
    </row>
    <row r="120" spans="1:10" ht="24" customHeight="1">
      <c r="A120" s="198" t="s">
        <v>486</v>
      </c>
      <c r="B120" s="184">
        <v>46143</v>
      </c>
      <c r="C120" s="184">
        <v>46507</v>
      </c>
      <c r="D120" s="185" t="s">
        <v>9</v>
      </c>
      <c r="E120" s="185" t="s">
        <v>6</v>
      </c>
      <c r="F120" s="185" t="s">
        <v>296</v>
      </c>
      <c r="G120" s="138">
        <v>43.25</v>
      </c>
      <c r="H120" s="139"/>
      <c r="I120" s="185" t="str">
        <f t="shared" si="6"/>
        <v>Monatslohn fehlt</v>
      </c>
      <c r="J120" s="206" t="str">
        <f t="shared" si="7"/>
        <v/>
      </c>
    </row>
    <row r="121" spans="1:10" ht="24" customHeight="1">
      <c r="A121" s="198" t="s">
        <v>486</v>
      </c>
      <c r="B121" s="184">
        <v>46143</v>
      </c>
      <c r="C121" s="184">
        <v>46507</v>
      </c>
      <c r="D121" s="185" t="s">
        <v>9</v>
      </c>
      <c r="E121" s="185" t="s">
        <v>6</v>
      </c>
      <c r="F121" s="185" t="s">
        <v>296</v>
      </c>
      <c r="G121" s="138">
        <v>34.6</v>
      </c>
      <c r="H121" s="139"/>
      <c r="I121" s="185" t="str">
        <f t="shared" si="6"/>
        <v>Monatslohn fehlt</v>
      </c>
      <c r="J121" s="206" t="str">
        <f t="shared" si="7"/>
        <v/>
      </c>
    </row>
    <row r="122" spans="1:10" ht="24" customHeight="1">
      <c r="A122" s="198" t="s">
        <v>486</v>
      </c>
      <c r="B122" s="184">
        <v>46143</v>
      </c>
      <c r="C122" s="184">
        <v>46507</v>
      </c>
      <c r="D122" s="185" t="s">
        <v>9</v>
      </c>
      <c r="E122" s="185" t="s">
        <v>6</v>
      </c>
      <c r="F122" s="185" t="s">
        <v>296</v>
      </c>
      <c r="G122" s="138">
        <v>32.01</v>
      </c>
      <c r="H122" s="139"/>
      <c r="I122" s="185" t="str">
        <f t="shared" si="6"/>
        <v>Monatslohn fehlt</v>
      </c>
      <c r="J122" s="206" t="str">
        <f t="shared" si="7"/>
        <v/>
      </c>
    </row>
    <row r="123" spans="1:10" ht="24" customHeight="1">
      <c r="A123" s="198" t="s">
        <v>486</v>
      </c>
      <c r="B123" s="184">
        <v>46143</v>
      </c>
      <c r="C123" s="184">
        <v>46507</v>
      </c>
      <c r="D123" s="185" t="s">
        <v>9</v>
      </c>
      <c r="E123" s="185" t="s">
        <v>6</v>
      </c>
      <c r="F123" s="185" t="s">
        <v>296</v>
      </c>
      <c r="G123" s="138"/>
      <c r="H123" s="139"/>
      <c r="I123" s="185" t="str">
        <f t="shared" si="6"/>
        <v>Werte fehlen</v>
      </c>
      <c r="J123" s="206" t="str">
        <f t="shared" si="7"/>
        <v/>
      </c>
    </row>
    <row r="124" spans="1:10" ht="24" customHeight="1" thickBot="1">
      <c r="A124" s="198" t="s">
        <v>486</v>
      </c>
      <c r="B124" s="184">
        <v>46143</v>
      </c>
      <c r="C124" s="184">
        <v>46507</v>
      </c>
      <c r="D124" s="185" t="s">
        <v>9</v>
      </c>
      <c r="E124" s="185" t="s">
        <v>6</v>
      </c>
      <c r="F124" s="185" t="s">
        <v>296</v>
      </c>
      <c r="G124" s="138"/>
      <c r="H124" s="139"/>
      <c r="I124" s="185" t="str">
        <f t="shared" si="6"/>
        <v>Werte fehlen</v>
      </c>
      <c r="J124" s="206" t="str">
        <f t="shared" si="7"/>
        <v/>
      </c>
    </row>
    <row r="125" spans="1:10" ht="24" customHeight="1">
      <c r="A125" s="199" t="s">
        <v>486</v>
      </c>
      <c r="B125" s="190">
        <v>46143</v>
      </c>
      <c r="C125" s="190">
        <v>46507</v>
      </c>
      <c r="D125" s="191" t="s">
        <v>304</v>
      </c>
      <c r="E125" s="191" t="s">
        <v>10</v>
      </c>
      <c r="F125" s="191" t="s">
        <v>293</v>
      </c>
      <c r="G125" s="140">
        <v>173</v>
      </c>
      <c r="H125" s="141"/>
      <c r="I125" s="191" t="str">
        <f t="shared" si="6"/>
        <v>Monatslohn fehlt</v>
      </c>
      <c r="J125" s="207" t="str">
        <f t="shared" si="7"/>
        <v/>
      </c>
    </row>
    <row r="126" spans="1:10" ht="24" customHeight="1">
      <c r="A126" s="200" t="s">
        <v>486</v>
      </c>
      <c r="B126" s="192">
        <v>46143</v>
      </c>
      <c r="C126" s="192">
        <v>46507</v>
      </c>
      <c r="D126" s="193" t="s">
        <v>304</v>
      </c>
      <c r="E126" s="193" t="s">
        <v>10</v>
      </c>
      <c r="F126" s="193" t="s">
        <v>293</v>
      </c>
      <c r="G126" s="142">
        <v>151.38</v>
      </c>
      <c r="H126" s="143"/>
      <c r="I126" s="193" t="str">
        <f t="shared" si="6"/>
        <v>Monatslohn fehlt</v>
      </c>
      <c r="J126" s="208" t="str">
        <f t="shared" si="7"/>
        <v/>
      </c>
    </row>
    <row r="127" spans="1:10" ht="24" customHeight="1">
      <c r="A127" s="200" t="s">
        <v>486</v>
      </c>
      <c r="B127" s="192">
        <v>46143</v>
      </c>
      <c r="C127" s="192">
        <v>46507</v>
      </c>
      <c r="D127" s="193" t="s">
        <v>304</v>
      </c>
      <c r="E127" s="193" t="s">
        <v>10</v>
      </c>
      <c r="F127" s="193" t="s">
        <v>293</v>
      </c>
      <c r="G127" s="142">
        <v>138.4</v>
      </c>
      <c r="H127" s="143"/>
      <c r="I127" s="193" t="str">
        <f t="shared" si="6"/>
        <v>Monatslohn fehlt</v>
      </c>
      <c r="J127" s="208" t="str">
        <f t="shared" si="7"/>
        <v/>
      </c>
    </row>
    <row r="128" spans="1:10" ht="24" customHeight="1">
      <c r="A128" s="200" t="s">
        <v>486</v>
      </c>
      <c r="B128" s="192">
        <v>46143</v>
      </c>
      <c r="C128" s="192">
        <v>46507</v>
      </c>
      <c r="D128" s="193" t="s">
        <v>304</v>
      </c>
      <c r="E128" s="193" t="s">
        <v>10</v>
      </c>
      <c r="F128" s="193" t="s">
        <v>293</v>
      </c>
      <c r="G128" s="142">
        <v>129.75</v>
      </c>
      <c r="H128" s="143"/>
      <c r="I128" s="193" t="str">
        <f t="shared" si="6"/>
        <v>Monatslohn fehlt</v>
      </c>
      <c r="J128" s="208" t="str">
        <f t="shared" si="7"/>
        <v/>
      </c>
    </row>
    <row r="129" spans="1:10" ht="24" customHeight="1">
      <c r="A129" s="200" t="s">
        <v>486</v>
      </c>
      <c r="B129" s="192">
        <v>46143</v>
      </c>
      <c r="C129" s="192">
        <v>46507</v>
      </c>
      <c r="D129" s="193" t="s">
        <v>304</v>
      </c>
      <c r="E129" s="193" t="s">
        <v>10</v>
      </c>
      <c r="F129" s="193" t="s">
        <v>293</v>
      </c>
      <c r="G129" s="142">
        <v>108.13</v>
      </c>
      <c r="H129" s="143"/>
      <c r="I129" s="193" t="str">
        <f t="shared" si="6"/>
        <v>Monatslohn fehlt</v>
      </c>
      <c r="J129" s="208" t="str">
        <f t="shared" si="7"/>
        <v/>
      </c>
    </row>
    <row r="130" spans="1:10" ht="24" customHeight="1">
      <c r="A130" s="200" t="s">
        <v>486</v>
      </c>
      <c r="B130" s="192">
        <v>46143</v>
      </c>
      <c r="C130" s="192">
        <v>46507</v>
      </c>
      <c r="D130" s="193" t="s">
        <v>304</v>
      </c>
      <c r="E130" s="193" t="s">
        <v>10</v>
      </c>
      <c r="F130" s="193" t="s">
        <v>293</v>
      </c>
      <c r="G130" s="142">
        <v>103.8</v>
      </c>
      <c r="H130" s="143"/>
      <c r="I130" s="193" t="str">
        <f t="shared" si="6"/>
        <v>Monatslohn fehlt</v>
      </c>
      <c r="J130" s="208" t="str">
        <f t="shared" si="7"/>
        <v/>
      </c>
    </row>
    <row r="131" spans="1:10" ht="24" customHeight="1">
      <c r="A131" s="200" t="s">
        <v>486</v>
      </c>
      <c r="B131" s="192">
        <v>46143</v>
      </c>
      <c r="C131" s="192">
        <v>46507</v>
      </c>
      <c r="D131" s="193" t="s">
        <v>304</v>
      </c>
      <c r="E131" s="193" t="s">
        <v>10</v>
      </c>
      <c r="F131" s="193" t="s">
        <v>293</v>
      </c>
      <c r="G131" s="142">
        <v>86.5</v>
      </c>
      <c r="H131" s="143"/>
      <c r="I131" s="193" t="str">
        <f t="shared" si="6"/>
        <v>Monatslohn fehlt</v>
      </c>
      <c r="J131" s="208" t="str">
        <f t="shared" si="7"/>
        <v/>
      </c>
    </row>
    <row r="132" spans="1:10" ht="24" customHeight="1">
      <c r="A132" s="200" t="s">
        <v>486</v>
      </c>
      <c r="B132" s="192">
        <v>46143</v>
      </c>
      <c r="C132" s="192">
        <v>46507</v>
      </c>
      <c r="D132" s="193" t="s">
        <v>304</v>
      </c>
      <c r="E132" s="193" t="s">
        <v>10</v>
      </c>
      <c r="F132" s="193" t="s">
        <v>293</v>
      </c>
      <c r="G132" s="142">
        <v>69.2</v>
      </c>
      <c r="H132" s="143"/>
      <c r="I132" s="193" t="str">
        <f t="shared" si="6"/>
        <v>Monatslohn fehlt</v>
      </c>
      <c r="J132" s="208" t="str">
        <f t="shared" si="7"/>
        <v/>
      </c>
    </row>
    <row r="133" spans="1:10" ht="24" customHeight="1">
      <c r="A133" s="200" t="s">
        <v>486</v>
      </c>
      <c r="B133" s="192">
        <v>46143</v>
      </c>
      <c r="C133" s="192">
        <v>46507</v>
      </c>
      <c r="D133" s="193" t="s">
        <v>304</v>
      </c>
      <c r="E133" s="193" t="s">
        <v>10</v>
      </c>
      <c r="F133" s="193" t="s">
        <v>293</v>
      </c>
      <c r="G133" s="142">
        <v>51.9</v>
      </c>
      <c r="H133" s="143"/>
      <c r="I133" s="19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208" t="str">
        <f t="shared" ref="J133:J164" si="9">IF($G133="","",IF(COUNTIFS($A:$A,$A133,$D:$D,$D133,$G:$G,$G133)&gt;1,"Doppelte Monatsstunden",""))</f>
        <v/>
      </c>
    </row>
    <row r="134" spans="1:10" ht="24" customHeight="1">
      <c r="A134" s="200" t="s">
        <v>486</v>
      </c>
      <c r="B134" s="192">
        <v>46143</v>
      </c>
      <c r="C134" s="192">
        <v>46507</v>
      </c>
      <c r="D134" s="193" t="s">
        <v>304</v>
      </c>
      <c r="E134" s="193" t="s">
        <v>10</v>
      </c>
      <c r="F134" s="193" t="s">
        <v>293</v>
      </c>
      <c r="G134" s="142">
        <v>47.58</v>
      </c>
      <c r="H134" s="143"/>
      <c r="I134" s="193" t="str">
        <f t="shared" si="8"/>
        <v>Monatslohn fehlt</v>
      </c>
      <c r="J134" s="208" t="str">
        <f t="shared" si="9"/>
        <v/>
      </c>
    </row>
    <row r="135" spans="1:10" ht="24" customHeight="1">
      <c r="A135" s="200" t="s">
        <v>486</v>
      </c>
      <c r="B135" s="192">
        <v>46143</v>
      </c>
      <c r="C135" s="192">
        <v>46507</v>
      </c>
      <c r="D135" s="193" t="s">
        <v>304</v>
      </c>
      <c r="E135" s="193" t="s">
        <v>10</v>
      </c>
      <c r="F135" s="193" t="s">
        <v>293</v>
      </c>
      <c r="G135" s="142">
        <v>43.25</v>
      </c>
      <c r="H135" s="143"/>
      <c r="I135" s="193" t="str">
        <f t="shared" si="8"/>
        <v>Monatslohn fehlt</v>
      </c>
      <c r="J135" s="208" t="str">
        <f t="shared" si="9"/>
        <v/>
      </c>
    </row>
    <row r="136" spans="1:10" ht="24" customHeight="1">
      <c r="A136" s="200" t="s">
        <v>486</v>
      </c>
      <c r="B136" s="192">
        <v>46143</v>
      </c>
      <c r="C136" s="192">
        <v>46507</v>
      </c>
      <c r="D136" s="193" t="s">
        <v>304</v>
      </c>
      <c r="E136" s="193" t="s">
        <v>10</v>
      </c>
      <c r="F136" s="193" t="s">
        <v>293</v>
      </c>
      <c r="G136" s="142">
        <v>34.6</v>
      </c>
      <c r="H136" s="143"/>
      <c r="I136" s="193" t="str">
        <f t="shared" si="8"/>
        <v>Monatslohn fehlt</v>
      </c>
      <c r="J136" s="208" t="str">
        <f t="shared" si="9"/>
        <v/>
      </c>
    </row>
    <row r="137" spans="1:10" ht="24" customHeight="1">
      <c r="A137" s="200" t="s">
        <v>486</v>
      </c>
      <c r="B137" s="192">
        <v>46143</v>
      </c>
      <c r="C137" s="192">
        <v>46507</v>
      </c>
      <c r="D137" s="193" t="s">
        <v>304</v>
      </c>
      <c r="E137" s="193" t="s">
        <v>10</v>
      </c>
      <c r="F137" s="193" t="s">
        <v>293</v>
      </c>
      <c r="G137" s="142">
        <v>32.01</v>
      </c>
      <c r="H137" s="143"/>
      <c r="I137" s="193" t="str">
        <f t="shared" si="8"/>
        <v>Monatslohn fehlt</v>
      </c>
      <c r="J137" s="208" t="str">
        <f t="shared" si="9"/>
        <v/>
      </c>
    </row>
    <row r="138" spans="1:10" ht="24" customHeight="1">
      <c r="A138" s="200" t="s">
        <v>486</v>
      </c>
      <c r="B138" s="192">
        <v>46143</v>
      </c>
      <c r="C138" s="192">
        <v>46507</v>
      </c>
      <c r="D138" s="193" t="s">
        <v>304</v>
      </c>
      <c r="E138" s="193" t="s">
        <v>10</v>
      </c>
      <c r="F138" s="193" t="s">
        <v>293</v>
      </c>
      <c r="G138" s="142"/>
      <c r="H138" s="143"/>
      <c r="I138" s="193" t="str">
        <f t="shared" si="8"/>
        <v>Werte fehlen</v>
      </c>
      <c r="J138" s="208" t="str">
        <f t="shared" si="9"/>
        <v/>
      </c>
    </row>
    <row r="139" spans="1:10" ht="24" customHeight="1" thickBot="1">
      <c r="A139" s="200" t="s">
        <v>486</v>
      </c>
      <c r="B139" s="192">
        <v>46143</v>
      </c>
      <c r="C139" s="192">
        <v>46507</v>
      </c>
      <c r="D139" s="193" t="s">
        <v>304</v>
      </c>
      <c r="E139" s="193" t="s">
        <v>10</v>
      </c>
      <c r="F139" s="193" t="s">
        <v>293</v>
      </c>
      <c r="G139" s="142"/>
      <c r="H139" s="143"/>
      <c r="I139" s="193" t="str">
        <f t="shared" si="8"/>
        <v>Werte fehlen</v>
      </c>
      <c r="J139" s="208" t="str">
        <f t="shared" si="9"/>
        <v/>
      </c>
    </row>
    <row r="140" spans="1:10" ht="24" customHeight="1">
      <c r="A140" s="199" t="s">
        <v>486</v>
      </c>
      <c r="B140" s="190">
        <v>46143</v>
      </c>
      <c r="C140" s="190">
        <v>46507</v>
      </c>
      <c r="D140" s="191" t="s">
        <v>11</v>
      </c>
      <c r="E140" s="191" t="s">
        <v>10</v>
      </c>
      <c r="F140" s="191" t="s">
        <v>294</v>
      </c>
      <c r="G140" s="140">
        <v>173</v>
      </c>
      <c r="H140" s="141"/>
      <c r="I140" s="191" t="str">
        <f t="shared" si="8"/>
        <v>Monatslohn fehlt</v>
      </c>
      <c r="J140" s="207" t="str">
        <f t="shared" si="9"/>
        <v/>
      </c>
    </row>
    <row r="141" spans="1:10" ht="24" customHeight="1">
      <c r="A141" s="200" t="s">
        <v>486</v>
      </c>
      <c r="B141" s="192">
        <v>46143</v>
      </c>
      <c r="C141" s="192">
        <v>46507</v>
      </c>
      <c r="D141" s="193" t="s">
        <v>11</v>
      </c>
      <c r="E141" s="193" t="s">
        <v>10</v>
      </c>
      <c r="F141" s="193" t="s">
        <v>294</v>
      </c>
      <c r="G141" s="142">
        <v>151.38</v>
      </c>
      <c r="H141" s="143"/>
      <c r="I141" s="193" t="str">
        <f t="shared" si="8"/>
        <v>Monatslohn fehlt</v>
      </c>
      <c r="J141" s="208" t="str">
        <f t="shared" si="9"/>
        <v/>
      </c>
    </row>
    <row r="142" spans="1:10" ht="24" customHeight="1">
      <c r="A142" s="200" t="s">
        <v>486</v>
      </c>
      <c r="B142" s="192">
        <v>46143</v>
      </c>
      <c r="C142" s="192">
        <v>46507</v>
      </c>
      <c r="D142" s="193" t="s">
        <v>11</v>
      </c>
      <c r="E142" s="193" t="s">
        <v>10</v>
      </c>
      <c r="F142" s="193" t="s">
        <v>294</v>
      </c>
      <c r="G142" s="142">
        <v>138.4</v>
      </c>
      <c r="H142" s="143"/>
      <c r="I142" s="193" t="str">
        <f t="shared" si="8"/>
        <v>Monatslohn fehlt</v>
      </c>
      <c r="J142" s="208" t="str">
        <f t="shared" si="9"/>
        <v/>
      </c>
    </row>
    <row r="143" spans="1:10" ht="24" customHeight="1">
      <c r="A143" s="200" t="s">
        <v>486</v>
      </c>
      <c r="B143" s="192">
        <v>46143</v>
      </c>
      <c r="C143" s="192">
        <v>46507</v>
      </c>
      <c r="D143" s="193" t="s">
        <v>11</v>
      </c>
      <c r="E143" s="193" t="s">
        <v>10</v>
      </c>
      <c r="F143" s="193" t="s">
        <v>294</v>
      </c>
      <c r="G143" s="142">
        <v>129.75</v>
      </c>
      <c r="H143" s="143"/>
      <c r="I143" s="193" t="str">
        <f t="shared" si="8"/>
        <v>Monatslohn fehlt</v>
      </c>
      <c r="J143" s="208" t="str">
        <f t="shared" si="9"/>
        <v/>
      </c>
    </row>
    <row r="144" spans="1:10" ht="24" customHeight="1">
      <c r="A144" s="200" t="s">
        <v>486</v>
      </c>
      <c r="B144" s="192">
        <v>46143</v>
      </c>
      <c r="C144" s="192">
        <v>46507</v>
      </c>
      <c r="D144" s="193" t="s">
        <v>11</v>
      </c>
      <c r="E144" s="193" t="s">
        <v>10</v>
      </c>
      <c r="F144" s="193" t="s">
        <v>294</v>
      </c>
      <c r="G144" s="142">
        <v>108.13</v>
      </c>
      <c r="H144" s="143"/>
      <c r="I144" s="193" t="str">
        <f t="shared" si="8"/>
        <v>Monatslohn fehlt</v>
      </c>
      <c r="J144" s="208" t="str">
        <f t="shared" si="9"/>
        <v/>
      </c>
    </row>
    <row r="145" spans="1:10" ht="24" customHeight="1">
      <c r="A145" s="200" t="s">
        <v>486</v>
      </c>
      <c r="B145" s="192">
        <v>46143</v>
      </c>
      <c r="C145" s="192">
        <v>46507</v>
      </c>
      <c r="D145" s="193" t="s">
        <v>11</v>
      </c>
      <c r="E145" s="193" t="s">
        <v>10</v>
      </c>
      <c r="F145" s="193" t="s">
        <v>294</v>
      </c>
      <c r="G145" s="142">
        <v>103.8</v>
      </c>
      <c r="H145" s="143"/>
      <c r="I145" s="193" t="str">
        <f t="shared" si="8"/>
        <v>Monatslohn fehlt</v>
      </c>
      <c r="J145" s="208" t="str">
        <f t="shared" si="9"/>
        <v/>
      </c>
    </row>
    <row r="146" spans="1:10" ht="24" customHeight="1">
      <c r="A146" s="200" t="s">
        <v>486</v>
      </c>
      <c r="B146" s="192">
        <v>46143</v>
      </c>
      <c r="C146" s="192">
        <v>46507</v>
      </c>
      <c r="D146" s="193" t="s">
        <v>11</v>
      </c>
      <c r="E146" s="193" t="s">
        <v>10</v>
      </c>
      <c r="F146" s="193" t="s">
        <v>294</v>
      </c>
      <c r="G146" s="142">
        <v>86.5</v>
      </c>
      <c r="H146" s="143"/>
      <c r="I146" s="193" t="str">
        <f t="shared" si="8"/>
        <v>Monatslohn fehlt</v>
      </c>
      <c r="J146" s="208" t="str">
        <f t="shared" si="9"/>
        <v/>
      </c>
    </row>
    <row r="147" spans="1:10" ht="24" customHeight="1">
      <c r="A147" s="200" t="s">
        <v>486</v>
      </c>
      <c r="B147" s="192">
        <v>46143</v>
      </c>
      <c r="C147" s="192">
        <v>46507</v>
      </c>
      <c r="D147" s="193" t="s">
        <v>11</v>
      </c>
      <c r="E147" s="193" t="s">
        <v>10</v>
      </c>
      <c r="F147" s="193" t="s">
        <v>294</v>
      </c>
      <c r="G147" s="142">
        <v>69.2</v>
      </c>
      <c r="H147" s="143"/>
      <c r="I147" s="193" t="str">
        <f t="shared" si="8"/>
        <v>Monatslohn fehlt</v>
      </c>
      <c r="J147" s="208" t="str">
        <f t="shared" si="9"/>
        <v/>
      </c>
    </row>
    <row r="148" spans="1:10" ht="24" customHeight="1">
      <c r="A148" s="200" t="s">
        <v>486</v>
      </c>
      <c r="B148" s="192">
        <v>46143</v>
      </c>
      <c r="C148" s="192">
        <v>46507</v>
      </c>
      <c r="D148" s="193" t="s">
        <v>11</v>
      </c>
      <c r="E148" s="193" t="s">
        <v>10</v>
      </c>
      <c r="F148" s="193" t="s">
        <v>294</v>
      </c>
      <c r="G148" s="142">
        <v>51.9</v>
      </c>
      <c r="H148" s="143"/>
      <c r="I148" s="193" t="str">
        <f t="shared" si="8"/>
        <v>Monatslohn fehlt</v>
      </c>
      <c r="J148" s="208" t="str">
        <f t="shared" si="9"/>
        <v/>
      </c>
    </row>
    <row r="149" spans="1:10" ht="24" customHeight="1">
      <c r="A149" s="200" t="s">
        <v>486</v>
      </c>
      <c r="B149" s="192">
        <v>46143</v>
      </c>
      <c r="C149" s="192">
        <v>46507</v>
      </c>
      <c r="D149" s="193" t="s">
        <v>11</v>
      </c>
      <c r="E149" s="193" t="s">
        <v>10</v>
      </c>
      <c r="F149" s="193" t="s">
        <v>294</v>
      </c>
      <c r="G149" s="142">
        <v>47.58</v>
      </c>
      <c r="H149" s="143"/>
      <c r="I149" s="193" t="str">
        <f t="shared" si="8"/>
        <v>Monatslohn fehlt</v>
      </c>
      <c r="J149" s="208" t="str">
        <f t="shared" si="9"/>
        <v/>
      </c>
    </row>
    <row r="150" spans="1:10" ht="24" customHeight="1">
      <c r="A150" s="200" t="s">
        <v>486</v>
      </c>
      <c r="B150" s="192">
        <v>46143</v>
      </c>
      <c r="C150" s="192">
        <v>46507</v>
      </c>
      <c r="D150" s="193" t="s">
        <v>11</v>
      </c>
      <c r="E150" s="193" t="s">
        <v>10</v>
      </c>
      <c r="F150" s="193" t="s">
        <v>294</v>
      </c>
      <c r="G150" s="142">
        <v>43.25</v>
      </c>
      <c r="H150" s="143"/>
      <c r="I150" s="193" t="str">
        <f t="shared" si="8"/>
        <v>Monatslohn fehlt</v>
      </c>
      <c r="J150" s="208" t="str">
        <f t="shared" si="9"/>
        <v/>
      </c>
    </row>
    <row r="151" spans="1:10" ht="24" customHeight="1">
      <c r="A151" s="200" t="s">
        <v>486</v>
      </c>
      <c r="B151" s="192">
        <v>46143</v>
      </c>
      <c r="C151" s="192">
        <v>46507</v>
      </c>
      <c r="D151" s="193" t="s">
        <v>11</v>
      </c>
      <c r="E151" s="193" t="s">
        <v>10</v>
      </c>
      <c r="F151" s="193" t="s">
        <v>294</v>
      </c>
      <c r="G151" s="142">
        <v>34.6</v>
      </c>
      <c r="H151" s="143"/>
      <c r="I151" s="193" t="str">
        <f t="shared" si="8"/>
        <v>Monatslohn fehlt</v>
      </c>
      <c r="J151" s="208" t="str">
        <f t="shared" si="9"/>
        <v/>
      </c>
    </row>
    <row r="152" spans="1:10" ht="24" customHeight="1">
      <c r="A152" s="200" t="s">
        <v>486</v>
      </c>
      <c r="B152" s="192">
        <v>46143</v>
      </c>
      <c r="C152" s="192">
        <v>46507</v>
      </c>
      <c r="D152" s="193" t="s">
        <v>11</v>
      </c>
      <c r="E152" s="193" t="s">
        <v>10</v>
      </c>
      <c r="F152" s="193" t="s">
        <v>294</v>
      </c>
      <c r="G152" s="142">
        <v>32.01</v>
      </c>
      <c r="H152" s="143"/>
      <c r="I152" s="193" t="str">
        <f t="shared" si="8"/>
        <v>Monatslohn fehlt</v>
      </c>
      <c r="J152" s="208" t="str">
        <f t="shared" si="9"/>
        <v/>
      </c>
    </row>
    <row r="153" spans="1:10" ht="24" customHeight="1">
      <c r="A153" s="200" t="s">
        <v>486</v>
      </c>
      <c r="B153" s="192">
        <v>46143</v>
      </c>
      <c r="C153" s="192">
        <v>46507</v>
      </c>
      <c r="D153" s="193" t="s">
        <v>11</v>
      </c>
      <c r="E153" s="193" t="s">
        <v>10</v>
      </c>
      <c r="F153" s="193" t="s">
        <v>294</v>
      </c>
      <c r="G153" s="142"/>
      <c r="H153" s="143"/>
      <c r="I153" s="193" t="str">
        <f t="shared" si="8"/>
        <v>Werte fehlen</v>
      </c>
      <c r="J153" s="208" t="str">
        <f t="shared" si="9"/>
        <v/>
      </c>
    </row>
    <row r="154" spans="1:10" ht="24" customHeight="1" thickBot="1">
      <c r="A154" s="200" t="s">
        <v>486</v>
      </c>
      <c r="B154" s="192">
        <v>46143</v>
      </c>
      <c r="C154" s="192">
        <v>46507</v>
      </c>
      <c r="D154" s="193" t="s">
        <v>11</v>
      </c>
      <c r="E154" s="193" t="s">
        <v>10</v>
      </c>
      <c r="F154" s="193" t="s">
        <v>294</v>
      </c>
      <c r="G154" s="142"/>
      <c r="H154" s="143"/>
      <c r="I154" s="193" t="str">
        <f t="shared" si="8"/>
        <v>Werte fehlen</v>
      </c>
      <c r="J154" s="208" t="str">
        <f t="shared" si="9"/>
        <v/>
      </c>
    </row>
    <row r="155" spans="1:10" ht="24" customHeight="1">
      <c r="A155" s="199" t="s">
        <v>486</v>
      </c>
      <c r="B155" s="190">
        <v>46143</v>
      </c>
      <c r="C155" s="190">
        <v>46507</v>
      </c>
      <c r="D155" s="191" t="s">
        <v>12</v>
      </c>
      <c r="E155" s="191" t="s">
        <v>10</v>
      </c>
      <c r="F155" s="191" t="s">
        <v>295</v>
      </c>
      <c r="G155" s="140">
        <v>173</v>
      </c>
      <c r="H155" s="141"/>
      <c r="I155" s="191" t="str">
        <f t="shared" si="8"/>
        <v>Monatslohn fehlt</v>
      </c>
      <c r="J155" s="207" t="str">
        <f t="shared" si="9"/>
        <v/>
      </c>
    </row>
    <row r="156" spans="1:10" ht="24" customHeight="1">
      <c r="A156" s="200" t="s">
        <v>486</v>
      </c>
      <c r="B156" s="192">
        <v>46143</v>
      </c>
      <c r="C156" s="192">
        <v>46507</v>
      </c>
      <c r="D156" s="193" t="s">
        <v>12</v>
      </c>
      <c r="E156" s="193" t="s">
        <v>10</v>
      </c>
      <c r="F156" s="193" t="s">
        <v>295</v>
      </c>
      <c r="G156" s="142">
        <v>151.38</v>
      </c>
      <c r="H156" s="143"/>
      <c r="I156" s="193" t="str">
        <f t="shared" si="8"/>
        <v>Monatslohn fehlt</v>
      </c>
      <c r="J156" s="208" t="str">
        <f t="shared" si="9"/>
        <v/>
      </c>
    </row>
    <row r="157" spans="1:10" ht="24" customHeight="1">
      <c r="A157" s="200" t="s">
        <v>486</v>
      </c>
      <c r="B157" s="192">
        <v>46143</v>
      </c>
      <c r="C157" s="192">
        <v>46507</v>
      </c>
      <c r="D157" s="193" t="s">
        <v>12</v>
      </c>
      <c r="E157" s="193" t="s">
        <v>10</v>
      </c>
      <c r="F157" s="193" t="s">
        <v>295</v>
      </c>
      <c r="G157" s="142">
        <v>138.4</v>
      </c>
      <c r="H157" s="143"/>
      <c r="I157" s="193" t="str">
        <f t="shared" si="8"/>
        <v>Monatslohn fehlt</v>
      </c>
      <c r="J157" s="208" t="str">
        <f t="shared" si="9"/>
        <v/>
      </c>
    </row>
    <row r="158" spans="1:10" ht="24" customHeight="1">
      <c r="A158" s="200" t="s">
        <v>486</v>
      </c>
      <c r="B158" s="192">
        <v>46143</v>
      </c>
      <c r="C158" s="192">
        <v>46507</v>
      </c>
      <c r="D158" s="193" t="s">
        <v>12</v>
      </c>
      <c r="E158" s="193" t="s">
        <v>10</v>
      </c>
      <c r="F158" s="193" t="s">
        <v>295</v>
      </c>
      <c r="G158" s="142">
        <v>129.75</v>
      </c>
      <c r="H158" s="143"/>
      <c r="I158" s="193" t="str">
        <f t="shared" si="8"/>
        <v>Monatslohn fehlt</v>
      </c>
      <c r="J158" s="208" t="str">
        <f t="shared" si="9"/>
        <v/>
      </c>
    </row>
    <row r="159" spans="1:10" ht="24" customHeight="1">
      <c r="A159" s="200" t="s">
        <v>486</v>
      </c>
      <c r="B159" s="192">
        <v>46143</v>
      </c>
      <c r="C159" s="192">
        <v>46507</v>
      </c>
      <c r="D159" s="193" t="s">
        <v>12</v>
      </c>
      <c r="E159" s="193" t="s">
        <v>10</v>
      </c>
      <c r="F159" s="193" t="s">
        <v>295</v>
      </c>
      <c r="G159" s="142">
        <v>108.13</v>
      </c>
      <c r="H159" s="143"/>
      <c r="I159" s="193" t="str">
        <f t="shared" si="8"/>
        <v>Monatslohn fehlt</v>
      </c>
      <c r="J159" s="208" t="str">
        <f t="shared" si="9"/>
        <v/>
      </c>
    </row>
    <row r="160" spans="1:10" ht="24" customHeight="1">
      <c r="A160" s="200" t="s">
        <v>486</v>
      </c>
      <c r="B160" s="192">
        <v>46143</v>
      </c>
      <c r="C160" s="192">
        <v>46507</v>
      </c>
      <c r="D160" s="193" t="s">
        <v>12</v>
      </c>
      <c r="E160" s="193" t="s">
        <v>10</v>
      </c>
      <c r="F160" s="193" t="s">
        <v>295</v>
      </c>
      <c r="G160" s="142">
        <v>103.8</v>
      </c>
      <c r="H160" s="143"/>
      <c r="I160" s="193" t="str">
        <f t="shared" si="8"/>
        <v>Monatslohn fehlt</v>
      </c>
      <c r="J160" s="208" t="str">
        <f t="shared" si="9"/>
        <v/>
      </c>
    </row>
    <row r="161" spans="1:10" ht="24" customHeight="1">
      <c r="A161" s="200" t="s">
        <v>486</v>
      </c>
      <c r="B161" s="192">
        <v>46143</v>
      </c>
      <c r="C161" s="192">
        <v>46507</v>
      </c>
      <c r="D161" s="193" t="s">
        <v>12</v>
      </c>
      <c r="E161" s="193" t="s">
        <v>10</v>
      </c>
      <c r="F161" s="193" t="s">
        <v>295</v>
      </c>
      <c r="G161" s="142">
        <v>86.5</v>
      </c>
      <c r="H161" s="143"/>
      <c r="I161" s="193" t="str">
        <f t="shared" si="8"/>
        <v>Monatslohn fehlt</v>
      </c>
      <c r="J161" s="208" t="str">
        <f t="shared" si="9"/>
        <v/>
      </c>
    </row>
    <row r="162" spans="1:10" ht="24" customHeight="1">
      <c r="A162" s="200" t="s">
        <v>486</v>
      </c>
      <c r="B162" s="192">
        <v>46143</v>
      </c>
      <c r="C162" s="192">
        <v>46507</v>
      </c>
      <c r="D162" s="193" t="s">
        <v>12</v>
      </c>
      <c r="E162" s="193" t="s">
        <v>10</v>
      </c>
      <c r="F162" s="193" t="s">
        <v>295</v>
      </c>
      <c r="G162" s="142">
        <v>69.2</v>
      </c>
      <c r="H162" s="143"/>
      <c r="I162" s="193" t="str">
        <f t="shared" si="8"/>
        <v>Monatslohn fehlt</v>
      </c>
      <c r="J162" s="208" t="str">
        <f t="shared" si="9"/>
        <v/>
      </c>
    </row>
    <row r="163" spans="1:10" ht="24" customHeight="1">
      <c r="A163" s="200" t="s">
        <v>486</v>
      </c>
      <c r="B163" s="192">
        <v>46143</v>
      </c>
      <c r="C163" s="192">
        <v>46507</v>
      </c>
      <c r="D163" s="193" t="s">
        <v>12</v>
      </c>
      <c r="E163" s="193" t="s">
        <v>10</v>
      </c>
      <c r="F163" s="193" t="s">
        <v>295</v>
      </c>
      <c r="G163" s="142">
        <v>51.9</v>
      </c>
      <c r="H163" s="143"/>
      <c r="I163" s="193" t="str">
        <f t="shared" si="8"/>
        <v>Monatslohn fehlt</v>
      </c>
      <c r="J163" s="208" t="str">
        <f t="shared" si="9"/>
        <v/>
      </c>
    </row>
    <row r="164" spans="1:10" ht="24" customHeight="1">
      <c r="A164" s="200" t="s">
        <v>486</v>
      </c>
      <c r="B164" s="192">
        <v>46143</v>
      </c>
      <c r="C164" s="192">
        <v>46507</v>
      </c>
      <c r="D164" s="193" t="s">
        <v>12</v>
      </c>
      <c r="E164" s="193" t="s">
        <v>10</v>
      </c>
      <c r="F164" s="193" t="s">
        <v>295</v>
      </c>
      <c r="G164" s="142">
        <v>47.58</v>
      </c>
      <c r="H164" s="143"/>
      <c r="I164" s="193" t="str">
        <f t="shared" si="8"/>
        <v>Monatslohn fehlt</v>
      </c>
      <c r="J164" s="208" t="str">
        <f t="shared" si="9"/>
        <v/>
      </c>
    </row>
    <row r="165" spans="1:10" ht="24" customHeight="1">
      <c r="A165" s="200" t="s">
        <v>486</v>
      </c>
      <c r="B165" s="192">
        <v>46143</v>
      </c>
      <c r="C165" s="192">
        <v>46507</v>
      </c>
      <c r="D165" s="193" t="s">
        <v>12</v>
      </c>
      <c r="E165" s="193" t="s">
        <v>10</v>
      </c>
      <c r="F165" s="193" t="s">
        <v>295</v>
      </c>
      <c r="G165" s="142">
        <v>43.25</v>
      </c>
      <c r="H165" s="143"/>
      <c r="I165" s="19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208" t="str">
        <f t="shared" ref="J165:J184" si="11">IF($G165="","",IF(COUNTIFS($A:$A,$A165,$D:$D,$D165,$G:$G,$G165)&gt;1,"Doppelte Monatsstunden",""))</f>
        <v/>
      </c>
    </row>
    <row r="166" spans="1:10" ht="24" customHeight="1">
      <c r="A166" s="200" t="s">
        <v>486</v>
      </c>
      <c r="B166" s="192">
        <v>46143</v>
      </c>
      <c r="C166" s="192">
        <v>46507</v>
      </c>
      <c r="D166" s="193" t="s">
        <v>12</v>
      </c>
      <c r="E166" s="193" t="s">
        <v>10</v>
      </c>
      <c r="F166" s="193" t="s">
        <v>295</v>
      </c>
      <c r="G166" s="142">
        <v>34.6</v>
      </c>
      <c r="H166" s="143"/>
      <c r="I166" s="193" t="str">
        <f t="shared" si="10"/>
        <v>Monatslohn fehlt</v>
      </c>
      <c r="J166" s="208" t="str">
        <f t="shared" si="11"/>
        <v/>
      </c>
    </row>
    <row r="167" spans="1:10" ht="24" customHeight="1">
      <c r="A167" s="200" t="s">
        <v>486</v>
      </c>
      <c r="B167" s="192">
        <v>46143</v>
      </c>
      <c r="C167" s="192">
        <v>46507</v>
      </c>
      <c r="D167" s="193" t="s">
        <v>12</v>
      </c>
      <c r="E167" s="193" t="s">
        <v>10</v>
      </c>
      <c r="F167" s="193" t="s">
        <v>295</v>
      </c>
      <c r="G167" s="142">
        <v>32.01</v>
      </c>
      <c r="H167" s="143"/>
      <c r="I167" s="193" t="str">
        <f t="shared" si="10"/>
        <v>Monatslohn fehlt</v>
      </c>
      <c r="J167" s="208" t="str">
        <f t="shared" si="11"/>
        <v/>
      </c>
    </row>
    <row r="168" spans="1:10" ht="24" customHeight="1">
      <c r="A168" s="200" t="s">
        <v>486</v>
      </c>
      <c r="B168" s="192">
        <v>46143</v>
      </c>
      <c r="C168" s="192">
        <v>46507</v>
      </c>
      <c r="D168" s="193" t="s">
        <v>12</v>
      </c>
      <c r="E168" s="193" t="s">
        <v>10</v>
      </c>
      <c r="F168" s="193" t="s">
        <v>295</v>
      </c>
      <c r="G168" s="142"/>
      <c r="H168" s="143"/>
      <c r="I168" s="193" t="str">
        <f t="shared" si="10"/>
        <v>Werte fehlen</v>
      </c>
      <c r="J168" s="208" t="str">
        <f t="shared" si="11"/>
        <v/>
      </c>
    </row>
    <row r="169" spans="1:10" ht="24" customHeight="1" thickBot="1">
      <c r="A169" s="200" t="s">
        <v>486</v>
      </c>
      <c r="B169" s="192">
        <v>46143</v>
      </c>
      <c r="C169" s="192">
        <v>46507</v>
      </c>
      <c r="D169" s="193" t="s">
        <v>12</v>
      </c>
      <c r="E169" s="193" t="s">
        <v>10</v>
      </c>
      <c r="F169" s="193" t="s">
        <v>295</v>
      </c>
      <c r="G169" s="142"/>
      <c r="H169" s="143"/>
      <c r="I169" s="193" t="str">
        <f t="shared" si="10"/>
        <v>Werte fehlen</v>
      </c>
      <c r="J169" s="208" t="str">
        <f t="shared" si="11"/>
        <v/>
      </c>
    </row>
    <row r="170" spans="1:10" ht="24" customHeight="1">
      <c r="A170" s="199" t="s">
        <v>486</v>
      </c>
      <c r="B170" s="190">
        <v>46143</v>
      </c>
      <c r="C170" s="190">
        <v>46507</v>
      </c>
      <c r="D170" s="191" t="s">
        <v>13</v>
      </c>
      <c r="E170" s="191" t="s">
        <v>10</v>
      </c>
      <c r="F170" s="191" t="s">
        <v>296</v>
      </c>
      <c r="G170" s="140">
        <v>173</v>
      </c>
      <c r="H170" s="141"/>
      <c r="I170" s="191" t="str">
        <f t="shared" si="10"/>
        <v>Monatslohn fehlt</v>
      </c>
      <c r="J170" s="207" t="str">
        <f t="shared" si="11"/>
        <v/>
      </c>
    </row>
    <row r="171" spans="1:10" ht="24" customHeight="1">
      <c r="A171" s="200" t="s">
        <v>486</v>
      </c>
      <c r="B171" s="192">
        <v>46143</v>
      </c>
      <c r="C171" s="192">
        <v>46507</v>
      </c>
      <c r="D171" s="193" t="s">
        <v>13</v>
      </c>
      <c r="E171" s="193" t="s">
        <v>10</v>
      </c>
      <c r="F171" s="193" t="s">
        <v>296</v>
      </c>
      <c r="G171" s="142">
        <v>151.38</v>
      </c>
      <c r="H171" s="143"/>
      <c r="I171" s="193" t="str">
        <f t="shared" si="10"/>
        <v>Monatslohn fehlt</v>
      </c>
      <c r="J171" s="208" t="str">
        <f t="shared" si="11"/>
        <v/>
      </c>
    </row>
    <row r="172" spans="1:10" ht="24" customHeight="1">
      <c r="A172" s="200" t="s">
        <v>486</v>
      </c>
      <c r="B172" s="192">
        <v>46143</v>
      </c>
      <c r="C172" s="192">
        <v>46507</v>
      </c>
      <c r="D172" s="193" t="s">
        <v>13</v>
      </c>
      <c r="E172" s="193" t="s">
        <v>10</v>
      </c>
      <c r="F172" s="193" t="s">
        <v>296</v>
      </c>
      <c r="G172" s="142">
        <v>138.4</v>
      </c>
      <c r="H172" s="143"/>
      <c r="I172" s="193" t="str">
        <f t="shared" si="10"/>
        <v>Monatslohn fehlt</v>
      </c>
      <c r="J172" s="208" t="str">
        <f t="shared" si="11"/>
        <v/>
      </c>
    </row>
    <row r="173" spans="1:10" ht="24" customHeight="1">
      <c r="A173" s="200" t="s">
        <v>486</v>
      </c>
      <c r="B173" s="192">
        <v>46143</v>
      </c>
      <c r="C173" s="192">
        <v>46507</v>
      </c>
      <c r="D173" s="193" t="s">
        <v>13</v>
      </c>
      <c r="E173" s="193" t="s">
        <v>10</v>
      </c>
      <c r="F173" s="193" t="s">
        <v>296</v>
      </c>
      <c r="G173" s="142">
        <v>129.75</v>
      </c>
      <c r="H173" s="143"/>
      <c r="I173" s="193" t="str">
        <f t="shared" si="10"/>
        <v>Monatslohn fehlt</v>
      </c>
      <c r="J173" s="208" t="str">
        <f t="shared" si="11"/>
        <v/>
      </c>
    </row>
    <row r="174" spans="1:10" ht="24" customHeight="1">
      <c r="A174" s="200" t="s">
        <v>486</v>
      </c>
      <c r="B174" s="192">
        <v>46143</v>
      </c>
      <c r="C174" s="192">
        <v>46507</v>
      </c>
      <c r="D174" s="193" t="s">
        <v>13</v>
      </c>
      <c r="E174" s="193" t="s">
        <v>10</v>
      </c>
      <c r="F174" s="193" t="s">
        <v>296</v>
      </c>
      <c r="G174" s="142">
        <v>108.13</v>
      </c>
      <c r="H174" s="143"/>
      <c r="I174" s="193" t="str">
        <f t="shared" si="10"/>
        <v>Monatslohn fehlt</v>
      </c>
      <c r="J174" s="208" t="str">
        <f t="shared" si="11"/>
        <v/>
      </c>
    </row>
    <row r="175" spans="1:10" ht="24" customHeight="1">
      <c r="A175" s="200" t="s">
        <v>486</v>
      </c>
      <c r="B175" s="192">
        <v>46143</v>
      </c>
      <c r="C175" s="192">
        <v>46507</v>
      </c>
      <c r="D175" s="193" t="s">
        <v>13</v>
      </c>
      <c r="E175" s="193" t="s">
        <v>10</v>
      </c>
      <c r="F175" s="193" t="s">
        <v>296</v>
      </c>
      <c r="G175" s="142">
        <v>103.8</v>
      </c>
      <c r="H175" s="143"/>
      <c r="I175" s="193" t="str">
        <f t="shared" si="10"/>
        <v>Monatslohn fehlt</v>
      </c>
      <c r="J175" s="208" t="str">
        <f t="shared" si="11"/>
        <v/>
      </c>
    </row>
    <row r="176" spans="1:10" ht="24" customHeight="1">
      <c r="A176" s="200" t="s">
        <v>486</v>
      </c>
      <c r="B176" s="192">
        <v>46143</v>
      </c>
      <c r="C176" s="192">
        <v>46507</v>
      </c>
      <c r="D176" s="193" t="s">
        <v>13</v>
      </c>
      <c r="E176" s="193" t="s">
        <v>10</v>
      </c>
      <c r="F176" s="193" t="s">
        <v>296</v>
      </c>
      <c r="G176" s="142">
        <v>86.5</v>
      </c>
      <c r="H176" s="143"/>
      <c r="I176" s="193" t="str">
        <f t="shared" si="10"/>
        <v>Monatslohn fehlt</v>
      </c>
      <c r="J176" s="208" t="str">
        <f t="shared" si="11"/>
        <v/>
      </c>
    </row>
    <row r="177" spans="1:10" ht="24" customHeight="1">
      <c r="A177" s="200" t="s">
        <v>486</v>
      </c>
      <c r="B177" s="192">
        <v>46143</v>
      </c>
      <c r="C177" s="192">
        <v>46507</v>
      </c>
      <c r="D177" s="193" t="s">
        <v>13</v>
      </c>
      <c r="E177" s="193" t="s">
        <v>10</v>
      </c>
      <c r="F177" s="193" t="s">
        <v>296</v>
      </c>
      <c r="G177" s="142">
        <v>69.2</v>
      </c>
      <c r="H177" s="143"/>
      <c r="I177" s="193" t="str">
        <f t="shared" si="10"/>
        <v>Monatslohn fehlt</v>
      </c>
      <c r="J177" s="208" t="str">
        <f t="shared" si="11"/>
        <v/>
      </c>
    </row>
    <row r="178" spans="1:10" ht="24" customHeight="1">
      <c r="A178" s="200" t="s">
        <v>486</v>
      </c>
      <c r="B178" s="192">
        <v>46143</v>
      </c>
      <c r="C178" s="192">
        <v>46507</v>
      </c>
      <c r="D178" s="193" t="s">
        <v>13</v>
      </c>
      <c r="E178" s="193" t="s">
        <v>10</v>
      </c>
      <c r="F178" s="193" t="s">
        <v>296</v>
      </c>
      <c r="G178" s="142">
        <v>51.9</v>
      </c>
      <c r="H178" s="143"/>
      <c r="I178" s="193" t="str">
        <f t="shared" si="10"/>
        <v>Monatslohn fehlt</v>
      </c>
      <c r="J178" s="208" t="str">
        <f t="shared" si="11"/>
        <v/>
      </c>
    </row>
    <row r="179" spans="1:10" ht="24" customHeight="1">
      <c r="A179" s="200" t="s">
        <v>486</v>
      </c>
      <c r="B179" s="192">
        <v>46143</v>
      </c>
      <c r="C179" s="192">
        <v>46507</v>
      </c>
      <c r="D179" s="193" t="s">
        <v>13</v>
      </c>
      <c r="E179" s="193" t="s">
        <v>10</v>
      </c>
      <c r="F179" s="193" t="s">
        <v>296</v>
      </c>
      <c r="G179" s="142">
        <v>47.58</v>
      </c>
      <c r="H179" s="143"/>
      <c r="I179" s="193" t="str">
        <f t="shared" si="10"/>
        <v>Monatslohn fehlt</v>
      </c>
      <c r="J179" s="208" t="str">
        <f t="shared" si="11"/>
        <v/>
      </c>
    </row>
    <row r="180" spans="1:10" ht="24" customHeight="1">
      <c r="A180" s="200" t="s">
        <v>486</v>
      </c>
      <c r="B180" s="192">
        <v>46143</v>
      </c>
      <c r="C180" s="192">
        <v>46507</v>
      </c>
      <c r="D180" s="193" t="s">
        <v>13</v>
      </c>
      <c r="E180" s="193" t="s">
        <v>10</v>
      </c>
      <c r="F180" s="193" t="s">
        <v>296</v>
      </c>
      <c r="G180" s="142">
        <v>43.25</v>
      </c>
      <c r="H180" s="143"/>
      <c r="I180" s="193" t="str">
        <f t="shared" si="10"/>
        <v>Monatslohn fehlt</v>
      </c>
      <c r="J180" s="208" t="str">
        <f t="shared" si="11"/>
        <v/>
      </c>
    </row>
    <row r="181" spans="1:10" ht="24" customHeight="1">
      <c r="A181" s="200" t="s">
        <v>486</v>
      </c>
      <c r="B181" s="192">
        <v>46143</v>
      </c>
      <c r="C181" s="192">
        <v>46507</v>
      </c>
      <c r="D181" s="193" t="s">
        <v>13</v>
      </c>
      <c r="E181" s="193" t="s">
        <v>10</v>
      </c>
      <c r="F181" s="193" t="s">
        <v>296</v>
      </c>
      <c r="G181" s="142">
        <v>34.6</v>
      </c>
      <c r="H181" s="143"/>
      <c r="I181" s="193" t="str">
        <f t="shared" si="10"/>
        <v>Monatslohn fehlt</v>
      </c>
      <c r="J181" s="208" t="str">
        <f t="shared" si="11"/>
        <v/>
      </c>
    </row>
    <row r="182" spans="1:10" ht="24" customHeight="1">
      <c r="A182" s="200" t="s">
        <v>486</v>
      </c>
      <c r="B182" s="192">
        <v>46143</v>
      </c>
      <c r="C182" s="192">
        <v>46507</v>
      </c>
      <c r="D182" s="193" t="s">
        <v>13</v>
      </c>
      <c r="E182" s="193" t="s">
        <v>10</v>
      </c>
      <c r="F182" s="193" t="s">
        <v>296</v>
      </c>
      <c r="G182" s="142">
        <v>32.01</v>
      </c>
      <c r="H182" s="143"/>
      <c r="I182" s="193" t="str">
        <f t="shared" si="10"/>
        <v>Monatslohn fehlt</v>
      </c>
      <c r="J182" s="208" t="str">
        <f t="shared" si="11"/>
        <v/>
      </c>
    </row>
    <row r="183" spans="1:10" ht="24" customHeight="1">
      <c r="A183" s="200" t="s">
        <v>486</v>
      </c>
      <c r="B183" s="192">
        <v>46143</v>
      </c>
      <c r="C183" s="192">
        <v>46507</v>
      </c>
      <c r="D183" s="193" t="s">
        <v>13</v>
      </c>
      <c r="E183" s="193" t="s">
        <v>10</v>
      </c>
      <c r="F183" s="193" t="s">
        <v>296</v>
      </c>
      <c r="G183" s="142"/>
      <c r="H183" s="143"/>
      <c r="I183" s="193" t="str">
        <f t="shared" si="10"/>
        <v>Werte fehlen</v>
      </c>
      <c r="J183" s="208" t="str">
        <f t="shared" si="11"/>
        <v/>
      </c>
    </row>
    <row r="184" spans="1:10" ht="24" customHeight="1">
      <c r="A184" s="201" t="s">
        <v>486</v>
      </c>
      <c r="B184" s="186">
        <v>46143</v>
      </c>
      <c r="C184" s="186">
        <v>46507</v>
      </c>
      <c r="D184" s="187" t="s">
        <v>13</v>
      </c>
      <c r="E184" s="187" t="s">
        <v>10</v>
      </c>
      <c r="F184" s="187" t="s">
        <v>296</v>
      </c>
      <c r="G184" s="188"/>
      <c r="H184" s="189"/>
      <c r="I184" s="187" t="str">
        <f t="shared" si="10"/>
        <v>Werte fehlen</v>
      </c>
      <c r="J184" s="209" t="str">
        <f t="shared" si="11"/>
        <v/>
      </c>
    </row>
    <row r="185" spans="1:10" ht="24" customHeight="1" thickBot="1">
      <c r="A185" s="297" t="s">
        <v>346</v>
      </c>
      <c r="B185" s="298"/>
      <c r="C185" s="298"/>
      <c r="D185" s="299"/>
      <c r="E185" s="299"/>
      <c r="F185" s="299"/>
      <c r="G185" s="300"/>
      <c r="H185" s="301"/>
      <c r="I185" s="299"/>
      <c r="J185" s="302"/>
    </row>
    <row r="186" spans="1:10" ht="24" customHeight="1">
      <c r="A186" s="194" t="s">
        <v>305</v>
      </c>
      <c r="B186" s="176">
        <v>45778</v>
      </c>
      <c r="C186" s="176">
        <v>46142</v>
      </c>
      <c r="D186" s="177" t="s">
        <v>302</v>
      </c>
      <c r="E186" s="177" t="s">
        <v>2</v>
      </c>
      <c r="F186" s="177" t="s">
        <v>293</v>
      </c>
      <c r="G186" s="130">
        <v>173</v>
      </c>
      <c r="H186" s="131">
        <v>2021</v>
      </c>
      <c r="I186" s="17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202" t="str">
        <f t="shared" ref="J186:J217" si="13">IF($G186="","",IF(COUNTIFS($A:$A,$A186,$D:$D,$D186,$G:$G,$G186)&gt;1,"Doppelte Monatsstunden",""))</f>
        <v/>
      </c>
    </row>
    <row r="187" spans="1:10" ht="24" customHeight="1">
      <c r="A187" s="195" t="s">
        <v>305</v>
      </c>
      <c r="B187" s="178">
        <v>45778</v>
      </c>
      <c r="C187" s="178">
        <v>46142</v>
      </c>
      <c r="D187" s="179" t="s">
        <v>302</v>
      </c>
      <c r="E187" s="179" t="s">
        <v>2</v>
      </c>
      <c r="F187" s="179" t="s">
        <v>293</v>
      </c>
      <c r="G187" s="132">
        <v>151.38</v>
      </c>
      <c r="H187" s="133">
        <v>1768.38</v>
      </c>
      <c r="I187" s="179" t="str">
        <f t="shared" si="12"/>
        <v>OK</v>
      </c>
      <c r="J187" s="203" t="str">
        <f t="shared" si="13"/>
        <v/>
      </c>
    </row>
    <row r="188" spans="1:10" ht="24" customHeight="1">
      <c r="A188" s="195" t="s">
        <v>305</v>
      </c>
      <c r="B188" s="178">
        <v>45778</v>
      </c>
      <c r="C188" s="178">
        <v>46142</v>
      </c>
      <c r="D188" s="179" t="s">
        <v>302</v>
      </c>
      <c r="E188" s="179" t="s">
        <v>2</v>
      </c>
      <c r="F188" s="179" t="s">
        <v>293</v>
      </c>
      <c r="G188" s="132">
        <v>138.4</v>
      </c>
      <c r="H188" s="133">
        <v>1616.8</v>
      </c>
      <c r="I188" s="179" t="str">
        <f t="shared" si="12"/>
        <v>OK</v>
      </c>
      <c r="J188" s="203" t="str">
        <f t="shared" si="13"/>
        <v/>
      </c>
    </row>
    <row r="189" spans="1:10" ht="24" customHeight="1">
      <c r="A189" s="195" t="s">
        <v>305</v>
      </c>
      <c r="B189" s="178">
        <v>45778</v>
      </c>
      <c r="C189" s="178">
        <v>46142</v>
      </c>
      <c r="D189" s="179" t="s">
        <v>302</v>
      </c>
      <c r="E189" s="179" t="s">
        <v>2</v>
      </c>
      <c r="F189" s="179" t="s">
        <v>293</v>
      </c>
      <c r="G189" s="132">
        <v>129.75</v>
      </c>
      <c r="H189" s="133">
        <v>1515.75</v>
      </c>
      <c r="I189" s="179" t="str">
        <f t="shared" si="12"/>
        <v>OK</v>
      </c>
      <c r="J189" s="203" t="str">
        <f t="shared" si="13"/>
        <v/>
      </c>
    </row>
    <row r="190" spans="1:10" ht="24" customHeight="1">
      <c r="A190" s="195" t="s">
        <v>305</v>
      </c>
      <c r="B190" s="178">
        <v>45778</v>
      </c>
      <c r="C190" s="178">
        <v>46142</v>
      </c>
      <c r="D190" s="179" t="s">
        <v>302</v>
      </c>
      <c r="E190" s="179" t="s">
        <v>2</v>
      </c>
      <c r="F190" s="179" t="s">
        <v>293</v>
      </c>
      <c r="G190" s="132">
        <v>108.13</v>
      </c>
      <c r="H190" s="133">
        <v>1263.1300000000001</v>
      </c>
      <c r="I190" s="179" t="str">
        <f t="shared" si="12"/>
        <v>OK</v>
      </c>
      <c r="J190" s="203" t="str">
        <f t="shared" si="13"/>
        <v/>
      </c>
    </row>
    <row r="191" spans="1:10" ht="24" customHeight="1">
      <c r="A191" s="195" t="s">
        <v>305</v>
      </c>
      <c r="B191" s="178">
        <v>45778</v>
      </c>
      <c r="C191" s="178">
        <v>46142</v>
      </c>
      <c r="D191" s="179" t="s">
        <v>302</v>
      </c>
      <c r="E191" s="179" t="s">
        <v>2</v>
      </c>
      <c r="F191" s="179" t="s">
        <v>293</v>
      </c>
      <c r="G191" s="132">
        <v>103.8</v>
      </c>
      <c r="H191" s="133">
        <v>1212.5999999999999</v>
      </c>
      <c r="I191" s="179" t="str">
        <f t="shared" si="12"/>
        <v>OK</v>
      </c>
      <c r="J191" s="203" t="str">
        <f t="shared" si="13"/>
        <v/>
      </c>
    </row>
    <row r="192" spans="1:10" ht="24" customHeight="1">
      <c r="A192" s="195" t="s">
        <v>305</v>
      </c>
      <c r="B192" s="178">
        <v>45778</v>
      </c>
      <c r="C192" s="178">
        <v>46142</v>
      </c>
      <c r="D192" s="179" t="s">
        <v>302</v>
      </c>
      <c r="E192" s="179" t="s">
        <v>2</v>
      </c>
      <c r="F192" s="179" t="s">
        <v>293</v>
      </c>
      <c r="G192" s="132">
        <v>86.5</v>
      </c>
      <c r="H192" s="133">
        <v>1010.5</v>
      </c>
      <c r="I192" s="179" t="str">
        <f t="shared" si="12"/>
        <v>OK</v>
      </c>
      <c r="J192" s="203" t="str">
        <f t="shared" si="13"/>
        <v/>
      </c>
    </row>
    <row r="193" spans="1:10" ht="24" customHeight="1">
      <c r="A193" s="195" t="s">
        <v>305</v>
      </c>
      <c r="B193" s="178">
        <v>45778</v>
      </c>
      <c r="C193" s="178">
        <v>46142</v>
      </c>
      <c r="D193" s="179" t="s">
        <v>302</v>
      </c>
      <c r="E193" s="179" t="s">
        <v>2</v>
      </c>
      <c r="F193" s="179" t="s">
        <v>293</v>
      </c>
      <c r="G193" s="132">
        <v>69.2</v>
      </c>
      <c r="H193" s="133">
        <v>808.4</v>
      </c>
      <c r="I193" s="179" t="str">
        <f t="shared" si="12"/>
        <v>OK</v>
      </c>
      <c r="J193" s="203" t="str">
        <f t="shared" si="13"/>
        <v/>
      </c>
    </row>
    <row r="194" spans="1:10" ht="24" customHeight="1">
      <c r="A194" s="195" t="s">
        <v>305</v>
      </c>
      <c r="B194" s="178">
        <v>45778</v>
      </c>
      <c r="C194" s="178">
        <v>46142</v>
      </c>
      <c r="D194" s="179" t="s">
        <v>302</v>
      </c>
      <c r="E194" s="179" t="s">
        <v>2</v>
      </c>
      <c r="F194" s="179" t="s">
        <v>293</v>
      </c>
      <c r="G194" s="132">
        <v>64</v>
      </c>
      <c r="H194" s="133">
        <v>1000</v>
      </c>
      <c r="I194" s="179" t="str">
        <f t="shared" si="12"/>
        <v>OK</v>
      </c>
      <c r="J194" s="203" t="str">
        <f t="shared" si="13"/>
        <v/>
      </c>
    </row>
    <row r="195" spans="1:10" ht="24" customHeight="1">
      <c r="A195" s="195" t="s">
        <v>305</v>
      </c>
      <c r="B195" s="178">
        <v>45778</v>
      </c>
      <c r="C195" s="178">
        <v>46142</v>
      </c>
      <c r="D195" s="179" t="s">
        <v>302</v>
      </c>
      <c r="E195" s="179" t="s">
        <v>2</v>
      </c>
      <c r="F195" s="179" t="s">
        <v>293</v>
      </c>
      <c r="G195" s="132">
        <v>51.9</v>
      </c>
      <c r="H195" s="133">
        <v>606.29999999999995</v>
      </c>
      <c r="I195" s="179" t="str">
        <f t="shared" si="12"/>
        <v>OK</v>
      </c>
      <c r="J195" s="203" t="str">
        <f t="shared" si="13"/>
        <v/>
      </c>
    </row>
    <row r="196" spans="1:10" ht="24" customHeight="1">
      <c r="A196" s="195" t="s">
        <v>305</v>
      </c>
      <c r="B196" s="178">
        <v>45778</v>
      </c>
      <c r="C196" s="178">
        <v>46142</v>
      </c>
      <c r="D196" s="179" t="s">
        <v>302</v>
      </c>
      <c r="E196" s="179" t="s">
        <v>2</v>
      </c>
      <c r="F196" s="179" t="s">
        <v>293</v>
      </c>
      <c r="G196" s="132">
        <v>47.58</v>
      </c>
      <c r="H196" s="133">
        <v>555.78</v>
      </c>
      <c r="I196" s="179" t="str">
        <f t="shared" si="12"/>
        <v>OK</v>
      </c>
      <c r="J196" s="203" t="str">
        <f t="shared" si="13"/>
        <v/>
      </c>
    </row>
    <row r="197" spans="1:10" ht="24" customHeight="1">
      <c r="A197" s="195" t="s">
        <v>305</v>
      </c>
      <c r="B197" s="178">
        <v>45778</v>
      </c>
      <c r="C197" s="178">
        <v>46142</v>
      </c>
      <c r="D197" s="179" t="s">
        <v>302</v>
      </c>
      <c r="E197" s="179" t="s">
        <v>2</v>
      </c>
      <c r="F197" s="179" t="s">
        <v>293</v>
      </c>
      <c r="G197" s="132">
        <v>43.25</v>
      </c>
      <c r="H197" s="133">
        <v>505.25</v>
      </c>
      <c r="I197" s="179" t="str">
        <f t="shared" si="12"/>
        <v>OK</v>
      </c>
      <c r="J197" s="203" t="str">
        <f t="shared" si="13"/>
        <v/>
      </c>
    </row>
    <row r="198" spans="1:10" ht="24" customHeight="1">
      <c r="A198" s="195" t="s">
        <v>305</v>
      </c>
      <c r="B198" s="178">
        <v>45778</v>
      </c>
      <c r="C198" s="178">
        <v>46142</v>
      </c>
      <c r="D198" s="179" t="s">
        <v>302</v>
      </c>
      <c r="E198" s="179" t="s">
        <v>2</v>
      </c>
      <c r="F198" s="179" t="s">
        <v>293</v>
      </c>
      <c r="G198" s="132">
        <v>34.6</v>
      </c>
      <c r="H198" s="133">
        <v>404.2</v>
      </c>
      <c r="I198" s="179" t="str">
        <f t="shared" si="12"/>
        <v>OK</v>
      </c>
      <c r="J198" s="203" t="str">
        <f t="shared" si="13"/>
        <v/>
      </c>
    </row>
    <row r="199" spans="1:10" ht="24" customHeight="1">
      <c r="A199" s="195" t="s">
        <v>305</v>
      </c>
      <c r="B199" s="178">
        <v>45778</v>
      </c>
      <c r="C199" s="178">
        <v>46142</v>
      </c>
      <c r="D199" s="179" t="s">
        <v>302</v>
      </c>
      <c r="E199" s="179" t="s">
        <v>2</v>
      </c>
      <c r="F199" s="179" t="s">
        <v>293</v>
      </c>
      <c r="G199" s="132">
        <v>32.01</v>
      </c>
      <c r="H199" s="133">
        <v>373.89</v>
      </c>
      <c r="I199" s="179" t="str">
        <f t="shared" si="12"/>
        <v>OK</v>
      </c>
      <c r="J199" s="203" t="str">
        <f t="shared" si="13"/>
        <v/>
      </c>
    </row>
    <row r="200" spans="1:10" ht="24" customHeight="1" thickBot="1">
      <c r="A200" s="195" t="s">
        <v>305</v>
      </c>
      <c r="B200" s="178">
        <v>45778</v>
      </c>
      <c r="C200" s="178">
        <v>46142</v>
      </c>
      <c r="D200" s="179" t="s">
        <v>302</v>
      </c>
      <c r="E200" s="179" t="s">
        <v>2</v>
      </c>
      <c r="F200" s="179" t="s">
        <v>293</v>
      </c>
      <c r="G200" s="132">
        <v>10</v>
      </c>
      <c r="H200" s="133">
        <v>60</v>
      </c>
      <c r="I200" s="179" t="str">
        <f t="shared" si="12"/>
        <v>OK</v>
      </c>
      <c r="J200" s="203" t="str">
        <f t="shared" si="13"/>
        <v/>
      </c>
    </row>
    <row r="201" spans="1:10" ht="24" customHeight="1">
      <c r="A201" s="196" t="s">
        <v>305</v>
      </c>
      <c r="B201" s="180">
        <v>45778</v>
      </c>
      <c r="C201" s="180">
        <v>46142</v>
      </c>
      <c r="D201" s="181" t="s">
        <v>3</v>
      </c>
      <c r="E201" s="181" t="s">
        <v>2</v>
      </c>
      <c r="F201" s="181" t="s">
        <v>294</v>
      </c>
      <c r="G201" s="134">
        <v>173</v>
      </c>
      <c r="H201" s="135">
        <v>2082</v>
      </c>
      <c r="I201" s="181" t="str">
        <f t="shared" si="12"/>
        <v>OK</v>
      </c>
      <c r="J201" s="204" t="str">
        <f t="shared" si="13"/>
        <v/>
      </c>
    </row>
    <row r="202" spans="1:10" ht="24" customHeight="1">
      <c r="A202" s="195" t="s">
        <v>305</v>
      </c>
      <c r="B202" s="178">
        <v>45778</v>
      </c>
      <c r="C202" s="178">
        <v>46142</v>
      </c>
      <c r="D202" s="179" t="s">
        <v>3</v>
      </c>
      <c r="E202" s="179" t="s">
        <v>2</v>
      </c>
      <c r="F202" s="179" t="s">
        <v>294</v>
      </c>
      <c r="G202" s="132">
        <v>151.38</v>
      </c>
      <c r="H202" s="133">
        <v>1821.75</v>
      </c>
      <c r="I202" s="179" t="str">
        <f t="shared" si="12"/>
        <v>OK</v>
      </c>
      <c r="J202" s="203" t="str">
        <f t="shared" si="13"/>
        <v/>
      </c>
    </row>
    <row r="203" spans="1:10" ht="24" customHeight="1">
      <c r="A203" s="195" t="s">
        <v>305</v>
      </c>
      <c r="B203" s="178">
        <v>45778</v>
      </c>
      <c r="C203" s="178">
        <v>46142</v>
      </c>
      <c r="D203" s="179" t="s">
        <v>3</v>
      </c>
      <c r="E203" s="179" t="s">
        <v>2</v>
      </c>
      <c r="F203" s="179" t="s">
        <v>294</v>
      </c>
      <c r="G203" s="132">
        <v>138.4</v>
      </c>
      <c r="H203" s="133">
        <v>1665.6</v>
      </c>
      <c r="I203" s="179" t="str">
        <f t="shared" si="12"/>
        <v>OK</v>
      </c>
      <c r="J203" s="203" t="str">
        <f t="shared" si="13"/>
        <v/>
      </c>
    </row>
    <row r="204" spans="1:10" ht="24" customHeight="1">
      <c r="A204" s="195" t="s">
        <v>305</v>
      </c>
      <c r="B204" s="178">
        <v>45778</v>
      </c>
      <c r="C204" s="178">
        <v>46142</v>
      </c>
      <c r="D204" s="179" t="s">
        <v>3</v>
      </c>
      <c r="E204" s="179" t="s">
        <v>2</v>
      </c>
      <c r="F204" s="179" t="s">
        <v>294</v>
      </c>
      <c r="G204" s="132">
        <v>129.75</v>
      </c>
      <c r="H204" s="133">
        <v>1561.5</v>
      </c>
      <c r="I204" s="179" t="str">
        <f t="shared" si="12"/>
        <v>OK</v>
      </c>
      <c r="J204" s="203" t="str">
        <f t="shared" si="13"/>
        <v/>
      </c>
    </row>
    <row r="205" spans="1:10" ht="24" customHeight="1">
      <c r="A205" s="195" t="s">
        <v>305</v>
      </c>
      <c r="B205" s="178">
        <v>45778</v>
      </c>
      <c r="C205" s="178">
        <v>46142</v>
      </c>
      <c r="D205" s="179" t="s">
        <v>3</v>
      </c>
      <c r="E205" s="179" t="s">
        <v>2</v>
      </c>
      <c r="F205" s="179" t="s">
        <v>294</v>
      </c>
      <c r="G205" s="132">
        <v>108.13</v>
      </c>
      <c r="H205" s="133">
        <v>1301.25</v>
      </c>
      <c r="I205" s="179" t="str">
        <f t="shared" si="12"/>
        <v>OK</v>
      </c>
      <c r="J205" s="203" t="str">
        <f t="shared" si="13"/>
        <v/>
      </c>
    </row>
    <row r="206" spans="1:10" ht="24" customHeight="1">
      <c r="A206" s="195" t="s">
        <v>305</v>
      </c>
      <c r="B206" s="178">
        <v>45778</v>
      </c>
      <c r="C206" s="178">
        <v>46142</v>
      </c>
      <c r="D206" s="179" t="s">
        <v>3</v>
      </c>
      <c r="E206" s="179" t="s">
        <v>2</v>
      </c>
      <c r="F206" s="179" t="s">
        <v>294</v>
      </c>
      <c r="G206" s="132">
        <v>103.8</v>
      </c>
      <c r="H206" s="133">
        <v>1249.2</v>
      </c>
      <c r="I206" s="179" t="str">
        <f t="shared" si="12"/>
        <v>OK</v>
      </c>
      <c r="J206" s="203" t="str">
        <f t="shared" si="13"/>
        <v/>
      </c>
    </row>
    <row r="207" spans="1:10" ht="24" customHeight="1">
      <c r="A207" s="195" t="s">
        <v>305</v>
      </c>
      <c r="B207" s="178">
        <v>45778</v>
      </c>
      <c r="C207" s="178">
        <v>46142</v>
      </c>
      <c r="D207" s="179" t="s">
        <v>3</v>
      </c>
      <c r="E207" s="179" t="s">
        <v>2</v>
      </c>
      <c r="F207" s="179" t="s">
        <v>294</v>
      </c>
      <c r="G207" s="132">
        <v>100</v>
      </c>
      <c r="H207" s="133">
        <v>2000</v>
      </c>
      <c r="I207" s="179" t="str">
        <f t="shared" si="12"/>
        <v>OK</v>
      </c>
      <c r="J207" s="203" t="str">
        <f t="shared" si="13"/>
        <v/>
      </c>
    </row>
    <row r="208" spans="1:10" ht="24" customHeight="1">
      <c r="A208" s="195" t="s">
        <v>305</v>
      </c>
      <c r="B208" s="178">
        <v>45778</v>
      </c>
      <c r="C208" s="178">
        <v>46142</v>
      </c>
      <c r="D208" s="179" t="s">
        <v>3</v>
      </c>
      <c r="E208" s="179" t="s">
        <v>2</v>
      </c>
      <c r="F208" s="179" t="s">
        <v>294</v>
      </c>
      <c r="G208" s="132">
        <v>86.5</v>
      </c>
      <c r="H208" s="133">
        <v>1041.2</v>
      </c>
      <c r="I208" s="179" t="str">
        <f t="shared" si="12"/>
        <v>OK</v>
      </c>
      <c r="J208" s="203" t="str">
        <f t="shared" si="13"/>
        <v/>
      </c>
    </row>
    <row r="209" spans="1:10" ht="24" customHeight="1">
      <c r="A209" s="195" t="s">
        <v>305</v>
      </c>
      <c r="B209" s="178">
        <v>45778</v>
      </c>
      <c r="C209" s="178">
        <v>46142</v>
      </c>
      <c r="D209" s="179" t="s">
        <v>3</v>
      </c>
      <c r="E209" s="179" t="s">
        <v>2</v>
      </c>
      <c r="F209" s="179" t="s">
        <v>294</v>
      </c>
      <c r="G209" s="132">
        <v>69.2</v>
      </c>
      <c r="H209" s="133">
        <v>832.8</v>
      </c>
      <c r="I209" s="179" t="str">
        <f t="shared" si="12"/>
        <v>OK</v>
      </c>
      <c r="J209" s="203" t="str">
        <f t="shared" si="13"/>
        <v/>
      </c>
    </row>
    <row r="210" spans="1:10" ht="24" customHeight="1">
      <c r="A210" s="195" t="s">
        <v>305</v>
      </c>
      <c r="B210" s="178">
        <v>45778</v>
      </c>
      <c r="C210" s="178">
        <v>46142</v>
      </c>
      <c r="D210" s="179" t="s">
        <v>3</v>
      </c>
      <c r="E210" s="179" t="s">
        <v>2</v>
      </c>
      <c r="F210" s="179" t="s">
        <v>294</v>
      </c>
      <c r="G210" s="132">
        <v>51.9</v>
      </c>
      <c r="H210" s="133">
        <v>624.6</v>
      </c>
      <c r="I210" s="179" t="str">
        <f t="shared" si="12"/>
        <v>OK</v>
      </c>
      <c r="J210" s="203" t="str">
        <f t="shared" si="13"/>
        <v/>
      </c>
    </row>
    <row r="211" spans="1:10" ht="24" customHeight="1">
      <c r="A211" s="195" t="s">
        <v>305</v>
      </c>
      <c r="B211" s="178">
        <v>45778</v>
      </c>
      <c r="C211" s="178">
        <v>46142</v>
      </c>
      <c r="D211" s="179" t="s">
        <v>3</v>
      </c>
      <c r="E211" s="179" t="s">
        <v>2</v>
      </c>
      <c r="F211" s="179" t="s">
        <v>294</v>
      </c>
      <c r="G211" s="132">
        <v>47.58</v>
      </c>
      <c r="H211" s="133">
        <v>575.54999999999995</v>
      </c>
      <c r="I211" s="179" t="str">
        <f t="shared" si="12"/>
        <v>OK</v>
      </c>
      <c r="J211" s="203" t="str">
        <f t="shared" si="13"/>
        <v/>
      </c>
    </row>
    <row r="212" spans="1:10" ht="24" customHeight="1">
      <c r="A212" s="195" t="s">
        <v>305</v>
      </c>
      <c r="B212" s="178">
        <v>45778</v>
      </c>
      <c r="C212" s="178">
        <v>46142</v>
      </c>
      <c r="D212" s="179" t="s">
        <v>3</v>
      </c>
      <c r="E212" s="179" t="s">
        <v>2</v>
      </c>
      <c r="F212" s="179" t="s">
        <v>294</v>
      </c>
      <c r="G212" s="132">
        <v>43.25</v>
      </c>
      <c r="H212" s="133">
        <v>520.5</v>
      </c>
      <c r="I212" s="179" t="str">
        <f t="shared" si="12"/>
        <v>OK</v>
      </c>
      <c r="J212" s="203" t="str">
        <f t="shared" si="13"/>
        <v/>
      </c>
    </row>
    <row r="213" spans="1:10" ht="24" customHeight="1">
      <c r="A213" s="195" t="s">
        <v>305</v>
      </c>
      <c r="B213" s="178">
        <v>45778</v>
      </c>
      <c r="C213" s="178">
        <v>46142</v>
      </c>
      <c r="D213" s="179" t="s">
        <v>3</v>
      </c>
      <c r="E213" s="179" t="s">
        <v>2</v>
      </c>
      <c r="F213" s="179" t="s">
        <v>294</v>
      </c>
      <c r="G213" s="132">
        <v>34.6</v>
      </c>
      <c r="H213" s="133">
        <v>416.4</v>
      </c>
      <c r="I213" s="179" t="str">
        <f t="shared" si="12"/>
        <v>OK</v>
      </c>
      <c r="J213" s="203" t="str">
        <f t="shared" si="13"/>
        <v/>
      </c>
    </row>
    <row r="214" spans="1:10" ht="24" customHeight="1" thickBot="1">
      <c r="A214" s="195" t="s">
        <v>305</v>
      </c>
      <c r="B214" s="178">
        <v>45778</v>
      </c>
      <c r="C214" s="178">
        <v>46142</v>
      </c>
      <c r="D214" s="179" t="s">
        <v>3</v>
      </c>
      <c r="E214" s="179" t="s">
        <v>2</v>
      </c>
      <c r="F214" s="179" t="s">
        <v>294</v>
      </c>
      <c r="G214" s="132">
        <v>32.01</v>
      </c>
      <c r="H214" s="133">
        <v>385.17</v>
      </c>
      <c r="I214" s="179" t="str">
        <f t="shared" si="12"/>
        <v>OK</v>
      </c>
      <c r="J214" s="203" t="str">
        <f t="shared" si="13"/>
        <v/>
      </c>
    </row>
    <row r="215" spans="1:10" ht="24" customHeight="1">
      <c r="A215" s="196" t="s">
        <v>305</v>
      </c>
      <c r="B215" s="180">
        <v>45778</v>
      </c>
      <c r="C215" s="180">
        <v>46142</v>
      </c>
      <c r="D215" s="181" t="s">
        <v>4</v>
      </c>
      <c r="E215" s="181" t="s">
        <v>2</v>
      </c>
      <c r="F215" s="181" t="s">
        <v>295</v>
      </c>
      <c r="G215" s="134">
        <v>173</v>
      </c>
      <c r="H215" s="135">
        <v>2123</v>
      </c>
      <c r="I215" s="181" t="str">
        <f t="shared" si="12"/>
        <v>OK</v>
      </c>
      <c r="J215" s="204" t="str">
        <f t="shared" si="13"/>
        <v/>
      </c>
    </row>
    <row r="216" spans="1:10" ht="24" customHeight="1">
      <c r="A216" s="195" t="s">
        <v>305</v>
      </c>
      <c r="B216" s="178">
        <v>45778</v>
      </c>
      <c r="C216" s="178">
        <v>46142</v>
      </c>
      <c r="D216" s="179" t="s">
        <v>4</v>
      </c>
      <c r="E216" s="179" t="s">
        <v>2</v>
      </c>
      <c r="F216" s="179" t="s">
        <v>295</v>
      </c>
      <c r="G216" s="132">
        <v>151.38</v>
      </c>
      <c r="H216" s="133">
        <v>1857.63</v>
      </c>
      <c r="I216" s="179" t="str">
        <f t="shared" si="12"/>
        <v>OK</v>
      </c>
      <c r="J216" s="203" t="str">
        <f t="shared" si="13"/>
        <v/>
      </c>
    </row>
    <row r="217" spans="1:10" ht="24" customHeight="1">
      <c r="A217" s="195" t="s">
        <v>305</v>
      </c>
      <c r="B217" s="178">
        <v>45778</v>
      </c>
      <c r="C217" s="178">
        <v>46142</v>
      </c>
      <c r="D217" s="179" t="s">
        <v>4</v>
      </c>
      <c r="E217" s="179" t="s">
        <v>2</v>
      </c>
      <c r="F217" s="179" t="s">
        <v>295</v>
      </c>
      <c r="G217" s="132">
        <v>138.4</v>
      </c>
      <c r="H217" s="133">
        <v>1698.4</v>
      </c>
      <c r="I217" s="179" t="str">
        <f t="shared" si="12"/>
        <v>OK</v>
      </c>
      <c r="J217" s="203" t="str">
        <f t="shared" si="13"/>
        <v/>
      </c>
    </row>
    <row r="218" spans="1:10" ht="24" customHeight="1">
      <c r="A218" s="195" t="s">
        <v>305</v>
      </c>
      <c r="B218" s="178">
        <v>45778</v>
      </c>
      <c r="C218" s="178">
        <v>46142</v>
      </c>
      <c r="D218" s="179" t="s">
        <v>4</v>
      </c>
      <c r="E218" s="179" t="s">
        <v>2</v>
      </c>
      <c r="F218" s="179" t="s">
        <v>295</v>
      </c>
      <c r="G218" s="132">
        <v>129.75</v>
      </c>
      <c r="H218" s="133">
        <v>1592.25</v>
      </c>
      <c r="I218" s="17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203" t="str">
        <f t="shared" ref="J218:J249" si="15">IF($G218="","",IF(COUNTIFS($A:$A,$A218,$D:$D,$D218,$G:$G,$G218)&gt;1,"Doppelte Monatsstunden",""))</f>
        <v/>
      </c>
    </row>
    <row r="219" spans="1:10" ht="24" customHeight="1">
      <c r="A219" s="195" t="s">
        <v>305</v>
      </c>
      <c r="B219" s="178">
        <v>45778</v>
      </c>
      <c r="C219" s="178">
        <v>46142</v>
      </c>
      <c r="D219" s="179" t="s">
        <v>4</v>
      </c>
      <c r="E219" s="179" t="s">
        <v>2</v>
      </c>
      <c r="F219" s="179" t="s">
        <v>295</v>
      </c>
      <c r="G219" s="132">
        <v>108.13</v>
      </c>
      <c r="H219" s="133">
        <v>1326.88</v>
      </c>
      <c r="I219" s="179" t="str">
        <f t="shared" si="14"/>
        <v>OK</v>
      </c>
      <c r="J219" s="203" t="str">
        <f t="shared" si="15"/>
        <v/>
      </c>
    </row>
    <row r="220" spans="1:10" ht="24" customHeight="1">
      <c r="A220" s="195" t="s">
        <v>305</v>
      </c>
      <c r="B220" s="178">
        <v>45778</v>
      </c>
      <c r="C220" s="178">
        <v>46142</v>
      </c>
      <c r="D220" s="179" t="s">
        <v>4</v>
      </c>
      <c r="E220" s="179" t="s">
        <v>2</v>
      </c>
      <c r="F220" s="179" t="s">
        <v>295</v>
      </c>
      <c r="G220" s="132">
        <v>103.8</v>
      </c>
      <c r="H220" s="133">
        <v>1273.8</v>
      </c>
      <c r="I220" s="179" t="str">
        <f t="shared" si="14"/>
        <v>OK</v>
      </c>
      <c r="J220" s="203" t="str">
        <f t="shared" si="15"/>
        <v/>
      </c>
    </row>
    <row r="221" spans="1:10" ht="24" customHeight="1">
      <c r="A221" s="195" t="s">
        <v>305</v>
      </c>
      <c r="B221" s="178">
        <v>45778</v>
      </c>
      <c r="C221" s="178">
        <v>46142</v>
      </c>
      <c r="D221" s="179" t="s">
        <v>4</v>
      </c>
      <c r="E221" s="179" t="s">
        <v>2</v>
      </c>
      <c r="F221" s="179" t="s">
        <v>295</v>
      </c>
      <c r="G221" s="132">
        <v>86.5</v>
      </c>
      <c r="H221" s="133">
        <v>1061.5</v>
      </c>
      <c r="I221" s="179" t="str">
        <f t="shared" si="14"/>
        <v>OK</v>
      </c>
      <c r="J221" s="203" t="str">
        <f t="shared" si="15"/>
        <v/>
      </c>
    </row>
    <row r="222" spans="1:10" ht="24" customHeight="1">
      <c r="A222" s="195" t="s">
        <v>305</v>
      </c>
      <c r="B222" s="178">
        <v>45778</v>
      </c>
      <c r="C222" s="178">
        <v>46142</v>
      </c>
      <c r="D222" s="179" t="s">
        <v>4</v>
      </c>
      <c r="E222" s="179" t="s">
        <v>2</v>
      </c>
      <c r="F222" s="179" t="s">
        <v>295</v>
      </c>
      <c r="G222" s="132">
        <v>69.2</v>
      </c>
      <c r="H222" s="133">
        <v>849.2</v>
      </c>
      <c r="I222" s="179" t="str">
        <f t="shared" si="14"/>
        <v>OK</v>
      </c>
      <c r="J222" s="203" t="str">
        <f t="shared" si="15"/>
        <v/>
      </c>
    </row>
    <row r="223" spans="1:10" ht="24" customHeight="1">
      <c r="A223" s="195" t="s">
        <v>305</v>
      </c>
      <c r="B223" s="178">
        <v>45778</v>
      </c>
      <c r="C223" s="178">
        <v>46142</v>
      </c>
      <c r="D223" s="179" t="s">
        <v>4</v>
      </c>
      <c r="E223" s="179" t="s">
        <v>2</v>
      </c>
      <c r="F223" s="179" t="s">
        <v>295</v>
      </c>
      <c r="G223" s="132">
        <v>51.9</v>
      </c>
      <c r="H223" s="133">
        <v>636.9</v>
      </c>
      <c r="I223" s="179" t="str">
        <f t="shared" si="14"/>
        <v>OK</v>
      </c>
      <c r="J223" s="203" t="str">
        <f t="shared" si="15"/>
        <v/>
      </c>
    </row>
    <row r="224" spans="1:10" ht="24" customHeight="1">
      <c r="A224" s="195" t="s">
        <v>305</v>
      </c>
      <c r="B224" s="178">
        <v>45778</v>
      </c>
      <c r="C224" s="178">
        <v>46142</v>
      </c>
      <c r="D224" s="179" t="s">
        <v>4</v>
      </c>
      <c r="E224" s="179" t="s">
        <v>2</v>
      </c>
      <c r="F224" s="179" t="s">
        <v>295</v>
      </c>
      <c r="G224" s="132">
        <v>47.58</v>
      </c>
      <c r="H224" s="133">
        <v>583.83000000000004</v>
      </c>
      <c r="I224" s="179" t="str">
        <f t="shared" si="14"/>
        <v>OK</v>
      </c>
      <c r="J224" s="203" t="str">
        <f t="shared" si="15"/>
        <v/>
      </c>
    </row>
    <row r="225" spans="1:10" ht="24" customHeight="1">
      <c r="A225" s="195" t="s">
        <v>305</v>
      </c>
      <c r="B225" s="178">
        <v>45778</v>
      </c>
      <c r="C225" s="178">
        <v>46142</v>
      </c>
      <c r="D225" s="179" t="s">
        <v>4</v>
      </c>
      <c r="E225" s="179" t="s">
        <v>2</v>
      </c>
      <c r="F225" s="179" t="s">
        <v>295</v>
      </c>
      <c r="G225" s="132">
        <v>43.25</v>
      </c>
      <c r="H225" s="133">
        <v>530.75</v>
      </c>
      <c r="I225" s="179" t="str">
        <f t="shared" si="14"/>
        <v>OK</v>
      </c>
      <c r="J225" s="203" t="str">
        <f t="shared" si="15"/>
        <v/>
      </c>
    </row>
    <row r="226" spans="1:10" ht="24" customHeight="1">
      <c r="A226" s="195" t="s">
        <v>305</v>
      </c>
      <c r="B226" s="178">
        <v>45778</v>
      </c>
      <c r="C226" s="178">
        <v>46142</v>
      </c>
      <c r="D226" s="179" t="s">
        <v>4</v>
      </c>
      <c r="E226" s="179" t="s">
        <v>2</v>
      </c>
      <c r="F226" s="179" t="s">
        <v>295</v>
      </c>
      <c r="G226" s="132">
        <v>34.6</v>
      </c>
      <c r="H226" s="133">
        <v>424.6</v>
      </c>
      <c r="I226" s="179" t="str">
        <f t="shared" si="14"/>
        <v>OK</v>
      </c>
      <c r="J226" s="203" t="str">
        <f t="shared" si="15"/>
        <v/>
      </c>
    </row>
    <row r="227" spans="1:10" ht="24" customHeight="1" thickBot="1">
      <c r="A227" s="195" t="s">
        <v>305</v>
      </c>
      <c r="B227" s="178">
        <v>45778</v>
      </c>
      <c r="C227" s="178">
        <v>46142</v>
      </c>
      <c r="D227" s="179" t="s">
        <v>4</v>
      </c>
      <c r="E227" s="179" t="s">
        <v>2</v>
      </c>
      <c r="F227" s="179" t="s">
        <v>295</v>
      </c>
      <c r="G227" s="132">
        <v>32.01</v>
      </c>
      <c r="H227" s="133">
        <v>392.76</v>
      </c>
      <c r="I227" s="179" t="str">
        <f t="shared" si="14"/>
        <v>OK</v>
      </c>
      <c r="J227" s="203" t="str">
        <f t="shared" si="15"/>
        <v/>
      </c>
    </row>
    <row r="228" spans="1:10" ht="24" customHeight="1">
      <c r="A228" s="196" t="s">
        <v>305</v>
      </c>
      <c r="B228" s="180">
        <v>45778</v>
      </c>
      <c r="C228" s="180">
        <v>46142</v>
      </c>
      <c r="D228" s="181" t="s">
        <v>5</v>
      </c>
      <c r="E228" s="181" t="s">
        <v>2</v>
      </c>
      <c r="F228" s="181" t="s">
        <v>296</v>
      </c>
      <c r="G228" s="134">
        <v>173</v>
      </c>
      <c r="H228" s="135">
        <v>2183</v>
      </c>
      <c r="I228" s="181" t="str">
        <f t="shared" si="14"/>
        <v>OK</v>
      </c>
      <c r="J228" s="204" t="str">
        <f t="shared" si="15"/>
        <v/>
      </c>
    </row>
    <row r="229" spans="1:10" ht="24" customHeight="1">
      <c r="A229" s="195" t="s">
        <v>305</v>
      </c>
      <c r="B229" s="178">
        <v>45778</v>
      </c>
      <c r="C229" s="178">
        <v>46142</v>
      </c>
      <c r="D229" s="179" t="s">
        <v>5</v>
      </c>
      <c r="E229" s="179" t="s">
        <v>2</v>
      </c>
      <c r="F229" s="179" t="s">
        <v>296</v>
      </c>
      <c r="G229" s="132">
        <v>151.38</v>
      </c>
      <c r="H229" s="133">
        <v>1910.13</v>
      </c>
      <c r="I229" s="179" t="str">
        <f t="shared" si="14"/>
        <v>OK</v>
      </c>
      <c r="J229" s="203" t="str">
        <f t="shared" si="15"/>
        <v/>
      </c>
    </row>
    <row r="230" spans="1:10" ht="24" customHeight="1">
      <c r="A230" s="195" t="s">
        <v>305</v>
      </c>
      <c r="B230" s="178">
        <v>45778</v>
      </c>
      <c r="C230" s="178">
        <v>46142</v>
      </c>
      <c r="D230" s="179" t="s">
        <v>5</v>
      </c>
      <c r="E230" s="179" t="s">
        <v>2</v>
      </c>
      <c r="F230" s="179" t="s">
        <v>296</v>
      </c>
      <c r="G230" s="132">
        <v>138.4</v>
      </c>
      <c r="H230" s="133">
        <v>1746.4</v>
      </c>
      <c r="I230" s="179" t="str">
        <f t="shared" si="14"/>
        <v>OK</v>
      </c>
      <c r="J230" s="203" t="str">
        <f t="shared" si="15"/>
        <v/>
      </c>
    </row>
    <row r="231" spans="1:10" ht="24" customHeight="1">
      <c r="A231" s="195" t="s">
        <v>305</v>
      </c>
      <c r="B231" s="178">
        <v>45778</v>
      </c>
      <c r="C231" s="178">
        <v>46142</v>
      </c>
      <c r="D231" s="179" t="s">
        <v>5</v>
      </c>
      <c r="E231" s="179" t="s">
        <v>2</v>
      </c>
      <c r="F231" s="179" t="s">
        <v>296</v>
      </c>
      <c r="G231" s="132">
        <v>129.75</v>
      </c>
      <c r="H231" s="133">
        <v>1637.25</v>
      </c>
      <c r="I231" s="179" t="str">
        <f t="shared" si="14"/>
        <v>OK</v>
      </c>
      <c r="J231" s="203" t="str">
        <f t="shared" si="15"/>
        <v/>
      </c>
    </row>
    <row r="232" spans="1:10" ht="24" customHeight="1">
      <c r="A232" s="195" t="s">
        <v>305</v>
      </c>
      <c r="B232" s="178">
        <v>45778</v>
      </c>
      <c r="C232" s="178">
        <v>46142</v>
      </c>
      <c r="D232" s="179" t="s">
        <v>5</v>
      </c>
      <c r="E232" s="179" t="s">
        <v>2</v>
      </c>
      <c r="F232" s="179" t="s">
        <v>296</v>
      </c>
      <c r="G232" s="132">
        <v>108.13</v>
      </c>
      <c r="H232" s="133">
        <v>1364.38</v>
      </c>
      <c r="I232" s="179" t="str">
        <f t="shared" si="14"/>
        <v>OK</v>
      </c>
      <c r="J232" s="203" t="str">
        <f t="shared" si="15"/>
        <v/>
      </c>
    </row>
    <row r="233" spans="1:10" ht="24" customHeight="1">
      <c r="A233" s="195" t="s">
        <v>305</v>
      </c>
      <c r="B233" s="178">
        <v>45778</v>
      </c>
      <c r="C233" s="178">
        <v>46142</v>
      </c>
      <c r="D233" s="179" t="s">
        <v>5</v>
      </c>
      <c r="E233" s="179" t="s">
        <v>2</v>
      </c>
      <c r="F233" s="179" t="s">
        <v>296</v>
      </c>
      <c r="G233" s="132">
        <v>103.8</v>
      </c>
      <c r="H233" s="133">
        <v>1309.8</v>
      </c>
      <c r="I233" s="179" t="str">
        <f t="shared" si="14"/>
        <v>OK</v>
      </c>
      <c r="J233" s="203" t="str">
        <f t="shared" si="15"/>
        <v/>
      </c>
    </row>
    <row r="234" spans="1:10" ht="24" customHeight="1">
      <c r="A234" s="195" t="s">
        <v>305</v>
      </c>
      <c r="B234" s="178">
        <v>45778</v>
      </c>
      <c r="C234" s="178">
        <v>46142</v>
      </c>
      <c r="D234" s="179" t="s">
        <v>5</v>
      </c>
      <c r="E234" s="179" t="s">
        <v>2</v>
      </c>
      <c r="F234" s="179" t="s">
        <v>296</v>
      </c>
      <c r="G234" s="132">
        <v>86.5</v>
      </c>
      <c r="H234" s="133">
        <v>1091.5</v>
      </c>
      <c r="I234" s="179" t="str">
        <f t="shared" si="14"/>
        <v>OK</v>
      </c>
      <c r="J234" s="203" t="str">
        <f t="shared" si="15"/>
        <v/>
      </c>
    </row>
    <row r="235" spans="1:10" ht="24" customHeight="1">
      <c r="A235" s="195" t="s">
        <v>305</v>
      </c>
      <c r="B235" s="178">
        <v>45778</v>
      </c>
      <c r="C235" s="178">
        <v>46142</v>
      </c>
      <c r="D235" s="179" t="s">
        <v>5</v>
      </c>
      <c r="E235" s="179" t="s">
        <v>2</v>
      </c>
      <c r="F235" s="179" t="s">
        <v>296</v>
      </c>
      <c r="G235" s="132">
        <v>69.2</v>
      </c>
      <c r="H235" s="133">
        <v>873.2</v>
      </c>
      <c r="I235" s="179" t="str">
        <f t="shared" si="14"/>
        <v>OK</v>
      </c>
      <c r="J235" s="203" t="str">
        <f t="shared" si="15"/>
        <v/>
      </c>
    </row>
    <row r="236" spans="1:10" ht="24" customHeight="1">
      <c r="A236" s="195" t="s">
        <v>305</v>
      </c>
      <c r="B236" s="178">
        <v>45778</v>
      </c>
      <c r="C236" s="178">
        <v>46142</v>
      </c>
      <c r="D236" s="179" t="s">
        <v>5</v>
      </c>
      <c r="E236" s="179" t="s">
        <v>2</v>
      </c>
      <c r="F236" s="179" t="s">
        <v>296</v>
      </c>
      <c r="G236" s="132">
        <v>51.9</v>
      </c>
      <c r="H236" s="133">
        <v>654.9</v>
      </c>
      <c r="I236" s="179" t="str">
        <f t="shared" si="14"/>
        <v>OK</v>
      </c>
      <c r="J236" s="203" t="str">
        <f t="shared" si="15"/>
        <v/>
      </c>
    </row>
    <row r="237" spans="1:10" ht="24" customHeight="1">
      <c r="A237" s="195" t="s">
        <v>305</v>
      </c>
      <c r="B237" s="178">
        <v>45778</v>
      </c>
      <c r="C237" s="178">
        <v>46142</v>
      </c>
      <c r="D237" s="179" t="s">
        <v>5</v>
      </c>
      <c r="E237" s="179" t="s">
        <v>2</v>
      </c>
      <c r="F237" s="179" t="s">
        <v>296</v>
      </c>
      <c r="G237" s="132">
        <v>47.58</v>
      </c>
      <c r="H237" s="133">
        <v>600.33000000000004</v>
      </c>
      <c r="I237" s="179" t="str">
        <f t="shared" si="14"/>
        <v>OK</v>
      </c>
      <c r="J237" s="203" t="str">
        <f t="shared" si="15"/>
        <v/>
      </c>
    </row>
    <row r="238" spans="1:10" ht="24" customHeight="1">
      <c r="A238" s="195" t="s">
        <v>305</v>
      </c>
      <c r="B238" s="178">
        <v>45778</v>
      </c>
      <c r="C238" s="178">
        <v>46142</v>
      </c>
      <c r="D238" s="179" t="s">
        <v>5</v>
      </c>
      <c r="E238" s="179" t="s">
        <v>2</v>
      </c>
      <c r="F238" s="179" t="s">
        <v>296</v>
      </c>
      <c r="G238" s="132">
        <v>43.25</v>
      </c>
      <c r="H238" s="133">
        <v>545.75</v>
      </c>
      <c r="I238" s="179" t="str">
        <f t="shared" si="14"/>
        <v>OK</v>
      </c>
      <c r="J238" s="203" t="str">
        <f t="shared" si="15"/>
        <v/>
      </c>
    </row>
    <row r="239" spans="1:10" ht="24" customHeight="1">
      <c r="A239" s="195" t="s">
        <v>305</v>
      </c>
      <c r="B239" s="178">
        <v>45778</v>
      </c>
      <c r="C239" s="178">
        <v>46142</v>
      </c>
      <c r="D239" s="179" t="s">
        <v>5</v>
      </c>
      <c r="E239" s="179" t="s">
        <v>2</v>
      </c>
      <c r="F239" s="179" t="s">
        <v>296</v>
      </c>
      <c r="G239" s="132">
        <v>34.6</v>
      </c>
      <c r="H239" s="133">
        <v>436.6</v>
      </c>
      <c r="I239" s="179" t="str">
        <f t="shared" si="14"/>
        <v>OK</v>
      </c>
      <c r="J239" s="203" t="str">
        <f t="shared" si="15"/>
        <v/>
      </c>
    </row>
    <row r="240" spans="1:10" ht="24" customHeight="1" thickBot="1">
      <c r="A240" s="195" t="s">
        <v>305</v>
      </c>
      <c r="B240" s="178">
        <v>45778</v>
      </c>
      <c r="C240" s="178">
        <v>46142</v>
      </c>
      <c r="D240" s="179" t="s">
        <v>5</v>
      </c>
      <c r="E240" s="179" t="s">
        <v>2</v>
      </c>
      <c r="F240" s="179" t="s">
        <v>296</v>
      </c>
      <c r="G240" s="132">
        <v>32.01</v>
      </c>
      <c r="H240" s="133">
        <v>403.86</v>
      </c>
      <c r="I240" s="179" t="str">
        <f t="shared" si="14"/>
        <v>OK</v>
      </c>
      <c r="J240" s="203" t="str">
        <f t="shared" si="15"/>
        <v/>
      </c>
    </row>
    <row r="241" spans="1:10" ht="24" customHeight="1">
      <c r="A241" s="197" t="s">
        <v>305</v>
      </c>
      <c r="B241" s="182">
        <v>45778</v>
      </c>
      <c r="C241" s="182">
        <v>46142</v>
      </c>
      <c r="D241" s="183" t="s">
        <v>303</v>
      </c>
      <c r="E241" s="183" t="s">
        <v>6</v>
      </c>
      <c r="F241" s="183" t="s">
        <v>293</v>
      </c>
      <c r="G241" s="136">
        <v>173</v>
      </c>
      <c r="H241" s="137">
        <v>2160</v>
      </c>
      <c r="I241" s="183" t="str">
        <f t="shared" si="14"/>
        <v>OK</v>
      </c>
      <c r="J241" s="205" t="str">
        <f t="shared" si="15"/>
        <v/>
      </c>
    </row>
    <row r="242" spans="1:10" ht="24" customHeight="1">
      <c r="A242" s="198" t="s">
        <v>305</v>
      </c>
      <c r="B242" s="184">
        <v>45778</v>
      </c>
      <c r="C242" s="184">
        <v>46142</v>
      </c>
      <c r="D242" s="185" t="s">
        <v>303</v>
      </c>
      <c r="E242" s="185" t="s">
        <v>6</v>
      </c>
      <c r="F242" s="185" t="s">
        <v>293</v>
      </c>
      <c r="G242" s="138">
        <v>151.38</v>
      </c>
      <c r="H242" s="139">
        <v>1890</v>
      </c>
      <c r="I242" s="185" t="str">
        <f t="shared" si="14"/>
        <v>OK</v>
      </c>
      <c r="J242" s="206" t="str">
        <f t="shared" si="15"/>
        <v/>
      </c>
    </row>
    <row r="243" spans="1:10" ht="24" customHeight="1">
      <c r="A243" s="198" t="s">
        <v>305</v>
      </c>
      <c r="B243" s="184">
        <v>45778</v>
      </c>
      <c r="C243" s="184">
        <v>46142</v>
      </c>
      <c r="D243" s="185" t="s">
        <v>303</v>
      </c>
      <c r="E243" s="185" t="s">
        <v>6</v>
      </c>
      <c r="F243" s="185" t="s">
        <v>293</v>
      </c>
      <c r="G243" s="138">
        <v>138.4</v>
      </c>
      <c r="H243" s="139">
        <v>1728</v>
      </c>
      <c r="I243" s="185" t="str">
        <f t="shared" si="14"/>
        <v>OK</v>
      </c>
      <c r="J243" s="206" t="str">
        <f t="shared" si="15"/>
        <v/>
      </c>
    </row>
    <row r="244" spans="1:10" ht="24" customHeight="1">
      <c r="A244" s="198" t="s">
        <v>305</v>
      </c>
      <c r="B244" s="184">
        <v>45778</v>
      </c>
      <c r="C244" s="184">
        <v>46142</v>
      </c>
      <c r="D244" s="185" t="s">
        <v>303</v>
      </c>
      <c r="E244" s="185" t="s">
        <v>6</v>
      </c>
      <c r="F244" s="185" t="s">
        <v>293</v>
      </c>
      <c r="G244" s="138">
        <v>129.75</v>
      </c>
      <c r="H244" s="139">
        <v>1620</v>
      </c>
      <c r="I244" s="185" t="str">
        <f t="shared" si="14"/>
        <v>OK</v>
      </c>
      <c r="J244" s="206" t="str">
        <f t="shared" si="15"/>
        <v/>
      </c>
    </row>
    <row r="245" spans="1:10" ht="24" customHeight="1">
      <c r="A245" s="198" t="s">
        <v>305</v>
      </c>
      <c r="B245" s="184">
        <v>45778</v>
      </c>
      <c r="C245" s="184">
        <v>46142</v>
      </c>
      <c r="D245" s="185" t="s">
        <v>303</v>
      </c>
      <c r="E245" s="185" t="s">
        <v>6</v>
      </c>
      <c r="F245" s="185" t="s">
        <v>293</v>
      </c>
      <c r="G245" s="138">
        <v>108.13</v>
      </c>
      <c r="H245" s="139">
        <v>1350</v>
      </c>
      <c r="I245" s="185" t="str">
        <f t="shared" si="14"/>
        <v>OK</v>
      </c>
      <c r="J245" s="206" t="str">
        <f t="shared" si="15"/>
        <v/>
      </c>
    </row>
    <row r="246" spans="1:10" ht="24" customHeight="1">
      <c r="A246" s="198" t="s">
        <v>305</v>
      </c>
      <c r="B246" s="184">
        <v>45778</v>
      </c>
      <c r="C246" s="184">
        <v>46142</v>
      </c>
      <c r="D246" s="185" t="s">
        <v>303</v>
      </c>
      <c r="E246" s="185" t="s">
        <v>6</v>
      </c>
      <c r="F246" s="185" t="s">
        <v>293</v>
      </c>
      <c r="G246" s="138">
        <v>103.8</v>
      </c>
      <c r="H246" s="139">
        <v>1296</v>
      </c>
      <c r="I246" s="185" t="str">
        <f t="shared" si="14"/>
        <v>OK</v>
      </c>
      <c r="J246" s="206" t="str">
        <f t="shared" si="15"/>
        <v/>
      </c>
    </row>
    <row r="247" spans="1:10" ht="24" customHeight="1">
      <c r="A247" s="198" t="s">
        <v>305</v>
      </c>
      <c r="B247" s="184">
        <v>45778</v>
      </c>
      <c r="C247" s="184">
        <v>46142</v>
      </c>
      <c r="D247" s="185" t="s">
        <v>303</v>
      </c>
      <c r="E247" s="185" t="s">
        <v>6</v>
      </c>
      <c r="F247" s="185" t="s">
        <v>293</v>
      </c>
      <c r="G247" s="138">
        <v>86.5</v>
      </c>
      <c r="H247" s="139">
        <v>1080</v>
      </c>
      <c r="I247" s="185" t="str">
        <f t="shared" si="14"/>
        <v>OK</v>
      </c>
      <c r="J247" s="206" t="str">
        <f t="shared" si="15"/>
        <v/>
      </c>
    </row>
    <row r="248" spans="1:10" ht="24" customHeight="1">
      <c r="A248" s="198" t="s">
        <v>305</v>
      </c>
      <c r="B248" s="184">
        <v>45778</v>
      </c>
      <c r="C248" s="184">
        <v>46142</v>
      </c>
      <c r="D248" s="185" t="s">
        <v>303</v>
      </c>
      <c r="E248" s="185" t="s">
        <v>6</v>
      </c>
      <c r="F248" s="185" t="s">
        <v>293</v>
      </c>
      <c r="G248" s="138">
        <v>69.2</v>
      </c>
      <c r="H248" s="139">
        <v>864</v>
      </c>
      <c r="I248" s="185" t="str">
        <f t="shared" si="14"/>
        <v>OK</v>
      </c>
      <c r="J248" s="206" t="str">
        <f t="shared" si="15"/>
        <v/>
      </c>
    </row>
    <row r="249" spans="1:10" ht="24" customHeight="1">
      <c r="A249" s="198" t="s">
        <v>305</v>
      </c>
      <c r="B249" s="184">
        <v>45778</v>
      </c>
      <c r="C249" s="184">
        <v>46142</v>
      </c>
      <c r="D249" s="185" t="s">
        <v>303</v>
      </c>
      <c r="E249" s="185" t="s">
        <v>6</v>
      </c>
      <c r="F249" s="185" t="s">
        <v>293</v>
      </c>
      <c r="G249" s="138">
        <v>51.9</v>
      </c>
      <c r="H249" s="139">
        <v>648</v>
      </c>
      <c r="I249" s="185" t="str">
        <f t="shared" si="14"/>
        <v>OK</v>
      </c>
      <c r="J249" s="206" t="str">
        <f t="shared" si="15"/>
        <v/>
      </c>
    </row>
    <row r="250" spans="1:10" ht="24" customHeight="1">
      <c r="A250" s="198" t="s">
        <v>305</v>
      </c>
      <c r="B250" s="184">
        <v>45778</v>
      </c>
      <c r="C250" s="184">
        <v>46142</v>
      </c>
      <c r="D250" s="185" t="s">
        <v>303</v>
      </c>
      <c r="E250" s="185" t="s">
        <v>6</v>
      </c>
      <c r="F250" s="185" t="s">
        <v>293</v>
      </c>
      <c r="G250" s="138">
        <v>47.58</v>
      </c>
      <c r="H250" s="139">
        <v>594</v>
      </c>
      <c r="I250" s="18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206" t="str">
        <f t="shared" ref="J250:J281" si="17">IF($G250="","",IF(COUNTIFS($A:$A,$A250,$D:$D,$D250,$G:$G,$G250)&gt;1,"Doppelte Monatsstunden",""))</f>
        <v/>
      </c>
    </row>
    <row r="251" spans="1:10" ht="24" customHeight="1">
      <c r="A251" s="198" t="s">
        <v>305</v>
      </c>
      <c r="B251" s="184">
        <v>45778</v>
      </c>
      <c r="C251" s="184">
        <v>46142</v>
      </c>
      <c r="D251" s="185" t="s">
        <v>303</v>
      </c>
      <c r="E251" s="185" t="s">
        <v>6</v>
      </c>
      <c r="F251" s="185" t="s">
        <v>293</v>
      </c>
      <c r="G251" s="138">
        <v>43.25</v>
      </c>
      <c r="H251" s="139">
        <v>540</v>
      </c>
      <c r="I251" s="185" t="str">
        <f t="shared" si="16"/>
        <v>OK</v>
      </c>
      <c r="J251" s="206" t="str">
        <f t="shared" si="17"/>
        <v/>
      </c>
    </row>
    <row r="252" spans="1:10" ht="24" customHeight="1">
      <c r="A252" s="198" t="s">
        <v>305</v>
      </c>
      <c r="B252" s="184">
        <v>45778</v>
      </c>
      <c r="C252" s="184">
        <v>46142</v>
      </c>
      <c r="D252" s="185" t="s">
        <v>303</v>
      </c>
      <c r="E252" s="185" t="s">
        <v>6</v>
      </c>
      <c r="F252" s="185" t="s">
        <v>293</v>
      </c>
      <c r="G252" s="138">
        <v>34.6</v>
      </c>
      <c r="H252" s="139">
        <v>432</v>
      </c>
      <c r="I252" s="185" t="str">
        <f t="shared" si="16"/>
        <v>OK</v>
      </c>
      <c r="J252" s="206" t="str">
        <f t="shared" si="17"/>
        <v/>
      </c>
    </row>
    <row r="253" spans="1:10" ht="24" customHeight="1" thickBot="1">
      <c r="A253" s="198" t="s">
        <v>305</v>
      </c>
      <c r="B253" s="184">
        <v>45778</v>
      </c>
      <c r="C253" s="184">
        <v>46142</v>
      </c>
      <c r="D253" s="185" t="s">
        <v>303</v>
      </c>
      <c r="E253" s="185" t="s">
        <v>6</v>
      </c>
      <c r="F253" s="185" t="s">
        <v>293</v>
      </c>
      <c r="G253" s="138">
        <v>32.01</v>
      </c>
      <c r="H253" s="139">
        <v>399.6</v>
      </c>
      <c r="I253" s="185" t="str">
        <f t="shared" si="16"/>
        <v>OK</v>
      </c>
      <c r="J253" s="206" t="str">
        <f t="shared" si="17"/>
        <v/>
      </c>
    </row>
    <row r="254" spans="1:10" ht="24" customHeight="1">
      <c r="A254" s="197" t="s">
        <v>305</v>
      </c>
      <c r="B254" s="182">
        <v>45778</v>
      </c>
      <c r="C254" s="182">
        <v>46142</v>
      </c>
      <c r="D254" s="183" t="s">
        <v>7</v>
      </c>
      <c r="E254" s="183" t="s">
        <v>6</v>
      </c>
      <c r="F254" s="183" t="s">
        <v>294</v>
      </c>
      <c r="G254" s="136">
        <v>173</v>
      </c>
      <c r="H254" s="137">
        <v>2160</v>
      </c>
      <c r="I254" s="183" t="str">
        <f t="shared" si="16"/>
        <v>OK</v>
      </c>
      <c r="J254" s="205" t="str">
        <f t="shared" si="17"/>
        <v/>
      </c>
    </row>
    <row r="255" spans="1:10" ht="24" customHeight="1">
      <c r="A255" s="198" t="s">
        <v>305</v>
      </c>
      <c r="B255" s="184">
        <v>45778</v>
      </c>
      <c r="C255" s="184">
        <v>46142</v>
      </c>
      <c r="D255" s="185" t="s">
        <v>7</v>
      </c>
      <c r="E255" s="185" t="s">
        <v>6</v>
      </c>
      <c r="F255" s="185" t="s">
        <v>294</v>
      </c>
      <c r="G255" s="138">
        <v>151.38</v>
      </c>
      <c r="H255" s="139">
        <v>1890</v>
      </c>
      <c r="I255" s="185" t="str">
        <f t="shared" si="16"/>
        <v>OK</v>
      </c>
      <c r="J255" s="206" t="str">
        <f t="shared" si="17"/>
        <v/>
      </c>
    </row>
    <row r="256" spans="1:10" ht="24" customHeight="1">
      <c r="A256" s="198" t="s">
        <v>305</v>
      </c>
      <c r="B256" s="184">
        <v>45778</v>
      </c>
      <c r="C256" s="184">
        <v>46142</v>
      </c>
      <c r="D256" s="185" t="s">
        <v>7</v>
      </c>
      <c r="E256" s="185" t="s">
        <v>6</v>
      </c>
      <c r="F256" s="185" t="s">
        <v>294</v>
      </c>
      <c r="G256" s="138">
        <v>138.4</v>
      </c>
      <c r="H256" s="139">
        <v>1728</v>
      </c>
      <c r="I256" s="185" t="str">
        <f t="shared" si="16"/>
        <v>OK</v>
      </c>
      <c r="J256" s="206" t="str">
        <f t="shared" si="17"/>
        <v/>
      </c>
    </row>
    <row r="257" spans="1:10" ht="24" customHeight="1">
      <c r="A257" s="198" t="s">
        <v>305</v>
      </c>
      <c r="B257" s="184">
        <v>45778</v>
      </c>
      <c r="C257" s="184">
        <v>46142</v>
      </c>
      <c r="D257" s="185" t="s">
        <v>7</v>
      </c>
      <c r="E257" s="185" t="s">
        <v>6</v>
      </c>
      <c r="F257" s="185" t="s">
        <v>294</v>
      </c>
      <c r="G257" s="138">
        <v>129.75</v>
      </c>
      <c r="H257" s="139">
        <v>1620</v>
      </c>
      <c r="I257" s="185" t="str">
        <f t="shared" si="16"/>
        <v>OK</v>
      </c>
      <c r="J257" s="206" t="str">
        <f t="shared" si="17"/>
        <v/>
      </c>
    </row>
    <row r="258" spans="1:10" ht="24" customHeight="1">
      <c r="A258" s="198" t="s">
        <v>305</v>
      </c>
      <c r="B258" s="184">
        <v>45778</v>
      </c>
      <c r="C258" s="184">
        <v>46142</v>
      </c>
      <c r="D258" s="185" t="s">
        <v>7</v>
      </c>
      <c r="E258" s="185" t="s">
        <v>6</v>
      </c>
      <c r="F258" s="185" t="s">
        <v>294</v>
      </c>
      <c r="G258" s="138">
        <v>108.13</v>
      </c>
      <c r="H258" s="139">
        <v>1350</v>
      </c>
      <c r="I258" s="185" t="str">
        <f t="shared" si="16"/>
        <v>OK</v>
      </c>
      <c r="J258" s="206" t="str">
        <f t="shared" si="17"/>
        <v/>
      </c>
    </row>
    <row r="259" spans="1:10" ht="24" customHeight="1">
      <c r="A259" s="198" t="s">
        <v>305</v>
      </c>
      <c r="B259" s="184">
        <v>45778</v>
      </c>
      <c r="C259" s="184">
        <v>46142</v>
      </c>
      <c r="D259" s="185" t="s">
        <v>7</v>
      </c>
      <c r="E259" s="185" t="s">
        <v>6</v>
      </c>
      <c r="F259" s="185" t="s">
        <v>294</v>
      </c>
      <c r="G259" s="138">
        <v>103.8</v>
      </c>
      <c r="H259" s="139">
        <v>1296</v>
      </c>
      <c r="I259" s="185" t="str">
        <f t="shared" si="16"/>
        <v>OK</v>
      </c>
      <c r="J259" s="206" t="str">
        <f t="shared" si="17"/>
        <v/>
      </c>
    </row>
    <row r="260" spans="1:10" ht="24" customHeight="1">
      <c r="A260" s="198" t="s">
        <v>305</v>
      </c>
      <c r="B260" s="184">
        <v>45778</v>
      </c>
      <c r="C260" s="184">
        <v>46142</v>
      </c>
      <c r="D260" s="185" t="s">
        <v>7</v>
      </c>
      <c r="E260" s="185" t="s">
        <v>6</v>
      </c>
      <c r="F260" s="185" t="s">
        <v>294</v>
      </c>
      <c r="G260" s="138">
        <v>86.5</v>
      </c>
      <c r="H260" s="139">
        <v>1080</v>
      </c>
      <c r="I260" s="185" t="str">
        <f t="shared" si="16"/>
        <v>OK</v>
      </c>
      <c r="J260" s="206" t="str">
        <f t="shared" si="17"/>
        <v/>
      </c>
    </row>
    <row r="261" spans="1:10" ht="24" customHeight="1">
      <c r="A261" s="198" t="s">
        <v>305</v>
      </c>
      <c r="B261" s="184">
        <v>45778</v>
      </c>
      <c r="C261" s="184">
        <v>46142</v>
      </c>
      <c r="D261" s="185" t="s">
        <v>7</v>
      </c>
      <c r="E261" s="185" t="s">
        <v>6</v>
      </c>
      <c r="F261" s="185" t="s">
        <v>294</v>
      </c>
      <c r="G261" s="138">
        <v>69.2</v>
      </c>
      <c r="H261" s="139">
        <v>864</v>
      </c>
      <c r="I261" s="185" t="str">
        <f t="shared" si="16"/>
        <v>OK</v>
      </c>
      <c r="J261" s="206" t="str">
        <f t="shared" si="17"/>
        <v/>
      </c>
    </row>
    <row r="262" spans="1:10" ht="24" customHeight="1">
      <c r="A262" s="198" t="s">
        <v>305</v>
      </c>
      <c r="B262" s="184">
        <v>45778</v>
      </c>
      <c r="C262" s="184">
        <v>46142</v>
      </c>
      <c r="D262" s="185" t="s">
        <v>7</v>
      </c>
      <c r="E262" s="185" t="s">
        <v>6</v>
      </c>
      <c r="F262" s="185" t="s">
        <v>294</v>
      </c>
      <c r="G262" s="138">
        <v>51.9</v>
      </c>
      <c r="H262" s="139">
        <v>648</v>
      </c>
      <c r="I262" s="185" t="str">
        <f t="shared" si="16"/>
        <v>OK</v>
      </c>
      <c r="J262" s="206" t="str">
        <f t="shared" si="17"/>
        <v/>
      </c>
    </row>
    <row r="263" spans="1:10" ht="24" customHeight="1">
      <c r="A263" s="198" t="s">
        <v>305</v>
      </c>
      <c r="B263" s="184">
        <v>45778</v>
      </c>
      <c r="C263" s="184">
        <v>46142</v>
      </c>
      <c r="D263" s="185" t="s">
        <v>7</v>
      </c>
      <c r="E263" s="185" t="s">
        <v>6</v>
      </c>
      <c r="F263" s="185" t="s">
        <v>294</v>
      </c>
      <c r="G263" s="138">
        <v>47.58</v>
      </c>
      <c r="H263" s="139">
        <v>594</v>
      </c>
      <c r="I263" s="185" t="str">
        <f t="shared" si="16"/>
        <v>OK</v>
      </c>
      <c r="J263" s="206" t="str">
        <f t="shared" si="17"/>
        <v/>
      </c>
    </row>
    <row r="264" spans="1:10" ht="24" customHeight="1">
      <c r="A264" s="198" t="s">
        <v>305</v>
      </c>
      <c r="B264" s="184">
        <v>45778</v>
      </c>
      <c r="C264" s="184">
        <v>46142</v>
      </c>
      <c r="D264" s="185" t="s">
        <v>7</v>
      </c>
      <c r="E264" s="185" t="s">
        <v>6</v>
      </c>
      <c r="F264" s="185" t="s">
        <v>294</v>
      </c>
      <c r="G264" s="138">
        <v>43.25</v>
      </c>
      <c r="H264" s="139">
        <v>540</v>
      </c>
      <c r="I264" s="185" t="str">
        <f t="shared" si="16"/>
        <v>OK</v>
      </c>
      <c r="J264" s="206" t="str">
        <f t="shared" si="17"/>
        <v/>
      </c>
    </row>
    <row r="265" spans="1:10" ht="24" customHeight="1">
      <c r="A265" s="198" t="s">
        <v>305</v>
      </c>
      <c r="B265" s="184">
        <v>45778</v>
      </c>
      <c r="C265" s="184">
        <v>46142</v>
      </c>
      <c r="D265" s="185" t="s">
        <v>7</v>
      </c>
      <c r="E265" s="185" t="s">
        <v>6</v>
      </c>
      <c r="F265" s="185" t="s">
        <v>294</v>
      </c>
      <c r="G265" s="138">
        <v>34.6</v>
      </c>
      <c r="H265" s="139">
        <v>432</v>
      </c>
      <c r="I265" s="185" t="str">
        <f t="shared" si="16"/>
        <v>OK</v>
      </c>
      <c r="J265" s="206" t="str">
        <f t="shared" si="17"/>
        <v/>
      </c>
    </row>
    <row r="266" spans="1:10" ht="24" customHeight="1" thickBot="1">
      <c r="A266" s="198" t="s">
        <v>305</v>
      </c>
      <c r="B266" s="184">
        <v>45778</v>
      </c>
      <c r="C266" s="184">
        <v>46142</v>
      </c>
      <c r="D266" s="185" t="s">
        <v>7</v>
      </c>
      <c r="E266" s="185" t="s">
        <v>6</v>
      </c>
      <c r="F266" s="185" t="s">
        <v>294</v>
      </c>
      <c r="G266" s="138">
        <v>32.01</v>
      </c>
      <c r="H266" s="139">
        <v>399.6</v>
      </c>
      <c r="I266" s="185" t="str">
        <f t="shared" si="16"/>
        <v>OK</v>
      </c>
      <c r="J266" s="206" t="str">
        <f t="shared" si="17"/>
        <v/>
      </c>
    </row>
    <row r="267" spans="1:10" ht="24" customHeight="1">
      <c r="A267" s="197" t="s">
        <v>305</v>
      </c>
      <c r="B267" s="182">
        <v>45778</v>
      </c>
      <c r="C267" s="182">
        <v>46142</v>
      </c>
      <c r="D267" s="183" t="s">
        <v>8</v>
      </c>
      <c r="E267" s="183" t="s">
        <v>6</v>
      </c>
      <c r="F267" s="183" t="s">
        <v>295</v>
      </c>
      <c r="G267" s="136">
        <v>173</v>
      </c>
      <c r="H267" s="137">
        <v>2163</v>
      </c>
      <c r="I267" s="183" t="str">
        <f t="shared" si="16"/>
        <v>OK</v>
      </c>
      <c r="J267" s="205" t="str">
        <f t="shared" si="17"/>
        <v/>
      </c>
    </row>
    <row r="268" spans="1:10" ht="24" customHeight="1">
      <c r="A268" s="198" t="s">
        <v>305</v>
      </c>
      <c r="B268" s="184">
        <v>45778</v>
      </c>
      <c r="C268" s="184">
        <v>46142</v>
      </c>
      <c r="D268" s="185" t="s">
        <v>8</v>
      </c>
      <c r="E268" s="185" t="s">
        <v>6</v>
      </c>
      <c r="F268" s="185" t="s">
        <v>295</v>
      </c>
      <c r="G268" s="138">
        <v>151.38</v>
      </c>
      <c r="H268" s="139">
        <v>1892.63</v>
      </c>
      <c r="I268" s="185" t="str">
        <f t="shared" si="16"/>
        <v>OK</v>
      </c>
      <c r="J268" s="206" t="str">
        <f t="shared" si="17"/>
        <v/>
      </c>
    </row>
    <row r="269" spans="1:10" ht="24" customHeight="1">
      <c r="A269" s="198" t="s">
        <v>305</v>
      </c>
      <c r="B269" s="184">
        <v>45778</v>
      </c>
      <c r="C269" s="184">
        <v>46142</v>
      </c>
      <c r="D269" s="185" t="s">
        <v>8</v>
      </c>
      <c r="E269" s="185" t="s">
        <v>6</v>
      </c>
      <c r="F269" s="185" t="s">
        <v>295</v>
      </c>
      <c r="G269" s="138">
        <v>138.4</v>
      </c>
      <c r="H269" s="139">
        <v>1730.4</v>
      </c>
      <c r="I269" s="185" t="str">
        <f t="shared" si="16"/>
        <v>OK</v>
      </c>
      <c r="J269" s="206" t="str">
        <f t="shared" si="17"/>
        <v/>
      </c>
    </row>
    <row r="270" spans="1:10" ht="24" customHeight="1">
      <c r="A270" s="198" t="s">
        <v>305</v>
      </c>
      <c r="B270" s="184">
        <v>45778</v>
      </c>
      <c r="C270" s="184">
        <v>46142</v>
      </c>
      <c r="D270" s="185" t="s">
        <v>8</v>
      </c>
      <c r="E270" s="185" t="s">
        <v>6</v>
      </c>
      <c r="F270" s="185" t="s">
        <v>295</v>
      </c>
      <c r="G270" s="138">
        <v>129.75</v>
      </c>
      <c r="H270" s="139">
        <v>1622.25</v>
      </c>
      <c r="I270" s="185" t="str">
        <f t="shared" si="16"/>
        <v>OK</v>
      </c>
      <c r="J270" s="206" t="str">
        <f t="shared" si="17"/>
        <v/>
      </c>
    </row>
    <row r="271" spans="1:10" ht="24" customHeight="1">
      <c r="A271" s="198" t="s">
        <v>305</v>
      </c>
      <c r="B271" s="184">
        <v>45778</v>
      </c>
      <c r="C271" s="184">
        <v>46142</v>
      </c>
      <c r="D271" s="185" t="s">
        <v>8</v>
      </c>
      <c r="E271" s="185" t="s">
        <v>6</v>
      </c>
      <c r="F271" s="185" t="s">
        <v>295</v>
      </c>
      <c r="G271" s="138">
        <v>108.13</v>
      </c>
      <c r="H271" s="139">
        <v>1351.88</v>
      </c>
      <c r="I271" s="185" t="str">
        <f t="shared" si="16"/>
        <v>OK</v>
      </c>
      <c r="J271" s="206" t="str">
        <f t="shared" si="17"/>
        <v/>
      </c>
    </row>
    <row r="272" spans="1:10" ht="24" customHeight="1">
      <c r="A272" s="198" t="s">
        <v>305</v>
      </c>
      <c r="B272" s="184">
        <v>45778</v>
      </c>
      <c r="C272" s="184">
        <v>46142</v>
      </c>
      <c r="D272" s="185" t="s">
        <v>8</v>
      </c>
      <c r="E272" s="185" t="s">
        <v>6</v>
      </c>
      <c r="F272" s="185" t="s">
        <v>295</v>
      </c>
      <c r="G272" s="138">
        <v>103.8</v>
      </c>
      <c r="H272" s="139">
        <v>1297.8</v>
      </c>
      <c r="I272" s="185" t="str">
        <f t="shared" si="16"/>
        <v>OK</v>
      </c>
      <c r="J272" s="206" t="str">
        <f t="shared" si="17"/>
        <v/>
      </c>
    </row>
    <row r="273" spans="1:10" ht="24" customHeight="1">
      <c r="A273" s="198" t="s">
        <v>305</v>
      </c>
      <c r="B273" s="184">
        <v>45778</v>
      </c>
      <c r="C273" s="184">
        <v>46142</v>
      </c>
      <c r="D273" s="185" t="s">
        <v>8</v>
      </c>
      <c r="E273" s="185" t="s">
        <v>6</v>
      </c>
      <c r="F273" s="185" t="s">
        <v>295</v>
      </c>
      <c r="G273" s="138">
        <v>86.5</v>
      </c>
      <c r="H273" s="139">
        <v>1081.5</v>
      </c>
      <c r="I273" s="185" t="str">
        <f t="shared" si="16"/>
        <v>OK</v>
      </c>
      <c r="J273" s="206" t="str">
        <f t="shared" si="17"/>
        <v/>
      </c>
    </row>
    <row r="274" spans="1:10" ht="24" customHeight="1">
      <c r="A274" s="198" t="s">
        <v>305</v>
      </c>
      <c r="B274" s="184">
        <v>45778</v>
      </c>
      <c r="C274" s="184">
        <v>46142</v>
      </c>
      <c r="D274" s="185" t="s">
        <v>8</v>
      </c>
      <c r="E274" s="185" t="s">
        <v>6</v>
      </c>
      <c r="F274" s="185" t="s">
        <v>295</v>
      </c>
      <c r="G274" s="138">
        <v>69.2</v>
      </c>
      <c r="H274" s="139">
        <v>865.2</v>
      </c>
      <c r="I274" s="185" t="str">
        <f t="shared" si="16"/>
        <v>OK</v>
      </c>
      <c r="J274" s="206" t="str">
        <f t="shared" si="17"/>
        <v/>
      </c>
    </row>
    <row r="275" spans="1:10" ht="24" customHeight="1">
      <c r="A275" s="198" t="s">
        <v>305</v>
      </c>
      <c r="B275" s="184">
        <v>45778</v>
      </c>
      <c r="C275" s="184">
        <v>46142</v>
      </c>
      <c r="D275" s="185" t="s">
        <v>8</v>
      </c>
      <c r="E275" s="185" t="s">
        <v>6</v>
      </c>
      <c r="F275" s="185" t="s">
        <v>295</v>
      </c>
      <c r="G275" s="138">
        <v>51.9</v>
      </c>
      <c r="H275" s="139">
        <v>648.9</v>
      </c>
      <c r="I275" s="185" t="str">
        <f t="shared" si="16"/>
        <v>OK</v>
      </c>
      <c r="J275" s="206" t="str">
        <f t="shared" si="17"/>
        <v/>
      </c>
    </row>
    <row r="276" spans="1:10" ht="24" customHeight="1">
      <c r="A276" s="198" t="s">
        <v>305</v>
      </c>
      <c r="B276" s="184">
        <v>45778</v>
      </c>
      <c r="C276" s="184">
        <v>46142</v>
      </c>
      <c r="D276" s="185" t="s">
        <v>8</v>
      </c>
      <c r="E276" s="185" t="s">
        <v>6</v>
      </c>
      <c r="F276" s="185" t="s">
        <v>295</v>
      </c>
      <c r="G276" s="138">
        <v>47.58</v>
      </c>
      <c r="H276" s="139">
        <v>594.83000000000004</v>
      </c>
      <c r="I276" s="185" t="str">
        <f t="shared" si="16"/>
        <v>OK</v>
      </c>
      <c r="J276" s="206" t="str">
        <f t="shared" si="17"/>
        <v/>
      </c>
    </row>
    <row r="277" spans="1:10" ht="24" customHeight="1">
      <c r="A277" s="198" t="s">
        <v>305</v>
      </c>
      <c r="B277" s="184">
        <v>45778</v>
      </c>
      <c r="C277" s="184">
        <v>46142</v>
      </c>
      <c r="D277" s="185" t="s">
        <v>8</v>
      </c>
      <c r="E277" s="185" t="s">
        <v>6</v>
      </c>
      <c r="F277" s="185" t="s">
        <v>295</v>
      </c>
      <c r="G277" s="138">
        <v>43.25</v>
      </c>
      <c r="H277" s="139">
        <v>540.75</v>
      </c>
      <c r="I277" s="185" t="str">
        <f t="shared" si="16"/>
        <v>OK</v>
      </c>
      <c r="J277" s="206" t="str">
        <f t="shared" si="17"/>
        <v/>
      </c>
    </row>
    <row r="278" spans="1:10" ht="24" customHeight="1">
      <c r="A278" s="198" t="s">
        <v>305</v>
      </c>
      <c r="B278" s="184">
        <v>45778</v>
      </c>
      <c r="C278" s="184">
        <v>46142</v>
      </c>
      <c r="D278" s="185" t="s">
        <v>8</v>
      </c>
      <c r="E278" s="185" t="s">
        <v>6</v>
      </c>
      <c r="F278" s="185" t="s">
        <v>295</v>
      </c>
      <c r="G278" s="138">
        <v>34.6</v>
      </c>
      <c r="H278" s="139">
        <v>432.6</v>
      </c>
      <c r="I278" s="185" t="str">
        <f t="shared" si="16"/>
        <v>OK</v>
      </c>
      <c r="J278" s="206" t="str">
        <f t="shared" si="17"/>
        <v/>
      </c>
    </row>
    <row r="279" spans="1:10" ht="24" customHeight="1" thickBot="1">
      <c r="A279" s="198" t="s">
        <v>305</v>
      </c>
      <c r="B279" s="184">
        <v>45778</v>
      </c>
      <c r="C279" s="184">
        <v>46142</v>
      </c>
      <c r="D279" s="185" t="s">
        <v>8</v>
      </c>
      <c r="E279" s="185" t="s">
        <v>6</v>
      </c>
      <c r="F279" s="185" t="s">
        <v>295</v>
      </c>
      <c r="G279" s="138">
        <v>32.01</v>
      </c>
      <c r="H279" s="139">
        <v>400.16</v>
      </c>
      <c r="I279" s="185" t="str">
        <f t="shared" si="16"/>
        <v>OK</v>
      </c>
      <c r="J279" s="206" t="str">
        <f t="shared" si="17"/>
        <v/>
      </c>
    </row>
    <row r="280" spans="1:10" ht="24" customHeight="1">
      <c r="A280" s="197" t="s">
        <v>305</v>
      </c>
      <c r="B280" s="182">
        <v>45778</v>
      </c>
      <c r="C280" s="182">
        <v>46142</v>
      </c>
      <c r="D280" s="183" t="s">
        <v>9</v>
      </c>
      <c r="E280" s="183" t="s">
        <v>6</v>
      </c>
      <c r="F280" s="183" t="s">
        <v>296</v>
      </c>
      <c r="G280" s="136">
        <v>173</v>
      </c>
      <c r="H280" s="137">
        <v>2225</v>
      </c>
      <c r="I280" s="183" t="str">
        <f t="shared" si="16"/>
        <v>OK</v>
      </c>
      <c r="J280" s="205" t="str">
        <f t="shared" si="17"/>
        <v/>
      </c>
    </row>
    <row r="281" spans="1:10" ht="24" customHeight="1">
      <c r="A281" s="198" t="s">
        <v>305</v>
      </c>
      <c r="B281" s="184">
        <v>45778</v>
      </c>
      <c r="C281" s="184">
        <v>46142</v>
      </c>
      <c r="D281" s="185" t="s">
        <v>9</v>
      </c>
      <c r="E281" s="185" t="s">
        <v>6</v>
      </c>
      <c r="F281" s="185" t="s">
        <v>296</v>
      </c>
      <c r="G281" s="138">
        <v>151.38</v>
      </c>
      <c r="H281" s="139">
        <v>1946.88</v>
      </c>
      <c r="I281" s="185" t="str">
        <f t="shared" si="16"/>
        <v>OK</v>
      </c>
      <c r="J281" s="206" t="str">
        <f t="shared" si="17"/>
        <v/>
      </c>
    </row>
    <row r="282" spans="1:10" ht="24" customHeight="1">
      <c r="A282" s="198" t="s">
        <v>305</v>
      </c>
      <c r="B282" s="184">
        <v>45778</v>
      </c>
      <c r="C282" s="184">
        <v>46142</v>
      </c>
      <c r="D282" s="185" t="s">
        <v>9</v>
      </c>
      <c r="E282" s="185" t="s">
        <v>6</v>
      </c>
      <c r="F282" s="185" t="s">
        <v>296</v>
      </c>
      <c r="G282" s="138">
        <v>138.4</v>
      </c>
      <c r="H282" s="139">
        <v>1780</v>
      </c>
      <c r="I282" s="18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206" t="str">
        <f t="shared" ref="J282:J313" si="19">IF($G282="","",IF(COUNTIFS($A:$A,$A282,$D:$D,$D282,$G:$G,$G282)&gt;1,"Doppelte Monatsstunden",""))</f>
        <v/>
      </c>
    </row>
    <row r="283" spans="1:10" ht="24" customHeight="1">
      <c r="A283" s="198" t="s">
        <v>305</v>
      </c>
      <c r="B283" s="184">
        <v>45778</v>
      </c>
      <c r="C283" s="184">
        <v>46142</v>
      </c>
      <c r="D283" s="185" t="s">
        <v>9</v>
      </c>
      <c r="E283" s="185" t="s">
        <v>6</v>
      </c>
      <c r="F283" s="185" t="s">
        <v>296</v>
      </c>
      <c r="G283" s="138">
        <v>129.75</v>
      </c>
      <c r="H283" s="139">
        <v>1668.75</v>
      </c>
      <c r="I283" s="185" t="str">
        <f t="shared" si="18"/>
        <v>OK</v>
      </c>
      <c r="J283" s="206" t="str">
        <f t="shared" si="19"/>
        <v/>
      </c>
    </row>
    <row r="284" spans="1:10" ht="24" customHeight="1">
      <c r="A284" s="198" t="s">
        <v>305</v>
      </c>
      <c r="B284" s="184">
        <v>45778</v>
      </c>
      <c r="C284" s="184">
        <v>46142</v>
      </c>
      <c r="D284" s="185" t="s">
        <v>9</v>
      </c>
      <c r="E284" s="185" t="s">
        <v>6</v>
      </c>
      <c r="F284" s="185" t="s">
        <v>296</v>
      </c>
      <c r="G284" s="138">
        <v>108.13</v>
      </c>
      <c r="H284" s="139">
        <v>1390.63</v>
      </c>
      <c r="I284" s="185" t="str">
        <f t="shared" si="18"/>
        <v>OK</v>
      </c>
      <c r="J284" s="206" t="str">
        <f t="shared" si="19"/>
        <v/>
      </c>
    </row>
    <row r="285" spans="1:10" ht="24" customHeight="1">
      <c r="A285" s="198" t="s">
        <v>305</v>
      </c>
      <c r="B285" s="184">
        <v>45778</v>
      </c>
      <c r="C285" s="184">
        <v>46142</v>
      </c>
      <c r="D285" s="185" t="s">
        <v>9</v>
      </c>
      <c r="E285" s="185" t="s">
        <v>6</v>
      </c>
      <c r="F285" s="185" t="s">
        <v>296</v>
      </c>
      <c r="G285" s="138">
        <v>103.8</v>
      </c>
      <c r="H285" s="139">
        <v>1335</v>
      </c>
      <c r="I285" s="185" t="str">
        <f t="shared" si="18"/>
        <v>OK</v>
      </c>
      <c r="J285" s="206" t="str">
        <f t="shared" si="19"/>
        <v/>
      </c>
    </row>
    <row r="286" spans="1:10" ht="24" customHeight="1">
      <c r="A286" s="198" t="s">
        <v>305</v>
      </c>
      <c r="B286" s="184">
        <v>45778</v>
      </c>
      <c r="C286" s="184">
        <v>46142</v>
      </c>
      <c r="D286" s="185" t="s">
        <v>9</v>
      </c>
      <c r="E286" s="185" t="s">
        <v>6</v>
      </c>
      <c r="F286" s="185" t="s">
        <v>296</v>
      </c>
      <c r="G286" s="138">
        <v>86.5</v>
      </c>
      <c r="H286" s="139">
        <v>1112.5</v>
      </c>
      <c r="I286" s="185" t="str">
        <f t="shared" si="18"/>
        <v>OK</v>
      </c>
      <c r="J286" s="206" t="str">
        <f t="shared" si="19"/>
        <v/>
      </c>
    </row>
    <row r="287" spans="1:10" ht="24" customHeight="1">
      <c r="A287" s="198" t="s">
        <v>305</v>
      </c>
      <c r="B287" s="184">
        <v>45778</v>
      </c>
      <c r="C287" s="184">
        <v>46142</v>
      </c>
      <c r="D287" s="185" t="s">
        <v>9</v>
      </c>
      <c r="E287" s="185" t="s">
        <v>6</v>
      </c>
      <c r="F287" s="185" t="s">
        <v>296</v>
      </c>
      <c r="G287" s="138">
        <v>69.2</v>
      </c>
      <c r="H287" s="139">
        <v>890</v>
      </c>
      <c r="I287" s="185" t="str">
        <f t="shared" si="18"/>
        <v>OK</v>
      </c>
      <c r="J287" s="206" t="str">
        <f t="shared" si="19"/>
        <v/>
      </c>
    </row>
    <row r="288" spans="1:10" ht="24" customHeight="1">
      <c r="A288" s="198" t="s">
        <v>305</v>
      </c>
      <c r="B288" s="184">
        <v>45778</v>
      </c>
      <c r="C288" s="184">
        <v>46142</v>
      </c>
      <c r="D288" s="185" t="s">
        <v>9</v>
      </c>
      <c r="E288" s="185" t="s">
        <v>6</v>
      </c>
      <c r="F288" s="185" t="s">
        <v>296</v>
      </c>
      <c r="G288" s="138">
        <v>51.9</v>
      </c>
      <c r="H288" s="139">
        <v>667.5</v>
      </c>
      <c r="I288" s="185" t="str">
        <f t="shared" si="18"/>
        <v>OK</v>
      </c>
      <c r="J288" s="206" t="str">
        <f t="shared" si="19"/>
        <v/>
      </c>
    </row>
    <row r="289" spans="1:10" ht="24" customHeight="1">
      <c r="A289" s="198" t="s">
        <v>305</v>
      </c>
      <c r="B289" s="184">
        <v>45778</v>
      </c>
      <c r="C289" s="184">
        <v>46142</v>
      </c>
      <c r="D289" s="185" t="s">
        <v>9</v>
      </c>
      <c r="E289" s="185" t="s">
        <v>6</v>
      </c>
      <c r="F289" s="185" t="s">
        <v>296</v>
      </c>
      <c r="G289" s="138">
        <v>47.58</v>
      </c>
      <c r="H289" s="139">
        <v>611.88</v>
      </c>
      <c r="I289" s="185" t="str">
        <f t="shared" si="18"/>
        <v>OK</v>
      </c>
      <c r="J289" s="206" t="str">
        <f t="shared" si="19"/>
        <v/>
      </c>
    </row>
    <row r="290" spans="1:10" ht="24" customHeight="1">
      <c r="A290" s="198" t="s">
        <v>305</v>
      </c>
      <c r="B290" s="184">
        <v>45778</v>
      </c>
      <c r="C290" s="184">
        <v>46142</v>
      </c>
      <c r="D290" s="185" t="s">
        <v>9</v>
      </c>
      <c r="E290" s="185" t="s">
        <v>6</v>
      </c>
      <c r="F290" s="185" t="s">
        <v>296</v>
      </c>
      <c r="G290" s="138">
        <v>43.25</v>
      </c>
      <c r="H290" s="139">
        <v>556.25</v>
      </c>
      <c r="I290" s="185" t="str">
        <f t="shared" si="18"/>
        <v>OK</v>
      </c>
      <c r="J290" s="206" t="str">
        <f t="shared" si="19"/>
        <v/>
      </c>
    </row>
    <row r="291" spans="1:10" ht="24" customHeight="1">
      <c r="A291" s="198" t="s">
        <v>305</v>
      </c>
      <c r="B291" s="184">
        <v>45778</v>
      </c>
      <c r="C291" s="184">
        <v>46142</v>
      </c>
      <c r="D291" s="185" t="s">
        <v>9</v>
      </c>
      <c r="E291" s="185" t="s">
        <v>6</v>
      </c>
      <c r="F291" s="185" t="s">
        <v>296</v>
      </c>
      <c r="G291" s="138">
        <v>34.6</v>
      </c>
      <c r="H291" s="139">
        <v>445</v>
      </c>
      <c r="I291" s="185" t="str">
        <f t="shared" si="18"/>
        <v>OK</v>
      </c>
      <c r="J291" s="206" t="str">
        <f t="shared" si="19"/>
        <v/>
      </c>
    </row>
    <row r="292" spans="1:10" ht="24" customHeight="1" thickBot="1">
      <c r="A292" s="198" t="s">
        <v>305</v>
      </c>
      <c r="B292" s="184">
        <v>45778</v>
      </c>
      <c r="C292" s="184">
        <v>46142</v>
      </c>
      <c r="D292" s="185" t="s">
        <v>9</v>
      </c>
      <c r="E292" s="185" t="s">
        <v>6</v>
      </c>
      <c r="F292" s="185" t="s">
        <v>296</v>
      </c>
      <c r="G292" s="138">
        <v>32.01</v>
      </c>
      <c r="H292" s="139">
        <v>411.63</v>
      </c>
      <c r="I292" s="185" t="str">
        <f t="shared" si="18"/>
        <v>OK</v>
      </c>
      <c r="J292" s="206" t="str">
        <f t="shared" si="19"/>
        <v/>
      </c>
    </row>
    <row r="293" spans="1:10" ht="24" customHeight="1">
      <c r="A293" s="199" t="s">
        <v>305</v>
      </c>
      <c r="B293" s="190">
        <v>45778</v>
      </c>
      <c r="C293" s="190">
        <v>46142</v>
      </c>
      <c r="D293" s="191" t="s">
        <v>304</v>
      </c>
      <c r="E293" s="191" t="s">
        <v>10</v>
      </c>
      <c r="F293" s="191" t="s">
        <v>293</v>
      </c>
      <c r="G293" s="140">
        <v>173</v>
      </c>
      <c r="H293" s="141">
        <v>2300</v>
      </c>
      <c r="I293" s="191" t="str">
        <f t="shared" si="18"/>
        <v>OK</v>
      </c>
      <c r="J293" s="207" t="str">
        <f t="shared" si="19"/>
        <v/>
      </c>
    </row>
    <row r="294" spans="1:10" ht="24" customHeight="1">
      <c r="A294" s="200" t="s">
        <v>305</v>
      </c>
      <c r="B294" s="192">
        <v>45778</v>
      </c>
      <c r="C294" s="192">
        <v>46142</v>
      </c>
      <c r="D294" s="193" t="s">
        <v>304</v>
      </c>
      <c r="E294" s="193" t="s">
        <v>10</v>
      </c>
      <c r="F294" s="193" t="s">
        <v>293</v>
      </c>
      <c r="G294" s="142">
        <v>151.38</v>
      </c>
      <c r="H294" s="143">
        <v>2012.5</v>
      </c>
      <c r="I294" s="193" t="str">
        <f t="shared" si="18"/>
        <v>OK</v>
      </c>
      <c r="J294" s="208" t="str">
        <f t="shared" si="19"/>
        <v/>
      </c>
    </row>
    <row r="295" spans="1:10" ht="24" customHeight="1">
      <c r="A295" s="200" t="s">
        <v>305</v>
      </c>
      <c r="B295" s="192">
        <v>45778</v>
      </c>
      <c r="C295" s="192">
        <v>46142</v>
      </c>
      <c r="D295" s="193" t="s">
        <v>304</v>
      </c>
      <c r="E295" s="193" t="s">
        <v>10</v>
      </c>
      <c r="F295" s="193" t="s">
        <v>293</v>
      </c>
      <c r="G295" s="142">
        <v>138.4</v>
      </c>
      <c r="H295" s="143">
        <v>1840</v>
      </c>
      <c r="I295" s="193" t="str">
        <f t="shared" si="18"/>
        <v>OK</v>
      </c>
      <c r="J295" s="208" t="str">
        <f t="shared" si="19"/>
        <v/>
      </c>
    </row>
    <row r="296" spans="1:10" ht="24" customHeight="1">
      <c r="A296" s="200" t="s">
        <v>305</v>
      </c>
      <c r="B296" s="192">
        <v>45778</v>
      </c>
      <c r="C296" s="192">
        <v>46142</v>
      </c>
      <c r="D296" s="193" t="s">
        <v>304</v>
      </c>
      <c r="E296" s="193" t="s">
        <v>10</v>
      </c>
      <c r="F296" s="193" t="s">
        <v>293</v>
      </c>
      <c r="G296" s="142">
        <v>129.75</v>
      </c>
      <c r="H296" s="143">
        <v>1725</v>
      </c>
      <c r="I296" s="193" t="str">
        <f t="shared" si="18"/>
        <v>OK</v>
      </c>
      <c r="J296" s="208" t="str">
        <f t="shared" si="19"/>
        <v/>
      </c>
    </row>
    <row r="297" spans="1:10" ht="24" customHeight="1">
      <c r="A297" s="200" t="s">
        <v>305</v>
      </c>
      <c r="B297" s="192">
        <v>45778</v>
      </c>
      <c r="C297" s="192">
        <v>46142</v>
      </c>
      <c r="D297" s="193" t="s">
        <v>304</v>
      </c>
      <c r="E297" s="193" t="s">
        <v>10</v>
      </c>
      <c r="F297" s="193" t="s">
        <v>293</v>
      </c>
      <c r="G297" s="142">
        <v>108.13</v>
      </c>
      <c r="H297" s="143">
        <v>1437.5</v>
      </c>
      <c r="I297" s="193" t="str">
        <f t="shared" si="18"/>
        <v>OK</v>
      </c>
      <c r="J297" s="208" t="str">
        <f t="shared" si="19"/>
        <v/>
      </c>
    </row>
    <row r="298" spans="1:10" ht="24" customHeight="1">
      <c r="A298" s="200" t="s">
        <v>305</v>
      </c>
      <c r="B298" s="192">
        <v>45778</v>
      </c>
      <c r="C298" s="192">
        <v>46142</v>
      </c>
      <c r="D298" s="193" t="s">
        <v>304</v>
      </c>
      <c r="E298" s="193" t="s">
        <v>10</v>
      </c>
      <c r="F298" s="193" t="s">
        <v>293</v>
      </c>
      <c r="G298" s="142">
        <v>103.8</v>
      </c>
      <c r="H298" s="143">
        <v>1380</v>
      </c>
      <c r="I298" s="193" t="str">
        <f t="shared" si="18"/>
        <v>OK</v>
      </c>
      <c r="J298" s="208" t="str">
        <f t="shared" si="19"/>
        <v/>
      </c>
    </row>
    <row r="299" spans="1:10" ht="24" customHeight="1">
      <c r="A299" s="200" t="s">
        <v>305</v>
      </c>
      <c r="B299" s="192">
        <v>45778</v>
      </c>
      <c r="C299" s="192">
        <v>46142</v>
      </c>
      <c r="D299" s="193" t="s">
        <v>304</v>
      </c>
      <c r="E299" s="193" t="s">
        <v>10</v>
      </c>
      <c r="F299" s="193" t="s">
        <v>293</v>
      </c>
      <c r="G299" s="142">
        <v>86.5</v>
      </c>
      <c r="H299" s="143">
        <v>1150</v>
      </c>
      <c r="I299" s="193" t="str">
        <f t="shared" si="18"/>
        <v>OK</v>
      </c>
      <c r="J299" s="208" t="str">
        <f t="shared" si="19"/>
        <v/>
      </c>
    </row>
    <row r="300" spans="1:10" ht="24" customHeight="1">
      <c r="A300" s="200" t="s">
        <v>305</v>
      </c>
      <c r="B300" s="192">
        <v>45778</v>
      </c>
      <c r="C300" s="192">
        <v>46142</v>
      </c>
      <c r="D300" s="193" t="s">
        <v>304</v>
      </c>
      <c r="E300" s="193" t="s">
        <v>10</v>
      </c>
      <c r="F300" s="193" t="s">
        <v>293</v>
      </c>
      <c r="G300" s="142">
        <v>69.2</v>
      </c>
      <c r="H300" s="143">
        <v>920</v>
      </c>
      <c r="I300" s="193" t="str">
        <f t="shared" si="18"/>
        <v>OK</v>
      </c>
      <c r="J300" s="208" t="str">
        <f t="shared" si="19"/>
        <v/>
      </c>
    </row>
    <row r="301" spans="1:10" ht="24" customHeight="1">
      <c r="A301" s="200" t="s">
        <v>305</v>
      </c>
      <c r="B301" s="192">
        <v>45778</v>
      </c>
      <c r="C301" s="192">
        <v>46142</v>
      </c>
      <c r="D301" s="193" t="s">
        <v>304</v>
      </c>
      <c r="E301" s="193" t="s">
        <v>10</v>
      </c>
      <c r="F301" s="193" t="s">
        <v>293</v>
      </c>
      <c r="G301" s="142">
        <v>51.9</v>
      </c>
      <c r="H301" s="143">
        <v>690</v>
      </c>
      <c r="I301" s="193" t="str">
        <f t="shared" si="18"/>
        <v>OK</v>
      </c>
      <c r="J301" s="208" t="str">
        <f t="shared" si="19"/>
        <v/>
      </c>
    </row>
    <row r="302" spans="1:10" ht="24" customHeight="1">
      <c r="A302" s="200" t="s">
        <v>305</v>
      </c>
      <c r="B302" s="192">
        <v>45778</v>
      </c>
      <c r="C302" s="192">
        <v>46142</v>
      </c>
      <c r="D302" s="193" t="s">
        <v>304</v>
      </c>
      <c r="E302" s="193" t="s">
        <v>10</v>
      </c>
      <c r="F302" s="193" t="s">
        <v>293</v>
      </c>
      <c r="G302" s="142">
        <v>47.58</v>
      </c>
      <c r="H302" s="143">
        <v>632.5</v>
      </c>
      <c r="I302" s="193" t="str">
        <f t="shared" si="18"/>
        <v>OK</v>
      </c>
      <c r="J302" s="208" t="str">
        <f t="shared" si="19"/>
        <v/>
      </c>
    </row>
    <row r="303" spans="1:10" ht="24" customHeight="1">
      <c r="A303" s="200" t="s">
        <v>305</v>
      </c>
      <c r="B303" s="192">
        <v>45778</v>
      </c>
      <c r="C303" s="192">
        <v>46142</v>
      </c>
      <c r="D303" s="193" t="s">
        <v>304</v>
      </c>
      <c r="E303" s="193" t="s">
        <v>10</v>
      </c>
      <c r="F303" s="193" t="s">
        <v>293</v>
      </c>
      <c r="G303" s="142">
        <v>43.25</v>
      </c>
      <c r="H303" s="143">
        <v>575</v>
      </c>
      <c r="I303" s="193" t="str">
        <f t="shared" si="18"/>
        <v>OK</v>
      </c>
      <c r="J303" s="208" t="str">
        <f t="shared" si="19"/>
        <v/>
      </c>
    </row>
    <row r="304" spans="1:10" ht="24" customHeight="1">
      <c r="A304" s="200" t="s">
        <v>305</v>
      </c>
      <c r="B304" s="192">
        <v>45778</v>
      </c>
      <c r="C304" s="192">
        <v>46142</v>
      </c>
      <c r="D304" s="193" t="s">
        <v>304</v>
      </c>
      <c r="E304" s="193" t="s">
        <v>10</v>
      </c>
      <c r="F304" s="193" t="s">
        <v>293</v>
      </c>
      <c r="G304" s="142">
        <v>34.6</v>
      </c>
      <c r="H304" s="143">
        <v>460</v>
      </c>
      <c r="I304" s="193" t="str">
        <f t="shared" si="18"/>
        <v>OK</v>
      </c>
      <c r="J304" s="208" t="str">
        <f t="shared" si="19"/>
        <v/>
      </c>
    </row>
    <row r="305" spans="1:10" ht="24" customHeight="1" thickBot="1">
      <c r="A305" s="200" t="s">
        <v>305</v>
      </c>
      <c r="B305" s="192">
        <v>45778</v>
      </c>
      <c r="C305" s="192">
        <v>46142</v>
      </c>
      <c r="D305" s="193" t="s">
        <v>304</v>
      </c>
      <c r="E305" s="193" t="s">
        <v>10</v>
      </c>
      <c r="F305" s="193" t="s">
        <v>293</v>
      </c>
      <c r="G305" s="142">
        <v>32.01</v>
      </c>
      <c r="H305" s="143">
        <v>425.5</v>
      </c>
      <c r="I305" s="193" t="str">
        <f t="shared" si="18"/>
        <v>OK</v>
      </c>
      <c r="J305" s="208" t="str">
        <f t="shared" si="19"/>
        <v/>
      </c>
    </row>
    <row r="306" spans="1:10" ht="24" customHeight="1">
      <c r="A306" s="199" t="s">
        <v>305</v>
      </c>
      <c r="B306" s="190">
        <v>45778</v>
      </c>
      <c r="C306" s="190">
        <v>46142</v>
      </c>
      <c r="D306" s="191" t="s">
        <v>11</v>
      </c>
      <c r="E306" s="191" t="s">
        <v>10</v>
      </c>
      <c r="F306" s="191" t="s">
        <v>294</v>
      </c>
      <c r="G306" s="140">
        <v>173</v>
      </c>
      <c r="H306" s="141">
        <v>2300</v>
      </c>
      <c r="I306" s="191" t="str">
        <f t="shared" si="18"/>
        <v>OK</v>
      </c>
      <c r="J306" s="207" t="str">
        <f t="shared" si="19"/>
        <v/>
      </c>
    </row>
    <row r="307" spans="1:10" ht="24" customHeight="1">
      <c r="A307" s="200" t="s">
        <v>305</v>
      </c>
      <c r="B307" s="192">
        <v>45778</v>
      </c>
      <c r="C307" s="192">
        <v>46142</v>
      </c>
      <c r="D307" s="193" t="s">
        <v>11</v>
      </c>
      <c r="E307" s="193" t="s">
        <v>10</v>
      </c>
      <c r="F307" s="193" t="s">
        <v>294</v>
      </c>
      <c r="G307" s="142">
        <v>151.38</v>
      </c>
      <c r="H307" s="143">
        <v>2012.5</v>
      </c>
      <c r="I307" s="193" t="str">
        <f t="shared" si="18"/>
        <v>OK</v>
      </c>
      <c r="J307" s="208" t="str">
        <f t="shared" si="19"/>
        <v/>
      </c>
    </row>
    <row r="308" spans="1:10" ht="24" customHeight="1">
      <c r="A308" s="200" t="s">
        <v>305</v>
      </c>
      <c r="B308" s="192">
        <v>45778</v>
      </c>
      <c r="C308" s="192">
        <v>46142</v>
      </c>
      <c r="D308" s="193" t="s">
        <v>11</v>
      </c>
      <c r="E308" s="193" t="s">
        <v>10</v>
      </c>
      <c r="F308" s="193" t="s">
        <v>294</v>
      </c>
      <c r="G308" s="142">
        <v>138.4</v>
      </c>
      <c r="H308" s="143">
        <v>1840</v>
      </c>
      <c r="I308" s="193" t="str">
        <f t="shared" si="18"/>
        <v>OK</v>
      </c>
      <c r="J308" s="208" t="str">
        <f t="shared" si="19"/>
        <v/>
      </c>
    </row>
    <row r="309" spans="1:10" ht="24" customHeight="1">
      <c r="A309" s="200" t="s">
        <v>305</v>
      </c>
      <c r="B309" s="192">
        <v>45778</v>
      </c>
      <c r="C309" s="192">
        <v>46142</v>
      </c>
      <c r="D309" s="193" t="s">
        <v>11</v>
      </c>
      <c r="E309" s="193" t="s">
        <v>10</v>
      </c>
      <c r="F309" s="193" t="s">
        <v>294</v>
      </c>
      <c r="G309" s="142">
        <v>129.75</v>
      </c>
      <c r="H309" s="143">
        <v>1725</v>
      </c>
      <c r="I309" s="193" t="str">
        <f t="shared" si="18"/>
        <v>OK</v>
      </c>
      <c r="J309" s="208" t="str">
        <f t="shared" si="19"/>
        <v/>
      </c>
    </row>
    <row r="310" spans="1:10" ht="24" customHeight="1">
      <c r="A310" s="200" t="s">
        <v>305</v>
      </c>
      <c r="B310" s="192">
        <v>45778</v>
      </c>
      <c r="C310" s="192">
        <v>46142</v>
      </c>
      <c r="D310" s="193" t="s">
        <v>11</v>
      </c>
      <c r="E310" s="193" t="s">
        <v>10</v>
      </c>
      <c r="F310" s="193" t="s">
        <v>294</v>
      </c>
      <c r="G310" s="142">
        <v>108.13</v>
      </c>
      <c r="H310" s="143">
        <v>1437.5</v>
      </c>
      <c r="I310" s="193" t="str">
        <f t="shared" si="18"/>
        <v>OK</v>
      </c>
      <c r="J310" s="208" t="str">
        <f t="shared" si="19"/>
        <v/>
      </c>
    </row>
    <row r="311" spans="1:10" ht="24" customHeight="1">
      <c r="A311" s="200" t="s">
        <v>305</v>
      </c>
      <c r="B311" s="192">
        <v>45778</v>
      </c>
      <c r="C311" s="192">
        <v>46142</v>
      </c>
      <c r="D311" s="193" t="s">
        <v>11</v>
      </c>
      <c r="E311" s="193" t="s">
        <v>10</v>
      </c>
      <c r="F311" s="193" t="s">
        <v>294</v>
      </c>
      <c r="G311" s="142">
        <v>103.8</v>
      </c>
      <c r="H311" s="143">
        <v>1380</v>
      </c>
      <c r="I311" s="193" t="str">
        <f t="shared" si="18"/>
        <v>OK</v>
      </c>
      <c r="J311" s="208" t="str">
        <f t="shared" si="19"/>
        <v/>
      </c>
    </row>
    <row r="312" spans="1:10" ht="24" customHeight="1">
      <c r="A312" s="200" t="s">
        <v>305</v>
      </c>
      <c r="B312" s="192">
        <v>45778</v>
      </c>
      <c r="C312" s="192">
        <v>46142</v>
      </c>
      <c r="D312" s="193" t="s">
        <v>11</v>
      </c>
      <c r="E312" s="193" t="s">
        <v>10</v>
      </c>
      <c r="F312" s="193" t="s">
        <v>294</v>
      </c>
      <c r="G312" s="142">
        <v>86.5</v>
      </c>
      <c r="H312" s="143">
        <v>1150</v>
      </c>
      <c r="I312" s="193" t="str">
        <f t="shared" si="18"/>
        <v>OK</v>
      </c>
      <c r="J312" s="208" t="str">
        <f t="shared" si="19"/>
        <v/>
      </c>
    </row>
    <row r="313" spans="1:10" ht="24" customHeight="1">
      <c r="A313" s="200" t="s">
        <v>305</v>
      </c>
      <c r="B313" s="192">
        <v>45778</v>
      </c>
      <c r="C313" s="192">
        <v>46142</v>
      </c>
      <c r="D313" s="193" t="s">
        <v>11</v>
      </c>
      <c r="E313" s="193" t="s">
        <v>10</v>
      </c>
      <c r="F313" s="193" t="s">
        <v>294</v>
      </c>
      <c r="G313" s="142">
        <v>69.2</v>
      </c>
      <c r="H313" s="143">
        <v>920</v>
      </c>
      <c r="I313" s="193" t="str">
        <f t="shared" si="18"/>
        <v>OK</v>
      </c>
      <c r="J313" s="208" t="str">
        <f t="shared" si="19"/>
        <v/>
      </c>
    </row>
    <row r="314" spans="1:10" ht="24" customHeight="1">
      <c r="A314" s="200" t="s">
        <v>305</v>
      </c>
      <c r="B314" s="192">
        <v>45778</v>
      </c>
      <c r="C314" s="192">
        <v>46142</v>
      </c>
      <c r="D314" s="193" t="s">
        <v>11</v>
      </c>
      <c r="E314" s="193" t="s">
        <v>10</v>
      </c>
      <c r="F314" s="193" t="s">
        <v>294</v>
      </c>
      <c r="G314" s="142">
        <v>51.9</v>
      </c>
      <c r="H314" s="143">
        <v>690</v>
      </c>
      <c r="I314" s="19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208" t="str">
        <f t="shared" ref="J314:J344" si="21">IF($G314="","",IF(COUNTIFS($A:$A,$A314,$D:$D,$D314,$G:$G,$G314)&gt;1,"Doppelte Monatsstunden",""))</f>
        <v/>
      </c>
    </row>
    <row r="315" spans="1:10" ht="24" customHeight="1">
      <c r="A315" s="200" t="s">
        <v>305</v>
      </c>
      <c r="B315" s="192">
        <v>45778</v>
      </c>
      <c r="C315" s="192">
        <v>46142</v>
      </c>
      <c r="D315" s="193" t="s">
        <v>11</v>
      </c>
      <c r="E315" s="193" t="s">
        <v>10</v>
      </c>
      <c r="F315" s="193" t="s">
        <v>294</v>
      </c>
      <c r="G315" s="142">
        <v>47.58</v>
      </c>
      <c r="H315" s="143">
        <v>632.5</v>
      </c>
      <c r="I315" s="193" t="str">
        <f t="shared" si="20"/>
        <v>OK</v>
      </c>
      <c r="J315" s="208" t="str">
        <f t="shared" si="21"/>
        <v/>
      </c>
    </row>
    <row r="316" spans="1:10" ht="24" customHeight="1">
      <c r="A316" s="200" t="s">
        <v>305</v>
      </c>
      <c r="B316" s="192">
        <v>45778</v>
      </c>
      <c r="C316" s="192">
        <v>46142</v>
      </c>
      <c r="D316" s="193" t="s">
        <v>11</v>
      </c>
      <c r="E316" s="193" t="s">
        <v>10</v>
      </c>
      <c r="F316" s="193" t="s">
        <v>294</v>
      </c>
      <c r="G316" s="142">
        <v>43.25</v>
      </c>
      <c r="H316" s="143">
        <v>575</v>
      </c>
      <c r="I316" s="193" t="str">
        <f t="shared" si="20"/>
        <v>OK</v>
      </c>
      <c r="J316" s="208" t="str">
        <f t="shared" si="21"/>
        <v/>
      </c>
    </row>
    <row r="317" spans="1:10" ht="24" customHeight="1">
      <c r="A317" s="200" t="s">
        <v>305</v>
      </c>
      <c r="B317" s="192">
        <v>45778</v>
      </c>
      <c r="C317" s="192">
        <v>46142</v>
      </c>
      <c r="D317" s="193" t="s">
        <v>11</v>
      </c>
      <c r="E317" s="193" t="s">
        <v>10</v>
      </c>
      <c r="F317" s="193" t="s">
        <v>294</v>
      </c>
      <c r="G317" s="142">
        <v>34.6</v>
      </c>
      <c r="H317" s="143">
        <v>460</v>
      </c>
      <c r="I317" s="193" t="str">
        <f t="shared" si="20"/>
        <v>OK</v>
      </c>
      <c r="J317" s="208" t="str">
        <f t="shared" si="21"/>
        <v/>
      </c>
    </row>
    <row r="318" spans="1:10" ht="24" customHeight="1" thickBot="1">
      <c r="A318" s="200" t="s">
        <v>305</v>
      </c>
      <c r="B318" s="192">
        <v>45778</v>
      </c>
      <c r="C318" s="192">
        <v>46142</v>
      </c>
      <c r="D318" s="193" t="s">
        <v>11</v>
      </c>
      <c r="E318" s="193" t="s">
        <v>10</v>
      </c>
      <c r="F318" s="193" t="s">
        <v>294</v>
      </c>
      <c r="G318" s="142">
        <v>32.01</v>
      </c>
      <c r="H318" s="143">
        <v>425.5</v>
      </c>
      <c r="I318" s="193" t="str">
        <f t="shared" si="20"/>
        <v>OK</v>
      </c>
      <c r="J318" s="208" t="str">
        <f t="shared" si="21"/>
        <v/>
      </c>
    </row>
    <row r="319" spans="1:10" ht="24" customHeight="1">
      <c r="A319" s="199" t="s">
        <v>305</v>
      </c>
      <c r="B319" s="190">
        <v>45778</v>
      </c>
      <c r="C319" s="190">
        <v>46142</v>
      </c>
      <c r="D319" s="191" t="s">
        <v>12</v>
      </c>
      <c r="E319" s="191" t="s">
        <v>10</v>
      </c>
      <c r="F319" s="191" t="s">
        <v>295</v>
      </c>
      <c r="G319" s="140">
        <v>173</v>
      </c>
      <c r="H319" s="141">
        <v>2300</v>
      </c>
      <c r="I319" s="191" t="str">
        <f t="shared" si="20"/>
        <v>OK</v>
      </c>
      <c r="J319" s="207" t="str">
        <f t="shared" si="21"/>
        <v/>
      </c>
    </row>
    <row r="320" spans="1:10" ht="24" customHeight="1">
      <c r="A320" s="200" t="s">
        <v>305</v>
      </c>
      <c r="B320" s="192">
        <v>45778</v>
      </c>
      <c r="C320" s="192">
        <v>46142</v>
      </c>
      <c r="D320" s="193" t="s">
        <v>12</v>
      </c>
      <c r="E320" s="193" t="s">
        <v>10</v>
      </c>
      <c r="F320" s="193" t="s">
        <v>295</v>
      </c>
      <c r="G320" s="142">
        <v>151.38</v>
      </c>
      <c r="H320" s="143">
        <v>2012.5</v>
      </c>
      <c r="I320" s="193" t="str">
        <f t="shared" si="20"/>
        <v>OK</v>
      </c>
      <c r="J320" s="208" t="str">
        <f t="shared" si="21"/>
        <v/>
      </c>
    </row>
    <row r="321" spans="1:10" ht="24" customHeight="1">
      <c r="A321" s="200" t="s">
        <v>305</v>
      </c>
      <c r="B321" s="192">
        <v>45778</v>
      </c>
      <c r="C321" s="192">
        <v>46142</v>
      </c>
      <c r="D321" s="193" t="s">
        <v>12</v>
      </c>
      <c r="E321" s="193" t="s">
        <v>10</v>
      </c>
      <c r="F321" s="193" t="s">
        <v>295</v>
      </c>
      <c r="G321" s="142">
        <v>138.4</v>
      </c>
      <c r="H321" s="143">
        <v>1840</v>
      </c>
      <c r="I321" s="193" t="str">
        <f t="shared" si="20"/>
        <v>OK</v>
      </c>
      <c r="J321" s="208" t="str">
        <f t="shared" si="21"/>
        <v/>
      </c>
    </row>
    <row r="322" spans="1:10" ht="24" customHeight="1">
      <c r="A322" s="200" t="s">
        <v>305</v>
      </c>
      <c r="B322" s="192">
        <v>45778</v>
      </c>
      <c r="C322" s="192">
        <v>46142</v>
      </c>
      <c r="D322" s="193" t="s">
        <v>12</v>
      </c>
      <c r="E322" s="193" t="s">
        <v>10</v>
      </c>
      <c r="F322" s="193" t="s">
        <v>295</v>
      </c>
      <c r="G322" s="142">
        <v>129.75</v>
      </c>
      <c r="H322" s="143">
        <v>1725</v>
      </c>
      <c r="I322" s="193" t="str">
        <f t="shared" si="20"/>
        <v>OK</v>
      </c>
      <c r="J322" s="208" t="str">
        <f t="shared" si="21"/>
        <v/>
      </c>
    </row>
    <row r="323" spans="1:10" ht="24" customHeight="1">
      <c r="A323" s="200" t="s">
        <v>305</v>
      </c>
      <c r="B323" s="192">
        <v>45778</v>
      </c>
      <c r="C323" s="192">
        <v>46142</v>
      </c>
      <c r="D323" s="193" t="s">
        <v>12</v>
      </c>
      <c r="E323" s="193" t="s">
        <v>10</v>
      </c>
      <c r="F323" s="193" t="s">
        <v>295</v>
      </c>
      <c r="G323" s="142">
        <v>108.13</v>
      </c>
      <c r="H323" s="143">
        <v>1437.5</v>
      </c>
      <c r="I323" s="193" t="str">
        <f t="shared" si="20"/>
        <v>OK</v>
      </c>
      <c r="J323" s="208" t="str">
        <f t="shared" si="21"/>
        <v/>
      </c>
    </row>
    <row r="324" spans="1:10" ht="24" customHeight="1">
      <c r="A324" s="200" t="s">
        <v>305</v>
      </c>
      <c r="B324" s="192">
        <v>45778</v>
      </c>
      <c r="C324" s="192">
        <v>46142</v>
      </c>
      <c r="D324" s="193" t="s">
        <v>12</v>
      </c>
      <c r="E324" s="193" t="s">
        <v>10</v>
      </c>
      <c r="F324" s="193" t="s">
        <v>295</v>
      </c>
      <c r="G324" s="142">
        <v>103.8</v>
      </c>
      <c r="H324" s="143">
        <v>1380</v>
      </c>
      <c r="I324" s="193" t="str">
        <f t="shared" si="20"/>
        <v>OK</v>
      </c>
      <c r="J324" s="208" t="str">
        <f t="shared" si="21"/>
        <v/>
      </c>
    </row>
    <row r="325" spans="1:10" ht="24" customHeight="1">
      <c r="A325" s="200" t="s">
        <v>305</v>
      </c>
      <c r="B325" s="192">
        <v>45778</v>
      </c>
      <c r="C325" s="192">
        <v>46142</v>
      </c>
      <c r="D325" s="193" t="s">
        <v>12</v>
      </c>
      <c r="E325" s="193" t="s">
        <v>10</v>
      </c>
      <c r="F325" s="193" t="s">
        <v>295</v>
      </c>
      <c r="G325" s="142">
        <v>86.5</v>
      </c>
      <c r="H325" s="143">
        <v>1150</v>
      </c>
      <c r="I325" s="193" t="str">
        <f t="shared" si="20"/>
        <v>OK</v>
      </c>
      <c r="J325" s="208" t="str">
        <f t="shared" si="21"/>
        <v/>
      </c>
    </row>
    <row r="326" spans="1:10" ht="24" customHeight="1">
      <c r="A326" s="200" t="s">
        <v>305</v>
      </c>
      <c r="B326" s="192">
        <v>45778</v>
      </c>
      <c r="C326" s="192">
        <v>46142</v>
      </c>
      <c r="D326" s="193" t="s">
        <v>12</v>
      </c>
      <c r="E326" s="193" t="s">
        <v>10</v>
      </c>
      <c r="F326" s="193" t="s">
        <v>295</v>
      </c>
      <c r="G326" s="142">
        <v>69.2</v>
      </c>
      <c r="H326" s="143">
        <v>920</v>
      </c>
      <c r="I326" s="193" t="str">
        <f t="shared" si="20"/>
        <v>OK</v>
      </c>
      <c r="J326" s="208" t="str">
        <f t="shared" si="21"/>
        <v/>
      </c>
    </row>
    <row r="327" spans="1:10" ht="24" customHeight="1">
      <c r="A327" s="200" t="s">
        <v>305</v>
      </c>
      <c r="B327" s="192">
        <v>45778</v>
      </c>
      <c r="C327" s="192">
        <v>46142</v>
      </c>
      <c r="D327" s="193" t="s">
        <v>12</v>
      </c>
      <c r="E327" s="193" t="s">
        <v>10</v>
      </c>
      <c r="F327" s="193" t="s">
        <v>295</v>
      </c>
      <c r="G327" s="142">
        <v>51.9</v>
      </c>
      <c r="H327" s="143">
        <v>690</v>
      </c>
      <c r="I327" s="193" t="str">
        <f t="shared" si="20"/>
        <v>OK</v>
      </c>
      <c r="J327" s="208" t="str">
        <f t="shared" si="21"/>
        <v/>
      </c>
    </row>
    <row r="328" spans="1:10" ht="24" customHeight="1">
      <c r="A328" s="200" t="s">
        <v>305</v>
      </c>
      <c r="B328" s="192">
        <v>45778</v>
      </c>
      <c r="C328" s="192">
        <v>46142</v>
      </c>
      <c r="D328" s="193" t="s">
        <v>12</v>
      </c>
      <c r="E328" s="193" t="s">
        <v>10</v>
      </c>
      <c r="F328" s="193" t="s">
        <v>295</v>
      </c>
      <c r="G328" s="142">
        <v>47.58</v>
      </c>
      <c r="H328" s="143">
        <v>632.5</v>
      </c>
      <c r="I328" s="193" t="str">
        <f t="shared" si="20"/>
        <v>OK</v>
      </c>
      <c r="J328" s="208" t="str">
        <f t="shared" si="21"/>
        <v/>
      </c>
    </row>
    <row r="329" spans="1:10" ht="24" customHeight="1">
      <c r="A329" s="200" t="s">
        <v>305</v>
      </c>
      <c r="B329" s="192">
        <v>45778</v>
      </c>
      <c r="C329" s="192">
        <v>46142</v>
      </c>
      <c r="D329" s="193" t="s">
        <v>12</v>
      </c>
      <c r="E329" s="193" t="s">
        <v>10</v>
      </c>
      <c r="F329" s="193" t="s">
        <v>295</v>
      </c>
      <c r="G329" s="142">
        <v>43.25</v>
      </c>
      <c r="H329" s="143">
        <v>575</v>
      </c>
      <c r="I329" s="193" t="str">
        <f t="shared" si="20"/>
        <v>OK</v>
      </c>
      <c r="J329" s="208" t="str">
        <f t="shared" si="21"/>
        <v/>
      </c>
    </row>
    <row r="330" spans="1:10" ht="24" customHeight="1">
      <c r="A330" s="200" t="s">
        <v>305</v>
      </c>
      <c r="B330" s="192">
        <v>45778</v>
      </c>
      <c r="C330" s="192">
        <v>46142</v>
      </c>
      <c r="D330" s="193" t="s">
        <v>12</v>
      </c>
      <c r="E330" s="193" t="s">
        <v>10</v>
      </c>
      <c r="F330" s="193" t="s">
        <v>295</v>
      </c>
      <c r="G330" s="142">
        <v>34.6</v>
      </c>
      <c r="H330" s="143">
        <v>460</v>
      </c>
      <c r="I330" s="193" t="str">
        <f t="shared" si="20"/>
        <v>OK</v>
      </c>
      <c r="J330" s="208" t="str">
        <f t="shared" si="21"/>
        <v/>
      </c>
    </row>
    <row r="331" spans="1:10" ht="24" customHeight="1" thickBot="1">
      <c r="A331" s="200" t="s">
        <v>305</v>
      </c>
      <c r="B331" s="192">
        <v>45778</v>
      </c>
      <c r="C331" s="192">
        <v>46142</v>
      </c>
      <c r="D331" s="193" t="s">
        <v>12</v>
      </c>
      <c r="E331" s="193" t="s">
        <v>10</v>
      </c>
      <c r="F331" s="193" t="s">
        <v>295</v>
      </c>
      <c r="G331" s="142">
        <v>32.01</v>
      </c>
      <c r="H331" s="143">
        <v>425.5</v>
      </c>
      <c r="I331" s="193" t="str">
        <f t="shared" si="20"/>
        <v>OK</v>
      </c>
      <c r="J331" s="208" t="str">
        <f t="shared" si="21"/>
        <v/>
      </c>
    </row>
    <row r="332" spans="1:10" ht="24" customHeight="1">
      <c r="A332" s="199" t="s">
        <v>305</v>
      </c>
      <c r="B332" s="190">
        <v>45778</v>
      </c>
      <c r="C332" s="190">
        <v>46142</v>
      </c>
      <c r="D332" s="191" t="s">
        <v>13</v>
      </c>
      <c r="E332" s="191" t="s">
        <v>10</v>
      </c>
      <c r="F332" s="191" t="s">
        <v>296</v>
      </c>
      <c r="G332" s="140">
        <v>173</v>
      </c>
      <c r="H332" s="141">
        <v>2328</v>
      </c>
      <c r="I332" s="191" t="str">
        <f t="shared" si="20"/>
        <v>OK</v>
      </c>
      <c r="J332" s="207" t="str">
        <f t="shared" si="21"/>
        <v/>
      </c>
    </row>
    <row r="333" spans="1:10" ht="24" customHeight="1">
      <c r="A333" s="200" t="s">
        <v>305</v>
      </c>
      <c r="B333" s="192">
        <v>45778</v>
      </c>
      <c r="C333" s="192">
        <v>46142</v>
      </c>
      <c r="D333" s="193" t="s">
        <v>13</v>
      </c>
      <c r="E333" s="193" t="s">
        <v>10</v>
      </c>
      <c r="F333" s="193" t="s">
        <v>296</v>
      </c>
      <c r="G333" s="142">
        <v>151.38</v>
      </c>
      <c r="H333" s="143">
        <v>2037</v>
      </c>
      <c r="I333" s="193" t="str">
        <f t="shared" si="20"/>
        <v>OK</v>
      </c>
      <c r="J333" s="208" t="str">
        <f t="shared" si="21"/>
        <v/>
      </c>
    </row>
    <row r="334" spans="1:10" ht="24" customHeight="1">
      <c r="A334" s="200" t="s">
        <v>305</v>
      </c>
      <c r="B334" s="192">
        <v>45778</v>
      </c>
      <c r="C334" s="192">
        <v>46142</v>
      </c>
      <c r="D334" s="193" t="s">
        <v>13</v>
      </c>
      <c r="E334" s="193" t="s">
        <v>10</v>
      </c>
      <c r="F334" s="193" t="s">
        <v>296</v>
      </c>
      <c r="G334" s="142">
        <v>138.4</v>
      </c>
      <c r="H334" s="143">
        <v>1862.4</v>
      </c>
      <c r="I334" s="193" t="str">
        <f t="shared" si="20"/>
        <v>OK</v>
      </c>
      <c r="J334" s="208" t="str">
        <f t="shared" si="21"/>
        <v/>
      </c>
    </row>
    <row r="335" spans="1:10" ht="24" customHeight="1">
      <c r="A335" s="200" t="s">
        <v>305</v>
      </c>
      <c r="B335" s="192">
        <v>45778</v>
      </c>
      <c r="C335" s="192">
        <v>46142</v>
      </c>
      <c r="D335" s="193" t="s">
        <v>13</v>
      </c>
      <c r="E335" s="193" t="s">
        <v>10</v>
      </c>
      <c r="F335" s="193" t="s">
        <v>296</v>
      </c>
      <c r="G335" s="142">
        <v>129.75</v>
      </c>
      <c r="H335" s="143">
        <v>1476</v>
      </c>
      <c r="I335" s="193" t="str">
        <f t="shared" si="20"/>
        <v>OK</v>
      </c>
      <c r="J335" s="208" t="str">
        <f t="shared" si="21"/>
        <v/>
      </c>
    </row>
    <row r="336" spans="1:10" ht="24" customHeight="1">
      <c r="A336" s="200" t="s">
        <v>305</v>
      </c>
      <c r="B336" s="192">
        <v>45778</v>
      </c>
      <c r="C336" s="192">
        <v>46142</v>
      </c>
      <c r="D336" s="193" t="s">
        <v>13</v>
      </c>
      <c r="E336" s="193" t="s">
        <v>10</v>
      </c>
      <c r="F336" s="193" t="s">
        <v>296</v>
      </c>
      <c r="G336" s="142">
        <v>108.13</v>
      </c>
      <c r="H336" s="143">
        <v>1455</v>
      </c>
      <c r="I336" s="193" t="str">
        <f t="shared" si="20"/>
        <v>OK</v>
      </c>
      <c r="J336" s="208" t="str">
        <f t="shared" si="21"/>
        <v/>
      </c>
    </row>
    <row r="337" spans="1:10" ht="24" customHeight="1">
      <c r="A337" s="200" t="s">
        <v>305</v>
      </c>
      <c r="B337" s="192">
        <v>45778</v>
      </c>
      <c r="C337" s="192">
        <v>46142</v>
      </c>
      <c r="D337" s="193" t="s">
        <v>13</v>
      </c>
      <c r="E337" s="193" t="s">
        <v>10</v>
      </c>
      <c r="F337" s="193" t="s">
        <v>296</v>
      </c>
      <c r="G337" s="142">
        <v>103.8</v>
      </c>
      <c r="H337" s="143">
        <v>1396.8</v>
      </c>
      <c r="I337" s="193" t="str">
        <f t="shared" si="20"/>
        <v>OK</v>
      </c>
      <c r="J337" s="208" t="str">
        <f t="shared" si="21"/>
        <v/>
      </c>
    </row>
    <row r="338" spans="1:10" ht="24" customHeight="1">
      <c r="A338" s="200" t="s">
        <v>305</v>
      </c>
      <c r="B338" s="192">
        <v>45778</v>
      </c>
      <c r="C338" s="192">
        <v>46142</v>
      </c>
      <c r="D338" s="193" t="s">
        <v>13</v>
      </c>
      <c r="E338" s="193" t="s">
        <v>10</v>
      </c>
      <c r="F338" s="193" t="s">
        <v>296</v>
      </c>
      <c r="G338" s="142">
        <v>86.5</v>
      </c>
      <c r="H338" s="143">
        <v>1164</v>
      </c>
      <c r="I338" s="193" t="str">
        <f t="shared" si="20"/>
        <v>OK</v>
      </c>
      <c r="J338" s="208" t="str">
        <f t="shared" si="21"/>
        <v/>
      </c>
    </row>
    <row r="339" spans="1:10" ht="24" customHeight="1">
      <c r="A339" s="200" t="s">
        <v>305</v>
      </c>
      <c r="B339" s="192">
        <v>45778</v>
      </c>
      <c r="C339" s="192">
        <v>46142</v>
      </c>
      <c r="D339" s="193" t="s">
        <v>13</v>
      </c>
      <c r="E339" s="193" t="s">
        <v>10</v>
      </c>
      <c r="F339" s="193" t="s">
        <v>296</v>
      </c>
      <c r="G339" s="142">
        <v>69.2</v>
      </c>
      <c r="H339" s="143">
        <v>931.2</v>
      </c>
      <c r="I339" s="193" t="str">
        <f t="shared" si="20"/>
        <v>OK</v>
      </c>
      <c r="J339" s="208" t="str">
        <f t="shared" si="21"/>
        <v/>
      </c>
    </row>
    <row r="340" spans="1:10" ht="24" customHeight="1">
      <c r="A340" s="200" t="s">
        <v>305</v>
      </c>
      <c r="B340" s="192">
        <v>45778</v>
      </c>
      <c r="C340" s="192">
        <v>46142</v>
      </c>
      <c r="D340" s="193" t="s">
        <v>13</v>
      </c>
      <c r="E340" s="193" t="s">
        <v>10</v>
      </c>
      <c r="F340" s="193" t="s">
        <v>296</v>
      </c>
      <c r="G340" s="142">
        <v>51.9</v>
      </c>
      <c r="H340" s="143">
        <v>698.4</v>
      </c>
      <c r="I340" s="193" t="str">
        <f t="shared" si="20"/>
        <v>OK</v>
      </c>
      <c r="J340" s="208" t="str">
        <f t="shared" si="21"/>
        <v/>
      </c>
    </row>
    <row r="341" spans="1:10" ht="24" customHeight="1">
      <c r="A341" s="200" t="s">
        <v>305</v>
      </c>
      <c r="B341" s="192">
        <v>45778</v>
      </c>
      <c r="C341" s="192">
        <v>46142</v>
      </c>
      <c r="D341" s="193" t="s">
        <v>13</v>
      </c>
      <c r="E341" s="193" t="s">
        <v>10</v>
      </c>
      <c r="F341" s="193" t="s">
        <v>296</v>
      </c>
      <c r="G341" s="142">
        <v>47.58</v>
      </c>
      <c r="H341" s="143">
        <v>640</v>
      </c>
      <c r="I341" s="193" t="str">
        <f t="shared" si="20"/>
        <v>OK</v>
      </c>
      <c r="J341" s="208" t="str">
        <f t="shared" si="21"/>
        <v/>
      </c>
    </row>
    <row r="342" spans="1:10" ht="24" customHeight="1">
      <c r="A342" s="200" t="s">
        <v>305</v>
      </c>
      <c r="B342" s="192">
        <v>45778</v>
      </c>
      <c r="C342" s="192">
        <v>46142</v>
      </c>
      <c r="D342" s="193" t="s">
        <v>13</v>
      </c>
      <c r="E342" s="193" t="s">
        <v>10</v>
      </c>
      <c r="F342" s="193" t="s">
        <v>296</v>
      </c>
      <c r="G342" s="142">
        <v>43.25</v>
      </c>
      <c r="H342" s="143">
        <v>582</v>
      </c>
      <c r="I342" s="193" t="str">
        <f t="shared" si="20"/>
        <v>OK</v>
      </c>
      <c r="J342" s="208" t="str">
        <f t="shared" si="21"/>
        <v/>
      </c>
    </row>
    <row r="343" spans="1:10" ht="24" customHeight="1">
      <c r="A343" s="200" t="s">
        <v>305</v>
      </c>
      <c r="B343" s="192">
        <v>45778</v>
      </c>
      <c r="C343" s="192">
        <v>46142</v>
      </c>
      <c r="D343" s="193" t="s">
        <v>13</v>
      </c>
      <c r="E343" s="193" t="s">
        <v>10</v>
      </c>
      <c r="F343" s="193" t="s">
        <v>296</v>
      </c>
      <c r="G343" s="142">
        <v>34.6</v>
      </c>
      <c r="H343" s="143">
        <v>465.6</v>
      </c>
      <c r="I343" s="193" t="str">
        <f t="shared" si="20"/>
        <v>OK</v>
      </c>
      <c r="J343" s="208" t="str">
        <f t="shared" si="21"/>
        <v/>
      </c>
    </row>
    <row r="344" spans="1:10" ht="24" customHeight="1" thickBot="1">
      <c r="A344" s="210" t="s">
        <v>305</v>
      </c>
      <c r="B344" s="211">
        <v>45778</v>
      </c>
      <c r="C344" s="211">
        <v>46142</v>
      </c>
      <c r="D344" s="212" t="s">
        <v>13</v>
      </c>
      <c r="E344" s="212" t="s">
        <v>10</v>
      </c>
      <c r="F344" s="212" t="s">
        <v>296</v>
      </c>
      <c r="G344" s="144">
        <v>32.01</v>
      </c>
      <c r="H344" s="145">
        <v>430.68</v>
      </c>
      <c r="I344" s="212" t="str">
        <f t="shared" si="20"/>
        <v>OK</v>
      </c>
      <c r="J344" s="213" t="str">
        <f t="shared" si="21"/>
        <v/>
      </c>
    </row>
  </sheetData>
  <sheetProtection algorithmName="SHA-512" hashValue="qk3o6GiTtzumV5RYgOm5XFVFUDhzAvLOTRWaUKP6uOnzuALPKnKI9PKzTyu0LUhvGxRSuvstpVgIyYcjYkp0nA==" saltValue="ecvsfcRkdinXipl1YJM3xQ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312" t="s">
        <v>14</v>
      </c>
      <c r="C3" s="312"/>
      <c r="D3" s="312"/>
      <c r="E3" s="312"/>
      <c r="F3" s="312"/>
      <c r="H3" s="310" t="s">
        <v>15</v>
      </c>
      <c r="I3" s="310"/>
      <c r="K3" s="314" t="s">
        <v>16</v>
      </c>
      <c r="L3" s="314"/>
      <c r="N3" s="310" t="s">
        <v>17</v>
      </c>
      <c r="O3" s="310"/>
    </row>
    <row r="4" spans="2:15" ht="15" customHeight="1">
      <c r="B4" s="312"/>
      <c r="C4" s="312"/>
      <c r="D4" s="312"/>
      <c r="E4" s="312"/>
      <c r="F4" s="312"/>
      <c r="H4" s="310"/>
      <c r="I4" s="310"/>
      <c r="K4" s="314"/>
      <c r="L4" s="314"/>
      <c r="N4" s="310"/>
      <c r="O4" s="31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11" t="s">
        <v>22</v>
      </c>
      <c r="I5" s="311"/>
      <c r="K5" s="311" t="s">
        <v>22</v>
      </c>
      <c r="L5" s="311"/>
      <c r="N5" s="311" t="s">
        <v>23</v>
      </c>
      <c r="O5" s="311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13" t="s">
        <v>37</v>
      </c>
      <c r="C19" s="313"/>
      <c r="D19" s="313"/>
      <c r="E19" s="313"/>
      <c r="F19" s="313"/>
      <c r="H19" s="310" t="s">
        <v>38</v>
      </c>
      <c r="I19" s="310"/>
      <c r="K19" s="314" t="s">
        <v>39</v>
      </c>
      <c r="L19" s="314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313"/>
      <c r="C20" s="313"/>
      <c r="D20" s="313"/>
      <c r="E20" s="313"/>
      <c r="F20" s="313"/>
      <c r="H20" s="310"/>
      <c r="I20" s="310"/>
      <c r="K20" s="314"/>
      <c r="L20" s="314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11" t="s">
        <v>22</v>
      </c>
      <c r="I21" s="311"/>
      <c r="K21" s="311" t="s">
        <v>22</v>
      </c>
      <c r="L21" s="311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swmHXLBXS82ukEs+rHWjowY0QQvpXBOmCtRq5sSbFmUrfgaxe+10aOcCodCZ1NCFtbd7fj+sdI+9awy51wKpzw==" saltValue="YFMgKH6xp7Lqx+hB1lqqfA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16" t="s">
        <v>395</v>
      </c>
      <c r="B1" s="317"/>
      <c r="C1" s="317"/>
      <c r="D1" s="317"/>
    </row>
    <row r="2" spans="1:4">
      <c r="A2" s="149" t="s">
        <v>364</v>
      </c>
      <c r="B2" s="149" t="s">
        <v>365</v>
      </c>
    </row>
    <row r="3" spans="1:4" ht="36" customHeight="1">
      <c r="A3" s="315" t="s">
        <v>396</v>
      </c>
      <c r="B3" s="315"/>
      <c r="C3" s="315"/>
      <c r="D3" s="315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PJntFtViABlvuSBTHJk2a+n1uMC/nLMdUvX70g3eC4WpWvARNakKBbwBHiKyBKgLWtbrsZqYGbGFllDYmld0hg==" saltValue="uy2u9YBMvh0BRNmTU5mfH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BA2A7708-1352-4EA7-A823-D3D63D9A24C6}">
  <ns0:sheetPr codeName="Tabelle3"/>
  <ns0:dimension ref="A1:AC123"/>
  <ns0:sheetViews>
    <ns0:sheetView showGridLines="0" showRowColHeaders="0" zoomScale="110" zoomScaleNormal="110" workbookViewId="0">
      <ns0:pane ySplit="2" topLeftCell="A3" activePane="bottomLeft" state="frozen"/>
      <ns0:selection activeCell="T24" sqref="T24"/>
      <ns0:selection pane="bottomLeft" activeCell="G21" sqref="G21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1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46023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46053</ns0:v>
      </ns0:c>
    </ns0:row>
    <ns0:row r="3" spans="1:28" ht="16" customHeight="1">
      <ns0:c r="A3" s="61" t="s">
        <ns0:v>48</ns0:v>
      </ns0:c>
      <ns0:c r="B3" s="100">
        <ns0:v>401006</ns0:v>
      </ns0:c>
      <ns0:c r="C3" s="71" t="s">
        <ns0:v>235</ns0:v>
      </ns0:c>
      <ns0:c r="D3" s="72">
        <ns0:v>38188</ns0:v>
      </ns0:c>
      <ns0:c r="E3" s="73" t="s">
        <ns0:v>13</ns0:v>
      </ns0:c>
      <ns0:c r="F3" s="74">
        <ns0:v>173</ns0:v>
      </ns0:c>
      <ns0:c r="G3" s="115">
        <ns0:f>IF(OR(E3="",F3=""),"",PID_KVLohnLookup($A$1,E3,F3,LOHNTABELLE!$H$4))</ns0:f>
        <ns0:v>2328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85"/>
      <ns0:c r="J3" s="118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401010</ns0:v>
      </ns0:c>
      <ns0:c r="C4" s="63" t="s">
        <ns0:v>236</ns0:v>
      </ns0:c>
      <ns0:c r="D4" s="64">
        <ns0:v>39388</ns0:v>
      </ns0:c>
      <ns0:c r="E4" s="65" t="s">
        <ns0:v>5</ns0:v>
      </ns0:c>
      <ns0:c r="F4" s="67">
        <ns0:v>173</ns0:v>
      </ns0:c>
      <ns0:c r="G4" s="116">
        <ns0:f>IF(OR(E4="",F4=""),"",PID_KVLohnLookup($A$1,E4,F4,LOHNTABELLE!$H$4))</ns0:f>
        <ns0:v>2183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86"/>
      <ns0:c r="J4" s="119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401049</ns0:v>
      </ns0:c>
      <ns0:c r="C5" s="63" t="s">
        <ns0:v>237</ns0:v>
      </ns0:c>
      <ns0:c r="D5" s="64">
        <ns0:v>41130</ns0:v>
      </ns0:c>
      <ns0:c r="E5" s="65" t="s">
        <ns0:v>4</ns0:v>
      </ns0:c>
      <ns0:c r="F5" s="67">
        <ns0:v>173</ns0:v>
      </ns0:c>
      <ns0:c r="G5" s="116">
        <ns0:f>IF(OR(E5="",F5=""),"",PID_KVLohnLookup($A$1,E5,F5,LOHNTABELLE!$H$4))</ns0:f>
        <ns0:v>2123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86"/>
      <ns0:c r="J5" s="119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724.55354077472225</ns0:v>
      </ns0:c>
      <ns0:c r="P5" s="15">
        <ns0:f>EINSTELLUNG!I6</ns0:f>
        <ns0:v>1</ns0:v>
      </ns0:c>
      <ns0:c r="Q5" s="14">
        <ns0:f>P5-O5</ns0:f>
        <ns0:v>-723.55354077472225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3" t="s">
        <ns0:v>238</ns0:v>
      </ns0:c>
      <ns0:c r="D6" s="64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86"/>
      <ns0:c r="J6" s="119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401051</ns0:v>
      </ns0:c>
      <ns0:c r="C7" s="63" t="s">
        <ns0:v>239</ns0:v>
      </ns0:c>
      <ns0:c r="D7" s="64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86"/>
      <ns0:c r="J7" s="119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401138</ns0:v>
      </ns0:c>
      <ns0:c r="C8" s="63" t="s">
        <ns0:v>240</ns0:v>
      </ns0:c>
      <ns0:c r="D8" s="64">
        <ns0:v>42006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86"/>
      <ns0:c r="J8" s="119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7494.8</ns0:v>
      </ns0:c>
      <ns0:c r="R8" s="248"/>
    </ns0:row>
    <ns0:row r="9" spans="1:28" ht="16" customHeight="1">
      <ns0:c r="A9" s="62" t="s">
        <ns0:v>59</ns0:v>
      </ns0:c>
      <ns0:c r="B9" s="101">
        <ns0:v>401197</ns0:v>
      </ns0:c>
      <ns0:c r="C9" s="63" t="s">
        <ns0:v>241</ns0:v>
      </ns0:c>
      <ns0:c r="D9" s="64">
        <ns0:v>42644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86"/>
      <ns0:c r="J9" s="119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EINSTELLUNG!L22</ns0:f>
        <ns0:v>1</ns0:v>
      </ns0:c>
      <ns0:c r="R9" s="248"/>
      <ns0:c r="S9" s="19">
        <ns0:f>IFERROR(Q9/Q8, 0)</ns0:f>
        <ns0:v>1.3342584191706249E-4</ns0:v>
      </ns0:c>
    </ns0:row>
    <ns0:row r="10" spans="1:28" ht="16" customHeight="1">
      <ns0:c r="A10" s="61" t="s">
        <ns0:v>61</ns0:v>
      </ns0:c>
      <ns0:c r="B10" s="101">
        <ns0:v>401276</ns0:v>
      </ns0:c>
      <ns0:c r="C10" s="63" t="s">
        <ns0:v>242</ns0:v>
      </ns0:c>
      <ns0:c r="D10" s="64">
        <ns0:v>43252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86"/>
      <ns0:c r="J10" s="119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EINSTELLUNG!I22</ns0:f>
        <ns0:v>1</ns0:v>
      </ns0:c>
      <ns0:c r="R10" s="248"/>
    </ns0:row>
    <ns0:row r="11" spans="1:28" ht="16" customHeight="1">
      <ns0:c r="A11" s="61" t="s">
        <ns0:v>63</ns0:v>
      </ns0:c>
      <ns0:c r="B11" s="101">
        <ns0:v>401307</ns0:v>
      </ns0:c>
      <ns0:c r="C11" s="63" t="s">
        <ns0:v>243</ns0:v>
      </ns0:c>
      <ns0:c r="D11" s="64">
        <ns0:v>43571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86"/>
      <ns0:c r="J11" s="119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1</ns0:v>
      </ns0:c>
      <ns0:c r="R11" s="248"/>
    </ns0:row>
    <ns0:row r="12" spans="1:28" ht="16" customHeight="1">
      <ns0:c r="A12" s="61" t="s">
        <ns0:v>65</ns0:v>
      </ns0:c>
      <ns0:c r="B12" s="101">
        <ns0:v>401308</ns0:v>
      </ns0:c>
      <ns0:c r="C12" s="63" t="s">
        <ns0:v>244</ns0:v>
      </ns0:c>
      <ns0:c r="D12" s="64">
        <ns0:v>43579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86"/>
      <ns0:c r="J12" s="119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/>
      <ns0:c r="R12" s="252"/>
    </ns0:row>
    <ns0:row r="13" spans="1:28" ht="16" customHeight="1">
      <ns0:c r="A13" s="62" t="s">
        <ns0:v>67</ns0:v>
      </ns0:c>
      <ns0:c r="B13" s="101">
        <ns0:v>401394</ns0:v>
      </ns0:c>
      <ns0:c r="C13" s="63" t="s">
        <ns0:v>245</ns0:v>
      </ns0:c>
      <ns0:c r="D13" s="64">
        <ns0:v>44379</ns0:v>
      </ns0:c>
      <ns0:c r="E13" s="65" t="s">
        <ns0:v>2</ns0:v>
      </ns0:c>
      <ns0:c r="F13" s="67">
        <ns0:v>173</ns0:v>
      </ns0:c>
      <ns0:c r="G13" s="116">
        <ns0:f>IF(OR(E13="",F13=""),"",PID_KVLohnLookup($A$1,E13,F13,LOHNTABELLE!$H$4))</ns0:f>
        <ns0:v>2021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86"/>
      <ns0:c r="J13" s="119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7491.8</ns0:v>
      </ns0:c>
      <ns0:c r="R13" s="248"/>
    </ns0:row>
    <ns0:row r="14" spans="1:28" ht="16" customHeight="1">
      <ns0:c r="A14" s="61" t="s">
        <ns0:v>69</ns0:v>
      </ns0:c>
      <ns0:c r="B14" s="101">
        <ns0:v>401389</ns0:v>
      </ns0:c>
      <ns0:c r="C14" s="63" t="s">
        <ns0:v>246</ns0:v>
      </ns0:c>
      <ns0:c r="D14" s="64">
        <ns0:v>44384</ns0:v>
      </ns0:c>
      <ns0:c r="E14" s="65" t="s">
        <ns0:v>11</ns0:v>
      </ns0:c>
      <ns0:c r="F14" s="67">
        <ns0:v>173</ns0:v>
      </ns0:c>
      <ns0:c r="G14" s="116">
        <ns0:f>IF(OR(E14="",F14=""),"",PID_KVLohnLookup($A$1,E14,F14,LOHNTABELLE!$H$4))</ns0:f>
        <ns0:v>2300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86"/>
      <ns0:c r="J14" s="119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EINSTELLUNG!L6</ns0:f>
        <ns0:v>1</ns0:v>
      </ns0:c>
      <ns0:c r="R14" s="248"/>
    </ns0:row>
    <ns0:row r="15" spans="1:28" ht="16" customHeight="1">
      <ns0:c r="A15" s="61" t="s">
        <ns0:v>71</ns0:v>
      </ns0:c>
      <ns0:c r="B15" s="101">
        <ns0:v>401432</ns0:v>
      </ns0:c>
      <ns0:c r="C15" s="63" t="s">
        <ns0:v>247</ns0:v>
      </ns0:c>
      <ns0:c r="D15" s="64">
        <ns0:v>44441</ns0:v>
      </ns0:c>
      <ns0:c r="E15" s="65" t="s">
        <ns0:v>2</ns0:v>
      </ns0:c>
      <ns0:c r="F15" s="67">
        <ns0:v>173</ns0:v>
      </ns0:c>
      <ns0:c r="G15" s="116">
        <ns0:f>IF(OR(E15="",F15=""),"",PID_KVLohnLookup($A$1,E15,F15,LOHNTABELLE!$H$4))</ns0:f>
        <ns0:v>2021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86"/>
      <ns0:c r="J15" s="119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7490.8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401558</ns0:v>
      </ns0:c>
      <ns0:c r="C16" s="63" t="s">
        <ns0:v>248</ns0:v>
      </ns0:c>
      <ns0:c r="D16" s="64">
        <ns0:v>44460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2021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86"/>
      <ns0:c r="J16" s="119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401476</ns0:v>
      </ns0:c>
      <ns0:c r="C17" s="63" t="s">
        <ns0:v>249</ns0:v>
      </ns0:c>
      <ns0:c r="D17" s="64">
        <ns0:v>44504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86"/>
      <ns0:c r="J17" s="119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3" t="s">
        <ns0:v>250</ns0:v>
      </ns0:c>
      <ns0:c r="D18" s="64">
        <ns0:v>44511</ns0:v>
      </ns0:c>
      <ns0:c r="E18" s="65" t="s">
        <ns0:v>6</ns0:v>
      </ns0:c>
      <ns0:c r="F18" s="67">
        <ns0:v>173</ns0:v>
      </ns0:c>
      <ns0:c r="G18" s="116">
        <ns0:f>IF(OR(E18="",F18=""),"",PID_KVLohnLookup($A$1,E18,F18,LOHNTABELLE!$H$4))</ns0:f>
        <ns0:v>2160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86"/>
      <ns0:c r="J18" s="119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20"/>
      <ns0:c r="P18" s="221"/>
      <ns0:c r="Q18" s="243"/>
      <ns0:c r="R18" s="243"/>
    </ns0:row>
    <ns0:row r="19" spans="1:29" ht="16" customHeight="1">
      <ns0:c r="A19" s="61" t="s">
        <ns0:v>77</ns0:v>
      </ns0:c>
      <ns0:c r="B19" s="101">
        <ns0:v>401481</ns0:v>
      </ns0:c>
      <ns0:c r="C19" s="63" t="s">
        <ns0:v>251</ns0:v>
      </ns0:c>
      <ns0:c r="D19" s="64">
        <ns0:v>44531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2021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86"/>
      <ns0:c r="J19" s="119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20"/>
      <ns0:c r="P19" s="221"/>
      <ns0:c r="Q19" s="243"/>
      <ns0:c r="R19" s="243"/>
    </ns0:row>
    <ns0:row r="20" spans="1:29" ht="16" customHeight="1">
      <ns0:c r="A20" s="61" t="s">
        <ns0:v>78</ns0:v>
      </ns0:c>
      <ns0:c r="B20" s="101">
        <ns0:v>401564</ns0:v>
      </ns0:c>
      <ns0:c r="C20" s="63" t="s">
        <ns0:v>252</ns0:v>
      </ns0:c>
      <ns0:c r="D20" s="64">
        <ns0:v>44824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2021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86"/>
      <ns0:c r="J20" s="119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20"/>
      <ns0:c r="P20" s="221"/>
      <ns0:c r="Q20" s="243"/>
      <ns0:c r="R20" s="243"/>
    </ns0:row>
    <ns0:row r="21" spans="1:29" ht="16" customHeight="1">
      <ns0:c r="A21" s="62" t="s">
        <ns0:v>80</ns0:v>
      </ns0:c>
      <ns0:c r="B21" s="101">
        <ns0:v>401089</ns0:v>
      </ns0:c>
      <ns0:c r="C21" s="63" t="s">
        <ns0:v>253</ns0:v>
      </ns0:c>
      <ns0:c r="D21" s="64">
        <ns0:v>44868</ns0:v>
      </ns0:c>
      <ns0:c r="E21" s="65" t="s">
        <ns0:v>3</ns0:v>
      </ns0:c>
      <ns0:c r="F21" s="67">
        <ns0:v>173</ns0:v>
      </ns0:c>
      <ns0:c r="G21" s="116">
        <ns0:f>IF(OR(E21="",F21=""),"",PID_KVLohnLookup($A$1,E21,F21,LOHNTABELLE!$H$4))</ns0:f>
        <ns0:v>2082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86"/>
      <ns0:c r="J21" s="119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20" t="s">
        <ns0:v>320</ns0:v>
      </ns0:c>
      <ns0:c r="P21" s="221"/>
      <ns0:c r="Q21" s="243">
        <ns0:v>5000</ns0:v>
      </ns0:c>
      <ns0:c r="R21" s="243"/>
    </ns0:row>
    <ns0:row r="22" spans="1:29" ht="16" customHeight="1">
      <ns0:c r="A22" s="61" t="s">
        <ns0:v>81</ns0:v>
      </ns0:c>
      <ns0:c r="B22" s="101">
        <ns0:v>401583</ns0:v>
      </ns0:c>
      <ns0:c r="C22" s="63" t="s">
        <ns0:v>254</ns0:v>
      </ns0:c>
      <ns0:c r="D22" s="64">
        <ns0:v>44900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86"/>
      <ns0:c r="J22" s="119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20"/>
      <ns0:c r="P22" s="221"/>
      <ns0:c r="Q22" s="243"/>
      <ns0:c r="R22" s="243"/>
    </ns0:row>
    <ns0:row r="23" spans="1:29" ht="16" customHeight="1">
      <ns0:c r="A23" s="61" t="s">
        <ns0:v>82</ns0:v>
      </ns0:c>
      <ns0:c r="B23" s="101">
        <ns0:v>401589</ns0:v>
      </ns0:c>
      <ns0:c r="C23" s="63" t="s">
        <ns0:v>255</ns0:v>
      </ns0:c>
      <ns0:c r="D23" s="64">
        <ns0:v>44926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86"/>
      <ns0:c r="J23" s="119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20"/>
      <ns0:c r="P23" s="221"/>
      <ns0:c r="Q23" s="243"/>
      <ns0:c r="R23" s="243"/>
      <ns0:c r="W23" s="12"/>
    </ns0:row>
    <ns0:row r="24" spans="1:29" ht="16" customHeight="1">
      <ns0:c r="A24" s="61" t="s">
        <ns0:v>83</ns0:v>
      </ns0:c>
      <ns0:c r="B24" s="101">
        <ns0:v>401602</ns0:v>
      </ns0:c>
      <ns0:c r="C24" s="63" t="s">
        <ns0:v>256</ns0:v>
      </ns0:c>
      <ns0:c r="D24" s="64">
        <ns0:v>45975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2021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86"/>
      <ns0:c r="J24" s="119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20"/>
      <ns0:c r="P24" s="221"/>
      <ns0:c r="Q24" s="243"/>
      <ns0:c r="R24" s="243"/>
      <ns0:c r="W24" s="12"/>
    </ns0:row>
    <ns0:row r="25" spans="1:29" ht="16" customHeight="1" thickBot="1">
      <ns0:c r="A25" s="62" t="s">
        <ns0:v>84</ns0:v>
      </ns0:c>
      <ns0:c r="B25" s="101">
        <ns0:v>401605</ns0:v>
      </ns0:c>
      <ns0:c r="C25" s="63" t="s">
        <ns0:v>257</ns0:v>
      </ns0:c>
      <ns0:c r="D25" s="64">
        <ns0:v>44986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2021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86"/>
      <ns0:c r="J25" s="119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328"/>
      <ns0:c r="P25" s="329"/>
      <ns0:c r="Q25" s="260"/>
      <ns0:c r="R25" s="260"/>
    </ns0:row>
    <ns0:row r="26" spans="1:29" ht="16" customHeight="1">
      <ns0:c r="A26" s="61" t="s">
        <ns0:v>85</ns0:v>
      </ns0:c>
      <ns0:c r="B26" s="101">
        <ns0:v>401626</ns0:v>
      </ns0:c>
      <ns0:c r="C26" s="63" t="s">
        <ns0:v>258</ns0:v>
      </ns0:c>
      <ns0:c r="D26" s="64">
        <ns0:v>45063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86"/>
      <ns0:c r="J26" s="119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401633</ns0:v>
      </ns0:c>
      <ns0:c r="C27" s="63" t="s">
        <ns0:v>259</ns0:v>
      </ns0:c>
      <ns0:c r="D27" s="64">
        <ns0:v>45089</ns0:v>
      </ns0:c>
      <ns0:c r="E27" s="65" t="s">
        <ns0:v>10</ns0:v>
      </ns0:c>
      <ns0:c r="F27" s="67">
        <ns0:v>173</ns0:v>
      </ns0:c>
      <ns0:c r="G27" s="116">
        <ns0:f>IF(OR(E27="",F27=""),"",PID_KVLohnLookup($A$1,E27,F27,LOHNTABELLE!$H$4))</ns0:f>
        <ns0:v>2300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86"/>
      <ns0:c r="J27" s="119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401647</ns0:v>
      </ns0:c>
      <ns0:c r="C28" s="63" t="s">
        <ns0:v>260</ns0:v>
      </ns0:c>
      <ns0:c r="D28" s="64">
        <ns0:v>45182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2021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86"/>
      <ns0:c r="J28" s="119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401661</ns0:v>
      </ns0:c>
      <ns0:c r="C29" s="63" t="s">
        <ns0:v>261</ns0:v>
      </ns0:c>
      <ns0:c r="D29" s="64">
        <ns0:v>45261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2021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86"/>
      <ns0:c r="J29" s="119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EINSTELLUNG!O6</ns0:f>
        <ns0:v>1</ns0:v>
      </ns0:c>
      <ns0:c r="R29" s="231"/>
    </ns0:row>
    <ns0:row r="30" spans="1:29" ht="16" customHeight="1">
      <ns0:c r="A30" s="61" t="s">
        <ns0:v>91</ns0:v>
      </ns0:c>
      <ns0:c r="B30" s="101">
        <ns0:v>401670</ns0:v>
      </ns0:c>
      <ns0:c r="C30" s="63" t="s">
        <ns0:v>262</ns0:v>
      </ns0:c>
      <ns0:c r="D30" s="64">
        <ns0:v>45358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86"/>
      <ns0:c r="J30" s="119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401678</ns0:v>
      </ns0:c>
      <ns0:c r="C31" s="63" t="s">
        <ns0:v>263</ns0:v>
      </ns0:c>
      <ns0:c r="D31" s="64">
        <ns0:v>45414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86"/>
      <ns0:c r="J31" s="119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1.9607843137254902E-2</ns0:v>
      </ns0:c>
      <ns0:c r="R31" s="235"/>
    </ns0:row>
    <ns0:row r="32" spans="1:29" ht="16" customHeight="1">
      <ns0:c r="A32" s="61" t="s">
        <ns0:v>94</ns0:v>
      </ns0:c>
      <ns0:c r="B32" s="101">
        <ns0:v>401691</ns0:v>
      </ns0:c>
      <ns0:c r="C32" s="63" t="s">
        <ns0:v>264</ns0:v>
      </ns0:c>
      <ns0:c r="D32" s="64">
        <ns0:v>45539</ns0:v>
      </ns0:c>
      <ns0:c r="E32" s="65" t="s">
        <ns0:v>2</ns0:v>
      </ns0:c>
      <ns0:c r="F32" s="67">
        <ns0:v>69.2</ns0:v>
      </ns0:c>
      <ns0:c r="G32" s="116">
        <ns0:f>IF(OR(E32="",F32=""),"",PID_KVLohnLookup($A$1,E32,F32,LOHNTABELLE!$H$4))</ns0:f>
        <ns0:v>808.4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55.8</ns0:v>
      </ns0:c>
      <ns0:c r="I32" s="86">
        <ns0:v>46047</ns0:v>
      </ns0:c>
      <ns0:c r="J32" s="119">
        <ns0:v>2</ns0:v>
      </ns0:c>
      <ns0:c r="K32" s="92">
        <ns0:f t="shared" si="0"/>
        <ns0:v>53.893333333333331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 t="s">
        <ns0:v>197</ns0:v>
      </ns0:c>
    </ns0:row>
    <ns0:row r="33" spans="1:24" ht="16" customHeight="1">
      <ns0:c r="A33" s="62" t="s">
        <ns0:v>95</ns0:v>
      </ns0:c>
      <ns0:c r="B33" s="101">
        <ns0:v>401690</ns0:v>
      </ns0:c>
      <ns0:c r="C33" s="63" t="s">
        <ns0:v>265</ns0:v>
      </ns0:c>
      <ns0:c r="D33" s="64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86"/>
      <ns0:c r="J33" s="119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318" t="s">
        <ns0:v>96</ns0:v>
      </ns0:c>
      <ns0:c r="R33" s="319"/>
      <ns0:c r="S33" s="322" t="s">
        <ns0:v>97</ns0:v>
      </ns0:c>
      <ns0:c r="T33" s="323"/>
      <ns0:c r="U33" s="322" t="s">
        <ns0:v>98</ns0:v>
      </ns0:c>
      <ns0:c r="V33" s="323"/>
    </ns0:row>
    <ns0:row r="34" spans="1:24" ht="16" customHeight="1">
      <ns0:c r="A34" s="61" t="s">
        <ns0:v>99</ns0:v>
      </ns0:c>
      <ns0:c r="B34" s="101">
        <ns0:v>401703</ns0:v>
      </ns0:c>
      <ns0:c r="C34" s="63" t="s">
        <ns0:v>266</ns0:v>
      </ns0:c>
      <ns0:c r="D34" s="64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86"/>
      <ns0:c r="J34" s="119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320"/>
      <ns0:c r="R34" s="321"/>
      <ns0:c r="S34" s="324"/>
      <ns0:c r="T34" s="325"/>
      <ns0:c r="U34" s="324"/>
      <ns0:c r="V34" s="325"/>
    </ns0:row>
    <ns0:row r="35" spans="1:24" ht="16" customHeight="1">
      <ns0:c r="A35" s="61" t="s">
        <ns0:v>100</ns0:v>
      </ns0:c>
      <ns0:c r="B35" s="101">
        <ns0:v>401214</ns0:v>
      </ns0:c>
      <ns0:c r="C35" s="63" t="s">
        <ns0:v>267</ns0:v>
      </ns0:c>
      <ns0:c r="D35" s="64">
        <ns0:v>45636</ns0:v>
      </ns0:c>
      <ns0:c r="E35" s="65" t="s">
        <ns0:v>3</ns0:v>
      </ns0:c>
      <ns0:c r="F35" s="67">
        <ns0:v>173</ns0:v>
      </ns0:c>
      <ns0:c r="G35" s="116">
        <ns0:f>IF(OR(E35="",F35=""),"",PID_KVLohnLookup($A$1,E35,F35,LOHNTABELLE!$H$4))</ns0:f>
        <ns0:v>2082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86"/>
      <ns0:c r="J35" s="119"/>
      <ns0:c r="K35" s="92">
        <ns0:f t="shared" ref="K35:K82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EINSTELLUNG!C6</ns0:f>
        <ns0:v>1</ns0:v>
      </ns0:c>
      <ns0:c r="R35" s="218"/>
      <ns0:c r="S35" s="218">
        <ns0:f>EINSTELLUNG!C22</ns0:f>
        <ns0:v>1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3" t="s">
        <ns0:v>268</ns0:v>
      </ns0:c>
      <ns0:c r="D36" s="64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86"/>
      <ns0:c r="J36" s="119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EINSTELLUNG!D6</ns0:f>
        <ns0:v>1</ns0:v>
      </ns0:c>
      <ns0:c r="R36" s="218"/>
      <ns0:c r="S36" s="218" cm="1">
        <ns0:f t="array" ref="S36">SumMergedCells(Q17:R29)</ns0:f>
        <ns0:v>5001</ns0:v>
      </ns0:c>
      <ns0:c r="T36" s="218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3" t="s">
        <ns0:v>269</ns0:v>
      </ns0:c>
      <ns0:c r="D37" s="64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86"/>
      <ns0:c r="J37" s="119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5001</ns0:v>
      </ns0:c>
      <ns0:c r="T37" s="226"/>
      <ns0:c r="U37" s="227">
        <ns0:f t="shared" si="2"/>
        <ns0:v>5000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3" t="s">
        <ns0:v>270</ns0:v>
      </ns0:c>
      <ns0:c r="D38" s="64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2021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86"/>
      <ns0:c r="J38" s="119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EINSTELLUNG!F6</ns0:f>
        <ns0:v>1</ns0:v>
      </ns0:c>
      <ns0:c r="R38" s="219"/>
      <ns0:c r="S38" s="219">
        <ns0:f>EINSTELLUNG!F22</ns0:f>
        <ns0:v>1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3" t="s">
        <ns0:v>271</ns0:v>
      </ns0:c>
      <ns0:c r="D39" s="64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86"/>
      <ns0:c r="J39" s="119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3" t="s">
        <ns0:v>272</ns0:v>
      </ns0:c>
      <ns0:c r="D40" s="64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86"/>
      <ns0:c r="J40" s="119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IF(Q13=0, 0, Q35/Q13)</ns0:f>
        <ns0:v>1.3347927066926506E-4</ns0:v>
      </ns0:c>
      <ns0:c r="R40" s="218"/>
      <ns0:c r="S40" s="218">
        <ns0:f>IF(Q13=0, 0, S35/Q13)</ns0:f>
        <ns0:v>1.3347927066926506E-4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3" t="s">
        <ns0:v>273</ns0:v>
      </ns0:c>
      <ns0:c r="D41" s="64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86"/>
      <ns0:c r="J41" s="119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IF(Q13=0, 0, Q38/Q13)</ns0:f>
        <ns0:v>1.3347927066926506E-4</ns0:v>
      </ns0:c>
      <ns0:c r="R41" s="219"/>
      <ns0:c r="S41" s="219">
        <ns0:f>IF(Q13=0, 0, S38/Q13)</ns0:f>
        <ns0:v>1.3347927066926506E-4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3" t="s">
        <ns0:v>274</ns0:v>
      </ns0:c>
      <ns0:c r="D42" s="64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1010.5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86"/>
      <ns0:c r="J42" s="119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401730</ns0:v>
      </ns0:c>
      <ns0:c r="C43" s="63" t="s">
        <ns0:v>275</ns0:v>
      </ns0:c>
      <ns0:c r="D43" s="64">
        <ns0:v>45895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86"/>
      <ns0:c r="J43" s="119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3" t="s">
        <ns0:v>276</ns0:v>
      </ns0:c>
      <ns0:c r="D44" s="64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1010.5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86"/>
      <ns0:c r="J44" s="119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3" t="s">
        <ns0:v>277</ns0:v>
      </ns0:c>
      <ns0:c r="D45" s="64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86"/>
      <ns0:c r="J45" s="119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3" t="s">
        <ns0:v>278</ns0:v>
      </ns0:c>
      <ns0:c r="D46" s="64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86"/>
      <ns0:c r="J46" s="119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3" t="s">
        <ns0:v>279</ns0:v>
      </ns0:c>
      <ns0:c r="D47" s="64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86"/>
      <ns0:c r="J47" s="119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401747</ns0:v>
      </ns0:c>
      <ns0:c r="C48" s="68" t="s">
        <ns0:v>280</ns0:v>
      </ns0:c>
      <ns0:c r="D48" s="69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86"/>
      <ns0:c r="J48" s="119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401748</ns0:v>
      </ns0:c>
      <ns0:c r="C49" s="68" t="s">
        <ns0:v>281</ns0:v>
      </ns0:c>
      <ns0:c r="D49" s="69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1010.5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86"/>
      <ns0:c r="J49" s="119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401746</ns0:v>
      </ns0:c>
      <ns0:c r="C50" s="70" t="s">
        <ns0:v>282</ns0:v>
      </ns0:c>
      <ns0:c r="D50" s="69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86"/>
      <ns0:c r="J50" s="119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401745</ns0:v>
      </ns0:c>
      <ns0:c r="C51" s="68" t="s">
        <ns0:v>283</ns0:v>
      </ns0:c>
      <ns0:c r="D51" s="69">
        <ns0:v>45934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86"/>
      <ns0:c r="J51" s="119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69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86"/>
      <ns0:c r="J52" s="119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69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86"/>
      <ns0:c r="J53" s="119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401754</ns0:v>
      </ns0:c>
      <ns0:c r="C54" s="68" t="s">
        <ns0:v>286</ns0:v>
      </ns0:c>
      <ns0:c r="D54" s="69">
        <ns0:v>46014</ns0:v>
      </ns0:c>
      <ns0:c r="E54" s="65" t="s">
        <ns0:v>2</ns0:v>
      </ns0:c>
      <ns0:c r="F54" s="67">
        <ns0:v>86.5</ns0:v>
      </ns0:c>
      <ns0:c r="G54" s="116">
        <ns0:f>IF(OR(E54="",F54=""),"",PID_KVLohnLookup($A$1,E54,F54,LOHNTABELLE!$H$4))</ns0:f>
        <ns0:v>1010.5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86.5</ns0:v>
      </ns0:c>
      <ns0:c r="I54" s="86"/>
      <ns0:c r="J54" s="119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/>
      <ns0:c r="C55" s="68"/>
      <ns0:c r="D55" s="69"/>
      <ns0:c r="E55" s="65"/>
      <ns0:c r="F55" s="67"/>
      <ns0:c r="G55" s="116" t="str">
        <ns0:f>IF(OR(E55="",F55=""),"",PID_KVLohnLookup($A$1,E55,F55,LOHNTABELLE!$H$4))</ns0:f>
        <ns0:v/>
      </ns0:c>
      <ns0:c r="H55" s="89" t="str">
        <ns0:f>IF(AND(ISNUMBER(D55),ISNUMBER(F55)),ROUNDDOWN(MIN(IF(OR(ISBLANK(I55),I55=""),EOMONTH(DATE(EINSTELLUNG!$C$35,$A$1,1),0),I55)-MAX(D55,DATE(EINSTELLUNG!$C$35,$A$1,1))+1)/DAY(EOMONTH(DATE(EINSTELLUNG!$C$35,$A$1,1),0))*F55,2),"")</ns0:f>
        <ns0:v/>
      </ns0:c>
      <ns0:c r="I55" s="86"/>
      <ns0:c r="J55" s="119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/>
      <ns0:c r="C56" s="68"/>
      <ns0:c r="D56" s="69"/>
      <ns0:c r="E56" s="65"/>
      <ns0:c r="F56" s="67"/>
      <ns0:c r="G56" s="116" t="str">
        <ns0:f>IF(OR(E56="",F56=""),"",PID_KVLohnLookup($A$1,E56,F56,LOHNTABELLE!$H$4))</ns0:f>
        <ns0:v/>
      </ns0:c>
      <ns0:c r="H56" s="89" t="str">
        <ns0:f>IF(AND(ISNUMBER(D56),ISNUMBER(F56)),ROUNDDOWN(MIN(IF(OR(ISBLANK(I56),I56=""),EOMONTH(DATE(EINSTELLUNG!$C$35,$A$1,1),0),I56)-MAX(D56,DATE(EINSTELLUNG!$C$35,$A$1,1))+1)/DAY(EOMONTH(DATE(EINSTELLUNG!$C$35,$A$1,1),0))*F56,2),"")</ns0:f>
        <ns0:v/>
      </ns0:c>
      <ns0:c r="I56" s="86"/>
      <ns0:c r="J56" s="119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/>
      <ns0:c r="C57" s="68"/>
      <ns0:c r="D57" s="69"/>
      <ns0:c r="E57" s="65"/>
      <ns0:c r="F57" s="67"/>
      <ns0:c r="G57" s="116" t="str">
        <ns0:f>IF(OR(E57="",F57=""),"",PID_KVLohnLookup($A$1,E57,F57,LOHNTABELLE!$H$4))</ns0:f>
        <ns0:v/>
      </ns0:c>
      <ns0:c r="H57" s="89" t="str">
        <ns0:f>IF(AND(ISNUMBER(D57),ISNUMBER(F57)),ROUNDDOWN(MIN(IF(OR(ISBLANK(I57),I57=""),EOMONTH(DATE(EINSTELLUNG!$C$35,$A$1,1),0),I57)-MAX(D57,DATE(EINSTELLUNG!$C$35,$A$1,1))+1)/DAY(EOMONTH(DATE(EINSTELLUNG!$C$35,$A$1,1),0))*F57,2),"")</ns0:f>
        <ns0:v/>
      </ns0:c>
      <ns0:c r="I57" s="86"/>
      <ns0:c r="J57" s="119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/>
      <ns0:c r="C58" s="68"/>
      <ns0:c r="D58" s="69"/>
      <ns0:c r="E58" s="65"/>
      <ns0:c r="F58" s="67"/>
      <ns0:c r="G58" s="116" t="str">
        <ns0:f>IF(OR(E58="",F58=""),"",PID_KVLohnLookup($A$1,E58,F58,LOHNTABELLE!$H$4))</ns0:f>
        <ns0:v/>
      </ns0:c>
      <ns0:c r="H58" s="89" t="str">
        <ns0:f>IF(AND(ISNUMBER(D58),ISNUMBER(F58)),ROUNDDOWN(MIN(IF(OR(ISBLANK(I58),I58=""),EOMONTH(DATE(EINSTELLUNG!$C$35,$A$1,1),0),I58)-MAX(D58,DATE(EINSTELLUNG!$C$35,$A$1,1))+1)/DAY(EOMONTH(DATE(EINSTELLUNG!$C$35,$A$1,1),0))*F58,2),"")</ns0:f>
        <ns0:v/>
      </ns0:c>
      <ns0:c r="I58" s="86"/>
      <ns0:c r="J58" s="119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/>
      <ns0:c r="C59" s="68"/>
      <ns0:c r="D59" s="69"/>
      <ns0:c r="E59" s="65"/>
      <ns0:c r="F59" s="67"/>
      <ns0:c r="G59" s="116" t="str">
        <ns0:f>IF(OR(E59="",F59=""),"",PID_KVLohnLookup($A$1,E59,F59,LOHNTABELLE!$H$4))</ns0:f>
        <ns0:v/>
      </ns0:c>
      <ns0:c r="H59" s="89" t="str">
        <ns0:f>IF(AND(ISNUMBER(D59),ISNUMBER(F59)),ROUNDDOWN(MIN(IF(OR(ISBLANK(I59),I59=""),EOMONTH(DATE(EINSTELLUNG!$C$35,$A$1,1),0),I59)-MAX(D59,DATE(EINSTELLUNG!$C$35,$A$1,1))+1)/DAY(EOMONTH(DATE(EINSTELLUNG!$C$35,$A$1,1),0))*F59,2),"")</ns0:f>
        <ns0:v/>
      </ns0:c>
      <ns0:c r="I59" s="86"/>
      <ns0:c r="J59" s="119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69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86"/>
      <ns0:c r="J60" s="119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69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86"/>
      <ns0:c r="J61" s="119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69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86"/>
      <ns0:c r="J62" s="119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69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86"/>
      <ns0:c r="J63" s="119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69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86"/>
      <ns0:c r="J64" s="119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69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86"/>
      <ns0:c r="J65" s="119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69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86"/>
      <ns0:c r="J66" s="119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69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86"/>
      <ns0:c r="J67" s="119"/>
      <ns0:c r="K67" s="92">
        <ns0:f t="shared" si="1"/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69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86"/>
      <ns0:c r="J68" s="119"/>
      <ns0:c r="K68" s="92">
        <ns0:f t="shared" si="1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69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86"/>
      <ns0:c r="J69" s="119"/>
      <ns0:c r="K69" s="92">
        <ns0:f t="shared" si="1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69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86"/>
      <ns0:c r="J70" s="119"/>
      <ns0:c r="K70" s="92">
        <ns0:f t="shared" si="1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69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86"/>
      <ns0:c r="J71" s="119"/>
      <ns0:c r="K71" s="92">
        <ns0:f t="shared" si="1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69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86"/>
      <ns0:c r="J72" s="119"/>
      <ns0:c r="K72" s="92">
        <ns0:f t="shared" si="1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69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86"/>
      <ns0:c r="J73" s="119"/>
      <ns0:c r="K73" s="92">
        <ns0:f t="shared" si="1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69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86"/>
      <ns0:c r="J74" s="119"/>
      <ns0:c r="K74" s="92">
        <ns0:f t="shared" si="1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69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86"/>
      <ns0:c r="J75" s="119"/>
      <ns0:c r="K75" s="92">
        <ns0:f t="shared" si="1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69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86"/>
      <ns0:c r="J76" s="119"/>
      <ns0:c r="K76" s="92">
        <ns0:f t="shared" si="1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69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86"/>
      <ns0:c r="J77" s="119"/>
      <ns0:c r="K77" s="92">
        <ns0:f t="shared" si="1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69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86"/>
      <ns0:c r="J78" s="119"/>
      <ns0:c r="K78" s="92">
        <ns0:f t="shared" si="1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69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86"/>
      <ns0:c r="J79" s="119"/>
      <ns0:c r="K79" s="92">
        <ns0:f t="shared" si="1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69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86"/>
      <ns0:c r="J80" s="119"/>
      <ns0:c r="K80" s="92">
        <ns0:f t="shared" si="1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69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86"/>
      <ns0:c r="J81" s="119"/>
      <ns0:c r="K81" s="92">
        <ns0:f t="shared" si="1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80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87"/>
      <ns0:c r="J82" s="120"/>
      <ns0:c r="K82" s="93">
        <ns0:f t="shared" si="1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114" spans="11:14" ht="16" customHeight="1">
      <ns0:c r="K114" s="330"/>
      <ns0:c r="L114" s="330"/>
      <ns0:c r="M114" s="330"/>
      <ns0:c r="N114" s="58"/>
    </ns0:row>
    <ns0:row r="115" spans="11:14" ht="16" customHeight="1">
      <ns0:c r="K115" s="330"/>
      <ns0:c r="L115" s="330"/>
      <ns0:c r="M115" s="330"/>
      <ns0:c r="N115" s="58"/>
    </ns0:row>
    <ns0:row r="116" spans="11:14" ht="16" customHeight="1">
      <ns0:c r="K116" s="326"/>
      <ns0:c r="L116" s="326"/>
      <ns0:c r="M116" s="43"/>
      <ns0:c r="N116" s="43"/>
    </ns0:row>
    <ns0:row r="117" spans="11:14" ht="16" customHeight="1">
      <ns0:c r="K117" s="326"/>
      <ns0:c r="L117" s="326"/>
      <ns0:c r="M117" s="43"/>
      <ns0:c r="N117" s="43"/>
    </ns0:row>
    <ns0:row r="118" spans="11:14" ht="16" customHeight="1">
      <ns0:c r="K118" s="331"/>
      <ns0:c r="L118" s="331"/>
      <ns0:c r="M118" s="44"/>
      <ns0:c r="N118" s="44"/>
    </ns0:row>
    <ns0:row r="119" spans="11:14" ht="16" customHeight="1">
      <ns0:c r="K119" s="327"/>
      <ns0:c r="L119" s="327"/>
      <ns0:c r="M119" s="45"/>
      <ns0:c r="N119" s="45"/>
    </ns0:row>
    <ns0:row r="120" spans="11:14" ht="16" customHeight="1">
      <ns0:c r="K120" s="326"/>
      <ns0:c r="L120" s="326"/>
      <ns0:c r="M120" s="43"/>
      <ns0:c r="N120" s="43"/>
    </ns0:row>
    <ns0:row r="121" spans="11:14" ht="16" customHeight="1">
      <ns0:c r="K121" s="326"/>
      <ns0:c r="L121" s="326"/>
      <ns0:c r="M121" s="43"/>
      <ns0:c r="N121" s="43"/>
    </ns0:row>
    <ns0:row r="122" spans="11:14" ht="16" customHeight="1">
      <ns0:c r="K122" s="327"/>
      <ns0:c r="L122" s="327"/>
      <ns0:c r="M122" s="45"/>
      <ns0:c r="N122" s="45"/>
    </ns0:row>
    <ns0:row r="123" spans="11:14" ht="16" customHeight="1">
      <ns0:c r="K123" s="46"/>
      <ns0:c r="L123" s="46"/>
      <ns0:c r="M123" s="46"/>
      <ns0:c r="N123" s="46"/>
    </ns0:row>
  </ns0:sheetData>
  <ns0:sheetProtection sort="0" autoFilter="0"/>
  <ns0:mergeCells count="107">
    <ns0:mergeCell ref="B1:B2"/>
    <ns0:mergeCell ref="N1:N2"/>
    <ns0:mergeCell ref="K114:L115"/>
    <ns0:mergeCell ref="M114:M115"/>
    <ns0:mergeCell ref="K116:L116"/>
    <ns0:mergeCell ref="K117:L117"/>
    <ns0:mergeCell ref="K118:L118"/>
    <ns0:mergeCell ref="K119:L119"/>
    <ns0:mergeCell ref="K120:L120"/>
    <ns0:mergeCell ref="M1:M2"/>
    <ns0:mergeCell ref="D1:D2"/>
    <ns0:mergeCell ref="C1:C2"/>
    <ns0:mergeCell ref="E1:E2"/>
    <ns0:mergeCell ref="F1:F2"/>
    <ns0:mergeCell ref="G1:G2"/>
    <ns0:mergeCell ref="H1:H2"/>
    <ns0:mergeCell ref="I1:I2"/>
    <ns0:mergeCell ref="J1:J2"/>
    <ns0:mergeCell ref="K1:K2"/>
    <ns0:mergeCell ref="L1:L2"/>
    <ns0:mergeCell ref="K121:L121"/>
    <ns0:mergeCell ref="K122:L122"/>
    <ns0:mergeCell ref="R3:R4"/>
    <ns0:mergeCell ref="O35:P35"/>
    <ns0:mergeCell ref="Q35:R35"/>
    <ns0:mergeCell ref="S35:T35"/>
    <ns0:mergeCell ref="U35:V35"/>
    <ns0:mergeCell ref="O13:P13"/>
    <ns0:mergeCell ref="Q13:R13"/>
    <ns0:mergeCell ref="O14:P14"/>
    <ns0:mergeCell ref="Q14:R14"/>
    <ns0:mergeCell ref="O29:P29"/>
    <ns0:mergeCell ref="Q29:R29"/>
    <ns0:mergeCell ref="Q25:R25"/>
    <ns0:mergeCell ref="Q26:R26"/>
    <ns0:mergeCell ref="O27:P27"/>
    <ns0:mergeCell ref="Q27:R27"/>
    <ns0:mergeCell ref="O28:P28"/>
    <ns0:mergeCell ref="Q28:R28"/>
    <ns0:mergeCell ref="O25:P25"/>
    <ns0:mergeCell ref="O26:P26"/>
    <ns0:mergeCell ref="Q24:R24"/>
    <ns0:mergeCell ref="O31:P31"/>
    <ns0:mergeCell ref="Q31:R31"/>
    <ns0:mergeCell ref="O36:P36"/>
    <ns0:mergeCell ref="Q36:R36"/>
    <ns0:mergeCell ref="S36:T36"/>
    <ns0:mergeCell ref="U36:V36"/>
    <ns0:mergeCell ref="O33:P34"/>
    <ns0:mergeCell ref="Q33:R34"/>
    <ns0:mergeCell ref="S33:T34"/>
    <ns0:mergeCell ref="U33:V34"/>
    <ns0:mergeCell ref="O9:P9"/>
    <ns0:mergeCell ref="Q9:R9"/>
    <ns0:mergeCell ref="Q23:R23"/>
    <ns0:mergeCell ref="Q22:R22"/>
    <ns0:mergeCell ref="O21:P21"/>
    <ns0:mergeCell ref="O10:P10"/>
    <ns0:mergeCell ref="Q10:R10"/>
    <ns0:mergeCell ref="O11:P11"/>
    <ns0:mergeCell ref="Q11:R11"/>
    <ns0:mergeCell ref="O12:P12"/>
    <ns0:mergeCell ref="Q12:R12"/>
    <ns0:mergeCell ref="Q17:R17"/>
    <ns0:mergeCell ref="Q18:R18"/>
    <ns0:mergeCell ref="Q19:R19"/>
    <ns0:mergeCell ref="O39:P39"/>
    <ns0:mergeCell ref="Q39:R39"/>
    <ns0:mergeCell ref="S39:T39"/>
    <ns0:mergeCell ref="U39:V39"/>
    <ns0:mergeCell ref="Q37:R37"/>
    <ns0:mergeCell ref="S37:T37"/>
    <ns0:mergeCell ref="U37:V37"/>
    <ns0:mergeCell ref="O38:P38"/>
    <ns0:mergeCell ref="Q38:R38"/>
    <ns0:mergeCell ref="S38:T38"/>
    <ns0:mergeCell ref="U38:V38"/>
    <ns0:mergeCell ref="O37:P37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O42:P42"/>
    <ns0:mergeCell ref="Q42:V42"/>
    <ns0:mergeCell ref="O6:R6"/>
    <ns0:mergeCell ref="Q3:Q4"/>
    <ns0:mergeCell ref="P3:P4"/>
    <ns0:mergeCell ref="O3:O4"/>
    <ns0:mergeCell ref="Q20:R20"/>
    <ns0:mergeCell ref="O15:P15"/>
    <ns0:mergeCell ref="Q15:R15"/>
    <ns0:mergeCell ref="O16:R16"/>
    <ns0:mergeCell ref="S27:V27"/>
    <ns0:mergeCell ref="Q21:R21"/>
    <ns0:mergeCell ref="O22:P22"/>
    <ns0:mergeCell ref="O23:P23"/>
    <ns0:mergeCell ref="O17:P17"/>
    <ns0:mergeCell ref="O24:P24"/>
    <ns0:mergeCell ref="O20:P20"/>
    <ns0:mergeCell ref="O18:P18"/>
    <ns0:mergeCell ref="O19:P19"/>
    <ns0:mergeCell ref="O8:P8"/>
    <ns0:mergeCell ref="Q8:R8"/>
  </ns0:mergeCells>
  <ns0:phoneticPr fontId="14" type="noConversion"/>
  <ns0:dataValidations count="54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D4A596C1-1E4E-4F45-93A3-34EED55BA633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A2DCB561-BAA8-FA4B-AA8B-130AD1E46F5D}">
      <ns0:formula1>KV_DD_JANUAR_3</ns0:formula1>
    </ns0:dataValidation>
    <ns0:dataValidation type="list" allowBlank="1" showInputMessage="1" showErrorMessage="1" sqref="F4" ns2:uid="{FD542A93-5B67-4B45-90EB-3CE9F5E6934B}">
      <ns0:formula1>KV_DD_JANUAR_4</ns0:formula1>
    </ns0:dataValidation>
    <ns0:dataValidation type="list" allowBlank="1" showInputMessage="1" showErrorMessage="1" sqref="F5" ns2:uid="{438A8753-20A5-3542-8135-96BCD3941ED2}">
      <ns0:formula1>KV_DD_JANUAR_5</ns0:formula1>
    </ns0:dataValidation>
    <ns0:dataValidation type="list" allowBlank="1" showInputMessage="1" showErrorMessage="1" sqref="F6" ns2:uid="{AD1B0AF8-6FE6-E740-B7C6-C9E9BDC6A499}">
      <ns0:formula1>KV_DD_JANUAR_6</ns0:formula1>
    </ns0:dataValidation>
    <ns0:dataValidation type="list" allowBlank="1" showInputMessage="1" showErrorMessage="1" sqref="F7" ns2:uid="{DB77C2F7-19AF-FD4C-926C-842EA1A40043}">
      <ns0:formula1>KV_DD_JANUAR_7</ns0:formula1>
    </ns0:dataValidation>
    <ns0:dataValidation type="list" allowBlank="1" showInputMessage="1" showErrorMessage="1" sqref="F8" ns2:uid="{210B9443-8E45-B745-898A-15A60A1C71E2}">
      <ns0:formula1>KV_DD_JANUAR_8</ns0:formula1>
    </ns0:dataValidation>
    <ns0:dataValidation type="list" allowBlank="1" showInputMessage="1" showErrorMessage="1" sqref="F9" ns2:uid="{10BF2332-7A26-1147-BE02-1E59AEC06896}">
      <ns0:formula1>KV_DD_JANUAR_9</ns0:formula1>
    </ns0:dataValidation>
    <ns0:dataValidation type="list" allowBlank="1" showInputMessage="1" showErrorMessage="1" sqref="F10" ns2:uid="{D9B9FF5A-BBE4-E243-9AF4-BFD18C872ECB}">
      <ns0:formula1>KV_DD_JANUAR_10</ns0:formula1>
    </ns0:dataValidation>
    <ns0:dataValidation type="list" allowBlank="1" showInputMessage="1" showErrorMessage="1" sqref="F11" ns2:uid="{E6519469-F766-E841-AE9B-5BB0F9AE0999}">
      <ns0:formula1>KV_DD_JANUAR_11</ns0:formula1>
    </ns0:dataValidation>
    <ns0:dataValidation type="list" allowBlank="1" showInputMessage="1" showErrorMessage="1" sqref="F12" ns2:uid="{78C144E0-D790-3F44-8052-2FD0C16A88DF}">
      <ns0:formula1>KV_DD_JANUAR_12</ns0:formula1>
    </ns0:dataValidation>
    <ns0:dataValidation type="list" allowBlank="1" showInputMessage="1" showErrorMessage="1" sqref="F13" ns2:uid="{9A083B6C-E70E-024F-9B70-011F839331D6}">
      <ns0:formula1>KV_DD_JANUAR_13</ns0:formula1>
    </ns0:dataValidation>
    <ns0:dataValidation type="list" allowBlank="1" showInputMessage="1" showErrorMessage="1" sqref="F14" ns2:uid="{636A302D-CC8F-474F-B602-F2751EDFFF17}">
      <ns0:formula1>KV_DD_JANUAR_14</ns0:formula1>
    </ns0:dataValidation>
    <ns0:dataValidation type="list" allowBlank="1" showInputMessage="1" showErrorMessage="1" sqref="F15" ns2:uid="{D48409C7-0EA0-804B-9167-9966B2C9B817}">
      <ns0:formula1>KV_DD_JANUAR_15</ns0:formula1>
    </ns0:dataValidation>
    <ns0:dataValidation type="list" allowBlank="1" showInputMessage="1" showErrorMessage="1" sqref="F16" ns2:uid="{D75EB4AD-C963-3040-9E3F-27D65F087802}">
      <ns0:formula1>KV_DD_JANUAR_16</ns0:formula1>
    </ns0:dataValidation>
    <ns0:dataValidation type="list" allowBlank="1" showInputMessage="1" showErrorMessage="1" sqref="F17" ns2:uid="{89618825-CD16-CE4C-BD94-DCDFFB6D6846}">
      <ns0:formula1>KV_DD_JANUAR_17</ns0:formula1>
    </ns0:dataValidation>
    <ns0:dataValidation type="list" allowBlank="1" showInputMessage="1" showErrorMessage="1" sqref="F18" ns2:uid="{16E166C8-3715-E14A-BA47-60946B9A374D}">
      <ns0:formula1>KV_DD_JANUAR_18</ns0:formula1>
    </ns0:dataValidation>
    <ns0:dataValidation type="list" allowBlank="1" showInputMessage="1" showErrorMessage="1" sqref="F19" ns2:uid="{1386D9B6-9CFC-5B43-B650-6F1579F25469}">
      <ns0:formula1>KV_DD_JANUAR_19</ns0:formula1>
    </ns0:dataValidation>
    <ns0:dataValidation type="list" allowBlank="1" showInputMessage="1" showErrorMessage="1" sqref="F20" ns2:uid="{F5D784CE-A316-B64C-BA30-85F2EDCD602A}">
      <ns0:formula1>KV_DD_JANUAR_20</ns0:formula1>
    </ns0:dataValidation>
    <ns0:dataValidation type="list" allowBlank="1" showInputMessage="1" showErrorMessage="1" sqref="F21" ns2:uid="{5B4CE9EE-9EE6-CA44-A658-902929C006F7}">
      <ns0:formula1>KV_DD_JANUAR_21</ns0:formula1>
    </ns0:dataValidation>
    <ns0:dataValidation type="list" allowBlank="1" showInputMessage="1" showErrorMessage="1" sqref="F22" ns2:uid="{A608D024-D97E-B845-AB76-056F3E96A5ED}">
      <ns0:formula1>KV_DD_JANUAR_22</ns0:formula1>
    </ns0:dataValidation>
    <ns0:dataValidation type="list" allowBlank="1" showInputMessage="1" showErrorMessage="1" sqref="F23" ns2:uid="{E678348A-81FB-B14D-ACE6-9E7668749989}">
      <ns0:formula1>KV_DD_JANUAR_23</ns0:formula1>
    </ns0:dataValidation>
    <ns0:dataValidation type="list" allowBlank="1" showInputMessage="1" showErrorMessage="1" sqref="F24" ns2:uid="{7D713643-8818-6F4C-9643-E5E25453F3B9}">
      <ns0:formula1>KV_DD_JANUAR_24</ns0:formula1>
    </ns0:dataValidation>
    <ns0:dataValidation type="list" allowBlank="1" showInputMessage="1" showErrorMessage="1" sqref="F25" ns2:uid="{E3B563CE-5FB7-044A-B5FA-78B5DE1C02AA}">
      <ns0:formula1>KV_DD_JANUAR_25</ns0:formula1>
    </ns0:dataValidation>
    <ns0:dataValidation type="list" allowBlank="1" showInputMessage="1" showErrorMessage="1" sqref="F26" ns2:uid="{37093C6D-2508-6546-8F03-6B6F36229FC2}">
      <ns0:formula1>KV_DD_JANUAR_26</ns0:formula1>
    </ns0:dataValidation>
    <ns0:dataValidation type="list" allowBlank="1" showInputMessage="1" showErrorMessage="1" sqref="F27" ns2:uid="{54982217-24F4-754A-BB1B-551DAB79AAA9}">
      <ns0:formula1>KV_DD_JANUAR_27</ns0:formula1>
    </ns0:dataValidation>
    <ns0:dataValidation type="list" allowBlank="1" showInputMessage="1" showErrorMessage="1" sqref="F28" ns2:uid="{1E8F42C9-E4CB-2D48-B5DC-6987E4D7E8BE}">
      <ns0:formula1>KV_DD_JANUAR_28</ns0:formula1>
    </ns0:dataValidation>
    <ns0:dataValidation type="list" allowBlank="1" showInputMessage="1" showErrorMessage="1" sqref="F29" ns2:uid="{5DCF6EDB-BDD4-6D40-9B01-286DF7BD4840}">
      <ns0:formula1>KV_DD_JANUAR_29</ns0:formula1>
    </ns0:dataValidation>
    <ns0:dataValidation type="list" allowBlank="1" showInputMessage="1" showErrorMessage="1" sqref="F30" ns2:uid="{5FACB6DE-EE04-0E46-9DD8-C198A84A254C}">
      <ns0:formula1>KV_DD_JANUAR_30</ns0:formula1>
    </ns0:dataValidation>
    <ns0:dataValidation type="list" allowBlank="1" showInputMessage="1" showErrorMessage="1" sqref="F31" ns2:uid="{5D40EC97-9916-194E-AAE6-C41F57B37F26}">
      <ns0:formula1>KV_DD_JANUAR_31</ns0:formula1>
    </ns0:dataValidation>
    <ns0:dataValidation type="list" allowBlank="1" showInputMessage="1" showErrorMessage="1" sqref="F32" ns2:uid="{3CE23826-D4ED-5A46-A17A-1B3E36DE54E1}">
      <ns0:formula1>KV_DD_JANUAR_32</ns0:formula1>
    </ns0:dataValidation>
    <ns0:dataValidation type="list" allowBlank="1" showInputMessage="1" showErrorMessage="1" sqref="F33" ns2:uid="{F746793C-1ECF-9440-B30F-20F831C6E68F}">
      <ns0:formula1>KV_DD_JANUAR_33</ns0:formula1>
    </ns0:dataValidation>
    <ns0:dataValidation type="list" allowBlank="1" showInputMessage="1" showErrorMessage="1" sqref="F34" ns2:uid="{C6BB5564-2DA2-F341-A02D-DEDE276B7DC8}">
      <ns0:formula1>KV_DD_JANUAR_34</ns0:formula1>
    </ns0:dataValidation>
    <ns0:dataValidation type="list" allowBlank="1" showInputMessage="1" showErrorMessage="1" sqref="F35" ns2:uid="{C22FEF9D-537A-E54A-9B33-A3B03C053A22}">
      <ns0:formula1>KV_DD_JANUAR_35</ns0:formula1>
    </ns0:dataValidation>
    <ns0:dataValidation type="list" allowBlank="1" showInputMessage="1" showErrorMessage="1" sqref="F36" ns2:uid="{57775DB4-F8A7-8848-9997-58B2190A9F41}">
      <ns0:formula1>KV_DD_JANUAR_36</ns0:formula1>
    </ns0:dataValidation>
    <ns0:dataValidation type="list" allowBlank="1" showInputMessage="1" showErrorMessage="1" sqref="F37" ns2:uid="{33D35F7E-5479-5B45-9E1B-ECB0D0BAE715}">
      <ns0:formula1>KV_DD_JANUAR_37</ns0:formula1>
    </ns0:dataValidation>
    <ns0:dataValidation type="list" allowBlank="1" showInputMessage="1" showErrorMessage="1" sqref="F38" ns2:uid="{D0F39BE9-C785-D040-99F8-0F6EC43B7DA3}">
      <ns0:formula1>KV_DD_JANUAR_38</ns0:formula1>
    </ns0:dataValidation>
    <ns0:dataValidation type="list" allowBlank="1" showInputMessage="1" showErrorMessage="1" sqref="F39" ns2:uid="{D82D6A7F-E254-C245-9D26-F964FB35BF98}">
      <ns0:formula1>KV_DD_JANUAR_39</ns0:formula1>
    </ns0:dataValidation>
    <ns0:dataValidation type="list" allowBlank="1" showInputMessage="1" showErrorMessage="1" sqref="F40" ns2:uid="{EB2F1CD3-CA71-434E-BCEC-3034EC674B0F}">
      <ns0:formula1>KV_DD_JANUAR_40</ns0:formula1>
    </ns0:dataValidation>
    <ns0:dataValidation type="list" allowBlank="1" showInputMessage="1" showErrorMessage="1" sqref="F41" ns2:uid="{36D774D9-7FD5-6841-BEFB-D3B226BC7E46}">
      <ns0:formula1>KV_DD_JANUAR_41</ns0:formula1>
    </ns0:dataValidation>
    <ns0:dataValidation type="list" allowBlank="1" showInputMessage="1" showErrorMessage="1" sqref="F42" ns2:uid="{4AB3CE03-30C5-314A-A76D-217A69E5AE9F}">
      <ns0:formula1>KV_DD_JANUAR_42</ns0:formula1>
    </ns0:dataValidation>
    <ns0:dataValidation type="list" allowBlank="1" showInputMessage="1" showErrorMessage="1" sqref="F43" ns2:uid="{1DFD937E-8709-3345-9673-38CE4EB5DE6D}">
      <ns0:formula1>KV_DD_JANUAR_43</ns0:formula1>
    </ns0:dataValidation>
    <ns0:dataValidation type="list" allowBlank="1" showInputMessage="1" showErrorMessage="1" sqref="F44" ns2:uid="{2FC0E0B9-3187-5A45-956A-3EE593FB5371}">
      <ns0:formula1>KV_DD_JANUAR_44</ns0:formula1>
    </ns0:dataValidation>
    <ns0:dataValidation type="list" allowBlank="1" showInputMessage="1" showErrorMessage="1" sqref="F45" ns2:uid="{9C733A57-BC2E-104B-A411-96E555205D39}">
      <ns0:formula1>KV_DD_JANUAR_45</ns0:formula1>
    </ns0:dataValidation>
    <ns0:dataValidation type="list" allowBlank="1" showInputMessage="1" showErrorMessage="1" sqref="F46" ns2:uid="{7B9DF2A9-68FF-BC42-8A8E-81543B43D174}">
      <ns0:formula1>KV_DD_JANUAR_46</ns0:formula1>
    </ns0:dataValidation>
    <ns0:dataValidation type="list" allowBlank="1" showInputMessage="1" showErrorMessage="1" sqref="F47" ns2:uid="{8508E8AF-1359-944B-BC1A-391D959BA3D5}">
      <ns0:formula1>KV_DD_JANUAR_47</ns0:formula1>
    </ns0:dataValidation>
    <ns0:dataValidation type="list" allowBlank="1" showInputMessage="1" showErrorMessage="1" sqref="F48" ns2:uid="{F13992A0-601E-854D-B873-712E4B5ECE9F}">
      <ns0:formula1>KV_DD_JANUAR_48</ns0:formula1>
    </ns0:dataValidation>
    <ns0:dataValidation type="list" allowBlank="1" showInputMessage="1" showErrorMessage="1" sqref="F49" ns2:uid="{E74A9023-39A3-3740-8896-02CCD704CC34}">
      <ns0:formula1>KV_DD_JANUAR_49</ns0:formula1>
    </ns0:dataValidation>
    <ns0:dataValidation type="list" allowBlank="1" showInputMessage="1" showErrorMessage="1" sqref="F50" ns2:uid="{A90EE3A5-5FFF-A54D-9D1A-D55241983373}">
      <ns0:formula1>KV_DD_JANUAR_50</ns0:formula1>
    </ns0:dataValidation>
    <ns0:dataValidation type="list" allowBlank="1" showInputMessage="1" showErrorMessage="1" sqref="F51" ns2:uid="{9B3ECF20-A5B8-5349-B353-3FD7F1BC3B7E}">
      <ns0:formula1>KV_DD_JANUAR_51</ns0:formula1>
    </ns0:dataValidation>
    <ns0:dataValidation type="list" allowBlank="1" showInputMessage="1" showErrorMessage="1" sqref="F52" ns2:uid="{16411886-D1CA-A046-94A4-AFBC896F1F81}">
      <ns0:formula1>KV_DD_JANUAR_52</ns0:formula1>
    </ns0:dataValidation>
    <ns0:dataValidation type="list" allowBlank="1" showInputMessage="1" showErrorMessage="1" sqref="F53" ns2:uid="{84A7B5EF-A69A-B442-B0E2-170F379A9EE7}">
      <ns0:formula1>KV_DD_JANUAR_53</ns0:formula1>
    </ns0:dataValidation>
    <ns0:dataValidation type="list" allowBlank="1" showInputMessage="1" showErrorMessage="1" sqref="F54" ns2:uid="{86D8E3E7-455C-1F40-BAD1-B9D745317220}">
      <ns0:formula1>KV_DD_JANUAR_54</ns0:formula1>
    </ns0:dataValidation>
    <ns0:dataValidation type="date" allowBlank="1" showDropDown="1" showErrorMessage="1" sqref="I3:I82" ns2:uid="{E3478813-0F58-F145-B25C-A4533A425D58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049" ns3:id="rId4" name="Button 1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17</ns4:col>
                    <ns4:colOff>457200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75CEEE5B-71EB-9D45-9AA0-7B223E338153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FQhAEQhzpQIDlicTnzCBuC8awfXFOPRJPi4H+GWUfNpgRO2W5eiztBrEjF2/bUeCsM7GRK8fgg5QnGBSwRZkg==" saltValue="y9ezZGiRx84ph84m3WdeI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17F9A160-70C4-4D47-B6DF-F8EEA29113B1}">
  <ns0:sheetPr codeName="Tabelle4"/>
  <ns0:dimension ref="A1:AC86"/>
  <ns0:sheetViews>
    <ns0:sheetView showGridLines="0" showRowColHeaders="0" zoomScaleNormal="100" workbookViewId="0">
      <ns0:pane ySplit="2" topLeftCell="A9" activePane="bottomLeft" state="frozen"/>
      <ns0:selection activeCell="T24" sqref="T24"/>
      <ns0:selection pane="bottomLeft" activeCell="F12" sqref="F12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2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46054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46081</ns0:v>
      </ns0:c>
    </ns0:row>
    <ns0:row r="3" spans="1:28" ht="16" customHeight="1">
      <ns0:c r="A3" s="61" t="s">
        <ns0:v>48</ns0:v>
      </ns0:c>
      <ns0:c r="B3" s="100">
        <ns0:v>401006</ns0:v>
      </ns0:c>
      <ns0:c r="C3" s="97" t="s">
        <ns0:v>235</ns0:v>
      </ns0:c>
      <ns0:c r="D3" s="122">
        <ns0:v>38188</ns0:v>
      </ns0:c>
      <ns0:c r="E3" s="73" t="s">
        <ns0:v>13</ns0:v>
      </ns0:c>
      <ns0:c r="F3" s="98">
        <ns0:v>173</ns0:v>
      </ns0:c>
      <ns0:c r="G3" s="115">
        <ns0:f>IF(OR(E3="",F3=""),"",PID_KVLohnLookup($A$1,E3,F3,LOHNTABELLE!$H$4))</ns0:f>
        <ns0:v>2328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401010</ns0:v>
      </ns0:c>
      <ns0:c r="C4" s="68" t="s">
        <ns0:v>236</ns0:v>
      </ns0:c>
      <ns0:c r="D4" s="123">
        <ns0:v>39388</ns0:v>
      </ns0:c>
      <ns0:c r="E4" s="65" t="s">
        <ns0:v>5</ns0:v>
      </ns0:c>
      <ns0:c r="F4" s="67">
        <ns0:v>173</ns0:v>
      </ns0:c>
      <ns0:c r="G4" s="116">
        <ns0:f>IF(OR(E4="",F4=""),"",PID_KVLohnLookup($A$1,E4,F4,LOHNTABELLE!$H$4))</ns0:f>
        <ns0:v>2183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401047</ns0:v>
      </ns0:c>
      <ns0:c r="C5" s="68" t="s">
        <ns0:v>238</ns0:v>
      </ns0:c>
      <ns0:c r="D5" s="123">
        <ns0:v>41154</ns0:v>
      </ns0:c>
      <ns0:c r="E5" s="65" t="s">
        <ns0:v>4</ns0:v>
      </ns0:c>
      <ns0:c r="F5" s="67">
        <ns0:v>173</ns0:v>
      </ns0:c>
      <ns0:c r="G5" s="116">
        <ns0:f>IF(OR(E5="",F5=""),"",PID_KVLohnLookup($A$1,E5,F5,LOHNTABELLE!$H$4))</ns0:f>
        <ns0:v>2123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847.67804086844035</ns0:v>
      </ns0:c>
      <ns0:c r="P5" s="15">
        <ns0:f>EINSTELLUNG!I7</ns0:f>
        <ns0:v>2</ns0:v>
      </ns0:c>
      <ns0:c r="Q5" s="14">
        <ns0:f>P5-O5</ns0:f>
        <ns0:v>-845.67804086844035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70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369" t="str">
        <ns0:f>IF(Q5&lt;0, "Schlecht! Zu wenig Urlaub abgebaut.", IF(Q5&gt;0, "Gut! Mehr Urlaub abgebaut als aufgebaut.", ""))</ns0:f>
        <ns0:v>Schlecht! Zu wenig Urlaub abgebaut.</ns0:v>
      </ns0:c>
      <ns0:c r="P6" s="369"/>
      <ns0:c r="Q6" s="369"/>
      <ns0:c r="R6" s="369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>
        <ns0:f>IF(OR(E8="",F8=""),"",PID_KVLohnLookup($A$1,E8,F8,LOHNTABELLE!$H$4))</ns0:f>
        <ns0:v>2082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367" t="s">
        <ns0:v>58</ns0:v>
      </ns0:c>
      <ns0:c r="P8" s="246"/>
      <ns0:c r="Q8" s="365">
        <ns0:f>SUM(H3:H82)</ns0:f>
        <ns0:v>8643.5099999999984</ns0:v>
      </ns0:c>
      <ns0:c r="R8" s="366"/>
    </ns0:row>
    <ns0:row r="9" spans="1:28" ht="16" customHeight="1">
      <ns0:c r="A9" s="62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>
        <ns0:f>IF(OR(E9="",F9=""),"",PID_KVLohnLookup($A$1,E9,F9,LOHNTABELLE!$H$4))</ns0:f>
        <ns0:v>2123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367" t="s">
        <ns0:v>60</ns0:v>
      </ns0:c>
      <ns0:c r="P9" s="246"/>
      <ns0:c r="Q9" s="365">
        <ns0:f>EINSTELLUNG!L23</ns0:f>
        <ns0:v>2</ns0:v>
      </ns0:c>
      <ns0:c r="R9" s="366"/>
      <ns0:c r="S9" s="19">
        <ns0:f>IFERROR(Q9/Q8, 0)</ns0:f>
        <ns0:v>2.313874803176025E-4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367" t="s">
        <ns0:v>62</ns0:v>
      </ns0:c>
      <ns0:c r="P10" s="246"/>
      <ns0:c r="Q10" s="365">
        <ns0:f>EINSTELLUNG!I23</ns0:f>
        <ns0:v>2</ns0:v>
      </ns0:c>
      <ns0:c r="R10" s="366"/>
    </ns0:row>
    <ns0:row r="11" spans="1:28" ht="16" customHeight="1">
      <ns0:c r="A11" s="61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367" t="s">
        <ns0:v>64</ns0:v>
      </ns0:c>
      <ns0:c r="P11" s="246"/>
      <ns0:c r="Q11" s="365">
        <ns0:f>P5</ns0:f>
        <ns0:v>2</ns0:v>
      </ns0:c>
      <ns0:c r="R11" s="366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367" t="s">
        <ns0:v>68</ns0:v>
      </ns0:c>
      <ns0:c r="P12" s="246"/>
      <ns0:c r="Q12" s="365">
        <ns0:f>Q8-Q9-Q10-Q11</ns0:f>
        <ns0:v>8637.5099999999984</ns0:v>
      </ns0:c>
      <ns0:c r="R12" s="366"/>
    </ns0:row>
    <ns0:row r="13" spans="1:28" ht="16" customHeight="1">
      <ns0:c r="A13" s="62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367" t="s">
        <ns0:v>70</ns0:v>
      </ns0:c>
      <ns0:c r="P13" s="246"/>
      <ns0:c r="Q13" s="365">
        <ns0:f>EINSTELLUNG!L7</ns0:f>
        <ns0:v>2</ns0:v>
      </ns0:c>
      <ns0:c r="R13" s="366"/>
    </ns0:row>
    <ns0:row r="14" spans="1:28" ht="16" customHeight="1">
      <ns0:c r="A14" s="61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367" t="s">
        <ns0:v>72</ns0:v>
      </ns0:c>
      <ns0:c r="P14" s="246"/>
      <ns0:c r="Q14" s="365">
        <ns0:f>Q12-Q13</ns0:f>
        <ns0:v>8635.5099999999984</ns0:v>
      </ns0:c>
      <ns0:c r="R14" s="366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>
        <ns0:f>IF(OR(E15="",F15=""),"",PID_KVLohnLookup($A$1,E15,F15,LOHNTABELLE!$H$4))</ns0:f>
        <ns0:v>2300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368" t="str">
        <ns0:f>IF(Q14&lt;0, "Schlecht! Zu wenig Stunden für Dienstplan.", IF(Q14&gt;0, "Du hast mehr als genug Stunden für Dienstplan.", ""))</ns0:f>
        <ns0:v>Du hast mehr als genug Stunden für Dienstplan.</ns0:v>
      </ns0:c>
      <ns0:c r="P15" s="368"/>
      <ns0:c r="Q15" s="368"/>
      <ns0:c r="R15" s="36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2021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362" t="s">
        <ns0:v>75</ns0:v>
      </ns0:c>
      <ns0:c r="P17" s="249"/>
      <ns0:c r="Q17" s="363">
        <ns0:f>SUM(L3:L82)</ns0:f>
        <ns0:v>0</ns0:v>
      </ns0:c>
      <ns0:c r="R17" s="364"/>
      <ns0:c r="W17" s="12"/>
    </ns0:row>
    <ns0:row r="18" spans="1:29" ht="16" customHeight="1">
      <ns0:c r="A18" s="61" t="s">
        <ns0:v>76</ns0:v>
      </ns0:c>
      <ns0:c r="B18" s="101">
        <ns0:v>401476</ns0:v>
      </ns0:c>
      <ns0:c r="C18" s="68" t="s">
        <ns0:v>249</ns0:v>
      </ns0:c>
      <ns0:c r="D18" s="123">
        <ns0:v>44504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2021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342"/>
      <ns0:c r="P18" s="240"/>
      <ns0:c r="Q18" s="343"/>
      <ns0:c r="R18" s="344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342"/>
      <ns0:c r="P19" s="240"/>
      <ns0:c r="Q19" s="343"/>
      <ns0:c r="R19" s="344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2021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342"/>
      <ns0:c r="P20" s="240"/>
      <ns0:c r="Q20" s="343"/>
      <ns0:c r="R20" s="344"/>
    </ns0:row>
    <ns0:row r="21" spans="1:29" ht="16" customHeight="1">
      <ns0:c r="A21" s="62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2021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342" t="s">
        <ns0:v>320</ns0:v>
      </ns0:c>
      <ns0:c r="P21" s="240"/>
      <ns0:c r="Q21" s="343">
        <ns0:v>5000</ns0:v>
      </ns0:c>
      <ns0:c r="R21" s="344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2021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342"/>
      <ns0:c r="P22" s="240"/>
      <ns0:c r="Q22" s="343"/>
      <ns0:c r="R22" s="344"/>
    </ns0:row>
    <ns0:row r="23" spans="1:29" ht="16" customHeight="1">
      <ns0:c r="A23" s="61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342"/>
      <ns0:c r="P23" s="240"/>
      <ns0:c r="Q23" s="343"/>
      <ns0:c r="R23" s="344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68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342"/>
      <ns0:c r="P24" s="240"/>
      <ns0:c r="Q24" s="343"/>
      <ns0:c r="R24" s="344"/>
      <ns0:c r="W24" s="12"/>
    </ns0:row>
    <ns0:row r="25" spans="1:29" ht="16" customHeight="1" thickBot="1">
      <ns0:c r="A25" s="62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2021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356"/>
      <ns0:c r="P25" s="257"/>
      <ns0:c r="Q25" s="357"/>
      <ns0:c r="R25" s="358"/>
    </ns0:row>
    <ns0:row r="26" spans="1:29" ht="16" customHeight="1">
      <ns0:c r="A26" s="61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359"/>
      <ns0:c r="P26" s="261"/>
      <ns0:c r="Q26" s="360"/>
      <ns0:c r="R26" s="361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2021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352"/>
      <ns0:c r="P27" s="220"/>
      <ns0:c r="Q27" s="353"/>
      <ns0:c r="R27" s="354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>
        <ns0:f>IF(OR(E28="",F28=""),"",PID_KVLohnLookup($A$1,E28,F28,LOHNTABELLE!$H$4))</ns0:f>
        <ns0:v>2300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355"/>
      <ns0:c r="P28" s="253"/>
      <ns0:c r="Q28" s="336"/>
      <ns0:c r="R28" s="337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2021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338" t="s">
        <ns0:v>90</ns0:v>
      </ns0:c>
      <ns0:c r="P29" s="228"/>
      <ns0:c r="Q29" s="339">
        <ns0:f>EINSTELLUNG!O7</ns0:f>
        <ns0:v>2</ns0:v>
      </ns0:c>
      <ns0:c r="R29" s="340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68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345">
        <ns0:v>0</ns0:v>
      </ns0:c>
      <ns0:c r="P31" s="346"/>
      <ns0:c r="Q31" s="347">
        <ns0:v>1.7241379310344827E-2</ns0:v>
      </ns0:c>
      <ns0:c r="R31" s="232"/>
    </ns0:row>
    <ns0:row r="32" spans="1:29" ht="16" customHeight="1">
      <ns0:c r="A32" s="61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2021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348"/>
      <ns0:c r="P33" s="349"/>
      <ns0:c r="Q33" s="318" t="s">
        <ns0:v>96</ns0:v>
      </ns0:c>
      <ns0:c r="R33" s="319"/>
      <ns0:c r="S33" s="322" t="s">
        <ns0:v>97</ns0:v>
      </ns0:c>
      <ns0:c r="T33" s="323"/>
      <ns0:c r="U33" s="322" t="s">
        <ns0:v>98</ns0:v>
      </ns0:c>
      <ns0:c r="V33" s="323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350"/>
      <ns0:c r="P34" s="351"/>
      <ns0:c r="Q34" s="320"/>
      <ns0:c r="R34" s="321"/>
      <ns0:c r="S34" s="324"/>
      <ns0:c r="T34" s="325"/>
      <ns0:c r="U34" s="324"/>
      <ns0:c r="V34" s="325"/>
    </ns0:row>
    <ns0:row r="35" spans="1:24" ht="16" customHeight="1">
      <ns0:c r="A35" s="61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2021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341" t="s">
        <ns0:v>101</ns0:v>
      </ns0:c>
      <ns0:c r="P35" s="244"/>
      <ns0:c r="Q35" s="215">
        <ns0:f>EINSTELLUNG!C7</ns0:f>
        <ns0:v>2</ns0:v>
      </ns0:c>
      <ns0:c r="R35" s="217"/>
      <ns0:c r="S35" s="215">
        <ns0:f>EINSTELLUNG!C23</ns0:f>
        <ns0:v>2</ns0:v>
      </ns0:c>
      <ns0:c r="T35" s="217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341" t="s">
        <ns0:v>103</ns0:v>
      </ns0:c>
      <ns0:c r="P36" s="244"/>
      <ns0:c r="Q36" s="215">
        <ns0:f>EINSTELLUNG!D7</ns0:f>
        <ns0:v>2</ns0:v>
      </ns0:c>
      <ns0:c r="R36" s="217"/>
      <ns0:c r="S36" s="218" cm="1">
        <ns0:f t="array" ref="S36">SumMergedCells(Q17:R29)</ns0:f>
        <ns0:v>5002</ns0:v>
      </ns0:c>
      <ns0:c r="T36" s="218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341" t="s">
        <ns0:v>105</ns0:v>
      </ns0:c>
      <ns0:c r="P37" s="244"/>
      <ns0:c r="Q37" s="334">
        <ns0:f>IF(ISERROR(Q36/Q35), 0, Q36/Q35)</ns0:f>
        <ns0:v>1</ns0:v>
      </ns0:c>
      <ns0:c r="R37" s="335"/>
      <ns0:c r="S37" s="334">
        <ns0:f>IF(ISERROR(S36/S35), 0, S36/S35)</ns0:f>
        <ns0:v>2501</ns0:v>
      </ns0:c>
      <ns0:c r="T37" s="335"/>
      <ns0:c r="U37" s="227">
        <ns0:f t="shared" si="2"/>
        <ns0:v>2500</ns0:v>
      </ns0:c>
      <ns0:c r="V37" s="227"/>
    </ns0:row>
    <ns0:row r="38" spans="1:24" ht="16" customHeight="1">
      <ns0:c r="A38" s="61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1010.5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341" t="s">
        <ns0:v>107</ns0:v>
      </ns0:c>
      <ns0:c r="P38" s="244"/>
      <ns0:c r="Q38" s="332">
        <ns0:f>EINSTELLUNG!F7</ns0:f>
        <ns0:v>2</ns0:v>
      </ns0:c>
      <ns0:c r="R38" s="333"/>
      <ns0:c r="S38" s="332">
        <ns0:f>EINSTELLUNG!F23</ns0:f>
        <ns0:v>2</ns0:v>
      </ns0:c>
      <ns0:c r="T38" s="333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341" t="s">
        <ns0:v>109</ns0:v>
      </ns0:c>
      <ns0:c r="P39" s="244"/>
      <ns0:c r="Q39" s="215">
        <ns0:f>IF(Q38=0, 0, Q35/Q38)</ns0:f>
        <ns0:v>1</ns0:v>
      </ns0:c>
      <ns0:c r="R39" s="217"/>
      <ns0:c r="S39" s="215">
        <ns0:f>IF(S38=0, 0, S35/S38)</ns0:f>
        <ns0:v>1</ns0:v>
      </ns0:c>
      <ns0:c r="T39" s="217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IF(Q12=0, 0, Q35/Q12)</ns0:f>
        <ns0:v>2.3154821238991334E-4</ns0:v>
      </ns0:c>
      <ns0:c r="R40" s="218"/>
      <ns0:c r="S40" s="218">
        <ns0:f>IF(Q12=0, 0, S35/Q12)</ns0:f>
        <ns0:v>2.3154821238991334E-4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IF(Q12=0, 0, Q38/Q12)</ns0:f>
        <ns0:v>2.3154821238991334E-4</ns0:v>
      </ns0:c>
      <ns0:c r="R41" s="219"/>
      <ns0:c r="S41" s="219">
        <ns0:f>IF(Q12=0, 0, S38/Q12)</ns0:f>
        <ns0:v>2.3154821238991334E-4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1010.5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401734</ns0:v>
      </ns0:c>
      <ns0:c r="C43" s="68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1010.5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401745</ns0:v>
      </ns0:c>
      <ns0:c r="C47" s="70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401746</ns0:v>
      </ns0:c>
      <ns0:c r="C48" s="68" t="s">
        <ns0:v>282</ns0:v>
      </ns0:c>
      <ns0:c r="D48" s="123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401747</ns0:v>
      </ns0:c>
      <ns0:c r="C49" s="68" t="s">
        <ns0:v>280</ns0:v>
      </ns0:c>
      <ns0:c r="D49" s="123">
        <ns0:v>45941</ns0:v>
      </ns0:c>
      <ns0:c r="E49" s="65" t="s">
        <ns0:v>2</ns0:v>
      </ns0:c>
      <ns0:c r="F49" s="67">
        <ns0:v>138.4</ns0:v>
      </ns0:c>
      <ns0:c r="G49" s="116">
        <ns0:f>IF(OR(E49="",F49=""),"",PID_KVLohnLookup($A$1,E49,F49,LOHNTABELLE!$H$4))</ns0:f>
        <ns0:v>1616.8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138.4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401748</ns0:v>
      </ns0:c>
      <ns0:c r="C50" s="68" t="s">
        <ns0:v>281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401751</ns0:v>
      </ns0:c>
      <ns0:c r="C51" s="68" t="s">
        <ns0:v>284</ns0:v>
      </ns0:c>
      <ns0:c r="D51" s="123">
        <ns0:v>45961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401752</ns0:v>
      </ns0:c>
      <ns0:c r="C52" s="68" t="s">
        <ns0:v>285</ns0:v>
      </ns0:c>
      <ns0:c r="D52" s="123">
        <ns0:v>45986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401754</ns0:v>
      </ns0:c>
      <ns0:c r="C53" s="68" t="s">
        <ns0:v>286</ns0:v>
      </ns0:c>
      <ns0:c r="D53" s="123">
        <ns0:v>46014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402405</ns0:v>
      </ns0:c>
      <ns0:c r="C54" s="68" t="s">
        <ns0:v>330</ns0:v>
      </ns0:c>
      <ns0:c r="D54" s="123">
        <ns0:v>46054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2021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55</ns0:v>
      </ns0:c>
      <ns0:c r="C55" s="68" t="s">
        <ns0:v>331</ns0:v>
      </ns0:c>
      <ns0:c r="D55" s="123">
        <ns0:v>46054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2021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503000</ns0:v>
      </ns0:c>
      <ns0:c r="C56" s="68" t="s">
        <ns0:v>332</ns0:v>
      </ns0:c>
      <ns0:c r="D56" s="123">
        <ns0:v>42401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2021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504000</ns0:v>
      </ns0:c>
      <ns0:c r="C57" s="68" t="s">
        <ns0:v>333</ns0:v>
      </ns0:c>
      <ns0:c r="D57" s="123">
        <ns0:v>46054</ns0:v>
      </ns0:c>
      <ns0:c r="E57" s="65" t="s">
        <ns0:v>3</ns0:v>
      </ns0:c>
      <ns0:c r="F57" s="67">
        <ns0:v>138.4</ns0:v>
      </ns0:c>
      <ns0:c r="G57" s="116">
        <ns0:f>IF(OR(E57="",F57=""),"",PID_KVLohnLookup($A$1,E57,F57,LOHNTABELLE!$H$4))</ns0:f>
        <ns0:v>1665.6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505000</ns0:v>
      </ns0:c>
      <ns0:c r="C58" s="68" t="s">
        <ns0:v>334</ns0:v>
      </ns0:c>
      <ns0:c r="D58" s="123">
        <ns0:v>46054</ns0:v>
      </ns0:c>
      <ns0:c r="E58" s="65" t="s">
        <ns0:v>2</ns0:v>
      </ns0:c>
      <ns0:c r="F58" s="67">
        <ns0:v>138.4</ns0:v>
      </ns0:c>
      <ns0:c r="G58" s="116">
        <ns0:f>IF(OR(E58="",F58=""),"",PID_KVLohnLookup($A$1,E58,F58,LOHNTABELLE!$H$4))</ns0:f>
        <ns0:v>1616.8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500600</ns0:v>
      </ns0:c>
      <ns0:c r="C59" s="68" t="s">
        <ns0:v>335</ns0:v>
      </ns0:c>
      <ns0:c r="D59" s="123">
        <ns0:v>46054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2021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600000</ns0:v>
      </ns0:c>
      <ns0:c r="C60" s="68" t="s">
        <ns0:v>336</ns0:v>
      </ns0:c>
      <ns0:c r="D60" s="123">
        <ns0:v>46054</ns0:v>
      </ns0:c>
      <ns0:c r="E60" s="65" t="s">
        <ns0:v>2</ns0:v>
      </ns0:c>
      <ns0:c r="F60" s="67">
        <ns0:v>151.38</ns0:v>
      </ns0:c>
      <ns0:c r="G60" s="116">
        <ns0:f>IF(OR(E60="",F60=""),"",PID_KVLohnLookup($A$1,E60,F60,LOHNTABELLE!$H$4))</ns0:f>
        <ns0:v>1768.38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10.81</ns0:v>
      </ns0:c>
      <ns0:c r="I60" s="126">
        <ns0:v>46055</ns0:v>
      </ns0:c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 t="s">
        <ns0:v>195</ns0:v>
      </ns0:c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173</ns0:v>
      </ns0:c>
      <ns0:c r="G61" s="116">
        <ns0:f>IF(OR(E61="",F61=""),"",PID_KVLohnLookup($A$1,E61,F61,LOHNTABELLE!$H$4))</ns0:f>
        <ns0:v>2021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5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5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84" spans="1:15" ht="16" customHeight="1">
      <ns0:c r="O84" s="20"/>
    </ns0:row>
    <ns0:row r="85" spans="1:15" ht="16" customHeight="1">
      <ns0:c r="O85" s="20"/>
    </ns0:row>
    <ns0:row r="86" spans="1:15" ht="16" customHeight="1">
      <ns0:c r="O86" s="20"/>
    </ns0:row>
  </ns0:sheetData>
  <ns0:sheetProtection algorithmName="SHA-512" hashValue="+zAC+nA05jdn7CoodMsfGwHnvoyFtHEehCl6mr5O5chVy4sDQNXBnY0ip5Eczu9H3itDghmt7Z6xdnQYrWjSFQ==" saltValue="R6c5bkmPLTj+ADQy56ffiQ==" spinCount="100000" sheet="1" objects="1" scenarios="1" sort="0" autoFilter="0"/>
  <ns0:sortState ref="B3:N82">
    <ns0:sortCondition ref="B3:B82"/>
    <ns0:sortCondition ref="C3:C82"/>
  </ns0:sortState>
  <ns0:mergeCells count="96">
    <ns0:mergeCell ref="O39:P39"/>
    <ns0:mergeCell ref="Q39:R39"/>
    <ns0:mergeCell ref="I1:I2"/>
    <ns0:mergeCell ref="J1:J2"/>
    <ns0:mergeCell ref="K1:K2"/>
    <ns0:mergeCell ref="L1:L2"/>
    <ns0:mergeCell ref="M1:M2"/>
    <ns0:mergeCell ref="O36:P36"/>
    <ns0:mergeCell ref="Q36:R36"/>
    <ns0:mergeCell ref="O37:P37"/>
    <ns0:mergeCell ref="Q37:R37"/>
    <ns0:mergeCell ref="O38:P38"/>
    <ns0:mergeCell ref="Q38:R38"/>
    <ns0:mergeCell ref="P3:P4"/>
    <ns0:mergeCell ref="Q3:Q4"/>
    <ns0:mergeCell ref="O14:P14"/>
    <ns0:mergeCell ref="Q14:R14"/>
    <ns0:mergeCell ref="B1:B2"/>
    <ns0:mergeCell ref="N1:N2"/>
    <ns0:mergeCell ref="Q10:R10"/>
    <ns0:mergeCell ref="O15:R15"/>
    <ns0:mergeCell ref="H1:H2"/>
    <ns0:mergeCell ref="R3:R4"/>
    <ns0:mergeCell ref="O6:R6"/>
    <ns0:mergeCell ref="O8:P8"/>
    <ns0:mergeCell ref="Q8:R8"/>
    <ns0:mergeCell ref="O9:P9"/>
    <ns0:mergeCell ref="Q9:R9"/>
    <ns0:mergeCell ref="O10:P10"/>
    <ns0:mergeCell ref="O11:P11"/>
    <ns0:mergeCell ref="Q11:R11"/>
    <ns0:mergeCell ref="O12:P12"/>
    <ns0:mergeCell ref="Q12:R12"/>
    <ns0:mergeCell ref="O13:P13"/>
    <ns0:mergeCell ref="Q13:R13"/>
    <ns0:mergeCell ref="O3:O4"/>
    <ns0:mergeCell ref="C1:C2"/>
    <ns0:mergeCell ref="D1:D2"/>
    <ns0:mergeCell ref="E1:E2"/>
    <ns0:mergeCell ref="F1:F2"/>
    <ns0:mergeCell ref="G1:G2"/>
    <ns0:mergeCell ref="O25:P25"/>
    <ns0:mergeCell ref="Q25:R25"/>
    <ns0:mergeCell ref="O26:P26"/>
    <ns0:mergeCell ref="Q26:R26"/>
    <ns0:mergeCell ref="O17:P17"/>
    <ns0:mergeCell ref="Q17:R17"/>
    <ns0:mergeCell ref="O18:P18"/>
    <ns0:mergeCell ref="Q18:R18"/>
    <ns0:mergeCell ref="O19:P19"/>
    <ns0:mergeCell ref="Q19:R19"/>
    <ns0:mergeCell ref="O20:P20"/>
    <ns0:mergeCell ref="Q20:R20"/>
    <ns0:mergeCell ref="O21:P21"/>
    <ns0:mergeCell ref="Q21:R21"/>
    <ns0:mergeCell ref="S27:V27"/>
    <ns0:mergeCell ref="O35:P35"/>
    <ns0:mergeCell ref="O22:P22"/>
    <ns0:mergeCell ref="Q22:R22"/>
    <ns0:mergeCell ref="O23:P23"/>
    <ns0:mergeCell ref="Q23:R23"/>
    <ns0:mergeCell ref="O24:P24"/>
    <ns0:mergeCell ref="Q24:R24"/>
    <ns0:mergeCell ref="O31:P31"/>
    <ns0:mergeCell ref="Q31:R31"/>
    <ns0:mergeCell ref="O33:P34"/>
    <ns0:mergeCell ref="Q33:R34"/>
    <ns0:mergeCell ref="Q35:R35"/>
    <ns0:mergeCell ref="O27:P27"/>
    <ns0:mergeCell ref="Q27:R27"/>
    <ns0:mergeCell ref="O28:P28"/>
    <ns0:mergeCell ref="Q28:R28"/>
    <ns0:mergeCell ref="O29:P29"/>
    <ns0:mergeCell ref="Q29:R29"/>
    <ns0:mergeCell ref="O42:P42"/>
    <ns0:mergeCell ref="Q42:V42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U38:V38"/>
    <ns0:mergeCell ref="S39:T39"/>
    <ns0:mergeCell ref="U39:V39"/>
    <ns0:mergeCell ref="S38:T38"/>
    <ns0:mergeCell ref="U33:V34"/>
    <ns0:mergeCell ref="S33:T34"/>
    <ns0:mergeCell ref="U37:V37"/>
    <ns0:mergeCell ref="S35:T35"/>
    <ns0:mergeCell ref="U35:V35"/>
    <ns0:mergeCell ref="S36:T36"/>
    <ns0:mergeCell ref="U36:V36"/>
    <ns0:mergeCell ref="S37:T37"/>
  </ns0:mergeCells>
  <ns0:dataValidations count="61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834F483C-C922-3C4D-B8F1-FBFA68547219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4C753EDB-44DD-9343-9BE9-321F667DB65A}">
      <ns0:formula1>KV_DD_FEBRUAR_3</ns0:formula1>
    </ns0:dataValidation>
    <ns0:dataValidation type="list" allowBlank="1" showInputMessage="1" showErrorMessage="1" sqref="F4" ns2:uid="{537869AE-BC6E-CC45-8820-65764D5F723B}">
      <ns0:formula1>KV_DD_FEBRUAR_4</ns0:formula1>
    </ns0:dataValidation>
    <ns0:dataValidation type="list" allowBlank="1" showInputMessage="1" showErrorMessage="1" sqref="F5" ns2:uid="{46422199-7754-A441-B6F5-EF60B7C9CEA7}">
      <ns0:formula1>KV_DD_FEBRUAR_5</ns0:formula1>
    </ns0:dataValidation>
    <ns0:dataValidation type="list" allowBlank="1" showInputMessage="1" showErrorMessage="1" sqref="F6" ns2:uid="{93786A49-2993-7E40-8F98-25FB5F227EA4}">
      <ns0:formula1>KV_DD_FEBRUAR_6</ns0:formula1>
    </ns0:dataValidation>
    <ns0:dataValidation type="list" allowBlank="1" showInputMessage="1" showErrorMessage="1" sqref="F7" ns2:uid="{5ECE8C42-433C-954C-82AB-6C51A0905E4E}">
      <ns0:formula1>KV_DD_FEBRUAR_7</ns0:formula1>
    </ns0:dataValidation>
    <ns0:dataValidation type="list" allowBlank="1" showInputMessage="1" showErrorMessage="1" sqref="F8" ns2:uid="{77111411-777A-5B4B-8D40-E1CAD16E62C6}">
      <ns0:formula1>KV_DD_FEBRUAR_8</ns0:formula1>
    </ns0:dataValidation>
    <ns0:dataValidation type="list" allowBlank="1" showInputMessage="1" showErrorMessage="1" sqref="F9" ns2:uid="{480AC1C2-E436-1C48-9F91-698DC48A01C3}">
      <ns0:formula1>KV_DD_FEBRUAR_9</ns0:formula1>
    </ns0:dataValidation>
    <ns0:dataValidation type="list" allowBlank="1" showInputMessage="1" showErrorMessage="1" sqref="F10" ns2:uid="{2FFD2AAF-BDD1-DA49-A8DF-FCB4FB15E919}">
      <ns0:formula1>KV_DD_FEBRUAR_10</ns0:formula1>
    </ns0:dataValidation>
    <ns0:dataValidation type="list" allowBlank="1" showInputMessage="1" showErrorMessage="1" sqref="F11" ns2:uid="{B09AD5F7-026A-3B4A-9ECD-FD90E7A111E4}">
      <ns0:formula1>KV_DD_FEBRUAR_11</ns0:formula1>
    </ns0:dataValidation>
    <ns0:dataValidation type="list" allowBlank="1" showInputMessage="1" showErrorMessage="1" sqref="F12" ns2:uid="{037AB99D-BF99-CF4C-B634-95725C3E7EF8}">
      <ns0:formula1>KV_DD_FEBRUAR_12</ns0:formula1>
    </ns0:dataValidation>
    <ns0:dataValidation type="list" allowBlank="1" showInputMessage="1" showErrorMessage="1" sqref="F13" ns2:uid="{ABD7AC04-3733-AC43-A75E-1324B78E1422}">
      <ns0:formula1>KV_DD_FEBRUAR_13</ns0:formula1>
    </ns0:dataValidation>
    <ns0:dataValidation type="list" allowBlank="1" showInputMessage="1" showErrorMessage="1" sqref="F14" ns2:uid="{FA67E6D1-773E-034E-97E3-3922163B4F92}">
      <ns0:formula1>KV_DD_FEBRUAR_14</ns0:formula1>
    </ns0:dataValidation>
    <ns0:dataValidation type="list" allowBlank="1" showInputMessage="1" showErrorMessage="1" sqref="F15" ns2:uid="{05C667FE-BD5E-FB46-9290-17F7FE93B975}">
      <ns0:formula1>KV_DD_FEBRUAR_15</ns0:formula1>
    </ns0:dataValidation>
    <ns0:dataValidation type="list" allowBlank="1" showInputMessage="1" showErrorMessage="1" sqref="F16" ns2:uid="{5E4904D6-31A2-564F-98E5-B1C8E1DD7033}">
      <ns0:formula1>KV_DD_FEBRUAR_16</ns0:formula1>
    </ns0:dataValidation>
    <ns0:dataValidation type="list" allowBlank="1" showInputMessage="1" showErrorMessage="1" sqref="F17" ns2:uid="{5BED0751-8F10-2E43-AA6B-E7B3A38A2876}">
      <ns0:formula1>KV_DD_FEBRUAR_17</ns0:formula1>
    </ns0:dataValidation>
    <ns0:dataValidation type="list" allowBlank="1" showInputMessage="1" showErrorMessage="1" sqref="F18" ns2:uid="{1644BF23-620D-9B4E-9C03-97F702A7AED1}">
      <ns0:formula1>KV_DD_FEBRUAR_18</ns0:formula1>
    </ns0:dataValidation>
    <ns0:dataValidation type="list" allowBlank="1" showInputMessage="1" showErrorMessage="1" sqref="F19" ns2:uid="{7C9A3CAF-5EFF-324D-8BE4-C4B239E37891}">
      <ns0:formula1>KV_DD_FEBRUAR_19</ns0:formula1>
    </ns0:dataValidation>
    <ns0:dataValidation type="list" allowBlank="1" showInputMessage="1" showErrorMessage="1" sqref="F20" ns2:uid="{C759B474-3BBB-014D-822F-43E2F89C1A85}">
      <ns0:formula1>KV_DD_FEBRUAR_20</ns0:formula1>
    </ns0:dataValidation>
    <ns0:dataValidation type="list" allowBlank="1" showInputMessage="1" showErrorMessage="1" sqref="F21" ns2:uid="{538F4B2D-5110-8D41-B61B-284425743A44}">
      <ns0:formula1>KV_DD_FEBRUAR_21</ns0:formula1>
    </ns0:dataValidation>
    <ns0:dataValidation type="list" allowBlank="1" showInputMessage="1" showErrorMessage="1" sqref="F22" ns2:uid="{3C4C3886-A03D-E844-9EFE-653511BFFDB4}">
      <ns0:formula1>KV_DD_FEBRUAR_22</ns0:formula1>
    </ns0:dataValidation>
    <ns0:dataValidation type="list" allowBlank="1" showInputMessage="1" showErrorMessage="1" sqref="F23" ns2:uid="{FC489A44-6076-684F-9081-7A91D5A1E304}">
      <ns0:formula1>KV_DD_FEBRUAR_23</ns0:formula1>
    </ns0:dataValidation>
    <ns0:dataValidation type="list" allowBlank="1" showInputMessage="1" showErrorMessage="1" sqref="F24" ns2:uid="{CBCE5FD7-742C-2445-9638-DF8525904AC0}">
      <ns0:formula1>KV_DD_FEBRUAR_24</ns0:formula1>
    </ns0:dataValidation>
    <ns0:dataValidation type="list" allowBlank="1" showInputMessage="1" showErrorMessage="1" sqref="F25" ns2:uid="{903A03E5-5EEB-3246-B0B9-18AF52B30FA4}">
      <ns0:formula1>KV_DD_FEBRUAR_25</ns0:formula1>
    </ns0:dataValidation>
    <ns0:dataValidation type="list" allowBlank="1" showInputMessage="1" showErrorMessage="1" sqref="F26" ns2:uid="{6FA50965-FB88-074A-A2FC-59436A69D53B}">
      <ns0:formula1>KV_DD_FEBRUAR_26</ns0:formula1>
    </ns0:dataValidation>
    <ns0:dataValidation type="list" allowBlank="1" showInputMessage="1" showErrorMessage="1" sqref="F27" ns2:uid="{20F2F035-8E9C-F849-8842-E7510A576E67}">
      <ns0:formula1>KV_DD_FEBRUAR_27</ns0:formula1>
    </ns0:dataValidation>
    <ns0:dataValidation type="list" allowBlank="1" showInputMessage="1" showErrorMessage="1" sqref="F28" ns2:uid="{7BD9B2AD-0CE9-BE40-8129-5DC1CB942EFF}">
      <ns0:formula1>KV_DD_FEBRUAR_28</ns0:formula1>
    </ns0:dataValidation>
    <ns0:dataValidation type="list" allowBlank="1" showInputMessage="1" showErrorMessage="1" sqref="F29" ns2:uid="{38230D19-0EBB-614C-8967-6BADF15E7FF7}">
      <ns0:formula1>KV_DD_FEBRUAR_29</ns0:formula1>
    </ns0:dataValidation>
    <ns0:dataValidation type="list" allowBlank="1" showInputMessage="1" showErrorMessage="1" sqref="F30" ns2:uid="{10457BEE-64B4-4242-A3A1-265A80EFA051}">
      <ns0:formula1>KV_DD_FEBRUAR_30</ns0:formula1>
    </ns0:dataValidation>
    <ns0:dataValidation type="list" allowBlank="1" showInputMessage="1" showErrorMessage="1" sqref="F31" ns2:uid="{28683BFD-20FE-4B4C-8FE6-72B6C82D573C}">
      <ns0:formula1>KV_DD_FEBRUAR_31</ns0:formula1>
    </ns0:dataValidation>
    <ns0:dataValidation type="list" allowBlank="1" showInputMessage="1" showErrorMessage="1" sqref="F32" ns2:uid="{0A42B895-70E1-6B49-809A-ABE371C72F22}">
      <ns0:formula1>KV_DD_FEBRUAR_32</ns0:formula1>
    </ns0:dataValidation>
    <ns0:dataValidation type="list" allowBlank="1" showInputMessage="1" showErrorMessage="1" sqref="F33" ns2:uid="{5B03ED83-99B3-9941-A8CF-FCBB261742F7}">
      <ns0:formula1>KV_DD_FEBRUAR_33</ns0:formula1>
    </ns0:dataValidation>
    <ns0:dataValidation type="list" allowBlank="1" showInputMessage="1" showErrorMessage="1" sqref="F34" ns2:uid="{A6394C42-43C8-7F45-ABD2-AF3E4B8EB587}">
      <ns0:formula1>KV_DD_FEBRUAR_34</ns0:formula1>
    </ns0:dataValidation>
    <ns0:dataValidation type="list" allowBlank="1" showInputMessage="1" showErrorMessage="1" sqref="F35" ns2:uid="{6DFFDAF5-F38B-2541-943E-B161F9782C8F}">
      <ns0:formula1>KV_DD_FEBRUAR_35</ns0:formula1>
    </ns0:dataValidation>
    <ns0:dataValidation type="list" allowBlank="1" showInputMessage="1" showErrorMessage="1" sqref="F36" ns2:uid="{D67C2BE3-3368-3A4B-AC6A-81653810F9B8}">
      <ns0:formula1>KV_DD_FEBRUAR_36</ns0:formula1>
    </ns0:dataValidation>
    <ns0:dataValidation type="list" allowBlank="1" showInputMessage="1" showErrorMessage="1" sqref="F37" ns2:uid="{0A8E6DED-C6B0-F14D-8754-710F4B4DE491}">
      <ns0:formula1>KV_DD_FEBRUAR_37</ns0:formula1>
    </ns0:dataValidation>
    <ns0:dataValidation type="list" allowBlank="1" showInputMessage="1" showErrorMessage="1" sqref="F38" ns2:uid="{ADA272CE-A59D-5545-9D0B-6E25785CCD15}">
      <ns0:formula1>KV_DD_FEBRUAR_38</ns0:formula1>
    </ns0:dataValidation>
    <ns0:dataValidation type="list" allowBlank="1" showInputMessage="1" showErrorMessage="1" sqref="F39" ns2:uid="{D03B2254-6E60-9048-A3DF-D3B2F69F27EE}">
      <ns0:formula1>KV_DD_FEBRUAR_39</ns0:formula1>
    </ns0:dataValidation>
    <ns0:dataValidation type="list" allowBlank="1" showInputMessage="1" showErrorMessage="1" sqref="F40" ns2:uid="{64153BBD-3D03-A54A-B037-968CD079499C}">
      <ns0:formula1>KV_DD_FEBRUAR_40</ns0:formula1>
    </ns0:dataValidation>
    <ns0:dataValidation type="list" allowBlank="1" showInputMessage="1" showErrorMessage="1" sqref="F41" ns2:uid="{4C797A71-E0D5-0B4A-8470-D3A1DFA79934}">
      <ns0:formula1>KV_DD_FEBRUAR_41</ns0:formula1>
    </ns0:dataValidation>
    <ns0:dataValidation type="list" allowBlank="1" showInputMessage="1" showErrorMessage="1" sqref="F42" ns2:uid="{6124A100-F1EE-C542-929C-434FFA09C054}">
      <ns0:formula1>KV_DD_FEBRUAR_42</ns0:formula1>
    </ns0:dataValidation>
    <ns0:dataValidation type="list" allowBlank="1" showInputMessage="1" showErrorMessage="1" sqref="F43" ns2:uid="{63C12324-BBA7-F74D-BF1D-B3EF1BC839B1}">
      <ns0:formula1>KV_DD_FEBRUAR_43</ns0:formula1>
    </ns0:dataValidation>
    <ns0:dataValidation type="list" allowBlank="1" showInputMessage="1" showErrorMessage="1" sqref="F44" ns2:uid="{423104CA-5547-9843-87D0-C4332F2945CB}">
      <ns0:formula1>KV_DD_FEBRUAR_44</ns0:formula1>
    </ns0:dataValidation>
    <ns0:dataValidation type="list" allowBlank="1" showInputMessage="1" showErrorMessage="1" sqref="F45" ns2:uid="{D1EC661F-8C41-7747-AD71-A4D3ED6DDB16}">
      <ns0:formula1>KV_DD_FEBRUAR_45</ns0:formula1>
    </ns0:dataValidation>
    <ns0:dataValidation type="list" allowBlank="1" showInputMessage="1" showErrorMessage="1" sqref="F46" ns2:uid="{3B8A52A0-0D0C-7B40-82FA-587861C6F907}">
      <ns0:formula1>KV_DD_FEBRUAR_46</ns0:formula1>
    </ns0:dataValidation>
    <ns0:dataValidation type="list" allowBlank="1" showInputMessage="1" showErrorMessage="1" sqref="F47" ns2:uid="{1FBBFA51-ADA0-1C42-95B2-06596694990A}">
      <ns0:formula1>KV_DD_FEBRUAR_47</ns0:formula1>
    </ns0:dataValidation>
    <ns0:dataValidation type="list" allowBlank="1" showInputMessage="1" showErrorMessage="1" sqref="F48" ns2:uid="{BB2B513C-130A-EE47-B6C6-6A1CB8468C87}">
      <ns0:formula1>KV_DD_FEBRUAR_48</ns0:formula1>
    </ns0:dataValidation>
    <ns0:dataValidation type="list" allowBlank="1" showInputMessage="1" showErrorMessage="1" sqref="F49" ns2:uid="{91B390CD-CD76-2344-B026-1BCA8DCD62AB}">
      <ns0:formula1>KV_DD_FEBRUAR_49</ns0:formula1>
    </ns0:dataValidation>
    <ns0:dataValidation type="list" allowBlank="1" showInputMessage="1" showErrorMessage="1" sqref="F50" ns2:uid="{2263494B-C686-4D4A-93C2-8F17C5FF746D}">
      <ns0:formula1>KV_DD_FEBRUAR_50</ns0:formula1>
    </ns0:dataValidation>
    <ns0:dataValidation type="list" allowBlank="1" showInputMessage="1" showErrorMessage="1" sqref="F51" ns2:uid="{5BAE8CC1-BC1C-B341-B28A-11E312825464}">
      <ns0:formula1>KV_DD_FEBRUAR_51</ns0:formula1>
    </ns0:dataValidation>
    <ns0:dataValidation type="list" allowBlank="1" showInputMessage="1" showErrorMessage="1" sqref="F52" ns2:uid="{DBD620CA-40CF-AD44-BB68-13F325F4221E}">
      <ns0:formula1>KV_DD_FEBRUAR_52</ns0:formula1>
    </ns0:dataValidation>
    <ns0:dataValidation type="list" allowBlank="1" showInputMessage="1" showErrorMessage="1" sqref="F53" ns2:uid="{51B4EAEB-76E9-464C-BA78-1EF8241A6496}">
      <ns0:formula1>KV_DD_FEBRUAR_53</ns0:formula1>
    </ns0:dataValidation>
    <ns0:dataValidation type="list" allowBlank="1" showInputMessage="1" showErrorMessage="1" sqref="F54" ns2:uid="{31CD400B-38F2-0041-B73B-F518BD44A17C}">
      <ns0:formula1>KV_DD_FEBRUAR_54</ns0:formula1>
    </ns0:dataValidation>
    <ns0:dataValidation type="list" allowBlank="1" showInputMessage="1" showErrorMessage="1" sqref="F55" ns2:uid="{49A924C5-8C60-2A47-B247-4180B46C50A0}">
      <ns0:formula1>KV_DD_FEBRUAR_55</ns0:formula1>
    </ns0:dataValidation>
    <ns0:dataValidation type="list" allowBlank="1" showInputMessage="1" showErrorMessage="1" sqref="F56" ns2:uid="{9FB9A85B-1E93-4741-A715-D036190059DB}">
      <ns0:formula1>KV_DD_FEBRUAR_56</ns0:formula1>
    </ns0:dataValidation>
    <ns0:dataValidation type="list" allowBlank="1" showInputMessage="1" showErrorMessage="1" sqref="F57" ns2:uid="{1EE6BA0D-DC24-6948-B15D-FD29EF087E6A}">
      <ns0:formula1>KV_DD_FEBRUAR_57</ns0:formula1>
    </ns0:dataValidation>
    <ns0:dataValidation type="list" allowBlank="1" showInputMessage="1" showErrorMessage="1" sqref="F58" ns2:uid="{1E235BA7-9DDC-9242-82FC-2AF89E2FFD46}">
      <ns0:formula1>KV_DD_FEBRUAR_58</ns0:formula1>
    </ns0:dataValidation>
    <ns0:dataValidation type="list" allowBlank="1" showInputMessage="1" showErrorMessage="1" sqref="F59" ns2:uid="{DD1BE7FF-459F-1348-9387-4AA57D44CD2E}">
      <ns0:formula1>KV_DD_FEBRUAR_59</ns0:formula1>
    </ns0:dataValidation>
    <ns0:dataValidation type="list" allowBlank="1" showInputMessage="1" showErrorMessage="1" sqref="F60" ns2:uid="{B79E711E-1A67-D844-B724-242DC4A95F35}">
      <ns0:formula1>KV_DD_FEBRUAR_60</ns0:formula1>
    </ns0:dataValidation>
    <ns0:dataValidation type="list" allowBlank="1" showInputMessage="1" showErrorMessage="1" sqref="F61" ns2:uid="{18BEE8DA-74CA-472A-AF4E-E99414C58015}">
      <ns0:formula1>KV_DD_FEBRUAR_61</ns0:formula1>
    </ns0:dataValidation>
    <ns0:dataValidation type="date" allowBlank="1" showDropDown="1" showErrorMessage="1" sqref="I3:I82" ns2:uid="{DD85A82A-9461-C441-9D37-F8A57730742D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0242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19</ns4:col>
                    <ns4:colOff>114300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057B58AC-8252-4C40-AA96-453A8BEE2F0D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7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DF20595C-6B7B-4F68-9998-06D15D0933ED}">
  <ns0:sheetPr codeName="Tabelle5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 activeCell="E23" sqref="E23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3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46082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46112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2021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872.72021393669127</ns0:v>
      </ns0:c>
      <ns0:c r="P5" s="15">
        <ns0:f>EINSTELLUNG!I8</ns0:f>
        <ns0:v>3</ns0:v>
      </ns0:c>
      <ns0:c r="Q5" s="14">
        <ns0:f>P5-O5</ns0:f>
        <ns0:v>-869.72021393669127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8920.8000000000011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EINSTELLUNG!L24</ns0:f>
        <ns0:v>3</ns0:v>
      </ns0:c>
      <ns0:c r="R9" s="248"/>
      <ns0:c r="S9" s="19">
        <ns0:f>IFERROR(Q9/Q8, 0)</ns0:f>
        <ns0:v>3.3629270917406509E-4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EINSTELLUNG!I24</ns0:f>
        <ns0:v>3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3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>
        <ns0:v>-445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9356.8000000000011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EINSTELLUNG!L8</ns0:f>
        <ns0:v>3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9353.8000000000011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2021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2021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68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2021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2021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2021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2021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2021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EINSTELLUNG!O8</ns0:f>
        <ns0:v>3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1.6949152542372881E-2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2021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2021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EINSTELLUNG!C8</ns0:f>
        <ns0:v>3</ns0:v>
      </ns0:c>
      <ns0:c r="R35" s="218"/>
      <ns0:c r="S35" s="218">
        <ns0:f>EINSTELLUNG!C24</ns0:f>
        <ns0:v>3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EINSTELLUNG!D8</ns0:f>
        <ns0:v>3</ns0:v>
      </ns0:c>
      <ns0:c r="R36" s="218"/>
      <ns0:c r="S36" s="218" cm="1">
        <ns0:f t="array" ref="S36">SumMergedCells(Q17:R29)</ns0:f>
        <ns0:v>5003</ns0:v>
      </ns0:c>
      <ns0:c r="T36" s="218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1667.6666666666667</ns0:v>
      </ns0:c>
      <ns0:c r="T37" s="226"/>
      <ns0:c r="U37" s="227">
        <ns0:f t="shared" si="2"/>
        <ns0:v>1666.6666666666667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2021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EINSTELLUNG!F8</ns0:f>
        <ns0:v>3</ns0:v>
      </ns0:c>
      <ns0:c r="R38" s="219"/>
      <ns0:c r="S38" s="219">
        <ns0:f>EINSTELLUNG!F24</ns0:f>
        <ns0:v>3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IF(Q13=0, 0, Q35/Q13)</ns0:f>
        <ns0:v>3.2062243502051978E-4</ns0:v>
      </ns0:c>
      <ns0:c r="R40" s="218"/>
      <ns0:c r="S40" s="218">
        <ns0:f>IF(Q13=0, 0, S35/Q13)</ns0:f>
        <ns0:v>3.2062243502051978E-4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IF(Q13=0, 0, Q38/Q13)</ns0:f>
        <ns0:v>3.2062243502051978E-4</ns0:v>
      </ns0:c>
      <ns0:c r="R41" s="219"/>
      <ns0:c r="S41" s="219">
        <ns0:f>IF(Q13=0, 0, S38/Q13)</ns0:f>
        <ns0:v>3.2062243502051978E-4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151.38</ns0:v>
      </ns0:c>
      <ns0:c r="G42" s="116">
        <ns0:f>IF(OR(E42="",F42=""),"",PID_KVLohnLookup($A$1,E42,F42,LOHNTABELLE!$H$4))</ns0:f>
        <ns0:v>1768.38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151.38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138.4</ns0:v>
      </ns0:c>
      <ns0:c r="G44" s="116">
        <ns0:f>IF(OR(E44="",F44=""),"",PID_KVLohnLookup($A$1,E44,F44,LOHNTABELLE!$H$4))</ns0:f>
        <ns0:v>1616.8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138.4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1010.5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401754</ns0:v>
      </ns0:c>
      <ns0:c r="C54" s="68" t="s">
        <ns0:v>286</ns0:v>
      </ns0:c>
      <ns0:c r="D54" s="123">
        <ns0:v>46014</ns0:v>
      </ns0:c>
      <ns0:c r="E54" s="65" t="s">
        <ns0:v>2</ns0:v>
      </ns0:c>
      <ns0:c r="F54" s="67">
        <ns0:v>86.5</ns0:v>
      </ns0:c>
      <ns0:c r="G54" s="116">
        <ns0:f>IF(OR(E54="",F54=""),"",PID_KVLohnLookup($A$1,E54,F54,LOHNTABELLE!$H$4))</ns0:f>
        <ns0:v>1010.5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41.85</ns0:v>
      </ns0:c>
      <ns0:c r="I54" s="126">
        <ns0:v>46096</ns0:v>
      </ns0:c>
      <ns0:c r="J54" s="66">
        <ns0:v>8</ns0:v>
      </ns0:c>
      <ns0:c r="K54" s="92">
        <ns0:f t="shared" si="1"/>
        <ns0:v>260.77419354838707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 t="s">
        <ns0:v>205</ns0:v>
      </ns0:c>
    </ns0:row>
    <ns0:row r="55" spans="1:14" ht="16" customHeight="1">
      <ns0:c r="A55" s="61" t="s">
        <ns0:v>129</ns0:v>
      </ns0:c>
      <ns0:c r="B55" s="101">
        <ns0:v>401999</ns0:v>
      </ns0:c>
      <ns0:c r="C55" s="68" t="s">
        <ns0:v>319</ns0:v>
      </ns0:c>
      <ns0:c r="D55" s="123">
        <ns0:v>46082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2021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2021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70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2021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503000</ns0:v>
      </ns0:c>
      <ns0:c r="C58" s="68" t="s">
        <ns0:v>332</ns0:v>
      </ns0:c>
      <ns0:c r="D58" s="123">
        <ns0:v>42401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2021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504000</ns0:v>
      </ns0:c>
      <ns0:c r="C59" s="68" t="s">
        <ns0:v>333</ns0:v>
      </ns0:c>
      <ns0:c r="D59" s="123">
        <ns0:v>46054</ns0:v>
      </ns0:c>
      <ns0:c r="E59" s="65" t="s">
        <ns0:v>3</ns0:v>
      </ns0:c>
      <ns0:c r="F59" s="67">
        <ns0:v>138.4</ns0:v>
      </ns0:c>
      <ns0:c r="G59" s="116">
        <ns0:f>IF(OR(E59="",F59=""),"",PID_KVLohnLookup($A$1,E59,F59,LOHNTABELLE!$H$4))</ns0:f>
        <ns0:v>1665.6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505000</ns0:v>
      </ns0:c>
      <ns0:c r="C60" s="68" t="s">
        <ns0:v>334</ns0:v>
      </ns0:c>
      <ns0:c r="D60" s="123">
        <ns0:v>46054</ns0:v>
      </ns0:c>
      <ns0:c r="E60" s="65" t="s">
        <ns0:v>2</ns0:v>
      </ns0:c>
      <ns0:c r="F60" s="67">
        <ns0:v>138.4</ns0:v>
      </ns0:c>
      <ns0:c r="G60" s="116">
        <ns0:f>IF(OR(E60="",F60=""),"",PID_KVLohnLookup($A$1,E60,F60,LOHNTABELLE!$H$4))</ns0:f>
        <ns0:v>1616.8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173</ns0:v>
      </ns0:c>
      <ns0:c r="G61" s="116">
        <ns0:f>IF(OR(E61="",F61=""),"",PID_KVLohnLookup($A$1,E61,F61,LOHNTABELLE!$H$4))</ns0:f>
        <ns0:v>2021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>
        <ns0:v>800000</ns0:v>
      </ns0:c>
      <ns0:c r="C62" s="68" t="s">
        <ns0:v>348</ns0:v>
      </ns0:c>
      <ns0:c r="D62" s="123">
        <ns0:v>46096</ns0:v>
      </ns0:c>
      <ns0:c r="E62" s="65" t="s">
        <ns0:v>2</ns0:v>
      </ns0:c>
      <ns0:c r="F62" s="67">
        <ns0:v>173</ns0:v>
      </ns0:c>
      <ns0:c r="G62" s="116">
        <ns0:f>IF(OR(E62="",F62=""),"",PID_KVLohnLookup($A$1,E62,F62,LOHNTABELLE!$H$4))</ns0:f>
        <ns0:v>2021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94.87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</ns0:sheetData>
  <ns0:sheetProtection algorithmName="SHA-512" hashValue="mXIXKG30k4b2GKoYC4YoiDPb7LSP4PpnPf8nEfyp0kdZqwgngH5R0o7S8yM2eog3bYJqOrZuQS9AeXWLMvZBhg==" saltValue="9zlsDIue5AiBKP7E1bZHoA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H1:H2"/>
    <ns0:mergeCell ref="C1:C2"/>
    <ns0:mergeCell ref="D1:D2"/>
    <ns0:mergeCell ref="E1:E2"/>
    <ns0:mergeCell ref="F1:F2"/>
    <ns0:mergeCell ref="G1:G2"/>
    <ns0:mergeCell ref="O16:R16"/>
    <ns0:mergeCell ref="Q3:Q4"/>
    <ns0:mergeCell ref="R3:R4"/>
    <ns0:mergeCell ref="O6:R6"/>
    <ns0:mergeCell ref="O8:P8"/>
    <ns0:mergeCell ref="Q8:R8"/>
    <ns0:mergeCell ref="O12:P12"/>
    <ns0:mergeCell ref="Q12:R12"/>
    <ns0:mergeCell ref="Q9:R9"/>
    <ns0:mergeCell ref="O10:P10"/>
    <ns0:mergeCell ref="Q10:R10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11:P11"/>
    <ns0:mergeCell ref="Q11:R11"/>
    <ns0:mergeCell ref="O13:P13"/>
    <ns0:mergeCell ref="Q13:R13"/>
    <ns0:mergeCell ref="O14:P14"/>
    <ns0:mergeCell ref="Q14:R14"/>
    <ns0:mergeCell ref="O15:P15"/>
    <ns0:mergeCell ref="Q15:R15"/>
    <ns0:mergeCell ref="O17:P17"/>
    <ns0:mergeCell ref="Q17:R17"/>
    <ns0:mergeCell ref="O18:P18"/>
    <ns0:mergeCell ref="Q18:R18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C2C64B2F-7D14-2C4C-ADDB-1E663902A46A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05EDB937-6384-A94F-BADA-5A43074F0B86}">
      <ns0:formula1>KV_DD_MARZ_3</ns0:formula1>
    </ns0:dataValidation>
    <ns0:dataValidation type="list" allowBlank="1" showInputMessage="1" showErrorMessage="1" sqref="F4" ns2:uid="{FADAD080-A45A-904B-840F-BA598E7D6C23}">
      <ns0:formula1>KV_DD_MARZ_4</ns0:formula1>
    </ns0:dataValidation>
    <ns0:dataValidation type="list" allowBlank="1" showInputMessage="1" showErrorMessage="1" sqref="F5" ns2:uid="{A0022542-8E36-D040-8A1B-7105160162EC}">
      <ns0:formula1>KV_DD_MARZ_5</ns0:formula1>
    </ns0:dataValidation>
    <ns0:dataValidation type="list" allowBlank="1" showInputMessage="1" showErrorMessage="1" sqref="F6" ns2:uid="{4F2D8BBF-C601-F647-8FF0-BFCA9060DFCD}">
      <ns0:formula1>KV_DD_MARZ_6</ns0:formula1>
    </ns0:dataValidation>
    <ns0:dataValidation type="list" allowBlank="1" showInputMessage="1" showErrorMessage="1" sqref="F7" ns2:uid="{647A791F-6703-354A-BFC8-D273184D863B}">
      <ns0:formula1>KV_DD_MARZ_7</ns0:formula1>
    </ns0:dataValidation>
    <ns0:dataValidation type="list" allowBlank="1" showInputMessage="1" showErrorMessage="1" sqref="F8" ns2:uid="{A64FFE14-34CA-8B4F-9E40-9312722AFDBE}">
      <ns0:formula1>KV_DD_MARZ_8</ns0:formula1>
    </ns0:dataValidation>
    <ns0:dataValidation type="list" allowBlank="1" showInputMessage="1" showErrorMessage="1" sqref="F9" ns2:uid="{096E3875-0DB7-C04B-9A6C-DEC48929D9CC}">
      <ns0:formula1>KV_DD_MARZ_9</ns0:formula1>
    </ns0:dataValidation>
    <ns0:dataValidation type="list" allowBlank="1" showInputMessage="1" showErrorMessage="1" sqref="F10" ns2:uid="{D43251D3-EC88-9544-9B9B-31A7B2FBAE78}">
      <ns0:formula1>KV_DD_MARZ_10</ns0:formula1>
    </ns0:dataValidation>
    <ns0:dataValidation type="list" allowBlank="1" showInputMessage="1" showErrorMessage="1" sqref="F11" ns2:uid="{0A370C0E-CD92-BD41-A002-D4697FD67CF2}">
      <ns0:formula1>KV_DD_MARZ_11</ns0:formula1>
    </ns0:dataValidation>
    <ns0:dataValidation type="list" allowBlank="1" showInputMessage="1" showErrorMessage="1" sqref="F12" ns2:uid="{7DBEE388-FE93-3F4E-B64D-1BAC3F8D5D1F}">
      <ns0:formula1>KV_DD_MARZ_12</ns0:formula1>
    </ns0:dataValidation>
    <ns0:dataValidation type="list" allowBlank="1" showInputMessage="1" showErrorMessage="1" sqref="F13" ns2:uid="{B75BED5C-8D8A-4A4E-8BD2-8B978C188A84}">
      <ns0:formula1>KV_DD_MARZ_13</ns0:formula1>
    </ns0:dataValidation>
    <ns0:dataValidation type="list" allowBlank="1" showInputMessage="1" showErrorMessage="1" sqref="F14" ns2:uid="{1064DC0C-18A2-2142-8C05-CFCDFDB83C91}">
      <ns0:formula1>KV_DD_MARZ_14</ns0:formula1>
    </ns0:dataValidation>
    <ns0:dataValidation type="list" allowBlank="1" showInputMessage="1" showErrorMessage="1" sqref="F15" ns2:uid="{C25E7601-31E5-5042-A6E6-DFC08E0BF158}">
      <ns0:formula1>KV_DD_MARZ_15</ns0:formula1>
    </ns0:dataValidation>
    <ns0:dataValidation type="list" allowBlank="1" showInputMessage="1" showErrorMessage="1" sqref="F16" ns2:uid="{892CC97F-727C-DA4A-A450-D2DA5B64BB5A}">
      <ns0:formula1>KV_DD_MARZ_16</ns0:formula1>
    </ns0:dataValidation>
    <ns0:dataValidation type="list" allowBlank="1" showInputMessage="1" showErrorMessage="1" sqref="F17" ns2:uid="{37B8A3F8-4E97-7646-BF25-A17AFC4768DA}">
      <ns0:formula1>KV_DD_MARZ_17</ns0:formula1>
    </ns0:dataValidation>
    <ns0:dataValidation type="list" allowBlank="1" showInputMessage="1" showErrorMessage="1" sqref="F18" ns2:uid="{1BED2DD4-57B5-9749-8C57-7D7DE105E7B8}">
      <ns0:formula1>KV_DD_MARZ_18</ns0:formula1>
    </ns0:dataValidation>
    <ns0:dataValidation type="list" allowBlank="1" showInputMessage="1" showErrorMessage="1" sqref="F19" ns2:uid="{4ADF56D9-79DD-424D-AD6C-E5CC3BCB346C}">
      <ns0:formula1>KV_DD_MARZ_19</ns0:formula1>
    </ns0:dataValidation>
    <ns0:dataValidation type="list" allowBlank="1" showInputMessage="1" showErrorMessage="1" sqref="F20" ns2:uid="{281F70E3-9067-A049-A712-375CA78856A4}">
      <ns0:formula1>KV_DD_MARZ_20</ns0:formula1>
    </ns0:dataValidation>
    <ns0:dataValidation type="list" allowBlank="1" showInputMessage="1" showErrorMessage="1" sqref="F21" ns2:uid="{71A3ACEE-8FB2-EF46-9C35-6978F986B78A}">
      <ns0:formula1>KV_DD_MARZ_21</ns0:formula1>
    </ns0:dataValidation>
    <ns0:dataValidation type="list" allowBlank="1" showInputMessage="1" showErrorMessage="1" sqref="F22" ns2:uid="{3D85B5B8-9E8C-7F48-AE88-972AD66F5B41}">
      <ns0:formula1>KV_DD_MARZ_22</ns0:formula1>
    </ns0:dataValidation>
    <ns0:dataValidation type="list" allowBlank="1" showInputMessage="1" showErrorMessage="1" sqref="F23" ns2:uid="{F8E741E8-71B2-4640-AF60-DCE154C0590C}">
      <ns0:formula1>KV_DD_MARZ_23</ns0:formula1>
    </ns0:dataValidation>
    <ns0:dataValidation type="list" allowBlank="1" showInputMessage="1" showErrorMessage="1" sqref="F24" ns2:uid="{53FDB4A5-0E8D-E247-AFAB-ADE2799A4949}">
      <ns0:formula1>KV_DD_MARZ_24</ns0:formula1>
    </ns0:dataValidation>
    <ns0:dataValidation type="list" allowBlank="1" showInputMessage="1" showErrorMessage="1" sqref="F25" ns2:uid="{0B1F669E-D10C-1F45-BACB-686361D0EC2A}">
      <ns0:formula1>KV_DD_MARZ_25</ns0:formula1>
    </ns0:dataValidation>
    <ns0:dataValidation type="list" allowBlank="1" showInputMessage="1" showErrorMessage="1" sqref="F26" ns2:uid="{7E8DDA1A-9C91-2042-B623-D7E81B335DE4}">
      <ns0:formula1>KV_DD_MARZ_26</ns0:formula1>
    </ns0:dataValidation>
    <ns0:dataValidation type="list" allowBlank="1" showInputMessage="1" showErrorMessage="1" sqref="F27" ns2:uid="{5CB5A555-D4CD-804D-A3BB-5615188F9402}">
      <ns0:formula1>KV_DD_MARZ_27</ns0:formula1>
    </ns0:dataValidation>
    <ns0:dataValidation type="list" allowBlank="1" showInputMessage="1" showErrorMessage="1" sqref="F28" ns2:uid="{D97D7F22-A8C7-1346-B476-3646E43F00D6}">
      <ns0:formula1>KV_DD_MARZ_28</ns0:formula1>
    </ns0:dataValidation>
    <ns0:dataValidation type="list" allowBlank="1" showInputMessage="1" showErrorMessage="1" sqref="F29" ns2:uid="{4B9B01FE-440D-C44D-8EC1-B6E172AB46E0}">
      <ns0:formula1>KV_DD_MARZ_29</ns0:formula1>
    </ns0:dataValidation>
    <ns0:dataValidation type="list" allowBlank="1" showInputMessage="1" showErrorMessage="1" sqref="F30" ns2:uid="{7BA4BD6F-6F5F-FA4E-93DC-B59F9DC7344D}">
      <ns0:formula1>KV_DD_MARZ_30</ns0:formula1>
    </ns0:dataValidation>
    <ns0:dataValidation type="list" allowBlank="1" showInputMessage="1" showErrorMessage="1" sqref="F31" ns2:uid="{3BDF71AE-2D15-5B4D-ABAC-09718C1DCAA6}">
      <ns0:formula1>KV_DD_MARZ_31</ns0:formula1>
    </ns0:dataValidation>
    <ns0:dataValidation type="list" allowBlank="1" showInputMessage="1" showErrorMessage="1" sqref="F32" ns2:uid="{2E13F390-E9D2-8643-AA96-E750C34A1DB6}">
      <ns0:formula1>KV_DD_MARZ_32</ns0:formula1>
    </ns0:dataValidation>
    <ns0:dataValidation type="list" allowBlank="1" showInputMessage="1" showErrorMessage="1" sqref="F33" ns2:uid="{3A42B839-A8F1-D148-AA01-FA369555AC09}">
      <ns0:formula1>KV_DD_MARZ_33</ns0:formula1>
    </ns0:dataValidation>
    <ns0:dataValidation type="list" allowBlank="1" showInputMessage="1" showErrorMessage="1" sqref="F34" ns2:uid="{308A6FFA-51F9-3C49-AFB8-DF8BF7AD9975}">
      <ns0:formula1>KV_DD_MARZ_34</ns0:formula1>
    </ns0:dataValidation>
    <ns0:dataValidation type="list" allowBlank="1" showInputMessage="1" showErrorMessage="1" sqref="F35" ns2:uid="{98C045FD-E3E5-B140-835D-3C3F58AE293F}">
      <ns0:formula1>KV_DD_MARZ_35</ns0:formula1>
    </ns0:dataValidation>
    <ns0:dataValidation type="list" allowBlank="1" showInputMessage="1" showErrorMessage="1" sqref="F36" ns2:uid="{581AE79B-E44B-794F-A77B-9AE0B547B060}">
      <ns0:formula1>KV_DD_MARZ_36</ns0:formula1>
    </ns0:dataValidation>
    <ns0:dataValidation type="list" allowBlank="1" showInputMessage="1" showErrorMessage="1" sqref="F37" ns2:uid="{26CA3630-1208-2048-BE68-4A882BAD47BD}">
      <ns0:formula1>KV_DD_MARZ_37</ns0:formula1>
    </ns0:dataValidation>
    <ns0:dataValidation type="list" allowBlank="1" showInputMessage="1" showErrorMessage="1" sqref="F38" ns2:uid="{86B70E51-4A46-FD4C-905B-4E0DC0CBB24C}">
      <ns0:formula1>KV_DD_MARZ_38</ns0:formula1>
    </ns0:dataValidation>
    <ns0:dataValidation type="list" allowBlank="1" showInputMessage="1" showErrorMessage="1" sqref="F39" ns2:uid="{70C594DA-D6F4-C04D-B732-F6F2115FDA52}">
      <ns0:formula1>KV_DD_MARZ_39</ns0:formula1>
    </ns0:dataValidation>
    <ns0:dataValidation type="list" allowBlank="1" showInputMessage="1" showErrorMessage="1" sqref="F40" ns2:uid="{32F16A32-9CB3-7545-9324-E0E6C47E4416}">
      <ns0:formula1>KV_DD_MARZ_40</ns0:formula1>
    </ns0:dataValidation>
    <ns0:dataValidation type="list" allowBlank="1" showInputMessage="1" showErrorMessage="1" sqref="F41" ns2:uid="{99A0AF96-B7BF-904A-A70B-1494007672CA}">
      <ns0:formula1>KV_DD_MARZ_41</ns0:formula1>
    </ns0:dataValidation>
    <ns0:dataValidation type="list" allowBlank="1" showInputMessage="1" showErrorMessage="1" sqref="F42" ns2:uid="{59CFE85A-78FD-B046-B1E5-EBE4A97891A2}">
      <ns0:formula1>KV_DD_MARZ_42</ns0:formula1>
    </ns0:dataValidation>
    <ns0:dataValidation type="list" allowBlank="1" showInputMessage="1" showErrorMessage="1" sqref="F43" ns2:uid="{CAE46CC6-0741-0646-AED3-C676A9B2E31F}">
      <ns0:formula1>KV_DD_MARZ_43</ns0:formula1>
    </ns0:dataValidation>
    <ns0:dataValidation type="list" allowBlank="1" showInputMessage="1" showErrorMessage="1" sqref="F44" ns2:uid="{6F06D93E-F271-5842-8594-7E9AC47B1A89}">
      <ns0:formula1>KV_DD_MARZ_44</ns0:formula1>
    </ns0:dataValidation>
    <ns0:dataValidation type="list" allowBlank="1" showInputMessage="1" showErrorMessage="1" sqref="F45" ns2:uid="{0CC345F5-6AD8-704D-AAF5-CC7D58A83197}">
      <ns0:formula1>KV_DD_MARZ_45</ns0:formula1>
    </ns0:dataValidation>
    <ns0:dataValidation type="list" allowBlank="1" showInputMessage="1" showErrorMessage="1" sqref="F46" ns2:uid="{BA04E2C5-1791-2A4F-9ECA-88B96CA0A6B9}">
      <ns0:formula1>KV_DD_MARZ_46</ns0:formula1>
    </ns0:dataValidation>
    <ns0:dataValidation type="list" allowBlank="1" showInputMessage="1" showErrorMessage="1" sqref="F47" ns2:uid="{4DD643EE-72FD-7D4B-982C-FF47124B8254}">
      <ns0:formula1>KV_DD_MARZ_47</ns0:formula1>
    </ns0:dataValidation>
    <ns0:dataValidation type="list" allowBlank="1" showInputMessage="1" showErrorMessage="1" sqref="F48" ns2:uid="{F158B372-34E7-3948-A4EF-C3102D4EA0EE}">
      <ns0:formula1>KV_DD_MARZ_48</ns0:formula1>
    </ns0:dataValidation>
    <ns0:dataValidation type="list" allowBlank="1" showInputMessage="1" showErrorMessage="1" sqref="F49" ns2:uid="{558F6DDF-FCB8-B24E-9B0A-BB3764F1D0DD}">
      <ns0:formula1>KV_DD_MARZ_49</ns0:formula1>
    </ns0:dataValidation>
    <ns0:dataValidation type="list" allowBlank="1" showInputMessage="1" showErrorMessage="1" sqref="F50" ns2:uid="{1885B0B6-F663-9940-AA6E-F570EF320212}">
      <ns0:formula1>KV_DD_MARZ_50</ns0:formula1>
    </ns0:dataValidation>
    <ns0:dataValidation type="list" allowBlank="1" showInputMessage="1" showErrorMessage="1" sqref="F51" ns2:uid="{8B5794B4-D969-B447-BB69-9BE146C0DCD9}">
      <ns0:formula1>KV_DD_MARZ_51</ns0:formula1>
    </ns0:dataValidation>
    <ns0:dataValidation type="list" allowBlank="1" showInputMessage="1" showErrorMessage="1" sqref="F52" ns2:uid="{98606CBE-8AD1-7444-9942-9B6F47FC9935}">
      <ns0:formula1>KV_DD_MARZ_52</ns0:formula1>
    </ns0:dataValidation>
    <ns0:dataValidation type="list" allowBlank="1" showInputMessage="1" showErrorMessage="1" sqref="F53" ns2:uid="{4153FF0A-4EE4-9246-8A11-F3F8DF9E3A67}">
      <ns0:formula1>KV_DD_MARZ_53</ns0:formula1>
    </ns0:dataValidation>
    <ns0:dataValidation type="list" allowBlank="1" showInputMessage="1" showErrorMessage="1" sqref="F54" ns2:uid="{BECAE541-7169-9B40-ACBE-8D62775EFD9C}">
      <ns0:formula1>KV_DD_MARZ_54</ns0:formula1>
    </ns0:dataValidation>
    <ns0:dataValidation type="list" allowBlank="1" showInputMessage="1" showErrorMessage="1" sqref="F55" ns2:uid="{733F0598-E476-034C-B6F6-4BBC1AF0E94D}">
      <ns0:formula1>KV_DD_MARZ_55</ns0:formula1>
    </ns0:dataValidation>
    <ns0:dataValidation type="list" allowBlank="1" showInputMessage="1" showErrorMessage="1" sqref="F56" ns2:uid="{24178593-D739-E14A-BCE8-6D5C2FBD6196}">
      <ns0:formula1>KV_DD_MARZ_56</ns0:formula1>
    </ns0:dataValidation>
    <ns0:dataValidation type="list" allowBlank="1" showInputMessage="1" showErrorMessage="1" sqref="F57" ns2:uid="{E55816ED-1987-D34C-818E-348B3E9B06D2}">
      <ns0:formula1>KV_DD_MARZ_57</ns0:formula1>
    </ns0:dataValidation>
    <ns0:dataValidation type="list" allowBlank="1" showInputMessage="1" showErrorMessage="1" sqref="F58" ns2:uid="{EA33CB3F-9AD4-A443-8A6A-49FFE12CDC74}">
      <ns0:formula1>KV_DD_MARZ_58</ns0:formula1>
    </ns0:dataValidation>
    <ns0:dataValidation type="list" allowBlank="1" showInputMessage="1" showErrorMessage="1" sqref="F59" ns2:uid="{A10602DA-1074-2349-B684-1A60F243E693}">
      <ns0:formula1>KV_DD_MARZ_59</ns0:formula1>
    </ns0:dataValidation>
    <ns0:dataValidation type="list" allowBlank="1" showInputMessage="1" showErrorMessage="1" sqref="F60" ns2:uid="{40E4C185-BFB5-1A49-81FE-833A47CBB682}">
      <ns0:formula1>KV_DD_MARZ_60</ns0:formula1>
    </ns0:dataValidation>
    <ns0:dataValidation type="list" allowBlank="1" showInputMessage="1" showErrorMessage="1" sqref="F61" ns2:uid="{67B4AEB2-99C3-3943-AC3F-59F5EBAB1FBD}">
      <ns0:formula1>KV_DD_MARZ_61</ns0:formula1>
    </ns0:dataValidation>
    <ns0:dataValidation type="list" allowBlank="1" showInputMessage="1" showErrorMessage="1" sqref="F62" ns2:uid="{780D753A-F4D1-4223-93AE-3EC07175CCE8}">
      <ns0:formula1>KV_DD_MARZ_62</ns0:formula1>
    </ns0:dataValidation>
    <ns0:dataValidation type="date" allowBlank="1" showDropDown="1" showErrorMessage="1" sqref="I3:I82" ns2:uid="{90EF2ED0-7045-1348-A2BD-05B6626A8941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3314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571500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A76B77E2-CAC7-2A49-A388-C6FF69B30F01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8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ADD575F9-786C-4425-96E4-E30C2373A72A}">
  <ns0:sheetPr codeName="Tabelle6"/>
  <ns0:dimension ref="A1:AC82"/>
  <ns0:sheetViews>
    <ns0:sheetView showGridLines="0" showRowColHeaders="0" tabSelected="1" zoomScaleNormal="100" workbookViewId="0">
      <ns0:pane ySplit="2" topLeftCell="A3" activePane="bottomLeft" state="frozen"/>
      <ns0:selection activeCell="T24" sqref="T24"/>
      <ns0:selection pane="bottomLeft" activeCell="L13" sqref="L13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4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46113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46142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2021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853.85414520897245</ns0:v>
      </ns0:c>
      <ns0:c r="P5" s="15">
        <ns0:f>EINSTELLUNG!I9</ns0:f>
        <ns0:v>4</ns0:v>
      </ns0:c>
      <ns0:c r="Q5" s="14">
        <ns0:f>P5-O5</ns0:f>
        <ns0:v>-849.85414520897245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8796.1799999999985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EINSTELLUNG!L25</ns0:f>
        <ns0:v>4</ns0:v>
      </ns0:c>
      <ns0:c r="R9" s="248"/>
      <ns0:c r="S9" s="19">
        <ns0:f>IFERROR(Q9/Q8, 0)</ns0:f>
        <ns0:v>4.5474285428447357E-4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EINSTELLUNG!I25</ns0:f>
        <ns0:v>4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4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>
        <ns0:v>-255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9039.1799999999985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EINSTELLUNG!L9</ns0:f>
        <ns0:v>4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9035.1799999999985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2021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2021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68" t="s">
        <ns0:v>250</ns0:v>
      </ns0:c>
      <ns0:c r="D20" s="123">
        <ns0:v>44511</ns0:v>
      </ns0:c>
      <ns0:c r="E20" s="65" t="s">
        <ns0:v>6</ns0:v>
      </ns0:c>
      <ns0:c r="F20" s="67">
        <ns0:v>151.38</ns0:v>
      </ns0:c>
      <ns0:c r="G20" s="116">
        <ns0:f>IF(OR(E20="",F20=""),"",PID_KVLohnLookup($A$1,E20,F20,LOHNTABELLE!$H$4))</ns0:f>
        <ns0:v>1890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151.38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2021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2021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2021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2021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2021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EINSTELLUNG!O9</ns0:f>
        <ns0:v>4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0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2021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2021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EINSTELLUNG!C9</ns0:f>
        <ns0:v>4</ns0:v>
      </ns0:c>
      <ns0:c r="R35" s="218"/>
      <ns0:c r="S35" s="218">
        <ns0:f>EINSTELLUNG!C25</ns0:f>
        <ns0:v>4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EINSTELLUNG!D9</ns0:f>
        <ns0:v>4</ns0:v>
      </ns0:c>
      <ns0:c r="R36" s="218"/>
      <ns0:c r="S36" s="218" cm="1">
        <ns0:f t="array" ref="S36">SumMergedCells(Q17:R29)</ns0:f>
        <ns0:v>5004</ns0:v>
      </ns0:c>
      <ns0:c r="T36" s="218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1251</ns0:v>
      </ns0:c>
      <ns0:c r="T37" s="226"/>
      <ns0:c r="U37" s="227">
        <ns0:f t="shared" si="2"/>
        <ns0:v>1250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2021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EINSTELLUNG!F9</ns0:f>
        <ns0:v>4</ns0:v>
      </ns0:c>
      <ns0:c r="R38" s="219"/>
      <ns0:c r="S38" s="219">
        <ns0:f>EINSTELLUNG!F25</ns0:f>
        <ns0:v>4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IF(Q13=0, 0, Q35/Q13)</ns0:f>
        <ns0:v>4.4251801601472707E-4</ns0:v>
      </ns0:c>
      <ns0:c r="R40" s="218"/>
      <ns0:c r="S40" s="218">
        <ns0:f>IF(Q13=0, 0, S35/Q13)</ns0:f>
        <ns0:v>4.4251801601472707E-4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IF(Q13=0, 0, Q38/Q13)</ns0:f>
        <ns0:v>4.4251801601472707E-4</ns0:v>
      </ns0:c>
      <ns0:c r="R41" s="219"/>
      <ns0:c r="S41" s="219">
        <ns0:f>IF(Q13=0, 0, S38/Q13)</ns0:f>
        <ns0:v>4.4251801601472707E-4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1010.5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1010.5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1010.5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2021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402004</ns0:v>
      </ns0:c>
      <ns0:c r="C55" s="68" t="s">
        <ns0:v>328</ns0:v>
      </ns0:c>
      <ns0:c r="D55" s="123">
        <ns0:v>46122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2021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121.1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2021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68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2021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503000</ns0:v>
      </ns0:c>
      <ns0:c r="C58" s="68" t="s">
        <ns0:v>332</ns0:v>
      </ns0:c>
      <ns0:c r="D58" s="123">
        <ns0:v>42401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2021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504000</ns0:v>
      </ns0:c>
      <ns0:c r="C59" s="68" t="s">
        <ns0:v>333</ns0:v>
      </ns0:c>
      <ns0:c r="D59" s="123">
        <ns0:v>46054</ns0:v>
      </ns0:c>
      <ns0:c r="E59" s="65" t="s">
        <ns0:v>3</ns0:v>
      </ns0:c>
      <ns0:c r="F59" s="67">
        <ns0:v>138.4</ns0:v>
      </ns0:c>
      <ns0:c r="G59" s="116">
        <ns0:f>IF(OR(E59="",F59=""),"",PID_KVLohnLookup($A$1,E59,F59,LOHNTABELLE!$H$4))</ns0:f>
        <ns0:v>1665.6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505000</ns0:v>
      </ns0:c>
      <ns0:c r="C60" s="68" t="s">
        <ns0:v>334</ns0:v>
      </ns0:c>
      <ns0:c r="D60" s="123">
        <ns0:v>46054</ns0:v>
      </ns0:c>
      <ns0:c r="E60" s="65" t="s">
        <ns0:v>2</ns0:v>
      </ns0:c>
      <ns0:c r="F60" s="67">
        <ns0:v>138.4</ns0:v>
      </ns0:c>
      <ns0:c r="G60" s="116">
        <ns0:f>IF(OR(E60="",F60=""),"",PID_KVLohnLookup($A$1,E60,F60,LOHNTABELLE!$H$4))</ns0:f>
        <ns0:v>1616.8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138.4</ns0:v>
      </ns0:c>
      <ns0:c r="G61" s="116">
        <ns0:f>IF(OR(E61="",F61=""),"",PID_KVLohnLookup($A$1,E61,F61,LOHNTABELLE!$H$4))</ns0:f>
        <ns0:v>1616.8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>
        <ns0:v>800000</ns0:v>
      </ns0:c>
      <ns0:c r="C62" s="68" t="s">
        <ns0:v>348</ns0:v>
      </ns0:c>
      <ns0:c r="D62" s="123">
        <ns0:v>46082</ns0:v>
      </ns0:c>
      <ns0:c r="E62" s="65" t="s">
        <ns0:v>2</ns0:v>
      </ns0:c>
      <ns0:c r="F62" s="67">
        <ns0:v>64</ns0:v>
      </ns0:c>
      <ns0:c r="G62" s="116">
        <ns0:f>IF(OR(E62="",F62=""),"",PID_KVLohnLookup($A$1,E62,F62,LOHNTABELLE!$H$4))</ns0:f>
        <ns0:v>1000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64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</ns0:sheetData>
  <ns0:sheetProtection algorithmName="SHA-512" hashValue="pAPg/96e8KStGh/xYaoWfUBNNjigjwikg/hYBu3p/P1C8RyeF70lLVfyHNSOGsgOcWGa5fDwS3eM0l60wGZrzw==" saltValue="a3jwR7poh375yoOGEbTAGQ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59081476-6B17-2E4B-BADC-2CC983EC6F17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A2530405-A0E8-B948-B226-01C2E841FC3D}">
      <ns0:formula1>KV_DD_APRIL_3</ns0:formula1>
    </ns0:dataValidation>
    <ns0:dataValidation type="list" allowBlank="1" showInputMessage="1" showErrorMessage="1" sqref="F4" ns2:uid="{4C0D4915-BF3B-6047-ACD4-F740C319A92D}">
      <ns0:formula1>KV_DD_APRIL_4</ns0:formula1>
    </ns0:dataValidation>
    <ns0:dataValidation type="list" allowBlank="1" showInputMessage="1" showErrorMessage="1" sqref="F5" ns2:uid="{8566E618-CF2E-854F-80B4-F08413398A55}">
      <ns0:formula1>KV_DD_APRIL_5</ns0:formula1>
    </ns0:dataValidation>
    <ns0:dataValidation type="list" allowBlank="1" showInputMessage="1" showErrorMessage="1" sqref="F6" ns2:uid="{E2658AA1-7B43-D04E-B174-AA580EAB6929}">
      <ns0:formula1>KV_DD_APRIL_6</ns0:formula1>
    </ns0:dataValidation>
    <ns0:dataValidation type="list" allowBlank="1" showInputMessage="1" showErrorMessage="1" sqref="F7" ns2:uid="{D034C1E3-F7FA-7F4B-A514-F740C08FCF22}">
      <ns0:formula1>KV_DD_APRIL_7</ns0:formula1>
    </ns0:dataValidation>
    <ns0:dataValidation type="list" allowBlank="1" showInputMessage="1" showErrorMessage="1" sqref="F8" ns2:uid="{41F4B920-1D23-704D-B233-131502C76E17}">
      <ns0:formula1>KV_DD_APRIL_8</ns0:formula1>
    </ns0:dataValidation>
    <ns0:dataValidation type="list" allowBlank="1" showInputMessage="1" showErrorMessage="1" sqref="F9" ns2:uid="{E22EEB0E-A18F-DE4F-88B3-33E927874517}">
      <ns0:formula1>KV_DD_APRIL_9</ns0:formula1>
    </ns0:dataValidation>
    <ns0:dataValidation type="list" allowBlank="1" showInputMessage="1" showErrorMessage="1" sqref="F10" ns2:uid="{BF652B0D-544F-DF40-A397-A8A111933891}">
      <ns0:formula1>KV_DD_APRIL_10</ns0:formula1>
    </ns0:dataValidation>
    <ns0:dataValidation type="list" allowBlank="1" showInputMessage="1" showErrorMessage="1" sqref="F11" ns2:uid="{9B7C8669-A9C9-1A46-8942-FDED6847E648}">
      <ns0:formula1>KV_DD_APRIL_11</ns0:formula1>
    </ns0:dataValidation>
    <ns0:dataValidation type="list" allowBlank="1" showInputMessage="1" showErrorMessage="1" sqref="F12" ns2:uid="{5868D6C8-5FCE-9049-B079-8122C2697612}">
      <ns0:formula1>KV_DD_APRIL_12</ns0:formula1>
    </ns0:dataValidation>
    <ns0:dataValidation type="list" allowBlank="1" showInputMessage="1" showErrorMessage="1" sqref="F13" ns2:uid="{037C1802-57F0-214C-9C1F-FDFEDD88E60D}">
      <ns0:formula1>KV_DD_APRIL_13</ns0:formula1>
    </ns0:dataValidation>
    <ns0:dataValidation type="list" allowBlank="1" showInputMessage="1" showErrorMessage="1" sqref="F14" ns2:uid="{1A90BD3A-F68F-F445-A3D4-FF0EC0C01CE6}">
      <ns0:formula1>KV_DD_APRIL_14</ns0:formula1>
    </ns0:dataValidation>
    <ns0:dataValidation type="list" allowBlank="1" showInputMessage="1" showErrorMessage="1" sqref="F15" ns2:uid="{BB626B80-7E92-504E-8E70-419D97FF9118}">
      <ns0:formula1>KV_DD_APRIL_15</ns0:formula1>
    </ns0:dataValidation>
    <ns0:dataValidation type="list" allowBlank="1" showInputMessage="1" showErrorMessage="1" sqref="F16" ns2:uid="{81D7F3E3-1C9D-154C-97EF-75B2BA6B0CAB}">
      <ns0:formula1>KV_DD_APRIL_16</ns0:formula1>
    </ns0:dataValidation>
    <ns0:dataValidation type="list" allowBlank="1" showInputMessage="1" showErrorMessage="1" sqref="F17" ns2:uid="{C0EC9DE4-363E-B444-B634-D385CD0320D3}">
      <ns0:formula1>KV_DD_APRIL_17</ns0:formula1>
    </ns0:dataValidation>
    <ns0:dataValidation type="list" allowBlank="1" showInputMessage="1" showErrorMessage="1" sqref="F18" ns2:uid="{BD6D6BC1-087E-3A41-9DE7-9F4FBF6741AD}">
      <ns0:formula1>KV_DD_APRIL_18</ns0:formula1>
    </ns0:dataValidation>
    <ns0:dataValidation type="list" allowBlank="1" showInputMessage="1" showErrorMessage="1" sqref="F19" ns2:uid="{A8F6D250-2987-354B-8AA9-FC54026CCAC2}">
      <ns0:formula1>KV_DD_APRIL_19</ns0:formula1>
    </ns0:dataValidation>
    <ns0:dataValidation type="list" allowBlank="1" showInputMessage="1" showErrorMessage="1" sqref="F20" ns2:uid="{AEEBC354-9854-E648-90C9-C4EACAE2E990}">
      <ns0:formula1>KV_DD_APRIL_20</ns0:formula1>
    </ns0:dataValidation>
    <ns0:dataValidation type="list" allowBlank="1" showInputMessage="1" showErrorMessage="1" sqref="F21" ns2:uid="{40027D7F-A166-024A-A1B9-8C79934277E8}">
      <ns0:formula1>KV_DD_APRIL_21</ns0:formula1>
    </ns0:dataValidation>
    <ns0:dataValidation type="list" allowBlank="1" showInputMessage="1" showErrorMessage="1" sqref="F22" ns2:uid="{F5AE4293-923D-344C-9CFA-D69E3B5BCE3B}">
      <ns0:formula1>KV_DD_APRIL_22</ns0:formula1>
    </ns0:dataValidation>
    <ns0:dataValidation type="list" allowBlank="1" showInputMessage="1" showErrorMessage="1" sqref="F23" ns2:uid="{58B0B8D8-5517-AB4C-9815-904B7BF7A09F}">
      <ns0:formula1>KV_DD_APRIL_23</ns0:formula1>
    </ns0:dataValidation>
    <ns0:dataValidation type="list" allowBlank="1" showInputMessage="1" showErrorMessage="1" sqref="F24" ns2:uid="{6CA8417F-CC7F-484B-A6F0-E1C3ABE8E694}">
      <ns0:formula1>KV_DD_APRIL_24</ns0:formula1>
    </ns0:dataValidation>
    <ns0:dataValidation type="list" allowBlank="1" showInputMessage="1" showErrorMessage="1" sqref="F25" ns2:uid="{D2EDF383-A68F-A04A-AEBA-AD73EA5D86BB}">
      <ns0:formula1>KV_DD_APRIL_25</ns0:formula1>
    </ns0:dataValidation>
    <ns0:dataValidation type="list" allowBlank="1" showInputMessage="1" showErrorMessage="1" sqref="F26" ns2:uid="{A075348E-CE92-9145-B80C-26FC543A5073}">
      <ns0:formula1>KV_DD_APRIL_26</ns0:formula1>
    </ns0:dataValidation>
    <ns0:dataValidation type="list" allowBlank="1" showInputMessage="1" showErrorMessage="1" sqref="F27" ns2:uid="{2262CF8D-BFFA-F140-A4AC-C93A64EBEB37}">
      <ns0:formula1>KV_DD_APRIL_27</ns0:formula1>
    </ns0:dataValidation>
    <ns0:dataValidation type="list" allowBlank="1" showInputMessage="1" showErrorMessage="1" sqref="F28" ns2:uid="{752B6F61-3939-CB4D-AB32-24B558B0F27F}">
      <ns0:formula1>KV_DD_APRIL_28</ns0:formula1>
    </ns0:dataValidation>
    <ns0:dataValidation type="list" allowBlank="1" showInputMessage="1" showErrorMessage="1" sqref="F29" ns2:uid="{A7E8CBF0-280B-8B4C-808C-1C12B18FE728}">
      <ns0:formula1>KV_DD_APRIL_29</ns0:formula1>
    </ns0:dataValidation>
    <ns0:dataValidation type="list" allowBlank="1" showInputMessage="1" showErrorMessage="1" sqref="F30" ns2:uid="{05EE6C42-034B-1E47-9339-F749BE03D833}">
      <ns0:formula1>KV_DD_APRIL_30</ns0:formula1>
    </ns0:dataValidation>
    <ns0:dataValidation type="list" allowBlank="1" showInputMessage="1" showErrorMessage="1" sqref="F31" ns2:uid="{AE99E832-862E-ED43-A78F-2AB599B90E51}">
      <ns0:formula1>KV_DD_APRIL_31</ns0:formula1>
    </ns0:dataValidation>
    <ns0:dataValidation type="list" allowBlank="1" showInputMessage="1" showErrorMessage="1" sqref="F32" ns2:uid="{4DD05F43-78B0-5C4D-AA6F-A714B9C84051}">
      <ns0:formula1>KV_DD_APRIL_32</ns0:formula1>
    </ns0:dataValidation>
    <ns0:dataValidation type="list" allowBlank="1" showInputMessage="1" showErrorMessage="1" sqref="F33" ns2:uid="{EB62AE3C-C4CD-EF4F-A80D-3C308335CBF5}">
      <ns0:formula1>KV_DD_APRIL_33</ns0:formula1>
    </ns0:dataValidation>
    <ns0:dataValidation type="list" allowBlank="1" showInputMessage="1" showErrorMessage="1" sqref="F34" ns2:uid="{6C3AD7FE-6BC6-EC49-B168-00955F0EF393}">
      <ns0:formula1>KV_DD_APRIL_34</ns0:formula1>
    </ns0:dataValidation>
    <ns0:dataValidation type="list" allowBlank="1" showInputMessage="1" showErrorMessage="1" sqref="F35" ns2:uid="{96F4558A-83DF-2E4D-A324-5246B3C94325}">
      <ns0:formula1>KV_DD_APRIL_35</ns0:formula1>
    </ns0:dataValidation>
    <ns0:dataValidation type="list" allowBlank="1" showInputMessage="1" showErrorMessage="1" sqref="F36" ns2:uid="{A2981F80-1AD5-5A4C-BAE2-FC38031FC334}">
      <ns0:formula1>KV_DD_APRIL_36</ns0:formula1>
    </ns0:dataValidation>
    <ns0:dataValidation type="list" allowBlank="1" showInputMessage="1" showErrorMessage="1" sqref="F37" ns2:uid="{D637B90A-8723-2B4F-A8D3-17DA4D178299}">
      <ns0:formula1>KV_DD_APRIL_37</ns0:formula1>
    </ns0:dataValidation>
    <ns0:dataValidation type="list" allowBlank="1" showInputMessage="1" showErrorMessage="1" sqref="F38" ns2:uid="{A5B0A27B-2633-4143-9969-7C4B91078D21}">
      <ns0:formula1>KV_DD_APRIL_38</ns0:formula1>
    </ns0:dataValidation>
    <ns0:dataValidation type="list" allowBlank="1" showInputMessage="1" showErrorMessage="1" sqref="F39" ns2:uid="{F11ED597-2DF9-5040-A1BA-71C8C3EE4DFC}">
      <ns0:formula1>KV_DD_APRIL_39</ns0:formula1>
    </ns0:dataValidation>
    <ns0:dataValidation type="list" allowBlank="1" showInputMessage="1" showErrorMessage="1" sqref="F40" ns2:uid="{530972BA-9E6B-D045-9B29-33956ED7AFF7}">
      <ns0:formula1>KV_DD_APRIL_40</ns0:formula1>
    </ns0:dataValidation>
    <ns0:dataValidation type="list" allowBlank="1" showInputMessage="1" showErrorMessage="1" sqref="F41" ns2:uid="{DF3579EE-B9E5-8843-9074-5EED9EA7305B}">
      <ns0:formula1>KV_DD_APRIL_41</ns0:formula1>
    </ns0:dataValidation>
    <ns0:dataValidation type="list" allowBlank="1" showInputMessage="1" showErrorMessage="1" sqref="F42" ns2:uid="{04DFBEE1-8045-A14C-8C81-3B2D6571A72E}">
      <ns0:formula1>KV_DD_APRIL_42</ns0:formula1>
    </ns0:dataValidation>
    <ns0:dataValidation type="list" allowBlank="1" showInputMessage="1" showErrorMessage="1" sqref="F43" ns2:uid="{B19EF4CB-CAB8-D741-B266-0DB94223E757}">
      <ns0:formula1>KV_DD_APRIL_43</ns0:formula1>
    </ns0:dataValidation>
    <ns0:dataValidation type="list" allowBlank="1" showInputMessage="1" showErrorMessage="1" sqref="F44" ns2:uid="{C56FD08D-24B4-014E-8075-9F23CABEA87C}">
      <ns0:formula1>KV_DD_APRIL_44</ns0:formula1>
    </ns0:dataValidation>
    <ns0:dataValidation type="list" allowBlank="1" showInputMessage="1" showErrorMessage="1" sqref="F45" ns2:uid="{1385A17A-18DF-C541-82B5-73E805BE7BC2}">
      <ns0:formula1>KV_DD_APRIL_45</ns0:formula1>
    </ns0:dataValidation>
    <ns0:dataValidation type="list" allowBlank="1" showInputMessage="1" showErrorMessage="1" sqref="F46" ns2:uid="{F741FCDB-4B50-F346-AF9D-A2913E7FF833}">
      <ns0:formula1>KV_DD_APRIL_46</ns0:formula1>
    </ns0:dataValidation>
    <ns0:dataValidation type="list" allowBlank="1" showInputMessage="1" showErrorMessage="1" sqref="F47" ns2:uid="{335ADBAE-64A1-5C4D-BFD3-71C9964CD5E9}">
      <ns0:formula1>KV_DD_APRIL_47</ns0:formula1>
    </ns0:dataValidation>
    <ns0:dataValidation type="list" allowBlank="1" showInputMessage="1" showErrorMessage="1" sqref="F48" ns2:uid="{22338095-AED6-7748-B228-A1B7D627E889}">
      <ns0:formula1>KV_DD_APRIL_48</ns0:formula1>
    </ns0:dataValidation>
    <ns0:dataValidation type="list" allowBlank="1" showInputMessage="1" showErrorMessage="1" sqref="F49" ns2:uid="{6BF2690E-1ADD-864F-822A-9E0D7E9EDA90}">
      <ns0:formula1>KV_DD_APRIL_49</ns0:formula1>
    </ns0:dataValidation>
    <ns0:dataValidation type="list" allowBlank="1" showInputMessage="1" showErrorMessage="1" sqref="F50" ns2:uid="{7CEF66C2-CE81-1F43-9B5C-C598593E20FB}">
      <ns0:formula1>KV_DD_APRIL_50</ns0:formula1>
    </ns0:dataValidation>
    <ns0:dataValidation type="list" allowBlank="1" showInputMessage="1" showErrorMessage="1" sqref="F51" ns2:uid="{38A3CCA1-DBD1-E24C-9764-A931F2FB9D5C}">
      <ns0:formula1>KV_DD_APRIL_51</ns0:formula1>
    </ns0:dataValidation>
    <ns0:dataValidation type="list" allowBlank="1" showInputMessage="1" showErrorMessage="1" sqref="F52" ns2:uid="{2F9138A5-EA5B-FE46-A872-D657AB83477F}">
      <ns0:formula1>KV_DD_APRIL_52</ns0:formula1>
    </ns0:dataValidation>
    <ns0:dataValidation type="list" allowBlank="1" showInputMessage="1" showErrorMessage="1" sqref="F53" ns2:uid="{9EFF2D90-F11D-C943-ACDB-52AA2E377A50}">
      <ns0:formula1>KV_DD_APRIL_53</ns0:formula1>
    </ns0:dataValidation>
    <ns0:dataValidation type="list" allowBlank="1" showInputMessage="1" showErrorMessage="1" sqref="F54" ns2:uid="{CCB03D4E-6747-4BB5-856F-2440BDAA3A5B}">
      <ns0:formula1>KV_DD_APRIL_54</ns0:formula1>
    </ns0:dataValidation>
    <ns0:dataValidation type="list" allowBlank="1" showInputMessage="1" showErrorMessage="1" sqref="F55" ns2:uid="{CA962C55-0322-744B-926B-8A448D869723}">
      <ns0:formula1>KV_DD_APRIL_55</ns0:formula1>
    </ns0:dataValidation>
    <ns0:dataValidation type="list" allowBlank="1" showInputMessage="1" showErrorMessage="1" sqref="F56" ns2:uid="{43AD68A2-CF88-994C-A902-E34DDE7FF4F6}">
      <ns0:formula1>KV_DD_APRIL_56</ns0:formula1>
    </ns0:dataValidation>
    <ns0:dataValidation type="list" allowBlank="1" showInputMessage="1" showErrorMessage="1" sqref="F57" ns2:uid="{06056554-8E2B-4C48-B0D4-893356C8910A}">
      <ns0:formula1>KV_DD_APRIL_57</ns0:formula1>
    </ns0:dataValidation>
    <ns0:dataValidation type="list" allowBlank="1" showInputMessage="1" showErrorMessage="1" sqref="F58" ns2:uid="{9CA09149-3AC0-F447-9C53-A533AFB3EDF4}">
      <ns0:formula1>KV_DD_APRIL_58</ns0:formula1>
    </ns0:dataValidation>
    <ns0:dataValidation type="list" allowBlank="1" showInputMessage="1" showErrorMessage="1" sqref="F59" ns2:uid="{27C0A78D-9E79-C845-B0CA-BA08072B2225}">
      <ns0:formula1>KV_DD_APRIL_59</ns0:formula1>
    </ns0:dataValidation>
    <ns0:dataValidation type="list" allowBlank="1" showInputMessage="1" showErrorMessage="1" sqref="F60" ns2:uid="{FA70F3B6-4DA0-6949-AD36-4C99D3EF9400}">
      <ns0:formula1>KV_DD_APRIL_60</ns0:formula1>
    </ns0:dataValidation>
    <ns0:dataValidation type="list" allowBlank="1" showInputMessage="1" showErrorMessage="1" sqref="F61" ns2:uid="{35449690-F847-41D9-9D0F-13D9FCBC46B5}">
      <ns0:formula1>KV_DD_APRIL_61</ns0:formula1>
    </ns0:dataValidation>
    <ns0:dataValidation type="list" allowBlank="1" showInputMessage="1" showErrorMessage="1" sqref="F62" ns2:uid="{95490940-887F-4C66-8640-1B530E68E1E0}">
      <ns0:formula1>KV_DD_APRIL_62</ns0:formula1>
    </ns0:dataValidation>
    <ns0:dataValidation type="date" allowBlank="1" showDropDown="1" showErrorMessage="1" sqref="I3:I82" ns2:uid="{E803A541-355D-B449-880A-F8D87E82E3C4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4338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76200</ns4:rowOff>
                  </ns0:from>
                  <ns0:to>
                    <ns4:col>18</ns4:col>
                    <ns4:colOff>571500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46DC5377-E1AC-8C43-8EC2-CE2C96736676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9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AD911FEA-CA19-4495-BE72-F4093B55D9A0}">
  <ns0:sheetPr codeName="Tabelle7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 activeCell="L8" sqref="L8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5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46143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46173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3</ns0:v>
      </ns0:c>
      <ns0:c r="F4" s="67">
        <ns0:v>173</ns0:v>
      </ns0:c>
      <ns0:c r="G4" s="116">
        <ns0:f>IF(OR(E4="",F4=""),"",PID_KVLohnLookup($A$1,E4,F4,LOHNTABELLE!$H$4))</ns0:f>
        <ns0:v>2082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899.01401315020325</ns0:v>
      </ns0:c>
      <ns0:c r="P5" s="15">
        <ns0:f>EINSTELLUNG!I10</ns0:f>
        <ns0:v>5</ns0:v>
      </ns0:c>
      <ns0:c r="Q5" s="14">
        <ns0:f>P5-O5</ns0:f>
        <ns0:v>-894.01401315020325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9293.7199999999993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EINSTELLUNG!L26</ns0:f>
        <ns0:v>5</ns0:v>
      </ns0:c>
      <ns0:c r="R9" s="248"/>
      <ns0:c r="S9" s="19">
        <ns0:f>IFERROR(Q9/Q8, 0)</ns0:f>
        <ns0:v>5.3799770167381846E-4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EINSTELLUNG!I26</ns0:f>
        <ns0:v>5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5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68</ns0:v>
      </ns0:c>
      <ns0:c r="P12" s="247"/>
      <ns0:c r="Q12" s="248">
        <ns0:f>Q8-Q9-Q10-Q11</ns0:f>
        <ns0:v>9278.7199999999993</ns0:v>
      </ns0:c>
      <ns0:c r="R12" s="248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70</ns0:v>
      </ns0:c>
      <ns0:c r="P13" s="247"/>
      <ns0:c r="Q13" s="248">
        <ns0:f>EINSTELLUNG!L10</ns0:f>
        <ns0:v>9300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72</ns0:v>
      </ns0:c>
      <ns0:c r="P14" s="247"/>
      <ns0:c r="Q14" s="248">
        <ns0:f>Q12-Q13</ns0:f>
        <ns0:v>-21.280000000000655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129.75</ns0:v>
      </ns0:c>
      <ns0:c r="G15" s="116">
        <ns0:f>IF(OR(E15="",F15=""),"",PID_KVLohnLookup($A$1,E15,F15,LOHNTABELLE!$H$4))</ns0:f>
        <ns0:v>1561.5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129.75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Schlecht! Zu wenig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EINSTELLUNG!O10</ns0:f>
        <ns0:v>5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0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EINSTELLUNG!C10</ns0:f>
        <ns0:v>5</ns0:v>
      </ns0:c>
      <ns0:c r="R35" s="218"/>
      <ns0:c r="S35" s="218">
        <ns0:f>EINSTELLUNG!C26</ns0:f>
        <ns0:v>5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EINSTELLUNG!D10</ns0:f>
        <ns0:v>5</ns0:v>
      </ns0:c>
      <ns0:c r="R36" s="218"/>
      <ns0:c r="S36" s="218" cm="1">
        <ns0:f t="array" ref="S36">SumMergedCells(Q17:R29)</ns0:f>
        <ns0:v>5005</ns0:v>
      </ns0:c>
      <ns0:c r="T36" s="218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1001</ns0:v>
      </ns0:c>
      <ns0:c r="T37" s="226"/>
      <ns0:c r="U37" s="227">
        <ns0:f t="shared" si="2"/>
        <ns0:v>1000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2200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EINSTELLUNG!F10</ns0:f>
        <ns0:v>5</ns0:v>
      </ns0:c>
      <ns0:c r="R38" s="219"/>
      <ns0:c r="S38" s="219">
        <ns0:f>EINSTELLUNG!F26</ns0:f>
        <ns0:v>5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IF(Q12=0, 0, Q35/Q12)</ns0:f>
        <ns0:v>5.3886742999034352E-4</ns0:v>
      </ns0:c>
      <ns0:c r="R40" s="218"/>
      <ns0:c r="S40" s="218">
        <ns0:f>IF(Q12=0, 0, S35/Q12)</ns0:f>
        <ns0:v>5.3886742999034352E-4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IF(Q12=0, 0, Q38/Q12)</ns0:f>
        <ns0:v>5.3886742999034352E-4</ns0:v>
      </ns0:c>
      <ns0:c r="R41" s="219"/>
      <ns0:c r="S41" s="219">
        <ns0:f>IF(Q12=0, 0, S38/Q12)</ns0:f>
        <ns0:v>5.3886742999034352E-4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1333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150.66999999999999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>
        <ns0:f>IF(OR(E61="",F61=""),"",PID_KVLohnLookup($A$1,E61,F61,LOHNTABELLE!$H$4))</ns0:f>
        <ns0:v>1665.6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>
        <ns0:f>IF(OR(E62="",F62=""),"",PID_KVLohnLookup($A$1,E62,F62,LOHNTABELLE!$H$4))</ns0:f>
        <ns0:v>1616.8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>
        <ns0:f>IF(OR(E64="",F64=""),"",PID_KVLohnLookup($A$1,E64,F64,LOHNTABELLE!$H$4))</ns0:f>
        <ns0:v>2200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</ns0:sheetData>
  <ns0:sheetProtection algorithmName="SHA-512" hashValue="XaElY0NxPyI/saVb7WeJ8vSbZVFVMdMJLcTRoKGj7Q/hQYX0xC5hirG7fL9TPhLuEmyXtOE+cH9mC/SEgEAX6A==" saltValue="2zPDQtAaL7HH/To0B1y6hw==" spinCount="100000" sheet="1" objects="1" scenarios="1" sort="0" autoFilter="0"/>
  <ns0:sortState ref="B3:N82">
    <ns0:sortCondition ref="B3:B82"/>
    <ns0:sortCondition ref="C3:C82"/>
  </ns0:sortState>
  <ns0:mergeCells count="96"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8:R28"/>
    <ns0:mergeCell ref="O29:P29"/>
    <ns0:mergeCell ref="Q29:R29"/>
    <ns0:mergeCell ref="O38:P38"/>
    <ns0:mergeCell ref="Q38:R38"/>
    <ns0:mergeCell ref="S38:T38"/>
    <ns0:mergeCell ref="U38:V38"/>
    <ns0:mergeCell ref="S39:T39"/>
    <ns0:mergeCell ref="U39:V39"/>
    <ns0:mergeCell ref="Q39:R39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40:T40"/>
    <ns0:mergeCell ref="U40:V40"/>
    <ns0:mergeCell ref="S41:T41"/>
    <ns0:mergeCell ref="U41:V41"/>
    <ns0:mergeCell ref="Q42:V42"/>
    <ns0:mergeCell ref="Q40:R40"/>
    <ns0:mergeCell ref="Q41:R41"/>
  </ns0:mergeCells>
  <ns0:dataValidations count="64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EA01B69C-9C55-B341-B293-EDB77CCB546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E78A8C10-67E8-F649-9A65-53DF1AAA7D8D}">
      <ns0:formula1>KV_DD_MAI_3</ns0:formula1>
    </ns0:dataValidation>
    <ns0:dataValidation type="list" allowBlank="1" showInputMessage="1" showErrorMessage="1" sqref="F4" ns2:uid="{63DE23D1-30AD-6D4B-A61D-1EB7910898A4}">
      <ns0:formula1>KV_DD_MAI_4</ns0:formula1>
    </ns0:dataValidation>
    <ns0:dataValidation type="list" allowBlank="1" showInputMessage="1" showErrorMessage="1" sqref="F5" ns2:uid="{60C48D45-3552-6648-BED3-CC634D6A21BD}">
      <ns0:formula1>KV_DD_MAI_5</ns0:formula1>
    </ns0:dataValidation>
    <ns0:dataValidation type="list" allowBlank="1" showInputMessage="1" showErrorMessage="1" sqref="F6" ns2:uid="{2E7E3B55-901F-4143-90DD-1ABB8FAB685D}">
      <ns0:formula1>KV_DD_MAI_6</ns0:formula1>
    </ns0:dataValidation>
    <ns0:dataValidation type="list" allowBlank="1" showInputMessage="1" showErrorMessage="1" sqref="F7" ns2:uid="{6E52B260-5056-8842-89A0-E38C3A39CB48}">
      <ns0:formula1>KV_DD_MAI_7</ns0:formula1>
    </ns0:dataValidation>
    <ns0:dataValidation type="list" allowBlank="1" showInputMessage="1" showErrorMessage="1" sqref="F8" ns2:uid="{06C664BC-14C1-EA48-A7C8-BE972323133A}">
      <ns0:formula1>KV_DD_MAI_8</ns0:formula1>
    </ns0:dataValidation>
    <ns0:dataValidation type="list" allowBlank="1" showInputMessage="1" showErrorMessage="1" sqref="F9" ns2:uid="{28761642-A004-CD4F-92AD-24CB8A617C03}">
      <ns0:formula1>KV_DD_MAI_9</ns0:formula1>
    </ns0:dataValidation>
    <ns0:dataValidation type="list" allowBlank="1" showInputMessage="1" showErrorMessage="1" sqref="F10" ns2:uid="{BF496B2F-5689-4342-84E2-589176ACFCE7}">
      <ns0:formula1>KV_DD_MAI_10</ns0:formula1>
    </ns0:dataValidation>
    <ns0:dataValidation type="list" allowBlank="1" showInputMessage="1" showErrorMessage="1" sqref="F11" ns2:uid="{ABEB0EEC-789D-D74A-BCE9-50722D942B23}">
      <ns0:formula1>KV_DD_MAI_11</ns0:formula1>
    </ns0:dataValidation>
    <ns0:dataValidation type="list" allowBlank="1" showInputMessage="1" showErrorMessage="1" sqref="F12" ns2:uid="{071CA2A6-F58E-8048-AC88-BB09EA8E4BB5}">
      <ns0:formula1>KV_DD_MAI_12</ns0:formula1>
    </ns0:dataValidation>
    <ns0:dataValidation type="list" allowBlank="1" showInputMessage="1" showErrorMessage="1" sqref="F13" ns2:uid="{925914B1-7817-EA44-8DF6-FED18B076D4B}">
      <ns0:formula1>KV_DD_MAI_13</ns0:formula1>
    </ns0:dataValidation>
    <ns0:dataValidation type="list" allowBlank="1" showInputMessage="1" showErrorMessage="1" sqref="F14" ns2:uid="{C7BA3CBD-83C6-474F-959B-2BBBAAB2502E}">
      <ns0:formula1>KV_DD_MAI_14</ns0:formula1>
    </ns0:dataValidation>
    <ns0:dataValidation type="list" allowBlank="1" showInputMessage="1" showErrorMessage="1" sqref="F15" ns2:uid="{35884072-7F9B-AA42-AA3E-E69D1C130548}">
      <ns0:formula1>KV_DD_MAI_15</ns0:formula1>
    </ns0:dataValidation>
    <ns0:dataValidation type="list" allowBlank="1" showInputMessage="1" showErrorMessage="1" sqref="F16" ns2:uid="{00CDE5E0-3629-1840-924E-F21C2020E116}">
      <ns0:formula1>KV_DD_MAI_16</ns0:formula1>
    </ns0:dataValidation>
    <ns0:dataValidation type="list" allowBlank="1" showInputMessage="1" showErrorMessage="1" sqref="F17" ns2:uid="{3BB40C20-FB69-5E48-A254-3D21DCD590B4}">
      <ns0:formula1>KV_DD_MAI_17</ns0:formula1>
    </ns0:dataValidation>
    <ns0:dataValidation type="list" allowBlank="1" showInputMessage="1" showErrorMessage="1" sqref="F18" ns2:uid="{6D1A6156-735A-B447-B5EC-AB4B194E491E}">
      <ns0:formula1>KV_DD_MAI_18</ns0:formula1>
    </ns0:dataValidation>
    <ns0:dataValidation type="list" allowBlank="1" showInputMessage="1" showErrorMessage="1" sqref="F19" ns2:uid="{636D1115-CCB2-FF48-BE10-96A32389BD21}">
      <ns0:formula1>KV_DD_MAI_19</ns0:formula1>
    </ns0:dataValidation>
    <ns0:dataValidation type="list" allowBlank="1" showInputMessage="1" showErrorMessage="1" sqref="F20" ns2:uid="{D481FF9B-EAEC-A94A-9292-1D5AC4FB6486}">
      <ns0:formula1>KV_DD_MAI_20</ns0:formula1>
    </ns0:dataValidation>
    <ns0:dataValidation type="list" allowBlank="1" showInputMessage="1" showErrorMessage="1" sqref="F21" ns2:uid="{73B3B14A-6C8D-E84E-A02A-B2B0E24A8840}">
      <ns0:formula1>KV_DD_MAI_21</ns0:formula1>
    </ns0:dataValidation>
    <ns0:dataValidation type="list" allowBlank="1" showInputMessage="1" showErrorMessage="1" sqref="F22" ns2:uid="{87CAD20D-BF08-DE43-9A63-40C2FE12E369}">
      <ns0:formula1>KV_DD_MAI_22</ns0:formula1>
    </ns0:dataValidation>
    <ns0:dataValidation type="list" allowBlank="1" showInputMessage="1" showErrorMessage="1" sqref="F23" ns2:uid="{AFECFF90-0457-FE4A-B6EE-945F176446E5}">
      <ns0:formula1>KV_DD_MAI_23</ns0:formula1>
    </ns0:dataValidation>
    <ns0:dataValidation type="list" allowBlank="1" showInputMessage="1" showErrorMessage="1" sqref="F24" ns2:uid="{80A2F1BE-0E2F-874A-81CC-48BD1F36F9B7}">
      <ns0:formula1>KV_DD_MAI_24</ns0:formula1>
    </ns0:dataValidation>
    <ns0:dataValidation type="list" allowBlank="1" showInputMessage="1" showErrorMessage="1" sqref="F25" ns2:uid="{D811D7C1-7DEE-F449-9721-81021D7C8165}">
      <ns0:formula1>KV_DD_MAI_25</ns0:formula1>
    </ns0:dataValidation>
    <ns0:dataValidation type="list" allowBlank="1" showInputMessage="1" showErrorMessage="1" sqref="F26" ns2:uid="{AA005D0B-876D-4549-8772-D325F88A10C5}">
      <ns0:formula1>KV_DD_MAI_26</ns0:formula1>
    </ns0:dataValidation>
    <ns0:dataValidation type="list" allowBlank="1" showInputMessage="1" showErrorMessage="1" sqref="F27" ns2:uid="{02909D9B-5495-9E45-8ABF-5C51948F5DCA}">
      <ns0:formula1>KV_DD_MAI_27</ns0:formula1>
    </ns0:dataValidation>
    <ns0:dataValidation type="list" allowBlank="1" showInputMessage="1" showErrorMessage="1" sqref="F28" ns2:uid="{3A0A30D9-3E53-E340-971E-9029F3DC814C}">
      <ns0:formula1>KV_DD_MAI_28</ns0:formula1>
    </ns0:dataValidation>
    <ns0:dataValidation type="list" allowBlank="1" showInputMessage="1" showErrorMessage="1" sqref="F29" ns2:uid="{ECCADA97-4D77-5949-AC9F-986A7396C67F}">
      <ns0:formula1>KV_DD_MAI_29</ns0:formula1>
    </ns0:dataValidation>
    <ns0:dataValidation type="list" allowBlank="1" showInputMessage="1" showErrorMessage="1" sqref="F30" ns2:uid="{6A87DBD7-E90A-7B4D-B60A-B212E337EB38}">
      <ns0:formula1>KV_DD_MAI_30</ns0:formula1>
    </ns0:dataValidation>
    <ns0:dataValidation type="list" allowBlank="1" showInputMessage="1" showErrorMessage="1" sqref="F31" ns2:uid="{0EEFE9E4-7B2F-3D49-BCDA-731048A15881}">
      <ns0:formula1>KV_DD_MAI_31</ns0:formula1>
    </ns0:dataValidation>
    <ns0:dataValidation type="list" allowBlank="1" showInputMessage="1" showErrorMessage="1" sqref="F32" ns2:uid="{C0BD359B-80FF-F442-8A28-DDE371F2E2AB}">
      <ns0:formula1>KV_DD_MAI_32</ns0:formula1>
    </ns0:dataValidation>
    <ns0:dataValidation type="list" allowBlank="1" showInputMessage="1" showErrorMessage="1" sqref="F33" ns2:uid="{8C0ADEFA-B0F5-8946-A957-E1A6BCB1027A}">
      <ns0:formula1>KV_DD_MAI_33</ns0:formula1>
    </ns0:dataValidation>
    <ns0:dataValidation type="list" allowBlank="1" showInputMessage="1" showErrorMessage="1" sqref="F34" ns2:uid="{310A0BD6-68E5-CF4E-ACC2-311647434F59}">
      <ns0:formula1>KV_DD_MAI_34</ns0:formula1>
    </ns0:dataValidation>
    <ns0:dataValidation type="list" allowBlank="1" showInputMessage="1" showErrorMessage="1" sqref="F35" ns2:uid="{D04B5CB5-CA6E-044A-9BBC-AF45F19B816B}">
      <ns0:formula1>KV_DD_MAI_35</ns0:formula1>
    </ns0:dataValidation>
    <ns0:dataValidation type="list" allowBlank="1" showInputMessage="1" showErrorMessage="1" sqref="F36" ns2:uid="{8FCC8572-AF52-3149-A1CE-8D94FDE91660}">
      <ns0:formula1>KV_DD_MAI_36</ns0:formula1>
    </ns0:dataValidation>
    <ns0:dataValidation type="list" allowBlank="1" showInputMessage="1" showErrorMessage="1" sqref="F37" ns2:uid="{CDA26681-775F-C949-A89E-CD993A027521}">
      <ns0:formula1>KV_DD_MAI_37</ns0:formula1>
    </ns0:dataValidation>
    <ns0:dataValidation type="list" allowBlank="1" showInputMessage="1" showErrorMessage="1" sqref="F38" ns2:uid="{894FF15C-6C9A-3943-9B8E-E2D27BF1808C}">
      <ns0:formula1>KV_DD_MAI_38</ns0:formula1>
    </ns0:dataValidation>
    <ns0:dataValidation type="list" allowBlank="1" showInputMessage="1" showErrorMessage="1" sqref="F39" ns2:uid="{DB95EA39-E2B8-9D4E-B85D-6C25C95801D7}">
      <ns0:formula1>KV_DD_MAI_39</ns0:formula1>
    </ns0:dataValidation>
    <ns0:dataValidation type="list" allowBlank="1" showInputMessage="1" showErrorMessage="1" sqref="F40" ns2:uid="{1452E9B5-A6F5-8847-A521-40350078FC5E}">
      <ns0:formula1>KV_DD_MAI_40</ns0:formula1>
    </ns0:dataValidation>
    <ns0:dataValidation type="list" allowBlank="1" showInputMessage="1" showErrorMessage="1" sqref="F41" ns2:uid="{DCA6BF12-5462-3646-8AD6-2D99FF2EA4B7}">
      <ns0:formula1>KV_DD_MAI_41</ns0:formula1>
    </ns0:dataValidation>
    <ns0:dataValidation type="list" allowBlank="1" showInputMessage="1" showErrorMessage="1" sqref="F42" ns2:uid="{66C2D75B-43E4-7848-9C9F-C4C1C4E4F55C}">
      <ns0:formula1>KV_DD_MAI_42</ns0:formula1>
    </ns0:dataValidation>
    <ns0:dataValidation type="list" allowBlank="1" showInputMessage="1" showErrorMessage="1" sqref="F43" ns2:uid="{8380D9E3-7DE1-DA4D-AA5E-64F5094DF8AF}">
      <ns0:formula1>KV_DD_MAI_43</ns0:formula1>
    </ns0:dataValidation>
    <ns0:dataValidation type="list" allowBlank="1" showInputMessage="1" showErrorMessage="1" sqref="F44" ns2:uid="{9B5346C6-03FB-1044-9F85-4950C33455CF}">
      <ns0:formula1>KV_DD_MAI_44</ns0:formula1>
    </ns0:dataValidation>
    <ns0:dataValidation type="list" allowBlank="1" showInputMessage="1" showErrorMessage="1" sqref="F45" ns2:uid="{09039BB4-32E1-0249-BFDB-A5D08DE59EDD}">
      <ns0:formula1>KV_DD_MAI_45</ns0:formula1>
    </ns0:dataValidation>
    <ns0:dataValidation type="list" allowBlank="1" showInputMessage="1" showErrorMessage="1" sqref="F46" ns2:uid="{555D68DC-88F7-1146-A1BC-F30B570E2C04}">
      <ns0:formula1>KV_DD_MAI_46</ns0:formula1>
    </ns0:dataValidation>
    <ns0:dataValidation type="list" allowBlank="1" showInputMessage="1" showErrorMessage="1" sqref="F47" ns2:uid="{012E5EE3-B24C-834D-8BED-43818D964652}">
      <ns0:formula1>KV_DD_MAI_47</ns0:formula1>
    </ns0:dataValidation>
    <ns0:dataValidation type="list" allowBlank="1" showInputMessage="1" showErrorMessage="1" sqref="F48" ns2:uid="{72157713-2B09-3641-8175-FD02632299AF}">
      <ns0:formula1>KV_DD_MAI_48</ns0:formula1>
    </ns0:dataValidation>
    <ns0:dataValidation type="list" allowBlank="1" showInputMessage="1" showErrorMessage="1" sqref="F49" ns2:uid="{38BBF33D-3DC4-EE41-A540-5F2332464279}">
      <ns0:formula1>KV_DD_MAI_49</ns0:formula1>
    </ns0:dataValidation>
    <ns0:dataValidation type="list" allowBlank="1" showInputMessage="1" showErrorMessage="1" sqref="F50" ns2:uid="{893CEF00-93B7-DA45-B6A1-35B65E7C051A}">
      <ns0:formula1>KV_DD_MAI_50</ns0:formula1>
    </ns0:dataValidation>
    <ns0:dataValidation type="list" allowBlank="1" showInputMessage="1" showErrorMessage="1" sqref="F51" ns2:uid="{CC5B4C69-D783-C64F-A7AF-9E0F8BCD417B}">
      <ns0:formula1>KV_DD_MAI_51</ns0:formula1>
    </ns0:dataValidation>
    <ns0:dataValidation type="list" allowBlank="1" showInputMessage="1" showErrorMessage="1" sqref="F52" ns2:uid="{EAFCA945-9E99-F34A-93FD-67147762DA95}">
      <ns0:formula1>KV_DD_MAI_52</ns0:formula1>
    </ns0:dataValidation>
    <ns0:dataValidation type="list" allowBlank="1" showInputMessage="1" showErrorMessage="1" sqref="F53" ns2:uid="{C1995C0B-13AC-44EC-8C43-FFD74A7C8923}">
      <ns0:formula1>KV_DD_MAI_53</ns0:formula1>
    </ns0:dataValidation>
    <ns0:dataValidation type="list" allowBlank="1" showInputMessage="1" showErrorMessage="1" sqref="F54" ns2:uid="{EA762C1D-D426-4E5E-98BB-823A14EA605B}">
      <ns0:formula1>KV_DD_MAI_54</ns0:formula1>
    </ns0:dataValidation>
    <ns0:dataValidation type="list" allowBlank="1" showInputMessage="1" showErrorMessage="1" sqref="F56" ns2:uid="{382F85B4-E7CD-224A-85CB-D3F854643D8C}">
      <ns0:formula1>KV_DD_MAI_56</ns0:formula1>
    </ns0:dataValidation>
    <ns0:dataValidation type="list" allowBlank="1" showInputMessage="1" showErrorMessage="1" sqref="F55" ns2:uid="{9DBECE50-83B3-7548-8B16-17B5E60EE77C}">
      <ns0:formula1>KV_DD_MAI_55</ns0:formula1>
    </ns0:dataValidation>
    <ns0:dataValidation type="list" allowBlank="1" showInputMessage="1" showErrorMessage="1" sqref="F57" ns2:uid="{DA0976BD-C25B-A544-8532-6DC6DD0B49C4}">
      <ns0:formula1>KV_DD_MAI_57</ns0:formula1>
    </ns0:dataValidation>
    <ns0:dataValidation type="list" allowBlank="1" showInputMessage="1" showErrorMessage="1" sqref="F58" ns2:uid="{D0DC86D2-F9E1-B54A-A4E7-278EF6D6DB4A}">
      <ns0:formula1>KV_DD_MAI_58</ns0:formula1>
    </ns0:dataValidation>
    <ns0:dataValidation type="list" allowBlank="1" showInputMessage="1" showErrorMessage="1" sqref="F59" ns2:uid="{AC6274FD-4CDA-4746-96AC-D0A2BC32F2AE}">
      <ns0:formula1>KV_DD_MAI_59</ns0:formula1>
    </ns0:dataValidation>
    <ns0:dataValidation type="list" allowBlank="1" showInputMessage="1" showErrorMessage="1" sqref="F60" ns2:uid="{6442A6FE-86DA-ED4A-B43F-4AA539C05EA8}">
      <ns0:formula1>KV_DD_MAI_60</ns0:formula1>
    </ns0:dataValidation>
    <ns0:dataValidation type="list" allowBlank="1" showInputMessage="1" showErrorMessage="1" sqref="F61" ns2:uid="{73E90480-5B52-594A-AFDD-120B67DACA68}">
      <ns0:formula1>KV_DD_MAI_61</ns0:formula1>
    </ns0:dataValidation>
    <ns0:dataValidation type="list" allowBlank="1" showInputMessage="1" showErrorMessage="1" sqref="F62" ns2:uid="{562E69EF-4464-BE43-BF37-B49386710852}">
      <ns0:formula1>KV_DD_MAI_62</ns0:formula1>
    </ns0:dataValidation>
    <ns0:dataValidation type="list" allowBlank="1" showInputMessage="1" showErrorMessage="1" sqref="F63" ns2:uid="{84C2C255-CC7E-3E44-94BA-D28068703D92}">
      <ns0:formula1>KV_DD_MAI_63</ns0:formula1>
    </ns0:dataValidation>
    <ns0:dataValidation type="list" allowBlank="1" showInputMessage="1" showErrorMessage="1" sqref="F64" ns2:uid="{715954FE-C7A3-334D-8E51-2A2A2DEBAB9C}">
      <ns0:formula1>KV_DD_MAI_64</ns0:formula1>
    </ns0:dataValidation>
    <ns0:dataValidation type="date" allowBlank="1" showDropDown="1" showErrorMessage="1" sqref="I3:I82" ns2:uid="{DBCEE0E7-419E-654C-883B-DDDE42977206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5362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647700</ns4:colOff>
                    <ns4:row>1</ns4:row>
                    <ns4:rowOff>114300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F46EA34C-7C2E-BF49-9ABC-EBE2E7625CD6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0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0B1F051E-963B-254F-8AE7-161E8976A58D}">
  <ns0:sheetPr codeName="Tabelle8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6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46174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46203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903.18770866157831</ns0:v>
      </ns0:c>
      <ns0:c r="P5" s="15">
        <ns0:f>EINSTELLUNG!I11</ns0:f>
        <ns0:v>6</ns0:v>
      </ns0:c>
      <ns0:c r="Q5" s="14">
        <ns0:f>P5-O5</ns0:f>
        <ns0:v>-897.18770866157831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9359.2999999999993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EINSTELLUNG!L27</ns0:f>
        <ns0:v>6</ns0:v>
      </ns0:c>
      <ns0:c r="R9" s="248"/>
      <ns0:c r="S9" s="19">
        <ns0:f>IFERROR(Q9/Q8, 0)</ns0:f>
        <ns0:v>6.410735845629481E-4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EINSTELLUNG!I27</ns0:f>
        <ns0:v>6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6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>
        <ns0:v>21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9320.2999999999993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EINSTELLUNG!L11</ns0:f>
        <ns0:v>9300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20.299999999999272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EINSTELLUNG!O11</ns0:f>
        <ns0:v>6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1.6666666666666666E-2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EINSTELLUNG!C11</ns0:f>
        <ns0:v>6</ns0:v>
      </ns0:c>
      <ns0:c r="R35" s="218"/>
      <ns0:c r="S35" s="218">
        <ns0:f>EINSTELLUNG!C27</ns0:f>
        <ns0:v>6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EINSTELLUNG!D11</ns0:f>
        <ns0:v>6</ns0:v>
      </ns0:c>
      <ns0:c r="R36" s="218"/>
      <ns0:c r="S36" s="218" cm="1">
        <ns0:f t="array" ref="S36">SumMergedCells(Q17:R29)</ns0:f>
        <ns0:v>5006</ns0:v>
      </ns0:c>
      <ns0:c r="T36" s="218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834.33333333333337</ns0:v>
      </ns0:c>
      <ns0:c r="T37" s="226"/>
      <ns0:c r="U37" s="227">
        <ns0:f t="shared" si="2"/>
        <ns0:v>833.33333333333337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2200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EINSTELLUNG!F11</ns0:f>
        <ns0:v>6</ns0:v>
      </ns0:c>
      <ns0:c r="R38" s="219"/>
      <ns0:c r="S38" s="219">
        <ns0:f>EINSTELLUNG!F27</ns0:f>
        <ns0:v>6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IF(Q12=0, 0, Q35/Q12)</ns0:f>
        <ns0:v>0.2857142857142857</ns0:v>
      </ns0:c>
      <ns0:c r="R40" s="218"/>
      <ns0:c r="S40" s="218">
        <ns0:f>IF(Q12=0, 0, S35/Q12)</ns0:f>
        <ns0:v>0.2857142857142857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IF(Q12=0, 0, Q38/Q12)</ns0:f>
        <ns0:v>0.2857142857142857</ns0:v>
      </ns0:c>
      <ns0:c r="R41" s="219"/>
      <ns0:c r="S41" s="219">
        <ns0:f>IF(Q12=0, 0, S38/Q12)</ns0:f>
        <ns0:v>0.2857142857142857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1333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>
        <ns0:f>IF(OR(E61="",F61=""),"",PID_KVLohnLookup($A$1,E61,F61,LOHNTABELLE!$H$4))</ns0:f>
        <ns0:v>1665.6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>
        <ns0:f>IF(OR(E62="",F62=""),"",PID_KVLohnLookup($A$1,E62,F62,LOHNTABELLE!$H$4))</ns0:f>
        <ns0:v>1616.8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>
        <ns0:f>IF(OR(E64="",F64=""),"",PID_KVLohnLookup($A$1,E64,F64,LOHNTABELLE!$H$4))</ns0:f>
        <ns0:v>2200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</ns0:sheetData>
  <ns0:sheetProtection algorithmName="SHA-512" hashValue="cFpKz7dt7+hmDqvJKHq8tC6jObnSflMqIARAVG4kLFjP3nVMaaAFQGAjVegF1pOBuMaGTHA88OC5zUReULnGqA==" saltValue="tlfSfREbmMsSc97kbP9YPw==" spinCount="100000" sheet="1" objects="1" scenarios="1" sort="0" autoFilter="0"/>
  <ns0:sortState ref="B3:N82">
    <ns0:sortCondition ref="B3:B82"/>
    <ns0:sortCondition ref="C3:C82"/>
  </ns0:sortState>
  <ns0:dataConsolidate/>
  <ns0:mergeCells count="98">
    <ns0:mergeCell ref="B1:B2"/>
    <ns0:mergeCell ref="N1:N2"/>
    <ns0:mergeCell ref="H1:H2"/>
    <ns0:mergeCell ref="C1:C2"/>
    <ns0:mergeCell ref="D1:D2"/>
    <ns0:mergeCell ref="E1:E2"/>
    <ns0:mergeCell ref="F1:F2"/>
    <ns0:mergeCell ref="G1:G2"/>
    <ns0:mergeCell ref="I1:I2"/>
    <ns0:mergeCell ref="J1:J2"/>
    <ns0:mergeCell ref="K1:K2"/>
    <ns0:mergeCell ref="L1:L2"/>
    <ns0:mergeCell ref="M1:M2"/>
    <ns0:mergeCell ref="P3:P4"/>
    <ns0:mergeCell ref="Q3:Q4"/>
    <ns0:mergeCell ref="R3:R4"/>
    <ns0:mergeCell ref="O6:R6"/>
    <ns0:mergeCell ref="O8:P8"/>
    <ns0:mergeCell ref="Q8:R8"/>
    <ns0:mergeCell ref="O3:O4"/>
    <ns0:mergeCell ref="O9:P9"/>
    <ns0:mergeCell ref="Q9:R9"/>
    <ns0:mergeCell ref="O10:P10"/>
    <ns0:mergeCell ref="Q10:R10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19:P19"/>
    <ns0:mergeCell ref="Q19:R19"/>
    <ns0:mergeCell ref="O26:P26"/>
    <ns0:mergeCell ref="Q26:R26"/>
    <ns0:mergeCell ref="O27:P27"/>
    <ns0:mergeCell ref="Q27:R27"/>
    <ns0:mergeCell ref="O20:P20"/>
    <ns0:mergeCell ref="Q20:R20"/>
    <ns0:mergeCell ref="O21:P21"/>
    <ns0:mergeCell ref="Q21:R21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S27:V27"/>
    <ns0:mergeCell ref="O29:P29"/>
    <ns0:mergeCell ref="Q29:R29"/>
    <ns0:mergeCell ref="O31:P31"/>
    <ns0:mergeCell ref="Q31:R31"/>
    <ns0:mergeCell ref="O28:P28"/>
    <ns0:mergeCell ref="Q28:R28"/>
    <ns0:mergeCell ref="O33:P34"/>
    <ns0:mergeCell ref="Q33:R34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37:P37"/>
    <ns0:mergeCell ref="Q37:R37"/>
    <ns0:mergeCell ref="S37:T37"/>
    <ns0:mergeCell ref="U37:V37"/>
    <ns0:mergeCell ref="U38:V38"/>
    <ns0:mergeCell ref="O39:P39"/>
    <ns0:mergeCell ref="Q39:R39"/>
    <ns0:mergeCell ref="S39:T39"/>
    <ns0:mergeCell ref="U39:V39"/>
    <ns0:mergeCell ref="O42:P42"/>
    <ns0:mergeCell ref="Q42:V42"/>
    <ns0:mergeCell ref="O15:P15"/>
    <ns0:mergeCell ref="Q15:R15"/>
    <ns0:mergeCell ref="O16:R16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O38:P38"/>
    <ns0:mergeCell ref="Q38:R38"/>
    <ns0:mergeCell ref="S38:T38"/>
  </ns0:mergeCells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B033B1C7-2769-5F48-B4A3-B00BCAEE027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74284C4D-60CB-B44A-84C0-A3EE646ED46A}">
      <ns0:formula1>KV_DD_JUNI_3</ns0:formula1>
    </ns0:dataValidation>
    <ns0:dataValidation type="list" allowBlank="1" showInputMessage="1" showErrorMessage="1" sqref="F4" ns2:uid="{5C95C9BB-0EC6-4048-877F-A1931DB0B44B}">
      <ns0:formula1>KV_DD_JUNI_4</ns0:formula1>
    </ns0:dataValidation>
    <ns0:dataValidation type="list" allowBlank="1" showInputMessage="1" showErrorMessage="1" sqref="F5" ns2:uid="{7D84CA57-0EFE-D340-A989-BCE70C8EF3AE}">
      <ns0:formula1>KV_DD_JUNI_5</ns0:formula1>
    </ns0:dataValidation>
    <ns0:dataValidation type="list" allowBlank="1" showInputMessage="1" showErrorMessage="1" sqref="F6" ns2:uid="{4D2AF967-DE0A-E047-AC2A-40B86C8BFD81}">
      <ns0:formula1>KV_DD_JUNI_6</ns0:formula1>
    </ns0:dataValidation>
    <ns0:dataValidation type="list" allowBlank="1" showInputMessage="1" showErrorMessage="1" sqref="F7" ns2:uid="{A1590850-E4A1-B746-8537-B2925EDCD3FB}">
      <ns0:formula1>KV_DD_JUNI_7</ns0:formula1>
    </ns0:dataValidation>
    <ns0:dataValidation type="list" allowBlank="1" showInputMessage="1" showErrorMessage="1" sqref="F8" ns2:uid="{161FA3E3-3616-674F-9A1B-FF49DD2D3314}">
      <ns0:formula1>KV_DD_JUNI_8</ns0:formula1>
    </ns0:dataValidation>
    <ns0:dataValidation type="list" allowBlank="1" showInputMessage="1" showErrorMessage="1" sqref="F9" ns2:uid="{0BA92EEF-BAC9-DD44-AD47-501270090397}">
      <ns0:formula1>KV_DD_JUNI_9</ns0:formula1>
    </ns0:dataValidation>
    <ns0:dataValidation type="list" allowBlank="1" showInputMessage="1" showErrorMessage="1" sqref="F10" ns2:uid="{3F6732F8-A02A-3E4F-B261-37793252BC21}">
      <ns0:formula1>KV_DD_JUNI_10</ns0:formula1>
    </ns0:dataValidation>
    <ns0:dataValidation type="list" allowBlank="1" showInputMessage="1" showErrorMessage="1" sqref="F11" ns2:uid="{9591885F-BF07-7D4D-B045-2E394EC8054F}">
      <ns0:formula1>KV_DD_JUNI_11</ns0:formula1>
    </ns0:dataValidation>
    <ns0:dataValidation type="list" allowBlank="1" showInputMessage="1" showErrorMessage="1" sqref="F12" ns2:uid="{15B66EE6-A419-4540-ACD5-BE1F2713D07E}">
      <ns0:formula1>KV_DD_JUNI_12</ns0:formula1>
    </ns0:dataValidation>
    <ns0:dataValidation type="list" allowBlank="1" showInputMessage="1" showErrorMessage="1" sqref="F13" ns2:uid="{DCBCFB82-4CCC-E842-BADB-36B090B5C386}">
      <ns0:formula1>KV_DD_JUNI_13</ns0:formula1>
    </ns0:dataValidation>
    <ns0:dataValidation type="list" allowBlank="1" showInputMessage="1" showErrorMessage="1" sqref="F14" ns2:uid="{0079C1B9-025E-5C43-93D0-49ECF806CA0F}">
      <ns0:formula1>KV_DD_JUNI_14</ns0:formula1>
    </ns0:dataValidation>
    <ns0:dataValidation type="list" allowBlank="1" showInputMessage="1" showErrorMessage="1" sqref="F15" ns2:uid="{97BE743B-1FC4-914A-A098-6CD4EC839079}">
      <ns0:formula1>KV_DD_JUNI_15</ns0:formula1>
    </ns0:dataValidation>
    <ns0:dataValidation type="list" allowBlank="1" showInputMessage="1" showErrorMessage="1" sqref="F16" ns2:uid="{6F322A57-16A0-E04F-A403-83E64EA09EF9}">
      <ns0:formula1>KV_DD_JUNI_16</ns0:formula1>
    </ns0:dataValidation>
    <ns0:dataValidation type="list" allowBlank="1" showInputMessage="1" showErrorMessage="1" sqref="F17" ns2:uid="{80852DF7-F4B7-E149-BB98-5109241E1BF0}">
      <ns0:formula1>KV_DD_JUNI_17</ns0:formula1>
    </ns0:dataValidation>
    <ns0:dataValidation type="list" allowBlank="1" showInputMessage="1" showErrorMessage="1" sqref="F18" ns2:uid="{BCA0055E-D601-CC4E-8E1A-A83B3607A962}">
      <ns0:formula1>KV_DD_JUNI_18</ns0:formula1>
    </ns0:dataValidation>
    <ns0:dataValidation type="list" allowBlank="1" showInputMessage="1" showErrorMessage="1" sqref="F19" ns2:uid="{2708AB25-F6C3-FE45-9DC5-150A9C61BDDB}">
      <ns0:formula1>KV_DD_JUNI_19</ns0:formula1>
    </ns0:dataValidation>
    <ns0:dataValidation type="list" allowBlank="1" showInputMessage="1" showErrorMessage="1" sqref="F20" ns2:uid="{E3602D53-5E54-4542-A8B1-CE6F9D9761A9}">
      <ns0:formula1>KV_DD_JUNI_20</ns0:formula1>
    </ns0:dataValidation>
    <ns0:dataValidation type="list" allowBlank="1" showInputMessage="1" showErrorMessage="1" sqref="F21" ns2:uid="{1D3A9D11-A246-6546-9E8E-010C21ED7433}">
      <ns0:formula1>KV_DD_JUNI_21</ns0:formula1>
    </ns0:dataValidation>
    <ns0:dataValidation type="list" allowBlank="1" showInputMessage="1" showErrorMessage="1" sqref="F22" ns2:uid="{948B6B80-B453-0B4A-BFBD-16A4DBC8FCDA}">
      <ns0:formula1>KV_DD_JUNI_22</ns0:formula1>
    </ns0:dataValidation>
    <ns0:dataValidation type="list" allowBlank="1" showInputMessage="1" showErrorMessage="1" sqref="F23" ns2:uid="{27D434B2-8A35-C34B-8E76-B04D8A7FD57C}">
      <ns0:formula1>KV_DD_JUNI_23</ns0:formula1>
    </ns0:dataValidation>
    <ns0:dataValidation type="list" allowBlank="1" showInputMessage="1" showErrorMessage="1" sqref="F24" ns2:uid="{8978BDE5-B459-FF45-A35F-E7BC5540DA8A}">
      <ns0:formula1>KV_DD_JUNI_24</ns0:formula1>
    </ns0:dataValidation>
    <ns0:dataValidation type="list" allowBlank="1" showInputMessage="1" showErrorMessage="1" sqref="F25" ns2:uid="{2CD4D2BC-339C-CC41-872B-DF2A434B5B0C}">
      <ns0:formula1>KV_DD_JUNI_25</ns0:formula1>
    </ns0:dataValidation>
    <ns0:dataValidation type="list" allowBlank="1" showInputMessage="1" showErrorMessage="1" sqref="F26" ns2:uid="{F4167F0C-EF46-1B47-A72C-830AD6E10B9C}">
      <ns0:formula1>KV_DD_JUNI_26</ns0:formula1>
    </ns0:dataValidation>
    <ns0:dataValidation type="list" allowBlank="1" showInputMessage="1" showErrorMessage="1" sqref="F27" ns2:uid="{D8146894-1855-354F-8194-8810A3C44016}">
      <ns0:formula1>KV_DD_JUNI_27</ns0:formula1>
    </ns0:dataValidation>
    <ns0:dataValidation type="list" allowBlank="1" showInputMessage="1" showErrorMessage="1" sqref="F28" ns2:uid="{BCE464D5-1855-AE43-B9E6-3EC22C13AD70}">
      <ns0:formula1>KV_DD_JUNI_28</ns0:formula1>
    </ns0:dataValidation>
    <ns0:dataValidation type="list" allowBlank="1" showInputMessage="1" showErrorMessage="1" sqref="F29" ns2:uid="{A71CE8D9-F4BF-D24D-9708-D0EA5C09F766}">
      <ns0:formula1>KV_DD_JUNI_29</ns0:formula1>
    </ns0:dataValidation>
    <ns0:dataValidation type="list" allowBlank="1" showInputMessage="1" showErrorMessage="1" sqref="F30" ns2:uid="{83BBFBCA-B710-7A40-B038-D35D44B50D7E}">
      <ns0:formula1>KV_DD_JUNI_30</ns0:formula1>
    </ns0:dataValidation>
    <ns0:dataValidation type="list" allowBlank="1" showInputMessage="1" showErrorMessage="1" sqref="F31" ns2:uid="{331BB3D0-082A-1F41-9495-923B46ECE712}">
      <ns0:formula1>KV_DD_JUNI_31</ns0:formula1>
    </ns0:dataValidation>
    <ns0:dataValidation type="list" allowBlank="1" showInputMessage="1" showErrorMessage="1" sqref="F32" ns2:uid="{632E56E7-D038-1D4F-B2F5-5B824C7818ED}">
      <ns0:formula1>KV_DD_JUNI_32</ns0:formula1>
    </ns0:dataValidation>
    <ns0:dataValidation type="list" allowBlank="1" showInputMessage="1" showErrorMessage="1" sqref="F33" ns2:uid="{18F4AD59-7C8C-4848-8C44-704943045B65}">
      <ns0:formula1>KV_DD_JUNI_33</ns0:formula1>
    </ns0:dataValidation>
    <ns0:dataValidation type="list" allowBlank="1" showInputMessage="1" showErrorMessage="1" sqref="F34" ns2:uid="{DFA64299-BC63-D244-A8DB-9B7A1E1E506D}">
      <ns0:formula1>KV_DD_JUNI_34</ns0:formula1>
    </ns0:dataValidation>
    <ns0:dataValidation type="list" allowBlank="1" showInputMessage="1" showErrorMessage="1" sqref="F35" ns2:uid="{E01BC2A0-3210-6842-ADF7-F197CDD6D6EC}">
      <ns0:formula1>KV_DD_JUNI_35</ns0:formula1>
    </ns0:dataValidation>
    <ns0:dataValidation type="list" allowBlank="1" showInputMessage="1" showErrorMessage="1" sqref="F36" ns2:uid="{90957132-2615-6D4E-AA91-D4537CDD5A05}">
      <ns0:formula1>KV_DD_JUNI_36</ns0:formula1>
    </ns0:dataValidation>
    <ns0:dataValidation type="list" allowBlank="1" showInputMessage="1" showErrorMessage="1" sqref="F37" ns2:uid="{E7374205-4DEA-914B-8EF4-0888FC7E772D}">
      <ns0:formula1>KV_DD_JUNI_37</ns0:formula1>
    </ns0:dataValidation>
    <ns0:dataValidation type="list" allowBlank="1" showInputMessage="1" showErrorMessage="1" sqref="F38" ns2:uid="{4447221B-6A7B-1344-B766-BC80488BABBC}">
      <ns0:formula1>KV_DD_JUNI_38</ns0:formula1>
    </ns0:dataValidation>
    <ns0:dataValidation type="list" allowBlank="1" showInputMessage="1" showErrorMessage="1" sqref="F39" ns2:uid="{E9C2EF13-0996-1D46-BC49-7B1118812277}">
      <ns0:formula1>KV_DD_JUNI_39</ns0:formula1>
    </ns0:dataValidation>
    <ns0:dataValidation type="list" allowBlank="1" showInputMessage="1" showErrorMessage="1" sqref="F40" ns2:uid="{5DA613C7-17AE-A342-BFC4-970781FB0F6E}">
      <ns0:formula1>KV_DD_JUNI_40</ns0:formula1>
    </ns0:dataValidation>
    <ns0:dataValidation type="list" allowBlank="1" showInputMessage="1" showErrorMessage="1" sqref="F41" ns2:uid="{1FBE330D-A904-9D43-B017-4A9FF155C80E}">
      <ns0:formula1>KV_DD_JUNI_41</ns0:formula1>
    </ns0:dataValidation>
    <ns0:dataValidation type="list" allowBlank="1" showInputMessage="1" showErrorMessage="1" sqref="F42" ns2:uid="{898D7605-5729-384B-900B-381B84CC8A3C}">
      <ns0:formula1>KV_DD_JUNI_42</ns0:formula1>
    </ns0:dataValidation>
    <ns0:dataValidation type="list" allowBlank="1" showInputMessage="1" showErrorMessage="1" sqref="F43" ns2:uid="{8D396FC1-6ECE-A240-8799-D781DD71D023}">
      <ns0:formula1>KV_DD_JUNI_43</ns0:formula1>
    </ns0:dataValidation>
    <ns0:dataValidation type="list" allowBlank="1" showInputMessage="1" showErrorMessage="1" sqref="F44" ns2:uid="{1DD2AC31-7E5E-824E-9453-063626E2FA76}">
      <ns0:formula1>KV_DD_JUNI_44</ns0:formula1>
    </ns0:dataValidation>
    <ns0:dataValidation type="list" allowBlank="1" showInputMessage="1" showErrorMessage="1" sqref="F45" ns2:uid="{0E1C19BF-29E3-5548-B14F-7CCE5288DF4B}">
      <ns0:formula1>KV_DD_JUNI_45</ns0:formula1>
    </ns0:dataValidation>
    <ns0:dataValidation type="list" allowBlank="1" showInputMessage="1" showErrorMessage="1" sqref="F46" ns2:uid="{D25936E3-9ABF-364B-BEE3-07767437F088}">
      <ns0:formula1>KV_DD_JUNI_46</ns0:formula1>
    </ns0:dataValidation>
    <ns0:dataValidation type="list" allowBlank="1" showInputMessage="1" showErrorMessage="1" sqref="F47" ns2:uid="{4F2A47F0-7D8C-9345-9A27-19F7AB9D0678}">
      <ns0:formula1>KV_DD_JUNI_47</ns0:formula1>
    </ns0:dataValidation>
    <ns0:dataValidation type="list" allowBlank="1" showInputMessage="1" showErrorMessage="1" sqref="F48" ns2:uid="{BC13C423-6136-3245-A4BD-031F9F770812}">
      <ns0:formula1>KV_DD_JUNI_48</ns0:formula1>
    </ns0:dataValidation>
    <ns0:dataValidation type="list" allowBlank="1" showInputMessage="1" showErrorMessage="1" sqref="F49" ns2:uid="{968296B4-D55D-3A4F-B337-3E59584BF864}">
      <ns0:formula1>KV_DD_JUNI_49</ns0:formula1>
    </ns0:dataValidation>
    <ns0:dataValidation type="list" allowBlank="1" showInputMessage="1" showErrorMessage="1" sqref="F50" ns2:uid="{55AA79E7-6B2B-BF40-8902-E6A187DC1017}">
      <ns0:formula1>KV_DD_JUNI_50</ns0:formula1>
    </ns0:dataValidation>
    <ns0:dataValidation type="list" allowBlank="1" showInputMessage="1" showErrorMessage="1" sqref="F51" ns2:uid="{7BFF704D-E237-DB46-92B5-31BE5995C8DB}">
      <ns0:formula1>KV_DD_JUNI_51</ns0:formula1>
    </ns0:dataValidation>
    <ns0:dataValidation type="list" allowBlank="1" showInputMessage="1" showErrorMessage="1" sqref="F52" ns2:uid="{6E0CCB34-2460-7B48-A5CA-ADB5A52C4DC7}">
      <ns0:formula1>KV_DD_JUNI_52</ns0:formula1>
    </ns0:dataValidation>
    <ns0:dataValidation type="list" allowBlank="1" showInputMessage="1" showErrorMessage="1" sqref="F53" ns2:uid="{C8309A28-2FC1-D14E-AE5D-1C3E2CA82FB0}">
      <ns0:formula1>KV_DD_JUNI_53</ns0:formula1>
    </ns0:dataValidation>
    <ns0:dataValidation type="list" allowBlank="1" showInputMessage="1" showErrorMessage="1" sqref="F54" ns2:uid="{B9EEAC45-A292-45CD-B67E-531A8306D398}">
      <ns0:formula1>KV_DD_JUNI_54</ns0:formula1>
    </ns0:dataValidation>
    <ns0:dataValidation type="list" allowBlank="1" showInputMessage="1" showErrorMessage="1" sqref="F55" ns2:uid="{E76AB04B-B307-4616-82E7-844199DD36AC}">
      <ns0:formula1>KV_DD_JUNI_55</ns0:formula1>
    </ns0:dataValidation>
    <ns0:dataValidation type="list" allowBlank="1" showInputMessage="1" showErrorMessage="1" sqref="F56" ns2:uid="{E942F83D-A867-EF44-BE7D-3886355A57CA}">
      <ns0:formula1>KV_DD_JUNI_56</ns0:formula1>
    </ns0:dataValidation>
    <ns0:dataValidation type="list" allowBlank="1" showInputMessage="1" showErrorMessage="1" sqref="F57" ns2:uid="{1E15DE4D-F4A2-9342-B400-763E28DC004F}">
      <ns0:formula1>KV_DD_JUNI_57</ns0:formula1>
    </ns0:dataValidation>
    <ns0:dataValidation type="list" allowBlank="1" showInputMessage="1" showErrorMessage="1" sqref="F58" ns2:uid="{5EFA36E1-FEDB-8943-A1CE-8F2D721D30D7}">
      <ns0:formula1>KV_DD_JUNI_58</ns0:formula1>
    </ns0:dataValidation>
    <ns0:dataValidation type="list" allowBlank="1" showInputMessage="1" showErrorMessage="1" sqref="F59" ns2:uid="{04CF9C55-840F-C441-95D1-E8452309BBD6}">
      <ns0:formula1>KV_DD_JUNI_59</ns0:formula1>
    </ns0:dataValidation>
    <ns0:dataValidation type="list" allowBlank="1" showInputMessage="1" showErrorMessage="1" sqref="F60" ns2:uid="{5F5A703F-18F2-094C-96AC-FBC5F9A6E6FD}">
      <ns0:formula1>KV_DD_JUNI_60</ns0:formula1>
    </ns0:dataValidation>
    <ns0:dataValidation type="list" allowBlank="1" showInputMessage="1" showErrorMessage="1" sqref="F61" ns2:uid="{F7D4EF37-9DF4-8E4A-812C-4B1FBA2F052F}">
      <ns0:formula1>KV_DD_JUNI_61</ns0:formula1>
    </ns0:dataValidation>
    <ns0:dataValidation type="list" allowBlank="1" showInputMessage="1" showErrorMessage="1" sqref="F62" ns2:uid="{D83C6268-CD4D-564C-8953-79BCF82C9674}">
      <ns0:formula1>KV_DD_JUNI_62</ns0:formula1>
    </ns0:dataValidation>
    <ns0:dataValidation type="list" allowBlank="1" showInputMessage="1" showErrorMessage="1" sqref="F63" ns2:uid="{D9157D04-DBE2-4591-8A50-5940E52A90C8}">
      <ns0:formula1>KV_DD_JUNI_63</ns0:formula1>
    </ns0:dataValidation>
    <ns0:dataValidation type="date" allowBlank="1" showDropDown="1" showErrorMessage="1" sqref="I3:I82" ns2:uid="{EC8C502F-2178-C143-89E9-B247DFF3F52F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34817" ns3:id="rId4" name="Button 1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647700</ns4:colOff>
                    <ns4:row>1</ns4:row>
                    <ns4:rowOff>114300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D6DDBC63-0265-C64B-97E5-ECBC4C57D5B4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1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C12182FA-4A8B-4EFF-84FF-24677E264240}">
  <ns0:sheetPr codeName="Tabelle9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7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46204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46234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903.18770866157831</ns0:v>
      </ns0:c>
      <ns0:c r="P5" s="15">
        <ns0:f>EINSTELLUNG!I12</ns0:f>
        <ns0:v>7</ns0:v>
      </ns0:c>
      <ns0:c r="Q5" s="14">
        <ns0:f>P5-O5</ns0:f>
        <ns0:v>-896.18770866157831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9225.3599999999988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EINSTELLUNG!L28</ns0:f>
        <ns0:v>7</ns0:v>
      </ns0:c>
      <ns0:c r="R9" s="248"/>
      <ns0:c r="S9" s="19">
        <ns0:f>IFERROR(Q9/Q8, 0)</ns0:f>
        <ns0:v>7.5877797722798904E-4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EINSTELLUNG!I28</ns0:f>
        <ns0:v>7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7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>
        <ns0:v>-20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9224.3599999999988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EINSTELLUNG!L12</ns0:f>
        <ns0:v>9300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-75.640000000001237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Schlecht! Zu wenig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39.06</ns0:v>
      </ns0:c>
      <ns0:c r="I19" s="126">
        <ns0:v>46210</ns0:v>
      </ns0:c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 t="s">
        <ns0:v>206</ns0:v>
      </ns0:c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359"/>
      <ns0:c r="P26" s="261"/>
      <ns0:c r="Q26" s="263"/>
      <ns0:c r="R26" s="264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EINSTELLUNG!O12</ns0:f>
        <ns0:v>7</ns0:v>
      </ns0:c>
      <ns0:c r="R29" s="231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1.6393442622950821E-2</ns0:v>
      </ns0:c>
      <ns0:c r="R31" s="235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EINSTELLUNG!C12</ns0:f>
        <ns0:v>7</ns0:v>
      </ns0:c>
      <ns0:c r="R35" s="218"/>
      <ns0:c r="S35" s="218">
        <ns0:f>EINSTELLUNG!C28</ns0:f>
        <ns0:v>7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EINSTELLUNG!D12</ns0:f>
        <ns0:v>7</ns0:v>
      </ns0:c>
      <ns0:c r="R36" s="218"/>
      <ns0:c r="S36" s="215" cm="1">
        <ns0:f t="array" ref="S36">SumMergedCells(Q17:R29)</ns0:f>
        <ns0:v>5007</ns0:v>
      </ns0:c>
      <ns0:c r="T36" s="217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715.28571428571433</ns0:v>
      </ns0:c>
      <ns0:c r="T37" s="226"/>
      <ns0:c r="U37" s="227">
        <ns0:f t="shared" si="2"/>
        <ns0:v>714.28571428571433</ns0:v>
      </ns0:c>
      <ns0:c r="V37" s="227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2200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EINSTELLUNG!F12</ns0:f>
        <ns0:v>7</ns0:v>
      </ns0:c>
      <ns0:c r="R38" s="219"/>
      <ns0:c r="S38" s="219">
        <ns0:f>EINSTELLUNG!F28</ns0:f>
        <ns0:v>7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IF(Q13=0, 0, Q35/Q13)</ns0:f>
        <ns0:v>7.5886023529003646E-4</ns0:v>
      </ns0:c>
      <ns0:c r="R40" s="218"/>
      <ns0:c r="S40" s="218">
        <ns0:f>IF(Q13=0, 0, S35/Q13)</ns0:f>
        <ns0:v>7.5886023529003646E-4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IF(Q13=0, 0, Q38/Q13)</ns0:f>
        <ns0:v>7.5886023529003646E-4</ns0:v>
      </ns0:c>
      <ns0:c r="R41" s="219"/>
      <ns0:c r="S41" s="219">
        <ns0:f>IF(Q13=0, 0, S38/Q13)</ns0:f>
        <ns0:v>7.5886023529003646E-4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1333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>
        <ns0:f>IF(OR(E61="",F61=""),"",PID_KVLohnLookup($A$1,E61,F61,LOHNTABELLE!$H$4))</ns0:f>
        <ns0:v>1665.6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>
        <ns0:f>IF(OR(E62="",F62=""),"",PID_KVLohnLookup($A$1,E62,F62,LOHNTABELLE!$H$4))</ns0:f>
        <ns0:v>1616.8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>
        <ns0:f>IF(OR(E64="",F64=""),"",PID_KVLohnLookup($A$1,E64,F64,LOHNTABELLE!$H$4))</ns0:f>
        <ns0:v>2200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MwKPYH1v4q28JpenI8ddLF392U/z7lS8tyYHI6mFCznLZXTjSTck1eFo/22LLiNRpy4rFkFfzDZlmDdgNfDiuQ==" saltValue="z03eqblewKgHMbBjc9jMJQ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921463F6-1826-894A-9CAE-6DC803614B2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60B97FA9-25ED-AB4F-8532-1BC896D2D375}">
      <ns0:formula1>KV_DD_JULI_3</ns0:formula1>
    </ns0:dataValidation>
    <ns0:dataValidation type="list" allowBlank="1" showInputMessage="1" showErrorMessage="1" sqref="F4" ns2:uid="{7CBB945F-469C-8846-B312-5A0577523318}">
      <ns0:formula1>KV_DD_JULI_4</ns0:formula1>
    </ns0:dataValidation>
    <ns0:dataValidation type="list" allowBlank="1" showInputMessage="1" showErrorMessage="1" sqref="F5" ns2:uid="{4E531316-1DD7-B041-9D3A-97BDE454F5B8}">
      <ns0:formula1>KV_DD_JULI_5</ns0:formula1>
    </ns0:dataValidation>
    <ns0:dataValidation type="list" allowBlank="1" showInputMessage="1" showErrorMessage="1" sqref="F6" ns2:uid="{EB080457-9424-3B45-926E-495692DDA6EF}">
      <ns0:formula1>KV_DD_JULI_6</ns0:formula1>
    </ns0:dataValidation>
    <ns0:dataValidation type="list" allowBlank="1" showInputMessage="1" showErrorMessage="1" sqref="F7" ns2:uid="{99082574-ED3E-2D41-B667-FE7B0C57A137}">
      <ns0:formula1>KV_DD_JULI_7</ns0:formula1>
    </ns0:dataValidation>
    <ns0:dataValidation type="list" allowBlank="1" showInputMessage="1" showErrorMessage="1" sqref="F8" ns2:uid="{25675D80-027B-D24F-96AA-9C14D89B4E94}">
      <ns0:formula1>KV_DD_JULI_8</ns0:formula1>
    </ns0:dataValidation>
    <ns0:dataValidation type="list" allowBlank="1" showInputMessage="1" showErrorMessage="1" sqref="F9" ns2:uid="{B5E35980-1C90-894C-A6ED-F79C14735CD4}">
      <ns0:formula1>KV_DD_JULI_9</ns0:formula1>
    </ns0:dataValidation>
    <ns0:dataValidation type="list" allowBlank="1" showInputMessage="1" showErrorMessage="1" sqref="F10" ns2:uid="{17506920-8C4B-7F4C-A329-C4C881B7AF00}">
      <ns0:formula1>KV_DD_JULI_10</ns0:formula1>
    </ns0:dataValidation>
    <ns0:dataValidation type="list" allowBlank="1" showInputMessage="1" showErrorMessage="1" sqref="F11" ns2:uid="{5105BB98-2901-824D-99D6-2A1BDB81F9D3}">
      <ns0:formula1>KV_DD_JULI_11</ns0:formula1>
    </ns0:dataValidation>
    <ns0:dataValidation type="list" allowBlank="1" showInputMessage="1" showErrorMessage="1" sqref="F12" ns2:uid="{B01706D7-D56B-B941-A3F5-5379B218871D}">
      <ns0:formula1>KV_DD_JULI_12</ns0:formula1>
    </ns0:dataValidation>
    <ns0:dataValidation type="list" allowBlank="1" showInputMessage="1" showErrorMessage="1" sqref="F13" ns2:uid="{FCB4EF45-E344-BE41-B050-3C52BA016E1C}">
      <ns0:formula1>KV_DD_JULI_13</ns0:formula1>
    </ns0:dataValidation>
    <ns0:dataValidation type="list" allowBlank="1" showInputMessage="1" showErrorMessage="1" sqref="F14" ns2:uid="{902E33DD-FF14-CA4C-BB0E-53549D66D2A3}">
      <ns0:formula1>KV_DD_JULI_14</ns0:formula1>
    </ns0:dataValidation>
    <ns0:dataValidation type="list" allowBlank="1" showInputMessage="1" showErrorMessage="1" sqref="F15" ns2:uid="{73719BA5-9391-0A4F-8B3A-0E9980DF80AE}">
      <ns0:formula1>KV_DD_JULI_15</ns0:formula1>
    </ns0:dataValidation>
    <ns0:dataValidation type="list" allowBlank="1" showInputMessage="1" showErrorMessage="1" sqref="F16" ns2:uid="{F886C09C-2B60-4F4B-B39B-2652D8B9105C}">
      <ns0:formula1>KV_DD_JULI_16</ns0:formula1>
    </ns0:dataValidation>
    <ns0:dataValidation type="list" allowBlank="1" showInputMessage="1" showErrorMessage="1" sqref="F17" ns2:uid="{90FA5D8C-7414-134F-BBB4-6A084397B7F5}">
      <ns0:formula1>KV_DD_JULI_17</ns0:formula1>
    </ns0:dataValidation>
    <ns0:dataValidation type="list" allowBlank="1" showInputMessage="1" showErrorMessage="1" sqref="F18" ns2:uid="{A2F0A2B1-2832-9148-BD7B-8D2D8524E7F3}">
      <ns0:formula1>KV_DD_JULI_18</ns0:formula1>
    </ns0:dataValidation>
    <ns0:dataValidation type="list" allowBlank="1" showInputMessage="1" showErrorMessage="1" sqref="F19" ns2:uid="{B5BDB2BB-A047-D44A-8832-C19C752D999F}">
      <ns0:formula1>KV_DD_JULI_19</ns0:formula1>
    </ns0:dataValidation>
    <ns0:dataValidation type="list" allowBlank="1" showInputMessage="1" showErrorMessage="1" sqref="F20" ns2:uid="{F4F43748-4646-8E47-862F-8D3382272D1F}">
      <ns0:formula1>KV_DD_JULI_20</ns0:formula1>
    </ns0:dataValidation>
    <ns0:dataValidation type="list" allowBlank="1" showInputMessage="1" showErrorMessage="1" sqref="F21" ns2:uid="{2F1BBF81-A412-6747-B5D2-AF6C129CE7F2}">
      <ns0:formula1>KV_DD_JULI_21</ns0:formula1>
    </ns0:dataValidation>
    <ns0:dataValidation type="list" allowBlank="1" showInputMessage="1" showErrorMessage="1" sqref="F22" ns2:uid="{F68669D4-20A7-D341-B2C5-BEF67552AFD1}">
      <ns0:formula1>KV_DD_JULI_22</ns0:formula1>
    </ns0:dataValidation>
    <ns0:dataValidation type="list" allowBlank="1" showInputMessage="1" showErrorMessage="1" sqref="F23" ns2:uid="{91B7EBA9-5F58-EA49-8391-718D350502EB}">
      <ns0:formula1>KV_DD_JULI_23</ns0:formula1>
    </ns0:dataValidation>
    <ns0:dataValidation type="list" allowBlank="1" showInputMessage="1" showErrorMessage="1" sqref="F24" ns2:uid="{71CAB67F-E501-F742-A1FA-C93EBB904240}">
      <ns0:formula1>KV_DD_JULI_24</ns0:formula1>
    </ns0:dataValidation>
    <ns0:dataValidation type="list" allowBlank="1" showInputMessage="1" showErrorMessage="1" sqref="F25" ns2:uid="{698FDF89-3162-E04F-9C73-D05D41E3E8C6}">
      <ns0:formula1>KV_DD_JULI_25</ns0:formula1>
    </ns0:dataValidation>
    <ns0:dataValidation type="list" allowBlank="1" showInputMessage="1" showErrorMessage="1" sqref="F26" ns2:uid="{5A2FBFAD-795A-4A4C-8FA5-88E3F4087191}">
      <ns0:formula1>KV_DD_JULI_26</ns0:formula1>
    </ns0:dataValidation>
    <ns0:dataValidation type="list" allowBlank="1" showInputMessage="1" showErrorMessage="1" sqref="F27" ns2:uid="{46CD7713-BAED-B740-98CC-5A6B684751BD}">
      <ns0:formula1>KV_DD_JULI_27</ns0:formula1>
    </ns0:dataValidation>
    <ns0:dataValidation type="list" allowBlank="1" showInputMessage="1" showErrorMessage="1" sqref="F28" ns2:uid="{B8DFA488-9A01-EA4B-BA3B-DF4F1D64D0CB}">
      <ns0:formula1>KV_DD_JULI_28</ns0:formula1>
    </ns0:dataValidation>
    <ns0:dataValidation type="list" allowBlank="1" showInputMessage="1" showErrorMessage="1" sqref="F29" ns2:uid="{AA5A3A04-9A88-3F48-9136-4F8CE8DE65D5}">
      <ns0:formula1>KV_DD_JULI_29</ns0:formula1>
    </ns0:dataValidation>
    <ns0:dataValidation type="list" allowBlank="1" showInputMessage="1" showErrorMessage="1" sqref="F30" ns2:uid="{6B875379-EFE2-AC42-BEF9-5B3704A41835}">
      <ns0:formula1>KV_DD_JULI_30</ns0:formula1>
    </ns0:dataValidation>
    <ns0:dataValidation type="list" allowBlank="1" showInputMessage="1" showErrorMessage="1" sqref="F31" ns2:uid="{CA9AF1A1-87F0-7F4D-ACB1-46352C0B4293}">
      <ns0:formula1>KV_DD_JULI_31</ns0:formula1>
    </ns0:dataValidation>
    <ns0:dataValidation type="list" allowBlank="1" showInputMessage="1" showErrorMessage="1" sqref="F32" ns2:uid="{540ADBB2-DCD3-D946-811C-F01D586ECC06}">
      <ns0:formula1>KV_DD_JULI_32</ns0:formula1>
    </ns0:dataValidation>
    <ns0:dataValidation type="list" allowBlank="1" showInputMessage="1" showErrorMessage="1" sqref="F33" ns2:uid="{4F136261-299B-254B-AB5F-C154617BCD8A}">
      <ns0:formula1>KV_DD_JULI_33</ns0:formula1>
    </ns0:dataValidation>
    <ns0:dataValidation type="list" allowBlank="1" showInputMessage="1" showErrorMessage="1" sqref="F34" ns2:uid="{93CAD335-03E4-D94B-B175-1765B151CD7D}">
      <ns0:formula1>KV_DD_JULI_34</ns0:formula1>
    </ns0:dataValidation>
    <ns0:dataValidation type="list" allowBlank="1" showInputMessage="1" showErrorMessage="1" sqref="F35" ns2:uid="{68A26C70-434C-1C47-9B50-72E138873396}">
      <ns0:formula1>KV_DD_JULI_35</ns0:formula1>
    </ns0:dataValidation>
    <ns0:dataValidation type="list" allowBlank="1" showInputMessage="1" showErrorMessage="1" sqref="F36" ns2:uid="{2A919D54-AAA6-6344-A96A-6AC1BDBB1DB6}">
      <ns0:formula1>KV_DD_JULI_36</ns0:formula1>
    </ns0:dataValidation>
    <ns0:dataValidation type="list" allowBlank="1" showInputMessage="1" showErrorMessage="1" sqref="F37" ns2:uid="{3FD06028-B9AB-CF48-BCF4-A629119A741C}">
      <ns0:formula1>KV_DD_JULI_37</ns0:formula1>
    </ns0:dataValidation>
    <ns0:dataValidation type="list" allowBlank="1" showInputMessage="1" showErrorMessage="1" sqref="F38" ns2:uid="{D092A3F8-316B-D146-B483-0C90D6C4D9EA}">
      <ns0:formula1>KV_DD_JULI_38</ns0:formula1>
    </ns0:dataValidation>
    <ns0:dataValidation type="list" allowBlank="1" showInputMessage="1" showErrorMessage="1" sqref="F39" ns2:uid="{4F2DE2EA-C3A1-B242-9474-A02A4E6ECD0D}">
      <ns0:formula1>KV_DD_JULI_39</ns0:formula1>
    </ns0:dataValidation>
    <ns0:dataValidation type="list" allowBlank="1" showInputMessage="1" showErrorMessage="1" sqref="F40" ns2:uid="{45E1BE62-E397-AE44-AC22-A1963C7A2D05}">
      <ns0:formula1>KV_DD_JULI_40</ns0:formula1>
    </ns0:dataValidation>
    <ns0:dataValidation type="list" allowBlank="1" showInputMessage="1" showErrorMessage="1" sqref="F41" ns2:uid="{3BDAD3E9-042E-4447-9333-83DBD4911E11}">
      <ns0:formula1>KV_DD_JULI_41</ns0:formula1>
    </ns0:dataValidation>
    <ns0:dataValidation type="list" allowBlank="1" showInputMessage="1" showErrorMessage="1" sqref="F42" ns2:uid="{785C315C-E99E-2F4A-A0CA-577E81DCDCE7}">
      <ns0:formula1>KV_DD_JULI_42</ns0:formula1>
    </ns0:dataValidation>
    <ns0:dataValidation type="list" allowBlank="1" showInputMessage="1" showErrorMessage="1" sqref="F43" ns2:uid="{3E474902-41A4-9D4A-85AF-150F418BF256}">
      <ns0:formula1>KV_DD_JULI_43</ns0:formula1>
    </ns0:dataValidation>
    <ns0:dataValidation type="list" allowBlank="1" showInputMessage="1" showErrorMessage="1" sqref="F44" ns2:uid="{A59FA30B-31D3-6141-B456-7AFD5EBE9A27}">
      <ns0:formula1>KV_DD_JULI_44</ns0:formula1>
    </ns0:dataValidation>
    <ns0:dataValidation type="list" allowBlank="1" showInputMessage="1" showErrorMessage="1" sqref="F45" ns2:uid="{336BF4C6-18A0-684A-82B1-FA02C9CC43DE}">
      <ns0:formula1>KV_DD_JULI_45</ns0:formula1>
    </ns0:dataValidation>
    <ns0:dataValidation type="list" allowBlank="1" showInputMessage="1" showErrorMessage="1" sqref="F46" ns2:uid="{406F91ED-AD83-B542-99DB-4E84D47A4C6B}">
      <ns0:formula1>KV_DD_JULI_46</ns0:formula1>
    </ns0:dataValidation>
    <ns0:dataValidation type="list" allowBlank="1" showInputMessage="1" showErrorMessage="1" sqref="F47" ns2:uid="{9AA0024F-72D6-4D4A-AFC4-F8348A8579BB}">
      <ns0:formula1>KV_DD_JULI_47</ns0:formula1>
    </ns0:dataValidation>
    <ns0:dataValidation type="list" allowBlank="1" showInputMessage="1" showErrorMessage="1" sqref="F48" ns2:uid="{6EBE5451-D8A4-CB4C-8A00-EBBEF22EB481}">
      <ns0:formula1>KV_DD_JULI_48</ns0:formula1>
    </ns0:dataValidation>
    <ns0:dataValidation type="list" allowBlank="1" showInputMessage="1" showErrorMessage="1" sqref="F49" ns2:uid="{2BA1A6EE-B12A-0445-8281-F1975EF32088}">
      <ns0:formula1>KV_DD_JULI_49</ns0:formula1>
    </ns0:dataValidation>
    <ns0:dataValidation type="list" allowBlank="1" showInputMessage="1" showErrorMessage="1" sqref="F50" ns2:uid="{23EC836F-AF27-8143-A301-4CFE8BFF6C7F}">
      <ns0:formula1>KV_DD_JULI_50</ns0:formula1>
    </ns0:dataValidation>
    <ns0:dataValidation type="list" allowBlank="1" showInputMessage="1" showErrorMessage="1" sqref="F51" ns2:uid="{AB870C16-2B8B-FC45-86D3-E2A0E52BE3AA}">
      <ns0:formula1>KV_DD_JULI_51</ns0:formula1>
    </ns0:dataValidation>
    <ns0:dataValidation type="list" allowBlank="1" showInputMessage="1" showErrorMessage="1" sqref="F52" ns2:uid="{16A7B932-A71E-B549-87D1-15ACD96AE35A}">
      <ns0:formula1>KV_DD_JULI_52</ns0:formula1>
    </ns0:dataValidation>
    <ns0:dataValidation type="list" allowBlank="1" showInputMessage="1" showErrorMessage="1" sqref="F53" ns2:uid="{8413E4EB-FF74-4244-801B-9E4966CD2791}">
      <ns0:formula1>KV_DD_JULI_53</ns0:formula1>
    </ns0:dataValidation>
    <ns0:dataValidation type="list" allowBlank="1" showInputMessage="1" showErrorMessage="1" sqref="F54" ns2:uid="{B2A1816B-9261-4C7A-85C9-8DCAB41D27FD}">
      <ns0:formula1>KV_DD_JULI_54</ns0:formula1>
    </ns0:dataValidation>
    <ns0:dataValidation type="list" allowBlank="1" showInputMessage="1" showErrorMessage="1" sqref="F55" ns2:uid="{E27EF2F2-6A12-43EE-ADED-01088D314374}">
      <ns0:formula1>KV_DD_JULI_55</ns0:formula1>
    </ns0:dataValidation>
    <ns0:dataValidation type="list" allowBlank="1" showInputMessage="1" showErrorMessage="1" sqref="F56" ns2:uid="{FFFDF2ED-A619-CF40-B6F5-33A5FBB865E3}">
      <ns0:formula1>KV_DD_JULI_56</ns0:formula1>
    </ns0:dataValidation>
    <ns0:dataValidation type="list" allowBlank="1" showInputMessage="1" showErrorMessage="1" sqref="F57" ns2:uid="{79AC08FF-7A3A-7246-B1A1-B29BCE7B5F1F}">
      <ns0:formula1>KV_DD_JULI_57</ns0:formula1>
    </ns0:dataValidation>
    <ns0:dataValidation type="list" allowBlank="1" showInputMessage="1" showErrorMessage="1" sqref="F58" ns2:uid="{9FF4BD59-6361-3549-B370-736FDAB64D5E}">
      <ns0:formula1>KV_DD_JULI_58</ns0:formula1>
    </ns0:dataValidation>
    <ns0:dataValidation type="list" allowBlank="1" showInputMessage="1" showErrorMessage="1" sqref="F59" ns2:uid="{FAA2B47C-9330-D949-BF9F-1150462EAD00}">
      <ns0:formula1>KV_DD_JULI_59</ns0:formula1>
    </ns0:dataValidation>
    <ns0:dataValidation type="list" allowBlank="1" showInputMessage="1" showErrorMessage="1" sqref="F60" ns2:uid="{0F48DB98-7A00-724D-939F-9B1E0706459B}">
      <ns0:formula1>KV_DD_JULI_60</ns0:formula1>
    </ns0:dataValidation>
    <ns0:dataValidation type="list" allowBlank="1" showInputMessage="1" showErrorMessage="1" sqref="F61" ns2:uid="{D21CE61E-AD22-BA4E-B2B4-151A31352BCF}">
      <ns0:formula1>KV_DD_JULI_61</ns0:formula1>
    </ns0:dataValidation>
    <ns0:dataValidation type="list" allowBlank="1" showInputMessage="1" showErrorMessage="1" sqref="F62" ns2:uid="{169B233C-20C7-BE46-824C-27B8A7BE1D23}">
      <ns0:formula1>KV_DD_JULI_62</ns0:formula1>
    </ns0:dataValidation>
    <ns0:dataValidation type="date" allowBlank="1" showDropDown="1" showErrorMessage="1" sqref="I3:I82" ns2:uid="{FB606A58-1221-1945-8238-41290EDC0CD8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741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609600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0C269099-40F6-F94C-B200-56470240EA22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2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53F744A6-82D4-4CE3-9E32-A09C123FE41D}">
  <ns0:sheetPr codeName="Tabelle10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8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46235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46265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138.4</ns0:v>
      </ns0:c>
      <ns0:c r="G3" s="115">
        <ns0:f>IF(OR(E3="",F3=""),"",PID_KVLohnLookup($A$1,E3,F3,LOHNTABELLE!$H$4))</ns0:f>
        <ns0:v>1616.8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138.4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883.15397020697765</ns0:v>
      </ns0:c>
      <ns0:c r="P5" s="15">
        <ns0:f>EINSTELLUNG!I13</ns0:f>
        <ns0:v>8</ns0:v>
      </ns0:c>
      <ns0:c r="Q5" s="14">
        <ns0:f>P5-O5</ns0:f>
        <ns0:v>-875.15397020697765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9065.1899999999987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EINSTELLUNG!L29</ns0:f>
        <ns0:v>8</ns0:v>
      </ns0:c>
      <ns0:c r="R9" s="248"/>
      <ns0:c r="S9" s="19">
        <ns0:f>IFERROR(Q9/Q8, 0)</ns0:f>
        <ns0:v>8.8249667133286796E-4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EINSTELLUNG!I29</ns0:f>
        <ns0:v>8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8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68</ns0:v>
      </ns0:c>
      <ns0:c r="P12" s="247"/>
      <ns0:c r="Q12" s="248">
        <ns0:f>Q8-Q9-Q10-Q11</ns0:f>
        <ns0:v>9041.1899999999987</ns0:v>
      </ns0:c>
      <ns0:c r="R12" s="248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70</ns0:v>
      </ns0:c>
      <ns0:c r="P13" s="247"/>
      <ns0:c r="Q13" s="248">
        <ns0:f>EINSTELLUNG!L13</ns0:f>
        <ns0:v>8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72</ns0:v>
      </ns0:c>
      <ns0:c r="P14" s="247"/>
      <ns0:c r="Q14" s="248">
        <ns0:f>Q12-Q13</ns0:f>
        <ns0:v>9033.1899999999987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Du hast mehr als genug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68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>
        <ns0:f>IF(OR(E28="",F28=""),"",PID_KVLohnLookup($A$1,E28,F28,LOHNTABELLE!$H$4))</ns0:f>
        <ns0:v>2300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EINSTELLUNG!O13</ns0:f>
        <ns0:v>8</ns0:v>
      </ns0:c>
      <ns0:c r="R29" s="231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70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1.8518518518518517E-2</ns0:v>
      </ns0:c>
      <ns0:c r="R31" s="235"/>
    </ns0:row>
    <ns0:row r="32" spans="1:29" ht="16" customHeight="1">
      <ns0:c r="A32" s="61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EINSTELLUNG!C13</ns0:f>
        <ns0:v>8</ns0:v>
      </ns0:c>
      <ns0:c r="R35" s="218"/>
      <ns0:c r="S35" s="218">
        <ns0:f>EINSTELLUNG!C29</ns0:f>
        <ns0:v>8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EINSTELLUNG!D13</ns0:f>
        <ns0:v>8</ns0:v>
      </ns0:c>
      <ns0:c r="R36" s="218"/>
      <ns0:c r="S36" s="215" cm="1">
        <ns0:f t="array" ref="S36">SumMergedCells(Q17:R29)</ns0:f>
        <ns0:v>5008</ns0:v>
      </ns0:c>
      <ns0:c r="T36" s="217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334">
        <ns0:f>IF(ISERROR(S36/S35), 0, S36/S35)</ns0:f>
        <ns0:v>626</ns0:v>
      </ns0:c>
      <ns0:c r="T37" s="335"/>
      <ns0:c r="U37" s="227">
        <ns0:f t="shared" si="2"/>
        <ns0:v>625</ns0:v>
      </ns0:c>
      <ns0:c r="V37" s="227"/>
    </ns0:row>
    <ns0:row r="38" spans="1:24" ht="16" customHeight="1">
      <ns0:c r="A38" s="61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EINSTELLUNG!F13</ns0:f>
        <ns0:v>8</ns0:v>
      </ns0:c>
      <ns0:c r="R38" s="219"/>
      <ns0:c r="S38" s="219">
        <ns0:f>EINSTELLUNG!F29</ns0:f>
        <ns0:v>8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IF(Q12=0, 0, Q35/Q12)</ns0:f>
        <ns0:v>8.8483927447603706E-4</ns0:v>
      </ns0:c>
      <ns0:c r="R40" s="218"/>
      <ns0:c r="S40" s="218">
        <ns0:f>IF(Q12=0, 0, S35/Q12)</ns0:f>
        <ns0:v>8.8483927447603706E-4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IF(Q12=0, 0, Q38/Q12)</ns0:f>
        <ns0:v>8.8483927447603706E-4</ns0:v>
      </ns0:c>
      <ns0:c r="R41" s="219"/>
      <ns0:c r="S41" s="219">
        <ns0:f>IF(Q12=0, 0, S38/Q12)</ns0:f>
        <ns0:v>8.8483927447603706E-4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401734</ns0:v>
      </ns0:c>
      <ns0:c r="C43" s="68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401745</ns0:v>
      </ns0:c>
      <ns0:c r="C47" s="68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401746</ns0:v>
      </ns0:c>
      <ns0:c r="C48" s="68" t="s">
        <ns0:v>282</ns0:v>
      </ns0:c>
      <ns0:c r="D48" s="123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41.85</ns0:v>
      </ns0:c>
      <ns0:c r="I48" s="126">
        <ns0:v>46249</ns0:v>
      </ns0:c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 t="s">
        <ns0:v>205</ns0:v>
      </ns0:c>
    </ns0:row>
    <ns0:row r="49" spans="1:14" ht="16" customHeight="1">
      <ns0:c r="A49" s="62" t="s">
        <ns0:v>123</ns0:v>
      </ns0:c>
      <ns0:c r="B49" s="101">
        <ns0:v>401747</ns0:v>
      </ns0:c>
      <ns0:c r="C49" s="68" t="s">
        <ns0:v>280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44.64</ns0:v>
      </ns0:c>
      <ns0:c r="I49" s="126">
        <ns0:v>46250</ns0:v>
      </ns0:c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 t="s">
        <ns0:v>197</ns0:v>
      </ns0:c>
    </ns0:row>
    <ns0:row r="50" spans="1:14" ht="16" customHeight="1">
      <ns0:c r="A50" s="61" t="s">
        <ns0:v>124</ns0:v>
      </ns0:c>
      <ns0:c r="B50" s="101">
        <ns0:v>401748</ns0:v>
      </ns0:c>
      <ns0:c r="C50" s="68" t="s">
        <ns0:v>281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401751</ns0:v>
      </ns0:c>
      <ns0:c r="C51" s="68" t="s">
        <ns0:v>284</ns0:v>
      </ns0:c>
      <ns0:c r="D51" s="123">
        <ns0:v>45961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401752</ns0:v>
      </ns0:c>
      <ns0:c r="C52" s="68" t="s">
        <ns0:v>285</ns0:v>
      </ns0:c>
      <ns0:c r="D52" s="123">
        <ns0:v>45986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401999</ns0:v>
      </ns0:c>
      <ns0:c r="C53" s="68" t="s">
        <ns0:v>319</ns0:v>
      </ns0:c>
      <ns0:c r="D53" s="123">
        <ns0:v>46082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402000</ns0:v>
      </ns0:c>
      <ns0:c r="C54" s="70" t="s">
        <ns0:v>326</ns0:v>
      </ns0:c>
      <ns0:c r="D54" s="123">
        <ns0:v>46143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402004</ns0:v>
      </ns0:c>
      <ns0:c r="C55" s="68" t="s">
        <ns0:v>328</ns0:v>
      </ns0:c>
      <ns0:c r="D55" s="123">
        <ns0:v>46122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68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502000</ns0:v>
      </ns0:c>
      <ns0:c r="C58" s="68" t="s">
        <ns0:v>329</ns0:v>
      </ns0:c>
      <ns0:c r="D58" s="123">
        <ns0:v>46147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503000</ns0:v>
      </ns0:c>
      <ns0:c r="C59" s="68" t="s">
        <ns0:v>332</ns0:v>
      </ns0:c>
      <ns0:c r="D59" s="123">
        <ns0:v>42401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504000</ns0:v>
      </ns0:c>
      <ns0:c r="C60" s="68" t="s">
        <ns0:v>333</ns0:v>
      </ns0:c>
      <ns0:c r="D60" s="123">
        <ns0:v>46054</ns0:v>
      </ns0:c>
      <ns0:c r="E60" s="65" t="s">
        <ns0:v>3</ns0:v>
      </ns0:c>
      <ns0:c r="F60" s="67">
        <ns0:v>138.4</ns0:v>
      </ns0:c>
      <ns0:c r="G60" s="116">
        <ns0:f>IF(OR(E60="",F60=""),"",PID_KVLohnLookup($A$1,E60,F60,LOHNTABELLE!$H$4))</ns0:f>
        <ns0:v>1665.6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>
        <ns0:v>505000</ns0:v>
      </ns0:c>
      <ns0:c r="C61" s="68" t="s">
        <ns0:v>334</ns0:v>
      </ns0:c>
      <ns0:c r="D61" s="123">
        <ns0:v>46054</ns0:v>
      </ns0:c>
      <ns0:c r="E61" s="65" t="s">
        <ns0:v>2</ns0:v>
      </ns0:c>
      <ns0:c r="F61" s="67">
        <ns0:v>138.4</ns0:v>
      </ns0:c>
      <ns0:c r="G61" s="116">
        <ns0:f>IF(OR(E61="",F61=""),"",PID_KVLohnLookup($A$1,E61,F61,LOHNTABELLE!$H$4))</ns0:f>
        <ns0:v>1616.8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>
        <ns0:v>700000</ns0:v>
      </ns0:c>
      <ns0:c r="C62" s="68" t="s">
        <ns0:v>347</ns0:v>
      </ns0:c>
      <ns0:c r="D62" s="123">
        <ns0:v>46054</ns0:v>
      </ns0:c>
      <ns0:c r="E62" s="65" t="s">
        <ns0:v>2</ns0:v>
      </ns0:c>
      <ns0:c r="F62" s="67">
        <ns0:v>173</ns0:v>
      </ns0:c>
      <ns0:c r="G62" s="116">
        <ns0:f>IF(OR(E62="",F62=""),"",PID_KVLohnLookup($A$1,E62,F62,LOHNTABELLE!$H$4))</ns0:f>
        <ns0:v>2200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173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>
        <ns0:v>800000</ns0:v>
      </ns0:c>
      <ns0:c r="C63" s="68" t="s">
        <ns0:v>348</ns0:v>
      </ns0:c>
      <ns0:c r="D63" s="123">
        <ns0:v>46082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sCt3NASJFjAp5JkXH9Pk+igpgL5SRG/Rol0ThyEj6St7ADHsKew1Ho8PMw5zuA6lZCBrg9OwH88H12VkWsMVWg==" saltValue="RRr9X4tOrw4MVlkU/ghvSQ==" spinCount="100000" sheet="1" objects="1" scenarios="1" sort="0" autoFilter="0"/>
  <ns0:sortState ref="B3:N82">
    <ns0:sortCondition ref="B3:B82"/>
    <ns0:sortCondition ref="C3:C82"/>
  </ns0:sortState>
  <ns0:mergeCells count="96"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8:R28"/>
    <ns0:mergeCell ref="O29:P29"/>
    <ns0:mergeCell ref="Q29:R29"/>
    <ns0:mergeCell ref="O38:P38"/>
    <ns0:mergeCell ref="Q38:R38"/>
    <ns0:mergeCell ref="S38:T38"/>
    <ns0:mergeCell ref="U38:V38"/>
    <ns0:mergeCell ref="S39:T39"/>
    <ns0:mergeCell ref="U39:V39"/>
    <ns0:mergeCell ref="Q39:R39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40:T40"/>
    <ns0:mergeCell ref="U40:V40"/>
    <ns0:mergeCell ref="S41:T41"/>
    <ns0:mergeCell ref="U41:V41"/>
    <ns0:mergeCell ref="Q42:V42"/>
    <ns0:mergeCell ref="Q40:R40"/>
    <ns0:mergeCell ref="Q41:R41"/>
  </ns0:mergeCells>
  <ns0:phoneticPr fontId="14" type="noConversion"/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717CF47F-6F63-174B-89D5-FBFB8892FCCE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138683A5-99DF-D84F-BD7F-A1F594738C84}">
      <ns0:formula1>KV_DD_AUGUST_3</ns0:formula1>
    </ns0:dataValidation>
    <ns0:dataValidation type="list" allowBlank="1" showInputMessage="1" showErrorMessage="1" sqref="F4" ns2:uid="{DFCD4F77-169B-8740-B266-A71F625AAC54}">
      <ns0:formula1>KV_DD_AUGUST_4</ns0:formula1>
    </ns0:dataValidation>
    <ns0:dataValidation type="list" allowBlank="1" showInputMessage="1" showErrorMessage="1" sqref="F5" ns2:uid="{3C9B8AE2-F60A-1C45-AB03-510BC75BFCDE}">
      <ns0:formula1>KV_DD_AUGUST_5</ns0:formula1>
    </ns0:dataValidation>
    <ns0:dataValidation type="list" allowBlank="1" showInputMessage="1" showErrorMessage="1" sqref="F6" ns2:uid="{8BA7B030-8A45-2749-A153-DC40292C13E5}">
      <ns0:formula1>KV_DD_AUGUST_6</ns0:formula1>
    </ns0:dataValidation>
    <ns0:dataValidation type="list" allowBlank="1" showInputMessage="1" showErrorMessage="1" sqref="F7" ns2:uid="{BE97ABE7-E63A-4B44-8A8D-7C7459DB19E0}">
      <ns0:formula1>KV_DD_AUGUST_7</ns0:formula1>
    </ns0:dataValidation>
    <ns0:dataValidation type="list" allowBlank="1" showInputMessage="1" showErrorMessage="1" sqref="F8" ns2:uid="{D29626C2-F761-E641-ADDF-A297F58E0E0D}">
      <ns0:formula1>KV_DD_AUGUST_8</ns0:formula1>
    </ns0:dataValidation>
    <ns0:dataValidation type="list" allowBlank="1" showInputMessage="1" showErrorMessage="1" sqref="F9" ns2:uid="{06D4D9D7-565A-7A47-9BCF-DA305E07DA48}">
      <ns0:formula1>KV_DD_AUGUST_9</ns0:formula1>
    </ns0:dataValidation>
    <ns0:dataValidation type="list" allowBlank="1" showInputMessage="1" showErrorMessage="1" sqref="F10" ns2:uid="{D52BDCA8-B2E9-4E41-B122-D2F0D1B05498}">
      <ns0:formula1>KV_DD_AUGUST_10</ns0:formula1>
    </ns0:dataValidation>
    <ns0:dataValidation type="list" allowBlank="1" showInputMessage="1" showErrorMessage="1" sqref="F11" ns2:uid="{FFFE84FF-B936-E544-A520-628C0A6E028B}">
      <ns0:formula1>KV_DD_AUGUST_11</ns0:formula1>
    </ns0:dataValidation>
    <ns0:dataValidation type="list" allowBlank="1" showInputMessage="1" showErrorMessage="1" sqref="F12" ns2:uid="{B4D8A568-C5F6-A24E-9C74-A894769ED713}">
      <ns0:formula1>KV_DD_AUGUST_12</ns0:formula1>
    </ns0:dataValidation>
    <ns0:dataValidation type="list" allowBlank="1" showInputMessage="1" showErrorMessage="1" sqref="F13" ns2:uid="{3AD2EF77-C7FB-A443-BB4E-9C75FDC30C5D}">
      <ns0:formula1>KV_DD_AUGUST_13</ns0:formula1>
    </ns0:dataValidation>
    <ns0:dataValidation type="list" allowBlank="1" showInputMessage="1" showErrorMessage="1" sqref="F14" ns2:uid="{32DCD156-A4B4-8F4F-8D4D-C650790EF875}">
      <ns0:formula1>KV_DD_AUGUST_14</ns0:formula1>
    </ns0:dataValidation>
    <ns0:dataValidation type="list" allowBlank="1" showInputMessage="1" showErrorMessage="1" sqref="F15" ns2:uid="{DAC5AE86-2D32-6D4A-93FD-AD11AB8DBCB4}">
      <ns0:formula1>KV_DD_AUGUST_15</ns0:formula1>
    </ns0:dataValidation>
    <ns0:dataValidation type="list" allowBlank="1" showInputMessage="1" showErrorMessage="1" sqref="F16" ns2:uid="{C24B2DDD-7A59-7A40-BFF7-D4949322BDDB}">
      <ns0:formula1>KV_DD_AUGUST_16</ns0:formula1>
    </ns0:dataValidation>
    <ns0:dataValidation type="list" allowBlank="1" showInputMessage="1" showErrorMessage="1" sqref="F17" ns2:uid="{59BBE4A8-AD68-7B43-A3EB-4E5C150CAFA9}">
      <ns0:formula1>KV_DD_AUGUST_17</ns0:formula1>
    </ns0:dataValidation>
    <ns0:dataValidation type="list" allowBlank="1" showInputMessage="1" showErrorMessage="1" sqref="F18" ns2:uid="{07471820-2AEA-904E-8379-453F0DB2F03F}">
      <ns0:formula1>KV_DD_AUGUST_18</ns0:formula1>
    </ns0:dataValidation>
    <ns0:dataValidation type="list" allowBlank="1" showInputMessage="1" showErrorMessage="1" sqref="F19" ns2:uid="{1A5C6F4B-4C25-BA43-A82B-83F693B68C06}">
      <ns0:formula1>KV_DD_AUGUST_19</ns0:formula1>
    </ns0:dataValidation>
    <ns0:dataValidation type="list" allowBlank="1" showInputMessage="1" showErrorMessage="1" sqref="F20" ns2:uid="{0DB79DCB-52C5-9D42-AF91-C7765E047643}">
      <ns0:formula1>KV_DD_AUGUST_20</ns0:formula1>
    </ns0:dataValidation>
    <ns0:dataValidation type="list" allowBlank="1" showInputMessage="1" showErrorMessage="1" sqref="F21" ns2:uid="{312C7780-9E87-DF40-A0FF-22EB6ED197A7}">
      <ns0:formula1>KV_DD_AUGUST_21</ns0:formula1>
    </ns0:dataValidation>
    <ns0:dataValidation type="list" allowBlank="1" showInputMessage="1" showErrorMessage="1" sqref="F22" ns2:uid="{4F62EB83-9956-4E4B-B401-4C71FA074247}">
      <ns0:formula1>KV_DD_AUGUST_22</ns0:formula1>
    </ns0:dataValidation>
    <ns0:dataValidation type="list" allowBlank="1" showInputMessage="1" showErrorMessage="1" sqref="F23" ns2:uid="{81E9370A-1A6D-E34C-B813-CA49BD6D0183}">
      <ns0:formula1>KV_DD_AUGUST_23</ns0:formula1>
    </ns0:dataValidation>
    <ns0:dataValidation type="list" allowBlank="1" showInputMessage="1" showErrorMessage="1" sqref="F24" ns2:uid="{FE71ED44-2055-194A-B9C9-0EFC1D0D9C87}">
      <ns0:formula1>KV_DD_AUGUST_24</ns0:formula1>
    </ns0:dataValidation>
    <ns0:dataValidation type="list" allowBlank="1" showInputMessage="1" showErrorMessage="1" sqref="F25" ns2:uid="{63ACB6DE-D5B2-5242-B1CB-68BB1749F942}">
      <ns0:formula1>KV_DD_AUGUST_25</ns0:formula1>
    </ns0:dataValidation>
    <ns0:dataValidation type="list" allowBlank="1" showInputMessage="1" showErrorMessage="1" sqref="F26" ns2:uid="{C7B545B8-3F02-5948-8525-44CF6BEDA4CB}">
      <ns0:formula1>KV_DD_AUGUST_26</ns0:formula1>
    </ns0:dataValidation>
    <ns0:dataValidation type="list" allowBlank="1" showInputMessage="1" showErrorMessage="1" sqref="F27" ns2:uid="{2C7E7ACB-B7B3-2446-8AB2-F316B16A461C}">
      <ns0:formula1>KV_DD_AUGUST_27</ns0:formula1>
    </ns0:dataValidation>
    <ns0:dataValidation type="list" allowBlank="1" showInputMessage="1" showErrorMessage="1" sqref="F28" ns2:uid="{05596532-DED3-2848-9196-008405EBBC7E}">
      <ns0:formula1>KV_DD_AUGUST_28</ns0:formula1>
    </ns0:dataValidation>
    <ns0:dataValidation type="list" allowBlank="1" showInputMessage="1" showErrorMessage="1" sqref="F29" ns2:uid="{A92B88EF-04B1-4A44-91D2-34ED106B640D}">
      <ns0:formula1>KV_DD_AUGUST_29</ns0:formula1>
    </ns0:dataValidation>
    <ns0:dataValidation type="list" allowBlank="1" showInputMessage="1" showErrorMessage="1" sqref="F30" ns2:uid="{3B40B136-A478-754A-A1F4-24BB337E6643}">
      <ns0:formula1>KV_DD_AUGUST_30</ns0:formula1>
    </ns0:dataValidation>
    <ns0:dataValidation type="list" allowBlank="1" showInputMessage="1" showErrorMessage="1" sqref="F31" ns2:uid="{1F4EC1D2-6CBF-A344-A8D1-42CD8F0B9F5B}">
      <ns0:formula1>KV_DD_AUGUST_31</ns0:formula1>
    </ns0:dataValidation>
    <ns0:dataValidation type="list" allowBlank="1" showInputMessage="1" showErrorMessage="1" sqref="F32" ns2:uid="{33CB635B-3793-784D-97B4-AC9D36E1B042}">
      <ns0:formula1>KV_DD_AUGUST_32</ns0:formula1>
    </ns0:dataValidation>
    <ns0:dataValidation type="list" allowBlank="1" showInputMessage="1" showErrorMessage="1" sqref="F33" ns2:uid="{92870ED4-B88B-ED47-A207-E86BBDF790A6}">
      <ns0:formula1>KV_DD_AUGUST_33</ns0:formula1>
    </ns0:dataValidation>
    <ns0:dataValidation type="list" allowBlank="1" showInputMessage="1" showErrorMessage="1" sqref="F34" ns2:uid="{5F833BC9-C218-824E-841A-0EFA5C6123F0}">
      <ns0:formula1>KV_DD_AUGUST_34</ns0:formula1>
    </ns0:dataValidation>
    <ns0:dataValidation type="list" allowBlank="1" showInputMessage="1" showErrorMessage="1" sqref="F35" ns2:uid="{6DDDCE83-0016-0246-A618-CAAEA2575DBE}">
      <ns0:formula1>KV_DD_AUGUST_35</ns0:formula1>
    </ns0:dataValidation>
    <ns0:dataValidation type="list" allowBlank="1" showInputMessage="1" showErrorMessage="1" sqref="F36" ns2:uid="{7021A112-AD85-4745-ACB3-498618C46F1C}">
      <ns0:formula1>KV_DD_AUGUST_36</ns0:formula1>
    </ns0:dataValidation>
    <ns0:dataValidation type="list" allowBlank="1" showInputMessage="1" showErrorMessage="1" sqref="F37" ns2:uid="{9A07162D-D3B7-D948-B8F4-1FC808A5924E}">
      <ns0:formula1>KV_DD_AUGUST_37</ns0:formula1>
    </ns0:dataValidation>
    <ns0:dataValidation type="list" allowBlank="1" showInputMessage="1" showErrorMessage="1" sqref="F38" ns2:uid="{D4B13FFB-1656-2243-A6BC-2DC58A987991}">
      <ns0:formula1>KV_DD_AUGUST_38</ns0:formula1>
    </ns0:dataValidation>
    <ns0:dataValidation type="list" allowBlank="1" showInputMessage="1" showErrorMessage="1" sqref="F39" ns2:uid="{C278C4FC-204E-F043-8039-AB3E0817C198}">
      <ns0:formula1>KV_DD_AUGUST_39</ns0:formula1>
    </ns0:dataValidation>
    <ns0:dataValidation type="list" allowBlank="1" showInputMessage="1" showErrorMessage="1" sqref="F40" ns2:uid="{8FD0FDF1-9A1B-164F-8970-A833BFFF3EA0}">
      <ns0:formula1>KV_DD_AUGUST_40</ns0:formula1>
    </ns0:dataValidation>
    <ns0:dataValidation type="list" allowBlank="1" showInputMessage="1" showErrorMessage="1" sqref="F41" ns2:uid="{8F8F0553-A8FC-9045-9C29-3D0A3DA71065}">
      <ns0:formula1>KV_DD_AUGUST_41</ns0:formula1>
    </ns0:dataValidation>
    <ns0:dataValidation type="list" allowBlank="1" showInputMessage="1" showErrorMessage="1" sqref="F42" ns2:uid="{515E9833-4B4D-604D-994C-5BCC8CFEFE52}">
      <ns0:formula1>KV_DD_AUGUST_42</ns0:formula1>
    </ns0:dataValidation>
    <ns0:dataValidation type="list" allowBlank="1" showInputMessage="1" showErrorMessage="1" sqref="F43" ns2:uid="{ED175132-2B70-A942-8E41-EE88E6DB2AA9}">
      <ns0:formula1>KV_DD_AUGUST_43</ns0:formula1>
    </ns0:dataValidation>
    <ns0:dataValidation type="list" allowBlank="1" showInputMessage="1" showErrorMessage="1" sqref="F44" ns2:uid="{F537B43A-E595-1842-A516-3DFB94D8FFDE}">
      <ns0:formula1>KV_DD_AUGUST_44</ns0:formula1>
    </ns0:dataValidation>
    <ns0:dataValidation type="list" allowBlank="1" showInputMessage="1" showErrorMessage="1" sqref="F45" ns2:uid="{1473EBCF-B1EC-3B4B-9D0F-01CB71D132D1}">
      <ns0:formula1>KV_DD_AUGUST_45</ns0:formula1>
    </ns0:dataValidation>
    <ns0:dataValidation type="list" allowBlank="1" showInputMessage="1" showErrorMessage="1" sqref="F46" ns2:uid="{742E6F85-7832-184C-9B95-BCC3909FCB33}">
      <ns0:formula1>KV_DD_AUGUST_46</ns0:formula1>
    </ns0:dataValidation>
    <ns0:dataValidation type="list" allowBlank="1" showInputMessage="1" showErrorMessage="1" sqref="F47" ns2:uid="{BA962BDE-BA22-0443-BC99-4D1761BC74AF}">
      <ns0:formula1>KV_DD_AUGUST_47</ns0:formula1>
    </ns0:dataValidation>
    <ns0:dataValidation type="list" allowBlank="1" showInputMessage="1" showErrorMessage="1" sqref="F48" ns2:uid="{8552E553-C454-6144-A237-7CEF09DBEC91}">
      <ns0:formula1>KV_DD_AUGUST_48</ns0:formula1>
    </ns0:dataValidation>
    <ns0:dataValidation type="list" allowBlank="1" showInputMessage="1" showErrorMessage="1" sqref="F49" ns2:uid="{F780BB56-8930-8548-8198-BD4BB02CC3AF}">
      <ns0:formula1>KV_DD_AUGUST_49</ns0:formula1>
    </ns0:dataValidation>
    <ns0:dataValidation type="list" allowBlank="1" showInputMessage="1" showErrorMessage="1" sqref="F50" ns2:uid="{3AC2D54D-82A7-E94D-88A5-0D1EA8FCBB7F}">
      <ns0:formula1>KV_DD_AUGUST_50</ns0:formula1>
    </ns0:dataValidation>
    <ns0:dataValidation type="list" allowBlank="1" showInputMessage="1" showErrorMessage="1" sqref="F51" ns2:uid="{0EA6D8BD-5F42-014E-8732-F27CC2F33D50}">
      <ns0:formula1>KV_DD_AUGUST_51</ns0:formula1>
    </ns0:dataValidation>
    <ns0:dataValidation type="list" allowBlank="1" showInputMessage="1" showErrorMessage="1" sqref="F52" ns2:uid="{DE16BC48-F00D-0442-914D-C673A2014D21}">
      <ns0:formula1>KV_DD_AUGUST_52</ns0:formula1>
    </ns0:dataValidation>
    <ns0:dataValidation type="list" allowBlank="1" showInputMessage="1" showErrorMessage="1" sqref="F53" ns2:uid="{68561C2E-EC3B-364F-B18B-73CE3439F1E5}">
      <ns0:formula1>KV_DD_AUGUST_53</ns0:formula1>
    </ns0:dataValidation>
    <ns0:dataValidation type="list" allowBlank="1" showInputMessage="1" showErrorMessage="1" sqref="F54" ns2:uid="{D77DEA54-9D1A-4983-A95D-87EC0F5070F2}">
      <ns0:formula1>KV_DD_AUGUST_54</ns0:formula1>
    </ns0:dataValidation>
    <ns0:dataValidation type="list" allowBlank="1" showInputMessage="1" showErrorMessage="1" sqref="F55" ns2:uid="{32C2D806-E42F-4258-8A44-9CEB439A8CB7}">
      <ns0:formula1>KV_DD_AUGUST_55</ns0:formula1>
    </ns0:dataValidation>
    <ns0:dataValidation type="list" allowBlank="1" showInputMessage="1" showErrorMessage="1" sqref="F56" ns2:uid="{CDA0AEF8-F073-4E2D-A8F1-4015B0570457}">
      <ns0:formula1>KV_DD_AUGUST_56</ns0:formula1>
    </ns0:dataValidation>
    <ns0:dataValidation type="list" allowBlank="1" showInputMessage="1" showErrorMessage="1" sqref="F57" ns2:uid="{4C3FDFF4-9668-2D44-BC1A-5739DE64674C}">
      <ns0:formula1>KV_DD_AUGUST_57</ns0:formula1>
    </ns0:dataValidation>
    <ns0:dataValidation type="list" allowBlank="1" showInputMessage="1" showErrorMessage="1" sqref="F58" ns2:uid="{D0A767D6-4EFC-4C41-B51E-2D232A1BBCD0}">
      <ns0:formula1>KV_DD_AUGUST_58</ns0:formula1>
    </ns0:dataValidation>
    <ns0:dataValidation type="list" allowBlank="1" showInputMessage="1" showErrorMessage="1" sqref="F59" ns2:uid="{22C0AA8C-C306-A14A-84ED-641851EBD651}">
      <ns0:formula1>KV_DD_AUGUST_59</ns0:formula1>
    </ns0:dataValidation>
    <ns0:dataValidation type="list" allowBlank="1" showInputMessage="1" showErrorMessage="1" sqref="F60" ns2:uid="{7201C007-38D9-CB4B-8D07-29E119F2C85A}">
      <ns0:formula1>KV_DD_AUGUST_60</ns0:formula1>
    </ns0:dataValidation>
    <ns0:dataValidation type="list" allowBlank="1" showInputMessage="1" showErrorMessage="1" sqref="F61" ns2:uid="{ABC9FD89-D839-494F-898D-311B1FCA0F2F}">
      <ns0:formula1>KV_DD_AUGUST_61</ns0:formula1>
    </ns0:dataValidation>
    <ns0:dataValidation type="list" allowBlank="1" showInputMessage="1" showErrorMessage="1" sqref="F62" ns2:uid="{0A44C7A4-477A-8348-8784-021B137E11F3}">
      <ns0:formula1>KV_DD_AUGUST_62</ns0:formula1>
    </ns0:dataValidation>
    <ns0:dataValidation type="list" allowBlank="1" showInputMessage="1" showErrorMessage="1" sqref="F63" ns2:uid="{D6DF1D03-430C-459B-946C-60475DD86F43}">
      <ns0:formula1>KV_DD_AUGUST_63</ns0:formula1>
    </ns0:dataValidation>
    <ns0:dataValidation type="date" allowBlank="1" showDropDown="1" showErrorMessage="1" sqref="I3:I82" ns2:uid="{C8578976-A194-294C-9DBB-491A4EFA82C0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253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698500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94B02EB0-7FC0-AD42-8DDD-3D33CF3C310C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3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2B50326F-DE46-4259-A651-5F915B6F5B71}">
  <ns0:sheetPr codeName="Tabelle11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9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46266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46295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869.79814457057728</ns0:v>
      </ns0:c>
      <ns0:c r="P5" s="15">
        <ns0:f>EINSTELLUNG!I14</ns0:f>
        <ns0:v>9</ns0:v>
      </ns0:c>
      <ns0:c r="Q5" s="14">
        <ns0:f>P5-O5</ns0:f>
        <ns0:v>-860.79814457057728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2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8897.9599999999991</ns0:v>
      </ns0:c>
      <ns0:c r="R8" s="248"/>
    </ns0:row>
    <ns0:row r="9" spans="1:28" ht="16" customHeight="1">
      <ns0:c r="A9" s="61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EINSTELLUNG!L30</ns0:f>
        <ns0:v>9</ns0:v>
      </ns0:c>
      <ns0:c r="R9" s="248"/>
      <ns0:c r="S9" s="19">
        <ns0:f>IFERROR(Q9/Q8, 0)</ns0:f>
        <ns0:v>1.0114677971130462E-3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EINSTELLUNG!I30</ns0:f>
        <ns0:v>9</ns0:v>
      </ns0:c>
      <ns0:c r="R10" s="248"/>
    </ns0:row>
    <ns0:row r="11" spans="1:28" ht="16" customHeight="1">
      <ns0:c r="A11" s="62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9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>
        <ns0:v>167</ns0:v>
      </ns0:c>
      <ns0:c r="R12" s="252"/>
    </ns0:row>
    <ns0:row r="13" spans="1:28" ht="16" customHeight="1">
      <ns0:c r="A13" s="61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8703.9599999999991</ns0:v>
      </ns0:c>
      <ns0:c r="R13" s="248"/>
    </ns0:row>
    <ns0:row r="14" spans="1:28" ht="16" customHeight="1">
      <ns0:c r="A14" s="62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EINSTELLUNG!L14</ns0:f>
        <ns0:v>9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8694.9599999999991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2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1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57.66</ns0:v>
      </ns0:c>
      <ns0:c r="I21" s="126">
        <ns0:v>46275</ns0:v>
      </ns0:c>
      <ns0:c r="J21" s="66">
        <ns0:v>4</ns0:v>
      </ns0:c>
      <ns0:c r="K21" s="92">
        <ns0:f t="shared" si="0"/>
        <ns0:v>293.33333333333331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 t="s">
        <ns0:v>197</ns0:v>
      </ns0:c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2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99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1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2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>
        <ns0:f>IF(OR(E28="",F28=""),"",PID_KVLohnLookup($A$1,E28,F28,LOHNTABELLE!$H$4))</ns0:f>
        <ns0:v>2300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EINSTELLUNG!O14</ns0:f>
        <ns0:v>9</ns0:v>
      </ns0:c>
      <ns0:c r="R29" s="231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70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1.6949152542372881E-2</ns0:v>
      </ns0:c>
      <ns0:c r="R31" s="235"/>
    </ns0:row>
    <ns0:row r="32" spans="1:29" ht="16" customHeight="1">
      <ns0:c r="A32" s="62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1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2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EINSTELLUNG!C14</ns0:f>
        <ns0:v>9</ns0:v>
      </ns0:c>
      <ns0:c r="R35" s="218"/>
      <ns0:c r="S35" s="218">
        <ns0:f>EINSTELLUNG!C30</ns0:f>
        <ns0:v>9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EINSTELLUNG!D14</ns0:f>
        <ns0:v>9</ns0:v>
      </ns0:c>
      <ns0:c r="R36" s="218"/>
      <ns0:c r="S36" s="215" cm="1">
        <ns0:f t="array" ref="S36">SumMergedCells(Q17:R29)</ns0:f>
        <ns0:v>5009</ns0:v>
      </ns0:c>
      <ns0:c r="T36" s="217"/>
      <ns0:c r="U36" s="222">
        <ns0:f t="shared" ref="U36:U41" si="2">S36-Q36</ns0:f>
        <ns0:v>5000</ns0:v>
      </ns0:c>
      <ns0:c r="V36" s="222"/>
    </ns0:row>
    <ns0:row r="37" spans="1:24" ht="16" customHeight="1">
      <ns0:c r="A37" s="61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556.55555555555554</ns0:v>
      </ns0:c>
      <ns0:c r="T37" s="226"/>
      <ns0:c r="U37" s="227">
        <ns0:f t="shared" si="2"/>
        <ns0:v>555.55555555555554</ns0:v>
      </ns0:c>
      <ns0:c r="V37" s="227"/>
    </ns0:row>
    <ns0:row r="38" spans="1:24" ht="16" customHeight="1">
      <ns0:c r="A38" s="62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EINSTELLUNG!F14</ns0:f>
        <ns0:v>9</ns0:v>
      </ns0:c>
      <ns0:c r="R38" s="219"/>
      <ns0:c r="S38" s="219">
        <ns0:f>EINSTELLUNG!F30</ns0:f>
        <ns0:v>9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IF(Q13=0, 0, Q35/Q13)</ns0:f>
        <ns0:v>1.0340121048350408E-3</ns0:v>
      </ns0:c>
      <ns0:c r="R40" s="218"/>
      <ns0:c r="S40" s="218">
        <ns0:f>IF(Q13=0, 0, S35/Q13)</ns0:f>
        <ns0:v>1.0340121048350408E-3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IF(Q13=0, 0, Q38/Q13)</ns0:f>
        <ns0:v>1.0340121048350408E-3</ns0:v>
      </ns0:c>
      <ns0:c r="R41" s="219"/>
      <ns0:c r="S41" s="219">
        <ns0:f>IF(Q13=0, 0, S38/Q13)</ns0:f>
        <ns0:v>1.0340121048350408E-3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401734</ns0:v>
      </ns0:c>
      <ns0:c r="C43" s="70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2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1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2" t="s">
        <ns0:v>121</ns0:v>
      </ns0:c>
      <ns0:c r="B47" s="101">
        <ns0:v>401745</ns0:v>
      </ns0:c>
      <ns0:c r="C47" s="68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401748</ns0:v>
      </ns0:c>
      <ns0:c r="C48" s="68" t="s">
        <ns0:v>281</ns0:v>
      </ns0:c>
      <ns0:c r="D48" s="123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1" t="s">
        <ns0:v>123</ns0:v>
      </ns0:c>
      <ns0:c r="B49" s="101">
        <ns0:v>401751</ns0:v>
      </ns0:c>
      <ns0:c r="C49" s="68" t="s">
        <ns0:v>284</ns0:v>
      </ns0:c>
      <ns0:c r="D49" s="123">
        <ns0:v>45961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2" t="s">
        <ns0:v>124</ns0:v>
      </ns0:c>
      <ns0:c r="B50" s="101">
        <ns0:v>401752</ns0:v>
      </ns0:c>
      <ns0:c r="C50" s="68" t="s">
        <ns0:v>285</ns0:v>
      </ns0:c>
      <ns0:c r="D50" s="123">
        <ns0:v>45986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401999</ns0:v>
      </ns0:c>
      <ns0:c r="C51" s="68" t="s">
        <ns0:v>319</ns0:v>
      </ns0:c>
      <ns0:c r="D51" s="123">
        <ns0:v>46082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402000</ns0:v>
      </ns0:c>
      <ns0:c r="C52" s="68" t="s">
        <ns0:v>326</ns0:v>
      </ns0:c>
      <ns0:c r="D52" s="123">
        <ns0:v>46143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402004</ns0:v>
      </ns0:c>
      <ns0:c r="C53" s="68" t="s">
        <ns0:v>328</ns0:v>
      </ns0:c>
      <ns0:c r="D53" s="123">
        <ns0:v>46122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402405</ns0:v>
      </ns0:c>
      <ns0:c r="C54" s="68" t="s">
        <ns0:v>330</ns0:v>
      </ns0:c>
      <ns0:c r="D54" s="123">
        <ns0:v>46054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500600</ns0:v>
      </ns0:c>
      <ns0:c r="C55" s="68" t="s">
        <ns0:v>335</ns0:v>
      </ns0:c>
      <ns0:c r="D55" s="123">
        <ns0:v>46054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2" t="s">
        <ns0:v>130</ns0:v>
      </ns0:c>
      <ns0:c r="B56" s="101">
        <ns0:v>502000</ns0:v>
      </ns0:c>
      <ns0:c r="C56" s="68" t="s">
        <ns0:v>329</ns0:v>
      </ns0:c>
      <ns0:c r="D56" s="123">
        <ns0:v>46147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1" t="s">
        <ns0:v>131</ns0:v>
      </ns0:c>
      <ns0:c r="B57" s="101">
        <ns0:v>503000</ns0:v>
      </ns0:c>
      <ns0:c r="C57" s="68" t="s">
        <ns0:v>332</ns0:v>
      </ns0:c>
      <ns0:c r="D57" s="123">
        <ns0:v>42401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504000</ns0:v>
      </ns0:c>
      <ns0:c r="C58" s="68" t="s">
        <ns0:v>333</ns0:v>
      </ns0:c>
      <ns0:c r="D58" s="123">
        <ns0:v>46054</ns0:v>
      </ns0:c>
      <ns0:c r="E58" s="65" t="s">
        <ns0:v>3</ns0:v>
      </ns0:c>
      <ns0:c r="F58" s="67">
        <ns0:v>138.4</ns0:v>
      </ns0:c>
      <ns0:c r="G58" s="116">
        <ns0:f>IF(OR(E58="",F58=""),"",PID_KVLohnLookup($A$1,E58,F58,LOHNTABELLE!$H$4))</ns0:f>
        <ns0:v>1665.6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2" t="s">
        <ns0:v>133</ns0:v>
      </ns0:c>
      <ns0:c r="B59" s="101">
        <ns0:v>505000</ns0:v>
      </ns0:c>
      <ns0:c r="C59" s="68" t="s">
        <ns0:v>334</ns0:v>
      </ns0:c>
      <ns0:c r="D59" s="123">
        <ns0:v>46054</ns0:v>
      </ns0:c>
      <ns0:c r="E59" s="65" t="s">
        <ns0:v>2</ns0:v>
      </ns0:c>
      <ns0:c r="F59" s="67">
        <ns0:v>138.4</ns0:v>
      </ns0:c>
      <ns0:c r="G59" s="116">
        <ns0:f>IF(OR(E59="",F59=""),"",PID_KVLohnLookup($A$1,E59,F59,LOHNTABELLE!$H$4))</ns0:f>
        <ns0:v>1616.8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700000</ns0:v>
      </ns0:c>
      <ns0:c r="C60" s="68" t="s">
        <ns0:v>347</ns0:v>
      </ns0:c>
      <ns0:c r="D60" s="123">
        <ns0:v>46054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1" t="s">
        <ns0:v>135</ns0:v>
      </ns0:c>
      <ns0:c r="B61" s="101">
        <ns0:v>800000</ns0:v>
      </ns0:c>
      <ns0:c r="C61" s="68" t="s">
        <ns0:v>348</ns0:v>
      </ns0:c>
      <ns0:c r="D61" s="123">
        <ns0:v>46082</ns0:v>
      </ns0:c>
      <ns0:c r="E61" s="65" t="s">
        <ns0:v>2</ns0:v>
      </ns0:c>
      <ns0:c r="F61" s="67">
        <ns0:v>173</ns0:v>
      </ns0:c>
      <ns0:c r="G61" s="116">
        <ns0:f>IF(OR(E61="",F61=""),"",PID_KVLohnLookup($A$1,E61,F61,LOHNTABELLE!$H$4))</ns0:f>
        <ns0:v>2200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2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2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1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2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1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2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2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1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Ms1qQEUEZ2Intdkz9zH1eV928eJyPflB81y7ertYSumBIXryw6FGtSvW5AGpSwxAvfHafd4NlFRFk9720hHAkA==" saltValue="jsHWyGmb6k+dhMFsTumzWw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phoneticPr fontId="14" type="noConversion"/>
  <ns0:dataValidations count="61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A0F41737-EF39-6044-A0F1-F54223658BB7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8E061863-252D-2847-92AF-F9233B209791}">
      <ns0:formula1>KV_DD_SEPTEMBER_3</ns0:formula1>
    </ns0:dataValidation>
    <ns0:dataValidation type="list" allowBlank="1" showInputMessage="1" showErrorMessage="1" sqref="F4" ns2:uid="{67B6941F-931E-454E-9BC8-01C60AF909F0}">
      <ns0:formula1>KV_DD_SEPTEMBER_4</ns0:formula1>
    </ns0:dataValidation>
    <ns0:dataValidation type="list" allowBlank="1" showInputMessage="1" showErrorMessage="1" sqref="F5" ns2:uid="{82936F3D-A7DC-314E-8B33-62AC513C750C}">
      <ns0:formula1>KV_DD_SEPTEMBER_5</ns0:formula1>
    </ns0:dataValidation>
    <ns0:dataValidation type="list" allowBlank="1" showInputMessage="1" showErrorMessage="1" sqref="F6" ns2:uid="{001D9E0E-4733-EE46-B977-E9B3C99CFFDD}">
      <ns0:formula1>KV_DD_SEPTEMBER_6</ns0:formula1>
    </ns0:dataValidation>
    <ns0:dataValidation type="list" allowBlank="1" showInputMessage="1" showErrorMessage="1" sqref="F7" ns2:uid="{983A2040-B083-3047-9BBC-E65F8EB4DD05}">
      <ns0:formula1>KV_DD_SEPTEMBER_7</ns0:formula1>
    </ns0:dataValidation>
    <ns0:dataValidation type="list" allowBlank="1" showInputMessage="1" showErrorMessage="1" sqref="F8" ns2:uid="{9B3D9E48-7588-0641-A832-D6DFC68A0C54}">
      <ns0:formula1>KV_DD_SEPTEMBER_8</ns0:formula1>
    </ns0:dataValidation>
    <ns0:dataValidation type="list" allowBlank="1" showInputMessage="1" showErrorMessage="1" sqref="F9" ns2:uid="{6066FBB5-22E0-CF4D-BFF9-C4E8F4A3E607}">
      <ns0:formula1>KV_DD_SEPTEMBER_9</ns0:formula1>
    </ns0:dataValidation>
    <ns0:dataValidation type="list" allowBlank="1" showInputMessage="1" showErrorMessage="1" sqref="F10" ns2:uid="{C37C8643-0CEF-B04D-87B4-955857AA9BB1}">
      <ns0:formula1>KV_DD_SEPTEMBER_10</ns0:formula1>
    </ns0:dataValidation>
    <ns0:dataValidation type="list" allowBlank="1" showInputMessage="1" showErrorMessage="1" sqref="F11" ns2:uid="{240637C3-3D8D-524F-8BFC-A52579CFB2A1}">
      <ns0:formula1>KV_DD_SEPTEMBER_11</ns0:formula1>
    </ns0:dataValidation>
    <ns0:dataValidation type="list" allowBlank="1" showInputMessage="1" showErrorMessage="1" sqref="F12" ns2:uid="{1EA8A346-5B6B-604F-AD48-FDDE35C11100}">
      <ns0:formula1>KV_DD_SEPTEMBER_12</ns0:formula1>
    </ns0:dataValidation>
    <ns0:dataValidation type="list" allowBlank="1" showInputMessage="1" showErrorMessage="1" sqref="F13" ns2:uid="{BB4EAA84-CEE0-BF41-8111-84AECA209FAA}">
      <ns0:formula1>KV_DD_SEPTEMBER_13</ns0:formula1>
    </ns0:dataValidation>
    <ns0:dataValidation type="list" allowBlank="1" showInputMessage="1" showErrorMessage="1" sqref="F14" ns2:uid="{87C8E8F6-98CD-694A-912B-AB059EED97B7}">
      <ns0:formula1>KV_DD_SEPTEMBER_14</ns0:formula1>
    </ns0:dataValidation>
    <ns0:dataValidation type="list" allowBlank="1" showInputMessage="1" showErrorMessage="1" sqref="F15" ns2:uid="{CC62DB4D-DD88-BD44-B1D3-051E19263001}">
      <ns0:formula1>KV_DD_SEPTEMBER_15</ns0:formula1>
    </ns0:dataValidation>
    <ns0:dataValidation type="list" allowBlank="1" showInputMessage="1" showErrorMessage="1" sqref="F16" ns2:uid="{F786F942-3460-3544-9053-249A67536714}">
      <ns0:formula1>KV_DD_SEPTEMBER_16</ns0:formula1>
    </ns0:dataValidation>
    <ns0:dataValidation type="list" allowBlank="1" showInputMessage="1" showErrorMessage="1" sqref="F17" ns2:uid="{352A52FD-1700-344F-82ED-9785EC1883E3}">
      <ns0:formula1>KV_DD_SEPTEMBER_17</ns0:formula1>
    </ns0:dataValidation>
    <ns0:dataValidation type="list" allowBlank="1" showInputMessage="1" showErrorMessage="1" sqref="F18" ns2:uid="{8DDB6DBB-58D1-8143-9A9A-BFAA49366808}">
      <ns0:formula1>KV_DD_SEPTEMBER_18</ns0:formula1>
    </ns0:dataValidation>
    <ns0:dataValidation type="list" allowBlank="1" showInputMessage="1" showErrorMessage="1" sqref="F19" ns2:uid="{BC195EBC-9F6E-1649-8F84-3009BC20B46E}">
      <ns0:formula1>KV_DD_SEPTEMBER_19</ns0:formula1>
    </ns0:dataValidation>
    <ns0:dataValidation type="list" allowBlank="1" showInputMessage="1" showErrorMessage="1" sqref="F20" ns2:uid="{4259147D-EE60-3A44-BA13-EF7719AFC59F}">
      <ns0:formula1>KV_DD_SEPTEMBER_20</ns0:formula1>
    </ns0:dataValidation>
    <ns0:dataValidation type="list" allowBlank="1" showInputMessage="1" showErrorMessage="1" sqref="F21" ns2:uid="{7CB73F53-EE29-A348-A719-D436D5E41F3A}">
      <ns0:formula1>KV_DD_SEPTEMBER_21</ns0:formula1>
    </ns0:dataValidation>
    <ns0:dataValidation type="list" allowBlank="1" showInputMessage="1" showErrorMessage="1" sqref="F22" ns2:uid="{F11E3169-239E-8D46-AAF2-B91CB65A8F36}">
      <ns0:formula1>KV_DD_SEPTEMBER_22</ns0:formula1>
    </ns0:dataValidation>
    <ns0:dataValidation type="list" allowBlank="1" showInputMessage="1" showErrorMessage="1" sqref="F23" ns2:uid="{572011A6-5D52-684C-A381-7851E8888839}">
      <ns0:formula1>KV_DD_SEPTEMBER_23</ns0:formula1>
    </ns0:dataValidation>
    <ns0:dataValidation type="list" allowBlank="1" showInputMessage="1" showErrorMessage="1" sqref="F24" ns2:uid="{1D29BEBD-515D-9548-AFD3-FCAF039A1D59}">
      <ns0:formula1>KV_DD_SEPTEMBER_24</ns0:formula1>
    </ns0:dataValidation>
    <ns0:dataValidation type="list" allowBlank="1" showInputMessage="1" showErrorMessage="1" sqref="F25" ns2:uid="{21CAABAD-D68E-2D45-AE44-6B36193B550D}">
      <ns0:formula1>KV_DD_SEPTEMBER_25</ns0:formula1>
    </ns0:dataValidation>
    <ns0:dataValidation type="list" allowBlank="1" showInputMessage="1" showErrorMessage="1" sqref="F26" ns2:uid="{CE2D7B7F-8238-A744-AFA7-637AD1E855AE}">
      <ns0:formula1>KV_DD_SEPTEMBER_26</ns0:formula1>
    </ns0:dataValidation>
    <ns0:dataValidation type="list" allowBlank="1" showInputMessage="1" showErrorMessage="1" sqref="F27" ns2:uid="{18768C20-4816-CF47-B622-9BB6C07B2406}">
      <ns0:formula1>KV_DD_SEPTEMBER_27</ns0:formula1>
    </ns0:dataValidation>
    <ns0:dataValidation type="list" allowBlank="1" showInputMessage="1" showErrorMessage="1" sqref="F28" ns2:uid="{AC32A331-52D7-FE4F-BF6E-A4EC90577FA9}">
      <ns0:formula1>KV_DD_SEPTEMBER_28</ns0:formula1>
    </ns0:dataValidation>
    <ns0:dataValidation type="list" allowBlank="1" showInputMessage="1" showErrorMessage="1" sqref="F29" ns2:uid="{B0CCCFC6-ED32-8A42-B193-FE314E9AEB7D}">
      <ns0:formula1>KV_DD_SEPTEMBER_29</ns0:formula1>
    </ns0:dataValidation>
    <ns0:dataValidation type="list" allowBlank="1" showInputMessage="1" showErrorMessage="1" sqref="F30" ns2:uid="{137A7357-FDAB-CE4B-827E-93EF1DD8C07C}">
      <ns0:formula1>KV_DD_SEPTEMBER_30</ns0:formula1>
    </ns0:dataValidation>
    <ns0:dataValidation type="list" allowBlank="1" showInputMessage="1" showErrorMessage="1" sqref="F31" ns2:uid="{C363E00D-36ED-B945-9C02-0B55AF8902D3}">
      <ns0:formula1>KV_DD_SEPTEMBER_31</ns0:formula1>
    </ns0:dataValidation>
    <ns0:dataValidation type="list" allowBlank="1" showInputMessage="1" showErrorMessage="1" sqref="F32" ns2:uid="{E2398BD9-86FA-4942-A0FB-29BC6185291A}">
      <ns0:formula1>KV_DD_SEPTEMBER_32</ns0:formula1>
    </ns0:dataValidation>
    <ns0:dataValidation type="list" allowBlank="1" showInputMessage="1" showErrorMessage="1" sqref="F33" ns2:uid="{391A5C39-9BAF-3440-80D7-7A3F000A9D91}">
      <ns0:formula1>KV_DD_SEPTEMBER_33</ns0:formula1>
    </ns0:dataValidation>
    <ns0:dataValidation type="list" allowBlank="1" showInputMessage="1" showErrorMessage="1" sqref="F34" ns2:uid="{37D5BC64-6857-664D-B698-99AFB2C0A370}">
      <ns0:formula1>KV_DD_SEPTEMBER_34</ns0:formula1>
    </ns0:dataValidation>
    <ns0:dataValidation type="list" allowBlank="1" showInputMessage="1" showErrorMessage="1" sqref="F35" ns2:uid="{6BC57AF7-2F4D-7048-A978-2D1832F91792}">
      <ns0:formula1>KV_DD_SEPTEMBER_35</ns0:formula1>
    </ns0:dataValidation>
    <ns0:dataValidation type="list" allowBlank="1" showInputMessage="1" showErrorMessage="1" sqref="F36" ns2:uid="{47C38E3B-10D9-5946-A78A-76AD8EFC5CDB}">
      <ns0:formula1>KV_DD_SEPTEMBER_36</ns0:formula1>
    </ns0:dataValidation>
    <ns0:dataValidation type="list" allowBlank="1" showInputMessage="1" showErrorMessage="1" sqref="F37" ns2:uid="{6CC56668-89A5-3A41-B32C-6C9A755595F2}">
      <ns0:formula1>KV_DD_SEPTEMBER_37</ns0:formula1>
    </ns0:dataValidation>
    <ns0:dataValidation type="list" allowBlank="1" showInputMessage="1" showErrorMessage="1" sqref="F38" ns2:uid="{93F4FAB8-78B1-E846-8C93-D77ABAED3D82}">
      <ns0:formula1>KV_DD_SEPTEMBER_38</ns0:formula1>
    </ns0:dataValidation>
    <ns0:dataValidation type="list" allowBlank="1" showInputMessage="1" showErrorMessage="1" sqref="F39" ns2:uid="{57F6567B-8549-E046-AF0B-8348EDA7F7BD}">
      <ns0:formula1>KV_DD_SEPTEMBER_39</ns0:formula1>
    </ns0:dataValidation>
    <ns0:dataValidation type="list" allowBlank="1" showInputMessage="1" showErrorMessage="1" sqref="F40" ns2:uid="{68B2B410-469A-3645-882B-6F41339F4C8B}">
      <ns0:formula1>KV_DD_SEPTEMBER_40</ns0:formula1>
    </ns0:dataValidation>
    <ns0:dataValidation type="list" allowBlank="1" showInputMessage="1" showErrorMessage="1" sqref="F41" ns2:uid="{A4A9CC29-8F8F-D149-966D-CAAA36583425}">
      <ns0:formula1>KV_DD_SEPTEMBER_41</ns0:formula1>
    </ns0:dataValidation>
    <ns0:dataValidation type="list" allowBlank="1" showInputMessage="1" showErrorMessage="1" sqref="F42" ns2:uid="{77254D60-360D-6149-92A3-7541F78EAEBD}">
      <ns0:formula1>KV_DD_SEPTEMBER_42</ns0:formula1>
    </ns0:dataValidation>
    <ns0:dataValidation type="list" allowBlank="1" showInputMessage="1" showErrorMessage="1" sqref="F43" ns2:uid="{BC2750EF-7652-6043-AD12-A4976FF1F55B}">
      <ns0:formula1>KV_DD_SEPTEMBER_43</ns0:formula1>
    </ns0:dataValidation>
    <ns0:dataValidation type="list" allowBlank="1" showInputMessage="1" showErrorMessage="1" sqref="F44" ns2:uid="{F090DF3D-1218-8441-939D-35A97B2851F9}">
      <ns0:formula1>KV_DD_SEPTEMBER_44</ns0:formula1>
    </ns0:dataValidation>
    <ns0:dataValidation type="list" allowBlank="1" showInputMessage="1" showErrorMessage="1" sqref="F45" ns2:uid="{9F56230D-584B-0947-B88E-8AD5ED24B979}">
      <ns0:formula1>KV_DD_SEPTEMBER_45</ns0:formula1>
    </ns0:dataValidation>
    <ns0:dataValidation type="list" allowBlank="1" showInputMessage="1" showErrorMessage="1" sqref="F46" ns2:uid="{B768E2E7-96F1-D34B-A6F0-F946CECDCDEC}">
      <ns0:formula1>KV_DD_SEPTEMBER_46</ns0:formula1>
    </ns0:dataValidation>
    <ns0:dataValidation type="list" allowBlank="1" showInputMessage="1" showErrorMessage="1" sqref="F47" ns2:uid="{778B4B98-0EFD-2941-909E-97D31B403584}">
      <ns0:formula1>KV_DD_SEPTEMBER_47</ns0:formula1>
    </ns0:dataValidation>
    <ns0:dataValidation type="list" allowBlank="1" showInputMessage="1" showErrorMessage="1" sqref="F48" ns2:uid="{82D2E4CE-98FD-DC48-B23B-370E98FA45EE}">
      <ns0:formula1>KV_DD_SEPTEMBER_48</ns0:formula1>
    </ns0:dataValidation>
    <ns0:dataValidation type="list" allowBlank="1" showInputMessage="1" showErrorMessage="1" sqref="F49" ns2:uid="{AB30B40B-23EE-F74F-8098-7B0108318012}">
      <ns0:formula1>KV_DD_SEPTEMBER_49</ns0:formula1>
    </ns0:dataValidation>
    <ns0:dataValidation type="list" allowBlank="1" showInputMessage="1" showErrorMessage="1" sqref="F50" ns2:uid="{2E8640AC-07EB-7E4B-8795-D6527F02877B}">
      <ns0:formula1>KV_DD_SEPTEMBER_50</ns0:formula1>
    </ns0:dataValidation>
    <ns0:dataValidation type="list" allowBlank="1" showInputMessage="1" showErrorMessage="1" sqref="F51" ns2:uid="{8497F4FD-0AD2-264D-8D92-64B0D77594A8}">
      <ns0:formula1>KV_DD_SEPTEMBER_51</ns0:formula1>
    </ns0:dataValidation>
    <ns0:dataValidation type="list" allowBlank="1" showInputMessage="1" showErrorMessage="1" sqref="F52" ns2:uid="{39F86132-482C-DB4B-8EF5-416883BC0DAF}">
      <ns0:formula1>KV_DD_SEPTEMBER_52</ns0:formula1>
    </ns0:dataValidation>
    <ns0:dataValidation type="list" allowBlank="1" showInputMessage="1" showErrorMessage="1" sqref="F53" ns2:uid="{88D36A66-58FB-BF4C-8D4A-8D7A44719E8D}">
      <ns0:formula1>KV_DD_SEPTEMBER_53</ns0:formula1>
    </ns0:dataValidation>
    <ns0:dataValidation type="list" allowBlank="1" showInputMessage="1" showErrorMessage="1" sqref="F54" ns2:uid="{D15B32FE-D979-4464-973A-35730CEF4E44}">
      <ns0:formula1>KV_DD_SEPTEMBER_54</ns0:formula1>
    </ns0:dataValidation>
    <ns0:dataValidation type="list" allowBlank="1" showInputMessage="1" showErrorMessage="1" sqref="F55" ns2:uid="{73DC1BAD-196A-4213-A7BA-0A51437FD15B}">
      <ns0:formula1>KV_DD_SEPTEMBER_55</ns0:formula1>
    </ns0:dataValidation>
    <ns0:dataValidation type="list" allowBlank="1" showInputMessage="1" showErrorMessage="1" sqref="F56" ns2:uid="{2B5EE8B9-CAA3-433E-A7A6-75E4E8EA856E}">
      <ns0:formula1>KV_DD_SEPTEMBER_56</ns0:formula1>
    </ns0:dataValidation>
    <ns0:dataValidation type="list" allowBlank="1" showInputMessage="1" showErrorMessage="1" sqref="F57" ns2:uid="{79A9DE6D-E8C7-0942-922B-3A1E2AEECE93}">
      <ns0:formula1>KV_DD_SEPTEMBER_57</ns0:formula1>
    </ns0:dataValidation>
    <ns0:dataValidation type="list" allowBlank="1" showInputMessage="1" showErrorMessage="1" sqref="F58" ns2:uid="{312B9999-05EC-704E-851F-3D62AD30FBC6}">
      <ns0:formula1>KV_DD_SEPTEMBER_58</ns0:formula1>
    </ns0:dataValidation>
    <ns0:dataValidation type="list" allowBlank="1" showInputMessage="1" showErrorMessage="1" sqref="F59" ns2:uid="{A058A0B8-F65B-DA4D-96C1-AB40E6C01805}">
      <ns0:formula1>KV_DD_SEPTEMBER_59</ns0:formula1>
    </ns0:dataValidation>
    <ns0:dataValidation type="list" allowBlank="1" showInputMessage="1" showErrorMessage="1" sqref="F60" ns2:uid="{1AD184D1-49EC-6544-9F2F-C9B4B10E3D53}">
      <ns0:formula1>KV_DD_SEPTEMBER_60</ns0:formula1>
    </ns0:dataValidation>
    <ns0:dataValidation type="list" allowBlank="1" showInputMessage="1" showErrorMessage="1" sqref="F61" ns2:uid="{AFA93BE8-5246-3140-B245-27600757A853}">
      <ns0:formula1>KV_DD_SEPTEMBER_61</ns0:formula1>
    </ns0:dataValidation>
    <ns0:dataValidation type="date" allowBlank="1" showDropDown="1" showErrorMessage="1" sqref="I3:I82" ns2:uid="{15622EDB-1F57-4644-8874-FE3EA638CB5F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3554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685800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ED9F9A08-3F15-F04B-85A0-5AAC01D1DDF8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4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B54A82B2-7AD1-44B7-B6C2-31F6E26B51E1}">
  <ns0:sheetPr codeName="Tabelle12"/>
  <ns0:dimension ref="A1:AC83"/>
  <ns0:sheetViews>
    <ns0:sheetView showGridLines="0" showRowColHeaders="0" zoomScaleNormal="100" workbookViewId="0">
      <ns0:pane ySplit="2" topLeftCell="A14" activePane="bottomLeft" state="frozen"/>
      <ns0:selection activeCell="T24" sqref="T24"/>
      <ns0:selection pane="bottomLeft" activeCell="B3" sqref="B3:N82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10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46296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46326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853.1033625250767</ns0:v>
      </ns0:c>
      <ns0:c r="P5" s="15">
        <ns0:f>EINSTELLUNG!I15</ns0:f>
        <ns0:v>10</ns0:v>
      </ns0:c>
      <ns0:c r="Q5" s="14">
        <ns0:f>P5-O5</ns0:f>
        <ns0:v>-843.1033625250767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55.8</ns0:v>
      </ns0:c>
      <ns0:c r="I6" s="126">
        <ns0:v>46305</ns0:v>
      </ns0:c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 t="s">
        <ns0:v>205</ns0:v>
      </ns0:c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8723.1</ns0:v>
      </ns0:c>
      <ns0:c r="R8" s="24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EINSTELLUNG!L31</ns0:f>
        <ns0:v>10</ns0:v>
      </ns0:c>
      <ns0:c r="R9" s="248"/>
      <ns0:c r="S9" s="19">
        <ns0:f>IFERROR(Q9/Q8, 0)</ns0:f>
        <ns0:v>1.1463814469626623E-3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EINSTELLUNG!I31</ns0:f>
        <ns0:v>10</ns0:v>
      </ns0:c>
      <ns0:c r="R10" s="24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10</ns0:v>
      </ns0:c>
      <ns0:c r="R11" s="24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>
        <ns0:v>-121</ns0:v>
      </ns0:c>
      <ns0:c r="R12" s="252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8814.1</ns0:v>
      </ns0:c>
      <ns0:c r="R13" s="24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EINSTELLUNG!L15</ns0:f>
        <ns0:v>10</ns0:v>
      </ns0:c>
      <ns0:c r="R14" s="24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8804.1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401564</ns0:v>
      </ns0:c>
      <ns0:c r="C21" s="68" t="s">
        <ns0:v>252</ns0:v>
      </ns0:c>
      <ns0:c r="D21" s="123">
        <ns0:v>44824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401583</ns0:v>
      </ns0:c>
      <ns0:c r="C22" s="68" t="s">
        <ns0:v>254</ns0:v>
      </ns0:c>
      <ns0:c r="D22" s="123">
        <ns0:v>44900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401589</ns0:v>
      </ns0:c>
      <ns0:c r="C23" s="68" t="s">
        <ns0:v>255</ns0:v>
      </ns0:c>
      <ns0:c r="D23" s="123">
        <ns0:v>44926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401602</ns0:v>
      </ns0:c>
      <ns0:c r="C24" s="68" t="s">
        <ns0:v>256</ns0:v>
      </ns0:c>
      <ns0:c r="D24" s="123">
        <ns0:v>45975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2200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401605</ns0:v>
      </ns0:c>
      <ns0:c r="C25" s="68" t="s">
        <ns0:v>257</ns0:v>
      </ns0:c>
      <ns0:c r="D25" s="123">
        <ns0:v>44986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401626</ns0:v>
      </ns0:c>
      <ns0:c r="C26" s="68" t="s">
        <ns0:v>258</ns0:v>
      </ns0:c>
      <ns0:c r="D26" s="123">
        <ns0:v>45063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401633</ns0:v>
      </ns0:c>
      <ns0:c r="C27" s="68" t="s">
        <ns0:v>259</ns0:v>
      </ns0:c>
      <ns0:c r="D27" s="123">
        <ns0:v>45089</ns0:v>
      </ns0:c>
      <ns0:c r="E27" s="65" t="s">
        <ns0:v>10</ns0:v>
      </ns0:c>
      <ns0:c r="F27" s="67">
        <ns0:v>173</ns0:v>
      </ns0:c>
      <ns0:c r="G27" s="116">
        <ns0:f>IF(OR(E27="",F27=""),"",PID_KVLohnLookup($A$1,E27,F27,LOHNTABELLE!$H$4))</ns0:f>
        <ns0:v>2300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401647</ns0:v>
      </ns0:c>
      <ns0:c r="C28" s="68" t="s">
        <ns0:v>260</ns0:v>
      </ns0:c>
      <ns0:c r="D28" s="123">
        <ns0:v>45182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401661</ns0:v>
      </ns0:c>
      <ns0:c r="C29" s="68" t="s">
        <ns0:v>261</ns0:v>
      </ns0:c>
      <ns0:c r="D29" s="123">
        <ns0:v>45261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EINSTELLUNG!O15</ns0:f>
        <ns0:v>10</ns0:v>
      </ns0:c>
      <ns0:c r="R29" s="231"/>
    </ns0:row>
    <ns0:row r="30" spans="1:29" ht="16" customHeight="1">
      <ns0:c r="A30" s="61" t="s">
        <ns0:v>91</ns0:v>
      </ns0:c>
      <ns0:c r="B30" s="101">
        <ns0:v>401670</ns0:v>
      </ns0:c>
      <ns0:c r="C30" s="68" t="s">
        <ns0:v>262</ns0:v>
      </ns0:c>
      <ns0:c r="D30" s="123">
        <ns0:v>45358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401678</ns0:v>
      </ns0:c>
      <ns0:c r="C31" s="70" t="s">
        <ns0:v>263</ns0:v>
      </ns0:c>
      <ns0:c r="D31" s="123">
        <ns0:v>45414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1.6666666666666666E-2</ns0:v>
      </ns0:c>
      <ns0:c r="R31" s="235"/>
    </ns0:row>
    <ns0:row r="32" spans="1:29" ht="16" customHeight="1">
      <ns0:c r="A32" s="61" t="s">
        <ns0:v>94</ns0:v>
      </ns0:c>
      <ns0:c r="B32" s="101">
        <ns0:v>401690</ns0:v>
      </ns0:c>
      <ns0:c r="C32" s="68" t="s">
        <ns0:v>265</ns0:v>
      </ns0:c>
      <ns0:c r="D32" s="123">
        <ns0:v>45536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401703</ns0:v>
      </ns0:c>
      <ns0:c r="C33" s="68" t="s">
        <ns0:v>266</ns0:v>
      </ns0:c>
      <ns0:c r="D33" s="123">
        <ns0:v>45616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401715</ns0:v>
      </ns0:c>
      <ns0:c r="C34" s="68" t="s">
        <ns0:v>268</ns0:v>
      </ns0:c>
      <ns0:c r="D34" s="123">
        <ns0:v>45755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401716</ns0:v>
      </ns0:c>
      <ns0:c r="C35" s="68" t="s">
        <ns0:v>269</ns0:v>
      </ns0:c>
      <ns0:c r="D35" s="123">
        <ns0:v>45800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EINSTELLUNG!C15</ns0:f>
        <ns0:v>10</ns0:v>
      </ns0:c>
      <ns0:c r="R35" s="218"/>
      <ns0:c r="S35" s="218">
        <ns0:f>EINSTELLUNG!C31</ns0:f>
        <ns0:v>10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401717</ns0:v>
      </ns0:c>
      <ns0:c r="C36" s="68" t="s">
        <ns0:v>270</ns0:v>
      </ns0:c>
      <ns0:c r="D36" s="123">
        <ns0:v>45814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EINSTELLUNG!D15</ns0:f>
        <ns0:v>10</ns0:v>
      </ns0:c>
      <ns0:c r="R36" s="218"/>
      <ns0:c r="S36" s="215" cm="1">
        <ns0:f t="array" ref="S36">SumMergedCells(Q17:R29)</ns0:f>
        <ns0:v>5010</ns0:v>
      </ns0:c>
      <ns0:c r="T36" s="217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401722</ns0:v>
      </ns0:c>
      <ns0:c r="C37" s="68" t="s">
        <ns0:v>271</ns0:v>
      </ns0:c>
      <ns0:c r="D37" s="123">
        <ns0:v>45848</ns0:v>
      </ns0:c>
      <ns0:c r="E37" s="65" t="s">
        <ns0:v>2</ns0:v>
      </ns0:c>
      <ns0:c r="F37" s="67">
        <ns0:v>86.5</ns0:v>
      </ns0:c>
      <ns0:c r="G37" s="116">
        <ns0:f>IF(OR(E37="",F37=""),"",PID_KVLohnLookup($A$1,E37,F37,LOHNTABELLE!$H$4))</ns0:f>
        <ns0:v>1333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501</ns0:v>
      </ns0:c>
      <ns0:c r="T37" s="226"/>
      <ns0:c r="U37" s="227">
        <ns0:f t="shared" si="2"/>
        <ns0:v>500</ns0:v>
      </ns0:c>
      <ns0:c r="V37" s="227"/>
    </ns0:row>
    <ns0:row r="38" spans="1:24" ht="16" customHeight="1">
      <ns0:c r="A38" s="61" t="s">
        <ns0:v>106</ns0:v>
      </ns0:c>
      <ns0:c r="B38" s="101">
        <ns0:v>401723</ns0:v>
      </ns0:c>
      <ns0:c r="C38" s="68" t="s">
        <ns0:v>272</ns0:v>
      </ns0:c>
      <ns0:c r="D38" s="123">
        <ns0:v>45852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EINSTELLUNG!F15</ns0:f>
        <ns0:v>10</ns0:v>
      </ns0:c>
      <ns0:c r="R38" s="219"/>
      <ns0:c r="S38" s="219">
        <ns0:f>EINSTELLUNG!F31</ns0:f>
        <ns0:v>10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401726</ns0:v>
      </ns0:c>
      <ns0:c r="C39" s="68" t="s">
        <ns0:v>273</ns0:v>
      </ns0:c>
      <ns0:c r="D39" s="123">
        <ns0:v>45870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401730</ns0:v>
      </ns0:c>
      <ns0:c r="C40" s="68" t="s">
        <ns0:v>275</ns0:v>
      </ns0:c>
      <ns0:c r="D40" s="123">
        <ns0:v>45895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IF(Q13=0, 0, Q35/Q13)</ns0:f>
        <ns0:v>1.1345457845951374E-3</ns0:v>
      </ns0:c>
      <ns0:c r="R40" s="218"/>
      <ns0:c r="S40" s="218">
        <ns0:f>IF(Q13=0, 0, S35/Q13)</ns0:f>
        <ns0:v>1.1345457845951374E-3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401731</ns0:v>
      </ns0:c>
      <ns0:c r="C41" s="68" t="s">
        <ns0:v>274</ns0:v>
      </ns0:c>
      <ns0:c r="D41" s="123">
        <ns0:v>45899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IF(Q13=0, 0, Q38/Q13)</ns0:f>
        <ns0:v>1.1345457845951374E-3</ns0:v>
      </ns0:c>
      <ns0:c r="R41" s="219"/>
      <ns0:c r="S41" s="219">
        <ns0:f>IF(Q13=0, 0, S38/Q13)</ns0:f>
        <ns0:v>1.1345457845951374E-3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401734</ns0:v>
      </ns0:c>
      <ns0:c r="C42" s="68" t="s">
        <ns0:v>276</ns0:v>
      </ns0:c>
      <ns0:c r="D42" s="123">
        <ns0:v>45904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401736</ns0:v>
      </ns0:c>
      <ns0:c r="C43" s="70" t="s">
        <ns0:v>277</ns0:v>
      </ns0:c>
      <ns0:c r="D43" s="123">
        <ns0:v>45906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401737</ns0:v>
      </ns0:c>
      <ns0:c r="C44" s="68" t="s">
        <ns0:v>278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401738</ns0:v>
      </ns0:c>
      <ns0:c r="C45" s="68" t="s">
        <ns0:v>279</ns0:v>
      </ns0:c>
      <ns0:c r="D45" s="123">
        <ns0:v>45909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401745</ns0:v>
      </ns0:c>
      <ns0:c r="C46" s="68" t="s">
        <ns0:v>283</ns0:v>
      </ns0:c>
      <ns0:c r="D46" s="123">
        <ns0:v>45934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401748</ns0:v>
      </ns0:c>
      <ns0:c r="C47" s="68" t="s">
        <ns0:v>281</ns0:v>
      </ns0:c>
      <ns0:c r="D47" s="123">
        <ns0:v>45941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401751</ns0:v>
      </ns0:c>
      <ns0:c r="C48" s="68" t="s">
        <ns0:v>284</ns0:v>
      </ns0:c>
      <ns0:c r="D48" s="123">
        <ns0:v>45961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401752</ns0:v>
      </ns0:c>
      <ns0:c r="C49" s="68" t="s">
        <ns0:v>285</ns0:v>
      </ns0:c>
      <ns0:c r="D49" s="123">
        <ns0:v>45986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401999</ns0:v>
      </ns0:c>
      <ns0:c r="C50" s="68" t="s">
        <ns0:v>319</ns0:v>
      </ns0:c>
      <ns0:c r="D50" s="123">
        <ns0:v>46082</ns0:v>
      </ns0:c>
      <ns0:c r="E50" s="65" t="s">
        <ns0:v>2</ns0:v>
      </ns0:c>
      <ns0:c r="F50" s="67">
        <ns0:v>173</ns0:v>
      </ns0:c>
      <ns0:c r="G50" s="116">
        <ns0:f>IF(OR(E50="",F50=""),"",PID_KVLohnLookup($A$1,E50,F50,LOHNTABELLE!$H$4))</ns0:f>
        <ns0:v>2200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402000</ns0:v>
      </ns0:c>
      <ns0:c r="C51" s="68" t="s">
        <ns0:v>326</ns0:v>
      </ns0:c>
      <ns0:c r="D51" s="123">
        <ns0:v>46143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402004</ns0:v>
      </ns0:c>
      <ns0:c r="C52" s="68" t="s">
        <ns0:v>328</ns0:v>
      </ns0:c>
      <ns0:c r="D52" s="123">
        <ns0:v>46122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402405</ns0:v>
      </ns0:c>
      <ns0:c r="C53" s="68" t="s">
        <ns0:v>330</ns0:v>
      </ns0:c>
      <ns0:c r="D53" s="123">
        <ns0:v>46054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500600</ns0:v>
      </ns0:c>
      <ns0:c r="C54" s="68" t="s">
        <ns0:v>335</ns0:v>
      </ns0:c>
      <ns0:c r="D54" s="123">
        <ns0:v>46054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502000</ns0:v>
      </ns0:c>
      <ns0:c r="C55" s="68" t="s">
        <ns0:v>329</ns0:v>
      </ns0:c>
      <ns0:c r="D55" s="123">
        <ns0:v>46147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503000</ns0:v>
      </ns0:c>
      <ns0:c r="C56" s="68" t="s">
        <ns0:v>332</ns0:v>
      </ns0:c>
      <ns0:c r="D56" s="123">
        <ns0:v>42401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504000</ns0:v>
      </ns0:c>
      <ns0:c r="C57" s="68" t="s">
        <ns0:v>333</ns0:v>
      </ns0:c>
      <ns0:c r="D57" s="123">
        <ns0:v>46054</ns0:v>
      </ns0:c>
      <ns0:c r="E57" s="65" t="s">
        <ns0:v>3</ns0:v>
      </ns0:c>
      <ns0:c r="F57" s="67">
        <ns0:v>138.4</ns0:v>
      </ns0:c>
      <ns0:c r="G57" s="116">
        <ns0:f>IF(OR(E57="",F57=""),"",PID_KVLohnLookup($A$1,E57,F57,LOHNTABELLE!$H$4))</ns0:f>
        <ns0:v>1665.6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505000</ns0:v>
      </ns0:c>
      <ns0:c r="C58" s="68" t="s">
        <ns0:v>334</ns0:v>
      </ns0:c>
      <ns0:c r="D58" s="123">
        <ns0:v>46054</ns0:v>
      </ns0:c>
      <ns0:c r="E58" s="65" t="s">
        <ns0:v>2</ns0:v>
      </ns0:c>
      <ns0:c r="F58" s="67">
        <ns0:v>138.4</ns0:v>
      </ns0:c>
      <ns0:c r="G58" s="116">
        <ns0:f>IF(OR(E58="",F58=""),"",PID_KVLohnLookup($A$1,E58,F58,LOHNTABELLE!$H$4))</ns0:f>
        <ns0:v>1616.8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>
        <ns0:v>700000</ns0:v>
      </ns0:c>
      <ns0:c r="C59" s="68" t="s">
        <ns0:v>347</ns0:v>
      </ns0:c>
      <ns0:c r="D59" s="123">
        <ns0:v>46054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>
        <ns0:v>800000</ns0:v>
      </ns0:c>
      <ns0:c r="C60" s="68" t="s">
        <ns0:v>348</ns0:v>
      </ns0:c>
      <ns0:c r="D60" s="123">
        <ns0:v>46082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vKCSoNpKHQ+sEiDU+bD4MX3w+jEcG14YEPjGkn54YE8mZw3pYMaJvSAs83m8PkcC47oZui/R8whpYXYFCSqFnQ==" saltValue="2wDIla1YxaIOcdkLPYDLtQ==" spinCount="100000" sheet="1" objects="1" scenarios="1" sort="0" autoFilter="0"/>
  <ns0:sortState ref="B3:N82">
    <ns0:sortCondition ref="B3:B82"/>
    <ns0:sortCondition ref="C3:C82"/>
  </ns0:sortState>
  <ns0:mergeCells count="98"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</ns0:mergeCells>
  <ns0:phoneticPr fontId="14" type="noConversion"/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B3352FA1-9B8E-1840-A02E-2F313A5494E2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EBB326D2-A993-0B44-9055-7B732149F270}">
      <ns0:formula1>KV_DD_OKTOBER_3</ns0:formula1>
    </ns0:dataValidation>
    <ns0:dataValidation type="list" allowBlank="1" showInputMessage="1" showErrorMessage="1" sqref="F4" ns2:uid="{4381597C-8168-9748-AFB1-EB1AACCCE48A}">
      <ns0:formula1>KV_DD_OKTOBER_4</ns0:formula1>
    </ns0:dataValidation>
    <ns0:dataValidation type="list" allowBlank="1" showInputMessage="1" showErrorMessage="1" sqref="F5" ns2:uid="{EEC88AB8-367F-4D4A-920B-BAE29EED563F}">
      <ns0:formula1>KV_DD_OKTOBER_5</ns0:formula1>
    </ns0:dataValidation>
    <ns0:dataValidation type="list" allowBlank="1" showInputMessage="1" showErrorMessage="1" sqref="F6" ns2:uid="{A2E19057-516F-D24C-9AD9-31BAF9EA8CEB}">
      <ns0:formula1>KV_DD_OKTOBER_6</ns0:formula1>
    </ns0:dataValidation>
    <ns0:dataValidation type="list" allowBlank="1" showInputMessage="1" showErrorMessage="1" sqref="F7" ns2:uid="{5780E8B4-258D-AA45-AA35-AEE34318C46A}">
      <ns0:formula1>KV_DD_OKTOBER_7</ns0:formula1>
    </ns0:dataValidation>
    <ns0:dataValidation type="list" allowBlank="1" showInputMessage="1" showErrorMessage="1" sqref="F8" ns2:uid="{DB60B6FC-1431-3246-ABA8-60ED514A776A}">
      <ns0:formula1>KV_DD_OKTOBER_8</ns0:formula1>
    </ns0:dataValidation>
    <ns0:dataValidation type="list" allowBlank="1" showInputMessage="1" showErrorMessage="1" sqref="F9" ns2:uid="{F298469B-705E-D34C-9CA3-9E5B2FF60EF9}">
      <ns0:formula1>KV_DD_OKTOBER_9</ns0:formula1>
    </ns0:dataValidation>
    <ns0:dataValidation type="list" allowBlank="1" showInputMessage="1" showErrorMessage="1" sqref="F10" ns2:uid="{CB159F17-7F8A-574A-95BF-34D35C3715E5}">
      <ns0:formula1>KV_DD_OKTOBER_10</ns0:formula1>
    </ns0:dataValidation>
    <ns0:dataValidation type="list" allowBlank="1" showInputMessage="1" showErrorMessage="1" sqref="F11" ns2:uid="{A0E283B2-8089-594D-8E80-C780BA4B77D8}">
      <ns0:formula1>KV_DD_OKTOBER_11</ns0:formula1>
    </ns0:dataValidation>
    <ns0:dataValidation type="list" allowBlank="1" showInputMessage="1" showErrorMessage="1" sqref="F12" ns2:uid="{763B6F94-5048-F24E-84F6-C8849258859F}">
      <ns0:formula1>KV_DD_OKTOBER_12</ns0:formula1>
    </ns0:dataValidation>
    <ns0:dataValidation type="list" allowBlank="1" showInputMessage="1" showErrorMessage="1" sqref="F13" ns2:uid="{8D5041FB-6567-6640-AB7B-76662653AD23}">
      <ns0:formula1>KV_DD_OKTOBER_13</ns0:formula1>
    </ns0:dataValidation>
    <ns0:dataValidation type="list" allowBlank="1" showInputMessage="1" showErrorMessage="1" sqref="F14" ns2:uid="{3BE23F46-FC6D-834D-9C7B-C2A1A77E7D82}">
      <ns0:formula1>KV_DD_OKTOBER_14</ns0:formula1>
    </ns0:dataValidation>
    <ns0:dataValidation type="list" allowBlank="1" showInputMessage="1" showErrorMessage="1" sqref="F15" ns2:uid="{7516A758-DA5E-FD46-92E8-0F2BDD5C39C0}">
      <ns0:formula1>KV_DD_OKTOBER_15</ns0:formula1>
    </ns0:dataValidation>
    <ns0:dataValidation type="list" allowBlank="1" showInputMessage="1" showErrorMessage="1" sqref="F16" ns2:uid="{BA06827E-7A7C-8242-A098-339A752C3A18}">
      <ns0:formula1>KV_DD_OKTOBER_16</ns0:formula1>
    </ns0:dataValidation>
    <ns0:dataValidation type="list" allowBlank="1" showInputMessage="1" showErrorMessage="1" sqref="F17" ns2:uid="{E7971747-D5AE-E74E-9CD8-B2B98E48CB45}">
      <ns0:formula1>KV_DD_OKTOBER_17</ns0:formula1>
    </ns0:dataValidation>
    <ns0:dataValidation type="list" allowBlank="1" showInputMessage="1" showErrorMessage="1" sqref="F18" ns2:uid="{44D411C4-2ED3-4242-9759-2AE1CCE07EED}">
      <ns0:formula1>KV_DD_OKTOBER_18</ns0:formula1>
    </ns0:dataValidation>
    <ns0:dataValidation type="list" allowBlank="1" showInputMessage="1" showErrorMessage="1" sqref="F19" ns2:uid="{17EF5FF5-B00E-AC44-8F7B-F656FE4533D4}">
      <ns0:formula1>KV_DD_OKTOBER_19</ns0:formula1>
    </ns0:dataValidation>
    <ns0:dataValidation type="list" allowBlank="1" showInputMessage="1" showErrorMessage="1" sqref="F20" ns2:uid="{138A0A20-8D3B-D745-9E5B-3B8B2408FEE5}">
      <ns0:formula1>KV_DD_OKTOBER_20</ns0:formula1>
    </ns0:dataValidation>
    <ns0:dataValidation type="list" allowBlank="1" showInputMessage="1" showErrorMessage="1" sqref="F21" ns2:uid="{A15833E2-4FB8-DF48-8FDF-F5EE1FB28B09}">
      <ns0:formula1>KV_DD_OKTOBER_21</ns0:formula1>
    </ns0:dataValidation>
    <ns0:dataValidation type="list" allowBlank="1" showInputMessage="1" showErrorMessage="1" sqref="F22" ns2:uid="{D64EC81F-7756-CC49-B458-53FC29E1BFE9}">
      <ns0:formula1>KV_DD_OKTOBER_22</ns0:formula1>
    </ns0:dataValidation>
    <ns0:dataValidation type="list" allowBlank="1" showInputMessage="1" showErrorMessage="1" sqref="F23" ns2:uid="{4C676D5D-761B-284E-A73C-F974A1A6F1CD}">
      <ns0:formula1>KV_DD_OKTOBER_23</ns0:formula1>
    </ns0:dataValidation>
    <ns0:dataValidation type="list" allowBlank="1" showInputMessage="1" showErrorMessage="1" sqref="F24" ns2:uid="{1D07C10D-CC0E-8A4E-B243-5BF25F5B8BE3}">
      <ns0:formula1>KV_DD_OKTOBER_24</ns0:formula1>
    </ns0:dataValidation>
    <ns0:dataValidation type="list" allowBlank="1" showInputMessage="1" showErrorMessage="1" sqref="F25" ns2:uid="{28E06E8F-FB67-C94B-9EE0-5FEF392A89A2}">
      <ns0:formula1>KV_DD_OKTOBER_25</ns0:formula1>
    </ns0:dataValidation>
    <ns0:dataValidation type="list" allowBlank="1" showInputMessage="1" showErrorMessage="1" sqref="F26" ns2:uid="{4701E075-832D-394F-A70B-6BCA94781B00}">
      <ns0:formula1>KV_DD_OKTOBER_26</ns0:formula1>
    </ns0:dataValidation>
    <ns0:dataValidation type="list" allowBlank="1" showInputMessage="1" showErrorMessage="1" sqref="F27" ns2:uid="{C91F88B9-C39E-D94F-835F-221E11255C29}">
      <ns0:formula1>KV_DD_OKTOBER_27</ns0:formula1>
    </ns0:dataValidation>
    <ns0:dataValidation type="list" allowBlank="1" showInputMessage="1" showErrorMessage="1" sqref="F28" ns2:uid="{42E19D4A-E100-0F4A-A608-54738F926472}">
      <ns0:formula1>KV_DD_OKTOBER_28</ns0:formula1>
    </ns0:dataValidation>
    <ns0:dataValidation type="list" allowBlank="1" showInputMessage="1" showErrorMessage="1" sqref="F29" ns2:uid="{15EC42CB-3302-7442-BACB-B47CFF4AF428}">
      <ns0:formula1>KV_DD_OKTOBER_29</ns0:formula1>
    </ns0:dataValidation>
    <ns0:dataValidation type="list" allowBlank="1" showInputMessage="1" showErrorMessage="1" sqref="F30" ns2:uid="{BB221B88-640D-3343-9A2F-6FAC86A5918C}">
      <ns0:formula1>KV_DD_OKTOBER_30</ns0:formula1>
    </ns0:dataValidation>
    <ns0:dataValidation type="list" allowBlank="1" showInputMessage="1" showErrorMessage="1" sqref="F31" ns2:uid="{986230BB-87FD-A24F-8269-96421ED0A948}">
      <ns0:formula1>KV_DD_OKTOBER_31</ns0:formula1>
    </ns0:dataValidation>
    <ns0:dataValidation type="list" allowBlank="1" showInputMessage="1" showErrorMessage="1" sqref="F32" ns2:uid="{068BEA0C-8D67-8949-A603-D61F58B0D2DB}">
      <ns0:formula1>KV_DD_OKTOBER_32</ns0:formula1>
    </ns0:dataValidation>
    <ns0:dataValidation type="list" allowBlank="1" showInputMessage="1" showErrorMessage="1" sqref="F33" ns2:uid="{54892A59-7CF5-D540-9486-5890C87BA1E9}">
      <ns0:formula1>KV_DD_OKTOBER_33</ns0:formula1>
    </ns0:dataValidation>
    <ns0:dataValidation type="list" allowBlank="1" showInputMessage="1" showErrorMessage="1" sqref="F34" ns2:uid="{ABB0EEB2-3F81-FA4A-8239-D97CD0DE20C2}">
      <ns0:formula1>KV_DD_OKTOBER_34</ns0:formula1>
    </ns0:dataValidation>
    <ns0:dataValidation type="list" allowBlank="1" showInputMessage="1" showErrorMessage="1" sqref="F35" ns2:uid="{7BFC3FE1-FF92-CD4D-802D-304358F0117D}">
      <ns0:formula1>KV_DD_OKTOBER_35</ns0:formula1>
    </ns0:dataValidation>
    <ns0:dataValidation type="list" allowBlank="1" showInputMessage="1" showErrorMessage="1" sqref="F36" ns2:uid="{BBBB6DD6-4503-6943-B198-FD5298107653}">
      <ns0:formula1>KV_DD_OKTOBER_36</ns0:formula1>
    </ns0:dataValidation>
    <ns0:dataValidation type="list" allowBlank="1" showInputMessage="1" showErrorMessage="1" sqref="F37" ns2:uid="{15C04849-9BDF-0C44-B13D-B78FCDB6BA65}">
      <ns0:formula1>KV_DD_OKTOBER_37</ns0:formula1>
    </ns0:dataValidation>
    <ns0:dataValidation type="list" allowBlank="1" showInputMessage="1" showErrorMessage="1" sqref="F38" ns2:uid="{4EDB79C0-8A5B-D649-8351-17D59CF61E76}">
      <ns0:formula1>KV_DD_OKTOBER_38</ns0:formula1>
    </ns0:dataValidation>
    <ns0:dataValidation type="list" allowBlank="1" showInputMessage="1" showErrorMessage="1" sqref="F39" ns2:uid="{FDD07195-B64A-CC4B-B743-0C6F3987D112}">
      <ns0:formula1>KV_DD_OKTOBER_39</ns0:formula1>
    </ns0:dataValidation>
    <ns0:dataValidation type="list" allowBlank="1" showInputMessage="1" showErrorMessage="1" sqref="F40" ns2:uid="{F5E8B998-1DDF-9E41-9826-534F6BC503A4}">
      <ns0:formula1>KV_DD_OKTOBER_40</ns0:formula1>
    </ns0:dataValidation>
    <ns0:dataValidation type="list" allowBlank="1" showInputMessage="1" showErrorMessage="1" sqref="F41" ns2:uid="{FB2CC720-5DBC-654D-B1BB-6613AC05F66E}">
      <ns0:formula1>KV_DD_OKTOBER_41</ns0:formula1>
    </ns0:dataValidation>
    <ns0:dataValidation type="list" allowBlank="1" showInputMessage="1" showErrorMessage="1" sqref="F42" ns2:uid="{44BAF861-DD50-5442-858E-12C12765FEC5}">
      <ns0:formula1>KV_DD_OKTOBER_42</ns0:formula1>
    </ns0:dataValidation>
    <ns0:dataValidation type="list" allowBlank="1" showInputMessage="1" showErrorMessage="1" sqref="F43" ns2:uid="{6682B9BB-C8D1-C343-8C74-E170FF54875A}">
      <ns0:formula1>KV_DD_OKTOBER_43</ns0:formula1>
    </ns0:dataValidation>
    <ns0:dataValidation type="list" allowBlank="1" showInputMessage="1" showErrorMessage="1" sqref="F44" ns2:uid="{B6A2C18F-AD89-EB45-87B3-B3589F8885F7}">
      <ns0:formula1>KV_DD_OKTOBER_44</ns0:formula1>
    </ns0:dataValidation>
    <ns0:dataValidation type="list" allowBlank="1" showInputMessage="1" showErrorMessage="1" sqref="F45" ns2:uid="{3B1D039D-0085-784C-A144-A11A741531D6}">
      <ns0:formula1>KV_DD_OKTOBER_45</ns0:formula1>
    </ns0:dataValidation>
    <ns0:dataValidation type="list" allowBlank="1" showInputMessage="1" showErrorMessage="1" sqref="F46" ns2:uid="{3DD51413-DF9D-134A-B2E1-55763F8F9742}">
      <ns0:formula1>KV_DD_OKTOBER_46</ns0:formula1>
    </ns0:dataValidation>
    <ns0:dataValidation type="list" allowBlank="1" showInputMessage="1" showErrorMessage="1" sqref="F47" ns2:uid="{BAC5EB58-3DB9-EB41-8B00-1BD66B1865B2}">
      <ns0:formula1>KV_DD_OKTOBER_47</ns0:formula1>
    </ns0:dataValidation>
    <ns0:dataValidation type="list" allowBlank="1" showInputMessage="1" showErrorMessage="1" sqref="F48" ns2:uid="{C89495F7-237F-1C46-9DCD-B7E7B79FB85C}">
      <ns0:formula1>KV_DD_OKTOBER_48</ns0:formula1>
    </ns0:dataValidation>
    <ns0:dataValidation type="list" allowBlank="1" showInputMessage="1" showErrorMessage="1" sqref="F49" ns2:uid="{A3BCB04B-9FB4-FB44-BB47-70DBD1CC6746}">
      <ns0:formula1>KV_DD_OKTOBER_49</ns0:formula1>
    </ns0:dataValidation>
    <ns0:dataValidation type="list" allowBlank="1" showInputMessage="1" showErrorMessage="1" sqref="F50" ns2:uid="{640BAF8D-F909-2C4A-967F-9842F253155E}">
      <ns0:formula1>KV_DD_OKTOBER_50</ns0:formula1>
    </ns0:dataValidation>
    <ns0:dataValidation type="list" allowBlank="1" showInputMessage="1" showErrorMessage="1" sqref="F51" ns2:uid="{CCDFB12B-A124-2846-80EF-F07A148C2CF8}">
      <ns0:formula1>KV_DD_OKTOBER_51</ns0:formula1>
    </ns0:dataValidation>
    <ns0:dataValidation type="list" allowBlank="1" showInputMessage="1" showErrorMessage="1" sqref="F52" ns2:uid="{365663F9-1D0B-CF46-B3A0-CA8395F4B288}">
      <ns0:formula1>KV_DD_OKTOBER_52</ns0:formula1>
    </ns0:dataValidation>
    <ns0:dataValidation type="list" allowBlank="1" showInputMessage="1" showErrorMessage="1" sqref="F53" ns2:uid="{AB6C63C7-5C78-A54C-A174-4CDD46D2712C}">
      <ns0:formula1>KV_DD_OKTOBER_53</ns0:formula1>
    </ns0:dataValidation>
    <ns0:dataValidation type="list" allowBlank="1" showInputMessage="1" showErrorMessage="1" sqref="F54" ns2:uid="{D89493DF-69DF-408A-8030-971BA8B4B400}">
      <ns0:formula1>KV_DD_OKTOBER_54</ns0:formula1>
    </ns0:dataValidation>
    <ns0:dataValidation type="list" allowBlank="1" showInputMessage="1" showErrorMessage="1" sqref="F55" ns2:uid="{3C292533-7BD9-479E-B034-1EB8B9882000}">
      <ns0:formula1>KV_DD_OKTOBER_55</ns0:formula1>
    </ns0:dataValidation>
    <ns0:dataValidation type="list" allowBlank="1" showInputMessage="1" showErrorMessage="1" sqref="F56" ns2:uid="{3EA0C2DD-7B4E-40D4-AC68-C475DF5B817F}">
      <ns0:formula1>KV_DD_OKTOBER_56</ns0:formula1>
    </ns0:dataValidation>
    <ns0:dataValidation type="list" allowBlank="1" showInputMessage="1" showErrorMessage="1" sqref="F57" ns2:uid="{A70C3A30-926D-A746-8D6C-115E3BD334E6}">
      <ns0:formula1>KV_DD_OKTOBER_57</ns0:formula1>
    </ns0:dataValidation>
    <ns0:dataValidation type="list" allowBlank="1" showInputMessage="1" showErrorMessage="1" sqref="F58" ns2:uid="{CBEEA223-1320-1D48-B609-2E04027DAA9C}">
      <ns0:formula1>KV_DD_OKTOBER_58</ns0:formula1>
    </ns0:dataValidation>
    <ns0:dataValidation type="list" allowBlank="1" showInputMessage="1" showErrorMessage="1" sqref="F59" ns2:uid="{8385CD2E-DD62-554C-9C8D-918D5CD7885C}">
      <ns0:formula1>KV_DD_OKTOBER_59</ns0:formula1>
    </ns0:dataValidation>
    <ns0:dataValidation type="list" allowBlank="1" showInputMessage="1" showErrorMessage="1" sqref="F60" ns2:uid="{DE89139D-C436-2A4B-9746-DC07B8AAF887}">
      <ns0:formula1>KV_DD_OKTOBER_60</ns0:formula1>
    </ns0:dataValidation>
    <ns0:dataValidation type="list" allowBlank="1" showInputMessage="1" showErrorMessage="1" sqref="F61" ns2:uid="{DFDEF5D5-A175-E44C-A136-E10E2C6AF3B8}">
      <ns0:formula1>KV_DD_OKTOBER_61</ns0:formula1>
    </ns0:dataValidation>
    <ns0:dataValidation type="list" allowBlank="1" showInputMessage="1" showErrorMessage="1" sqref="F62" ns2:uid="{6C8530BE-D5EB-4825-B982-2F84F1B7ADD8}">
      <ns0:formula1>KV_DD_OKTOBER_62</ns0:formula1>
    </ns0:dataValidation>
    <ns0:dataValidation type="list" allowBlank="1" showInputMessage="1" showErrorMessage="1" sqref="F63" ns2:uid="{5DE59C06-6BA7-446E-AA32-C54C32CB28C1}">
      <ns0:formula1>KV_DD_OKTOBER_63</ns0:formula1>
    </ns0:dataValidation>
    <ns0:dataValidation type="date" allowBlank="1" showDropDown="1" showErrorMessage="1" sqref="I3:I82" ns2:uid="{E55DB546-6F68-2B41-8927-10B6CC7C80BB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4578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571500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F7D67EDA-F182-EE47-9FDC-9078CBC195BD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5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446EAD6F-1357-44DB-BA9B-30CCEAF4322F}">
  <ns0:sheetPr codeName="Tabelle19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11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46327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46356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836.40858047957613</ns0:v>
      </ns0:c>
      <ns0:c r="P5" s="15">
        <ns0:f>EINSTELLUNG!I16</ns0:f>
        <ns0:v>11</ns0:v>
      </ns0:c>
      <ns0:c r="Q5" s="14">
        <ns0:f>P5-O5</ns0:f>
        <ns0:v>-825.40858047957613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68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2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>
        <ns0:f>IF(OR(E8="",F8=""),"",PID_KVLohnLookup($A$1,E8,F8,LOHNTABELLE!$H$4))</ns0:f>
        <ns0:v>2082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8551.9599999999991</ns0:v>
      </ns0:c>
      <ns0:c r="R8" s="248"/>
    </ns0:row>
    <ns0:row r="9" spans="1:28" ht="16" customHeight="1">
      <ns0:c r="A9" s="61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>
        <ns0:f>IF(OR(E9="",F9=""),"",PID_KVLohnLookup($A$1,E9,F9,LOHNTABELLE!$H$4))</ns0:f>
        <ns0:v>2123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EINSTELLUNG!L32</ns0:f>
        <ns0:v>11</ns0:v>
      </ns0:c>
      <ns0:c r="R9" s="248"/>
      <ns0:c r="S9" s="19">
        <ns0:f>IFERROR(Q9/Q8, 0)</ns0:f>
        <ns0:v>1.2862548468421276E-3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EINSTELLUNG!I32</ns0:f>
        <ns0:v>11</ns0:v>
      </ns0:c>
      <ns0:c r="R10" s="248"/>
    </ns0:row>
    <ns0:row r="11" spans="1:28" ht="16" customHeight="1">
      <ns0:c r="A11" s="62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11</ns0:v>
      </ns0:c>
      <ns0:c r="R11" s="248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68</ns0:v>
      </ns0:c>
      <ns0:c r="P12" s="247"/>
      <ns0:c r="Q12" s="248">
        <ns0:f>Q8-Q9-Q10-Q11</ns0:f>
        <ns0:v>8518.9599999999991</ns0:v>
      </ns0:c>
      <ns0:c r="R12" s="248"/>
    </ns0:row>
    <ns0:row r="13" spans="1:28" ht="16" customHeight="1">
      <ns0:c r="A13" s="61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70</ns0:v>
      </ns0:c>
      <ns0:c r="P13" s="247"/>
      <ns0:c r="Q13" s="248">
        <ns0:f>EINSTELLUNG!L16</ns0:f>
        <ns0:v>11</ns0:v>
      </ns0:c>
      <ns0:c r="R13" s="248"/>
    </ns0:row>
    <ns0:row r="14" spans="1:28" ht="16" customHeight="1">
      <ns0:c r="A14" s="62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72</ns0:v>
      </ns0:c>
      <ns0:c r="P14" s="247"/>
      <ns0:c r="Q14" s="248">
        <ns0:f>Q12-Q13</ns0:f>
        <ns0:v>8507.9599999999991</ns0:v>
      </ns0:c>
      <ns0:c r="R14" s="248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>
        <ns0:f>IF(OR(E15="",F15=""),"",PID_KVLohnLookup($A$1,E15,F15,LOHNTABELLE!$H$4))</ns0:f>
        <ns0:v>2300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Du hast mehr als genug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2200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8" t="s">
        <ns0:v>250</ns0:v>
      </ns0:c>
      <ns0:c r="D18" s="123">
        <ns0:v>44511</ns0:v>
      </ns0:c>
      <ns0:c r="E18" s="65" t="s">
        <ns0:v>6</ns0:v>
      </ns0:c>
      <ns0:c r="F18" s="67">
        <ns0:v>173</ns0:v>
      </ns0:c>
      <ns0:c r="G18" s="116">
        <ns0:f>IF(OR(E18="",F18=""),"",PID_KVLohnLookup($A$1,E18,F18,LOHNTABELLE!$H$4))</ns0:f>
        <ns0:v>2160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401481</ns0:v>
      </ns0:c>
      <ns0:c r="C19" s="68" t="s">
        <ns0:v>251</ns0:v>
      </ns0:c>
      <ns0:c r="D19" s="123">
        <ns0:v>44531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2" t="s">
        <ns0:v>78</ns0:v>
      </ns0:c>
      <ns0:c r="B20" s="101">
        <ns0:v>401564</ns0:v>
      </ns0:c>
      <ns0:c r="C20" s="68" t="s">
        <ns0:v>252</ns0:v>
      </ns0:c>
      <ns0:c r="D20" s="123">
        <ns0:v>44824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1" t="s">
        <ns0:v>80</ns0:v>
      </ns0:c>
      <ns0:c r="B21" s="101">
        <ns0:v>401583</ns0:v>
      </ns0:c>
      <ns0:c r="C21" s="68" t="s">
        <ns0:v>254</ns0:v>
      </ns0:c>
      <ns0:c r="D21" s="123">
        <ns0:v>44900</ns0:v>
      </ns0:c>
      <ns0:c r="E21" s="65" t="s">
        <ns0:v>10</ns0:v>
      </ns0:c>
      <ns0:c r="F21" s="67">
        <ns0:v>173</ns0:v>
      </ns0:c>
      <ns0:c r="G21" s="116">
        <ns0:f>IF(OR(E21="",F21=""),"",PID_KVLohnLookup($A$1,E21,F21,LOHNTABELLE!$H$4))</ns0:f>
        <ns0:v>2300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401589</ns0:v>
      </ns0:c>
      <ns0:c r="C22" s="68" t="s">
        <ns0:v>255</ns0:v>
      </ns0:c>
      <ns0:c r="D22" s="123">
        <ns0:v>44926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2" t="s">
        <ns0:v>82</ns0:v>
      </ns0:c>
      <ns0:c r="B23" s="101">
        <ns0:v>401602</ns0:v>
      </ns0:c>
      <ns0:c r="C23" s="68" t="s">
        <ns0:v>256</ns0:v>
      </ns0:c>
      <ns0:c r="D23" s="123">
        <ns0:v>45975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401605</ns0:v>
      </ns0:c>
      <ns0:c r="C24" s="68" t="s">
        <ns0:v>257</ns0:v>
      </ns0:c>
      <ns0:c r="D24" s="123">
        <ns0:v>44986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2200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1" t="s">
        <ns0:v>84</ns0:v>
      </ns0:c>
      <ns0:c r="B25" s="101">
        <ns0:v>401626</ns0:v>
      </ns0:c>
      <ns0:c r="C25" s="68" t="s">
        <ns0:v>258</ns0:v>
      </ns0:c>
      <ns0:c r="D25" s="123">
        <ns0:v>45063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2" t="s">
        <ns0:v>85</ns0:v>
      </ns0:c>
      <ns0:c r="B26" s="101">
        <ns0:v>401633</ns0:v>
      </ns0:c>
      <ns0:c r="C26" s="68" t="s">
        <ns0:v>259</ns0:v>
      </ns0:c>
      <ns0:c r="D26" s="123">
        <ns0:v>45089</ns0:v>
      </ns0:c>
      <ns0:c r="E26" s="65" t="s">
        <ns0:v>10</ns0:v>
      </ns0:c>
      <ns0:c r="F26" s="67">
        <ns0:v>173</ns0:v>
      </ns0:c>
      <ns0:c r="G26" s="116">
        <ns0:f>IF(OR(E26="",F26=""),"",PID_KVLohnLookup($A$1,E26,F26,LOHNTABELLE!$H$4))</ns0:f>
        <ns0:v>2300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401647</ns0:v>
      </ns0:c>
      <ns0:c r="C27" s="68" t="s">
        <ns0:v>260</ns0:v>
      </ns0:c>
      <ns0:c r="D27" s="123">
        <ns0:v>45182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  <ns0:c r="S27" s="224" t="s">
        <ns0:v>87</ns0:v>
      </ns0:c>
      <ns0:c r="T27" s="225"/>
      <ns0:c r="U27" s="225"/>
      <ns0:c r="V27" s="225"/>
    </ns0:row>
    <ns0:row r="28" spans="1:29" ht="16" customHeight="1" thickBot="1">
      <ns0:c r="A28" s="61" t="s">
        <ns0:v>88</ns0:v>
      </ns0:c>
      <ns0:c r="B28" s="101">
        <ns0:v>401661</ns0:v>
      </ns0:c>
      <ns0:c r="C28" s="68" t="s">
        <ns0:v>261</ns0:v>
      </ns0:c>
      <ns0:c r="D28" s="123">
        <ns0:v>45261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53"/>
      <ns0:c r="P28" s="254"/>
      <ns0:c r="Q28" s="255"/>
      <ns0:c r="R28" s="256"/>
    </ns0:row>
    <ns0:row r="29" spans="1:29" ht="16" customHeight="1" thickBot="1">
      <ns0:c r="A29" s="62" t="s">
        <ns0:v>89</ns0:v>
      </ns0:c>
      <ns0:c r="B29" s="101">
        <ns0:v>401670</ns0:v>
      </ns0:c>
      <ns0:c r="C29" s="68" t="s">
        <ns0:v>262</ns0:v>
      </ns0:c>
      <ns0:c r="D29" s="123">
        <ns0:v>45358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228" t="s">
        <ns0:v>90</ns0:v>
      </ns0:c>
      <ns0:c r="P29" s="229"/>
      <ns0:c r="Q29" s="230">
        <ns0:f>EINSTELLUNG!O16</ns0:f>
        <ns0:v>11</ns0:v>
      </ns0:c>
      <ns0:c r="R29" s="231"/>
    </ns0:row>
    <ns0:row r="30" spans="1:29" ht="16" customHeight="1">
      <ns0:c r="A30" s="61" t="s">
        <ns0:v>91</ns0:v>
      </ns0:c>
      <ns0:c r="B30" s="101">
        <ns0:v>401678</ns0:v>
      </ns0:c>
      <ns0:c r="C30" s="68" t="s">
        <ns0:v>263</ns0:v>
      </ns0:c>
      <ns0:c r="D30" s="123">
        <ns0:v>45414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401690</ns0:v>
      </ns0:c>
      <ns0:c r="C31" s="70" t="s">
        <ns0:v>265</ns0:v>
      </ns0:c>
      <ns0:c r="D31" s="123">
        <ns0:v>45536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1.7857142857142856E-2</ns0:v>
      </ns0:c>
      <ns0:c r="R31" s="235"/>
    </ns0:row>
    <ns0:row r="32" spans="1:29" ht="16" customHeight="1">
      <ns0:c r="A32" s="62" t="s">
        <ns0:v>94</ns0:v>
      </ns0:c>
      <ns0:c r="B32" s="101">
        <ns0:v>401703</ns0:v>
      </ns0:c>
      <ns0:c r="C32" s="68" t="s">
        <ns0:v>266</ns0:v>
      </ns0:c>
      <ns0:c r="D32" s="123">
        <ns0:v>45616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1" t="s">
        <ns0:v>95</ns0:v>
      </ns0:c>
      <ns0:c r="B33" s="101">
        <ns0:v>401715</ns0:v>
      </ns0:c>
      <ns0:c r="C33" s="68" t="s">
        <ns0:v>268</ns0:v>
      </ns0:c>
      <ns0:c r="D33" s="123">
        <ns0:v>45755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401716</ns0:v>
      </ns0:c>
      <ns0:c r="C34" s="68" t="s">
        <ns0:v>269</ns0:v>
      </ns0:c>
      <ns0:c r="D34" s="123">
        <ns0:v>45800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2" t="s">
        <ns0:v>100</ns0:v>
      </ns0:c>
      <ns0:c r="B35" s="101">
        <ns0:v>401717</ns0:v>
      </ns0:c>
      <ns0:c r="C35" s="68" t="s">
        <ns0:v>270</ns0:v>
      </ns0:c>
      <ns0:c r="D35" s="123">
        <ns0:v>45814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EINSTELLUNG!C16</ns0:f>
        <ns0:v>11</ns0:v>
      </ns0:c>
      <ns0:c r="R35" s="218"/>
      <ns0:c r="S35" s="218">
        <ns0:f>EINSTELLUNG!C32</ns0:f>
        <ns0:v>11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401722</ns0:v>
      </ns0:c>
      <ns0:c r="C36" s="68" t="s">
        <ns0:v>271</ns0:v>
      </ns0:c>
      <ns0:c r="D36" s="123">
        <ns0:v>45848</ns0:v>
      </ns0:c>
      <ns0:c r="E36" s="65" t="s">
        <ns0:v>2</ns0:v>
      </ns0:c>
      <ns0:c r="F36" s="67">
        <ns0:v>86.5</ns0:v>
      </ns0:c>
      <ns0:c r="G36" s="116">
        <ns0:f>IF(OR(E36="",F36=""),"",PID_KVLohnLookup($A$1,E36,F36,LOHNTABELLE!$H$4))</ns0:f>
        <ns0:v>1333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86.5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EINSTELLUNG!D16</ns0:f>
        <ns0:v>11</ns0:v>
      </ns0:c>
      <ns0:c r="R36" s="218"/>
      <ns0:c r="S36" s="215" cm="1">
        <ns0:f t="array" ref="S36">SumMergedCells(Q17:R29)</ns0:f>
        <ns0:v>5011</ns0:v>
      </ns0:c>
      <ns0:c r="T36" s="217"/>
      <ns0:c r="U36" s="222">
        <ns0:f t="shared" ref="U36:U41" si="2">S36-Q36</ns0:f>
        <ns0:v>5000</ns0:v>
      </ns0:c>
      <ns0:c r="V36" s="222"/>
    </ns0:row>
    <ns0:row r="37" spans="1:24" ht="16" customHeight="1">
      <ns0:c r="A37" s="61" t="s">
        <ns0:v>104</ns0:v>
      </ns0:c>
      <ns0:c r="B37" s="101">
        <ns0:v>401723</ns0:v>
      </ns0:c>
      <ns0:c r="C37" s="68" t="s">
        <ns0:v>272</ns0:v>
      </ns0:c>
      <ns0:c r="D37" s="123">
        <ns0:v>45852</ns0:v>
      </ns0:c>
      <ns0:c r="E37" s="65" t="s">
        <ns0:v>2</ns0:v>
      </ns0:c>
      <ns0:c r="F37" s="67">
        <ns0:v>86.5</ns0:v>
      </ns0:c>
      <ns0:c r="G37" s="116">
        <ns0:f>IF(OR(E37="",F37=""),"",PID_KVLohnLookup($A$1,E37,F37,LOHNTABELLE!$H$4))</ns0:f>
        <ns0:v>1333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455.54545454545456</ns0:v>
      </ns0:c>
      <ns0:c r="T37" s="226"/>
      <ns0:c r="U37" s="227">
        <ns0:f t="shared" si="2"/>
        <ns0:v>454.54545454545456</ns0:v>
      </ns0:c>
      <ns0:c r="V37" s="227"/>
    </ns0:row>
    <ns0:row r="38" spans="1:24" ht="16" customHeight="1">
      <ns0:c r="A38" s="62" t="s">
        <ns0:v>106</ns0:v>
      </ns0:c>
      <ns0:c r="B38" s="101">
        <ns0:v>401726</ns0:v>
      </ns0:c>
      <ns0:c r="C38" s="68" t="s">
        <ns0:v>273</ns0:v>
      </ns0:c>
      <ns0:c r="D38" s="123">
        <ns0:v>45870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EINSTELLUNG!F16</ns0:f>
        <ns0:v>11</ns0:v>
      </ns0:c>
      <ns0:c r="R38" s="219"/>
      <ns0:c r="S38" s="219">
        <ns0:f>EINSTELLUNG!F32</ns0:f>
        <ns0:v>11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401730</ns0:v>
      </ns0:c>
      <ns0:c r="C39" s="68" t="s">
        <ns0:v>275</ns0:v>
      </ns0:c>
      <ns0:c r="D39" s="123">
        <ns0:v>45895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401731</ns0:v>
      </ns0:c>
      <ns0:c r="C40" s="68" t="s">
        <ns0:v>274</ns0:v>
      </ns0:c>
      <ns0:c r="D40" s="123">
        <ns0:v>45899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IF(Q12=0, 0, Q35/Q12)</ns0:f>
        <ns0:v>1.2912374280428598E-3</ns0:v>
      </ns0:c>
      <ns0:c r="R40" s="218"/>
      <ns0:c r="S40" s="218">
        <ns0:f>IF(Q12=0, 0, S35/Q12)</ns0:f>
        <ns0:v>1.2912374280428598E-3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401734</ns0:v>
      </ns0:c>
      <ns0:c r="C41" s="68" t="s">
        <ns0:v>276</ns0:v>
      </ns0:c>
      <ns0:c r="D41" s="123">
        <ns0:v>45904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IF(Q12=0, 0, Q38/Q12)</ns0:f>
        <ns0:v>1.2912374280428598E-3</ns0:v>
      </ns0:c>
      <ns0:c r="R41" s="219"/>
      <ns0:c r="S41" s="219">
        <ns0:f>IF(Q12=0, 0, S38/Q12)</ns0:f>
        <ns0:v>1.2912374280428598E-3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401736</ns0:v>
      </ns0:c>
      <ns0:c r="C42" s="68" t="s">
        <ns0:v>277</ns0:v>
      </ns0:c>
      <ns0:c r="D42" s="123">
        <ns0:v>45906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401737</ns0:v>
      </ns0:c>
      <ns0:c r="C43" s="70" t="s">
        <ns0:v>278</ns0:v>
      </ns0:c>
      <ns0:c r="D43" s="123">
        <ns0:v>45906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2" t="s">
        <ns0:v>117</ns0:v>
      </ns0:c>
      <ns0:c r="B44" s="101">
        <ns0:v>401738</ns0:v>
      </ns0:c>
      <ns0:c r="C44" s="68" t="s">
        <ns0:v>279</ns0:v>
      </ns0:c>
      <ns0:c r="D44" s="123">
        <ns0:v>45909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1" t="s">
        <ns0:v>119</ns0:v>
      </ns0:c>
      <ns0:c r="B45" s="101">
        <ns0:v>401745</ns0:v>
      </ns0:c>
      <ns0:c r="C45" s="68" t="s">
        <ns0:v>283</ns0:v>
      </ns0:c>
      <ns0:c r="D45" s="123">
        <ns0:v>45934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401748</ns0:v>
      </ns0:c>
      <ns0:c r="C46" s="68" t="s">
        <ns0:v>281</ns0:v>
      </ns0:c>
      <ns0:c r="D46" s="123">
        <ns0:v>45941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2" t="s">
        <ns0:v>121</ns0:v>
      </ns0:c>
      <ns0:c r="B47" s="101">
        <ns0:v>401751</ns0:v>
      </ns0:c>
      <ns0:c r="C47" s="68" t="s">
        <ns0:v>284</ns0:v>
      </ns0:c>
      <ns0:c r="D47" s="123">
        <ns0:v>45961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401752</ns0:v>
      </ns0:c>
      <ns0:c r="C48" s="68" t="s">
        <ns0:v>285</ns0:v>
      </ns0:c>
      <ns0:c r="D48" s="123">
        <ns0:v>45986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1" t="s">
        <ns0:v>123</ns0:v>
      </ns0:c>
      <ns0:c r="B49" s="101">
        <ns0:v>401999</ns0:v>
      </ns0:c>
      <ns0:c r="C49" s="68" t="s">
        <ns0:v>319</ns0:v>
      </ns0:c>
      <ns0:c r="D49" s="123">
        <ns0:v>46082</ns0:v>
      </ns0:c>
      <ns0:c r="E49" s="65" t="s">
        <ns0:v>2</ns0:v>
      </ns0:c>
      <ns0:c r="F49" s="67">
        <ns0:v>173</ns0:v>
      </ns0:c>
      <ns0:c r="G49" s="116">
        <ns0:f>IF(OR(E49="",F49=""),"",PID_KVLohnLookup($A$1,E49,F49,LOHNTABELLE!$H$4))</ns0:f>
        <ns0:v>2200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173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2" t="s">
        <ns0:v>124</ns0:v>
      </ns0:c>
      <ns0:c r="B50" s="101">
        <ns0:v>402000</ns0:v>
      </ns0:c>
      <ns0:c r="C50" s="68" t="s">
        <ns0:v>326</ns0:v>
      </ns0:c>
      <ns0:c r="D50" s="123">
        <ns0:v>46143</ns0:v>
      </ns0:c>
      <ns0:c r="E50" s="65" t="s">
        <ns0:v>2</ns0:v>
      </ns0:c>
      <ns0:c r="F50" s="67">
        <ns0:v>173</ns0:v>
      </ns0:c>
      <ns0:c r="G50" s="116">
        <ns0:f>IF(OR(E50="",F50=""),"",PID_KVLohnLookup($A$1,E50,F50,LOHNTABELLE!$H$4))</ns0:f>
        <ns0:v>2200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402004</ns0:v>
      </ns0:c>
      <ns0:c r="C51" s="68" t="s">
        <ns0:v>328</ns0:v>
      </ns0:c>
      <ns0:c r="D51" s="123">
        <ns0:v>46122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402405</ns0:v>
      </ns0:c>
      <ns0:c r="C52" s="68" t="s">
        <ns0:v>330</ns0:v>
      </ns0:c>
      <ns0:c r="D52" s="123">
        <ns0:v>46054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500600</ns0:v>
      </ns0:c>
      <ns0:c r="C53" s="68" t="s">
        <ns0:v>335</ns0:v>
      </ns0:c>
      <ns0:c r="D53" s="123">
        <ns0:v>46054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502000</ns0:v>
      </ns0:c>
      <ns0:c r="C54" s="68" t="s">
        <ns0:v>329</ns0:v>
      </ns0:c>
      <ns0:c r="D54" s="123">
        <ns0:v>46147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503000</ns0:v>
      </ns0:c>
      <ns0:c r="C55" s="68" t="s">
        <ns0:v>332</ns0:v>
      </ns0:c>
      <ns0:c r="D55" s="123">
        <ns0:v>42401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2" t="s">
        <ns0:v>130</ns0:v>
      </ns0:c>
      <ns0:c r="B56" s="101">
        <ns0:v>504000</ns0:v>
      </ns0:c>
      <ns0:c r="C56" s="68" t="s">
        <ns0:v>333</ns0:v>
      </ns0:c>
      <ns0:c r="D56" s="123">
        <ns0:v>46054</ns0:v>
      </ns0:c>
      <ns0:c r="E56" s="65" t="s">
        <ns0:v>3</ns0:v>
      </ns0:c>
      <ns0:c r="F56" s="67">
        <ns0:v>138.4</ns0:v>
      </ns0:c>
      <ns0:c r="G56" s="116">
        <ns0:f>IF(OR(E56="",F56=""),"",PID_KVLohnLookup($A$1,E56,F56,LOHNTABELLE!$H$4))</ns0:f>
        <ns0:v>1665.6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138.4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1" t="s">
        <ns0:v>131</ns0:v>
      </ns0:c>
      <ns0:c r="B57" s="101">
        <ns0:v>505000</ns0:v>
      </ns0:c>
      <ns0:c r="C57" s="68" t="s">
        <ns0:v>334</ns0:v>
      </ns0:c>
      <ns0:c r="D57" s="123">
        <ns0:v>46054</ns0:v>
      </ns0:c>
      <ns0:c r="E57" s="65" t="s">
        <ns0:v>2</ns0:v>
      </ns0:c>
      <ns0:c r="F57" s="67">
        <ns0:v>138.4</ns0:v>
      </ns0:c>
      <ns0:c r="G57" s="116">
        <ns0:f>IF(OR(E57="",F57=""),"",PID_KVLohnLookup($A$1,E57,F57,LOHNTABELLE!$H$4))</ns0:f>
        <ns0:v>1616.8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700000</ns0:v>
      </ns0:c>
      <ns0:c r="C58" s="68" t="s">
        <ns0:v>347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57.66</ns0:v>
      </ns0:c>
      <ns0:c r="I58" s="126">
        <ns0:v>46336</ns0:v>
      </ns0:c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 t="s">
        <ns0:v>205</ns0:v>
      </ns0:c>
    </ns0:row>
    <ns0:row r="59" spans="1:14" ht="16" customHeight="1">
      <ns0:c r="A59" s="62" t="s">
        <ns0:v>133</ns0:v>
      </ns0:c>
      <ns0:c r="B59" s="101">
        <ns0:v>800000</ns0:v>
      </ns0:c>
      <ns0:c r="C59" s="68" t="s">
        <ns0:v>348</ns0:v>
      </ns0:c>
      <ns0:c r="D59" s="123">
        <ns0:v>46082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123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1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2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2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1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2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1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2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2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1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zxzG8hC5g+5PwjuRT3Fa/A9tiZvmBEEoEzHhydGt4ywqZezmcIU/l2feiIHYVIVaLr6DORnMTNMjod7m1/QwZQ==" saltValue="6YoSQIVjK8UjyRZJudFsFg==" spinCount="100000" sheet="1" objects="1" scenarios="1" sort="0" autoFilter="0"/>
  <ns0:sortState ref="B3:N82">
    <ns0:sortCondition ref="B3:B82"/>
    <ns0:sortCondition ref="C3:C82"/>
  </ns0:sortState>
  <ns0:mergeCells count="96"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8:R28"/>
    <ns0:mergeCell ref="O29:P29"/>
    <ns0:mergeCell ref="Q29:R29"/>
    <ns0:mergeCell ref="O38:P38"/>
    <ns0:mergeCell ref="Q38:R38"/>
    <ns0:mergeCell ref="S38:T38"/>
    <ns0:mergeCell ref="U38:V38"/>
    <ns0:mergeCell ref="S39:T39"/>
    <ns0:mergeCell ref="U39:V39"/>
    <ns0:mergeCell ref="Q39:R39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40:T40"/>
    <ns0:mergeCell ref="U40:V40"/>
    <ns0:mergeCell ref="S41:T41"/>
    <ns0:mergeCell ref="U41:V41"/>
    <ns0:mergeCell ref="Q42:V42"/>
    <ns0:mergeCell ref="Q40:R40"/>
    <ns0:mergeCell ref="Q41:R41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65426E3A-F9CB-174E-8DD2-CC083D4DC48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B3A02B94-EE9A-6742-9D87-8A3EBE1A3DC4}">
      <ns0:formula1>KV_DD_NOVEMBER_3</ns0:formula1>
    </ns0:dataValidation>
    <ns0:dataValidation type="list" allowBlank="1" showInputMessage="1" showErrorMessage="1" sqref="F4" ns2:uid="{2FEB1498-3E82-B64C-9D30-70FB09829FC3}">
      <ns0:formula1>KV_DD_NOVEMBER_4</ns0:formula1>
    </ns0:dataValidation>
    <ns0:dataValidation type="list" allowBlank="1" showInputMessage="1" showErrorMessage="1" sqref="F5" ns2:uid="{F29AB36E-FA0A-F74D-B999-601390773C4F}">
      <ns0:formula1>KV_DD_NOVEMBER_5</ns0:formula1>
    </ns0:dataValidation>
    <ns0:dataValidation type="list" allowBlank="1" showInputMessage="1" showErrorMessage="1" sqref="F6" ns2:uid="{13DD75BE-9527-E546-8D5E-351FADD5EA11}">
      <ns0:formula1>KV_DD_NOVEMBER_6</ns0:formula1>
    </ns0:dataValidation>
    <ns0:dataValidation type="list" allowBlank="1" showInputMessage="1" showErrorMessage="1" sqref="F7" ns2:uid="{ED5B24D2-7206-B448-B6D6-0F8D1BD4D324}">
      <ns0:formula1>KV_DD_NOVEMBER_7</ns0:formula1>
    </ns0:dataValidation>
    <ns0:dataValidation type="list" allowBlank="1" showInputMessage="1" showErrorMessage="1" sqref="F8" ns2:uid="{29AB8A87-78A0-6F47-AFEE-8C45A7341927}">
      <ns0:formula1>KV_DD_NOVEMBER_8</ns0:formula1>
    </ns0:dataValidation>
    <ns0:dataValidation type="list" allowBlank="1" showInputMessage="1" showErrorMessage="1" sqref="F9" ns2:uid="{3442F817-D228-EB4C-9BC2-237CDE525CEB}">
      <ns0:formula1>KV_DD_NOVEMBER_9</ns0:formula1>
    </ns0:dataValidation>
    <ns0:dataValidation type="list" allowBlank="1" showInputMessage="1" showErrorMessage="1" sqref="F10" ns2:uid="{BC047287-B73E-AC43-9D87-E5E3DEBCBD04}">
      <ns0:formula1>KV_DD_NOVEMBER_10</ns0:formula1>
    </ns0:dataValidation>
    <ns0:dataValidation type="list" allowBlank="1" showInputMessage="1" showErrorMessage="1" sqref="F11" ns2:uid="{47DDF252-ABD0-6348-8F31-101BCFDA62F8}">
      <ns0:formula1>KV_DD_NOVEMBER_11</ns0:formula1>
    </ns0:dataValidation>
    <ns0:dataValidation type="list" allowBlank="1" showInputMessage="1" showErrorMessage="1" sqref="F12" ns2:uid="{B7ECB9B0-5F75-6444-817F-A16BFB21C7A3}">
      <ns0:formula1>KV_DD_NOVEMBER_12</ns0:formula1>
    </ns0:dataValidation>
    <ns0:dataValidation type="list" allowBlank="1" showInputMessage="1" showErrorMessage="1" sqref="F13" ns2:uid="{9A72B588-ABA1-1742-A60F-2F673F8CA11A}">
      <ns0:formula1>KV_DD_NOVEMBER_13</ns0:formula1>
    </ns0:dataValidation>
    <ns0:dataValidation type="list" allowBlank="1" showInputMessage="1" showErrorMessage="1" sqref="F14" ns2:uid="{F4D615F2-04E1-CB43-A113-ACD00A6B5021}">
      <ns0:formula1>KV_DD_NOVEMBER_14</ns0:formula1>
    </ns0:dataValidation>
    <ns0:dataValidation type="list" allowBlank="1" showInputMessage="1" showErrorMessage="1" sqref="F15" ns2:uid="{26D198E8-A2E8-594B-863A-9FD929C60642}">
      <ns0:formula1>KV_DD_NOVEMBER_15</ns0:formula1>
    </ns0:dataValidation>
    <ns0:dataValidation type="list" allowBlank="1" showInputMessage="1" showErrorMessage="1" sqref="F16" ns2:uid="{7E849F29-C283-0C46-9600-2F214BA6BAB0}">
      <ns0:formula1>KV_DD_NOVEMBER_16</ns0:formula1>
    </ns0:dataValidation>
    <ns0:dataValidation type="list" allowBlank="1" showInputMessage="1" showErrorMessage="1" sqref="F17" ns2:uid="{D6BABCDE-6F63-B34B-A004-506CBF81B6BC}">
      <ns0:formula1>KV_DD_NOVEMBER_17</ns0:formula1>
    </ns0:dataValidation>
    <ns0:dataValidation type="list" allowBlank="1" showInputMessage="1" showErrorMessage="1" sqref="F18" ns2:uid="{1FF197A2-08A7-B249-B384-BB69A544D8F2}">
      <ns0:formula1>KV_DD_NOVEMBER_18</ns0:formula1>
    </ns0:dataValidation>
    <ns0:dataValidation type="list" allowBlank="1" showInputMessage="1" showErrorMessage="1" sqref="F19" ns2:uid="{AA538059-E8AC-4149-9D80-330E54A0FF15}">
      <ns0:formula1>KV_DD_NOVEMBER_19</ns0:formula1>
    </ns0:dataValidation>
    <ns0:dataValidation type="list" allowBlank="1" showInputMessage="1" showErrorMessage="1" sqref="F20" ns2:uid="{3FB03FAD-A9AF-9044-BE65-A37862D9E741}">
      <ns0:formula1>KV_DD_NOVEMBER_20</ns0:formula1>
    </ns0:dataValidation>
    <ns0:dataValidation type="list" allowBlank="1" showInputMessage="1" showErrorMessage="1" sqref="F21" ns2:uid="{E7F3F99B-EAF4-194A-AD89-29D5DCB1F561}">
      <ns0:formula1>KV_DD_NOVEMBER_21</ns0:formula1>
    </ns0:dataValidation>
    <ns0:dataValidation type="list" allowBlank="1" showInputMessage="1" showErrorMessage="1" sqref="F22" ns2:uid="{925CBE9F-297F-F546-B4CB-FA2286B70ADE}">
      <ns0:formula1>KV_DD_NOVEMBER_22</ns0:formula1>
    </ns0:dataValidation>
    <ns0:dataValidation type="list" allowBlank="1" showInputMessage="1" showErrorMessage="1" sqref="F23" ns2:uid="{AC4D6154-44FD-F44E-87BC-C2333244B0AD}">
      <ns0:formula1>KV_DD_NOVEMBER_23</ns0:formula1>
    </ns0:dataValidation>
    <ns0:dataValidation type="list" allowBlank="1" showInputMessage="1" showErrorMessage="1" sqref="F24" ns2:uid="{9EB981F0-ECE0-2F49-9193-18C75F354023}">
      <ns0:formula1>KV_DD_NOVEMBER_24</ns0:formula1>
    </ns0:dataValidation>
    <ns0:dataValidation type="list" allowBlank="1" showInputMessage="1" showErrorMessage="1" sqref="F25" ns2:uid="{771CEC7E-1FB5-A848-BC80-E3EF37DAC205}">
      <ns0:formula1>KV_DD_NOVEMBER_25</ns0:formula1>
    </ns0:dataValidation>
    <ns0:dataValidation type="list" allowBlank="1" showInputMessage="1" showErrorMessage="1" sqref="F26" ns2:uid="{2AC437B2-B840-D947-B16A-E3FB2FF24BFB}">
      <ns0:formula1>KV_DD_NOVEMBER_26</ns0:formula1>
    </ns0:dataValidation>
    <ns0:dataValidation type="list" allowBlank="1" showInputMessage="1" showErrorMessage="1" sqref="F27" ns2:uid="{B8EA2835-4F3D-A44A-BDCB-209695F148E8}">
      <ns0:formula1>KV_DD_NOVEMBER_27</ns0:formula1>
    </ns0:dataValidation>
    <ns0:dataValidation type="list" allowBlank="1" showInputMessage="1" showErrorMessage="1" sqref="F28" ns2:uid="{2C389FC1-D9F1-8646-B487-57D70780C09E}">
      <ns0:formula1>KV_DD_NOVEMBER_28</ns0:formula1>
    </ns0:dataValidation>
    <ns0:dataValidation type="list" allowBlank="1" showInputMessage="1" showErrorMessage="1" sqref="F29" ns2:uid="{57143E34-690F-D043-A364-10211F1BA6CC}">
      <ns0:formula1>KV_DD_NOVEMBER_29</ns0:formula1>
    </ns0:dataValidation>
    <ns0:dataValidation type="list" allowBlank="1" showInputMessage="1" showErrorMessage="1" sqref="F30" ns2:uid="{96872F06-E893-D44D-966E-5203A89C5D43}">
      <ns0:formula1>KV_DD_NOVEMBER_30</ns0:formula1>
    </ns0:dataValidation>
    <ns0:dataValidation type="list" allowBlank="1" showInputMessage="1" showErrorMessage="1" sqref="F31" ns2:uid="{1D4192E4-7107-AA4E-BEFB-10A2481AF2A3}">
      <ns0:formula1>KV_DD_NOVEMBER_31</ns0:formula1>
    </ns0:dataValidation>
    <ns0:dataValidation type="list" allowBlank="1" showInputMessage="1" showErrorMessage="1" sqref="F32" ns2:uid="{C24FCEA0-555A-3842-9F5A-CC103C1B3B2C}">
      <ns0:formula1>KV_DD_NOVEMBER_32</ns0:formula1>
    </ns0:dataValidation>
    <ns0:dataValidation type="list" allowBlank="1" showInputMessage="1" showErrorMessage="1" sqref="F33" ns2:uid="{63BC9A68-F3BF-1D4C-9430-D62071665EB2}">
      <ns0:formula1>KV_DD_NOVEMBER_33</ns0:formula1>
    </ns0:dataValidation>
    <ns0:dataValidation type="list" allowBlank="1" showInputMessage="1" showErrorMessage="1" sqref="F34" ns2:uid="{C37CBB4E-8CC4-724B-820E-25AFA321DDE2}">
      <ns0:formula1>KV_DD_NOVEMBER_34</ns0:formula1>
    </ns0:dataValidation>
    <ns0:dataValidation type="list" allowBlank="1" showInputMessage="1" showErrorMessage="1" sqref="F35" ns2:uid="{AB61F392-B025-E94B-81EE-328D88F51187}">
      <ns0:formula1>KV_DD_NOVEMBER_35</ns0:formula1>
    </ns0:dataValidation>
    <ns0:dataValidation type="list" allowBlank="1" showInputMessage="1" showErrorMessage="1" sqref="F36" ns2:uid="{EAA02EC8-67E6-9548-9DBD-D4EBD9ED8318}">
      <ns0:formula1>KV_DD_NOVEMBER_36</ns0:formula1>
    </ns0:dataValidation>
    <ns0:dataValidation type="list" allowBlank="1" showInputMessage="1" showErrorMessage="1" sqref="F37" ns2:uid="{88DF80D9-6A56-D14D-A3EE-8F2759194160}">
      <ns0:formula1>KV_DD_NOVEMBER_37</ns0:formula1>
    </ns0:dataValidation>
    <ns0:dataValidation type="list" allowBlank="1" showInputMessage="1" showErrorMessage="1" sqref="F38" ns2:uid="{50A98756-AB55-4A41-BDA0-EB9BFA4FC648}">
      <ns0:formula1>KV_DD_NOVEMBER_38</ns0:formula1>
    </ns0:dataValidation>
    <ns0:dataValidation type="list" allowBlank="1" showInputMessage="1" showErrorMessage="1" sqref="F39" ns2:uid="{9814E891-C32E-6445-AE08-0A1332EB9060}">
      <ns0:formula1>KV_DD_NOVEMBER_39</ns0:formula1>
    </ns0:dataValidation>
    <ns0:dataValidation type="list" allowBlank="1" showInputMessage="1" showErrorMessage="1" sqref="F40" ns2:uid="{70116209-4FDB-F442-A3D8-F03967F5C52F}">
      <ns0:formula1>KV_DD_NOVEMBER_40</ns0:formula1>
    </ns0:dataValidation>
    <ns0:dataValidation type="list" allowBlank="1" showInputMessage="1" showErrorMessage="1" sqref="F41" ns2:uid="{A61BAA6A-D379-B34A-A93E-066B544E9A4B}">
      <ns0:formula1>KV_DD_NOVEMBER_41</ns0:formula1>
    </ns0:dataValidation>
    <ns0:dataValidation type="list" allowBlank="1" showInputMessage="1" showErrorMessage="1" sqref="F42" ns2:uid="{1AB04BD8-1850-D64C-9263-3E1ED7F00D82}">
      <ns0:formula1>KV_DD_NOVEMBER_42</ns0:formula1>
    </ns0:dataValidation>
    <ns0:dataValidation type="list" allowBlank="1" showInputMessage="1" showErrorMessage="1" sqref="F43" ns2:uid="{605BA28E-F6DA-074A-B96D-BC0EAA8E5E35}">
      <ns0:formula1>KV_DD_NOVEMBER_43</ns0:formula1>
    </ns0:dataValidation>
    <ns0:dataValidation type="list" allowBlank="1" showInputMessage="1" showErrorMessage="1" sqref="F44" ns2:uid="{1D246E68-9E9E-5E44-A997-0C519EA4DA74}">
      <ns0:formula1>KV_DD_NOVEMBER_44</ns0:formula1>
    </ns0:dataValidation>
    <ns0:dataValidation type="list" allowBlank="1" showInputMessage="1" showErrorMessage="1" sqref="F45" ns2:uid="{7BE771D7-4337-7F46-A153-7B4918E1976E}">
      <ns0:formula1>KV_DD_NOVEMBER_45</ns0:formula1>
    </ns0:dataValidation>
    <ns0:dataValidation type="list" allowBlank="1" showInputMessage="1" showErrorMessage="1" sqref="F46" ns2:uid="{ADA2A4AC-3205-BC46-85D0-523E5620D826}">
      <ns0:formula1>KV_DD_NOVEMBER_46</ns0:formula1>
    </ns0:dataValidation>
    <ns0:dataValidation type="list" allowBlank="1" showInputMessage="1" showErrorMessage="1" sqref="F47" ns2:uid="{CADA0ED0-95C6-BD4E-866E-899DEEA8D7E5}">
      <ns0:formula1>KV_DD_NOVEMBER_47</ns0:formula1>
    </ns0:dataValidation>
    <ns0:dataValidation type="list" allowBlank="1" showInputMessage="1" showErrorMessage="1" sqref="F48" ns2:uid="{66B3E468-379D-5C4A-9F6D-72190AE9A5FE}">
      <ns0:formula1>KV_DD_NOVEMBER_48</ns0:formula1>
    </ns0:dataValidation>
    <ns0:dataValidation type="list" allowBlank="1" showInputMessage="1" showErrorMessage="1" sqref="F49" ns2:uid="{EA6E1F2F-A410-134C-83B2-5393E8B12F7C}">
      <ns0:formula1>KV_DD_NOVEMBER_49</ns0:formula1>
    </ns0:dataValidation>
    <ns0:dataValidation type="list" allowBlank="1" showInputMessage="1" showErrorMessage="1" sqref="F50" ns2:uid="{B1D5DF7E-AF15-564A-A9EE-06506C69B0BC}">
      <ns0:formula1>KV_DD_NOVEMBER_50</ns0:formula1>
    </ns0:dataValidation>
    <ns0:dataValidation type="list" allowBlank="1" showInputMessage="1" showErrorMessage="1" sqref="F51" ns2:uid="{458F0B94-A61F-0D41-8F5C-DDE1EDDB4897}">
      <ns0:formula1>KV_DD_NOVEMBER_51</ns0:formula1>
    </ns0:dataValidation>
    <ns0:dataValidation type="list" allowBlank="1" showInputMessage="1" showErrorMessage="1" sqref="F52" ns2:uid="{0DDB1E56-DE0D-D943-97C7-4959675E19B6}">
      <ns0:formula1>KV_DD_NOVEMBER_52</ns0:formula1>
    </ns0:dataValidation>
    <ns0:dataValidation type="list" allowBlank="1" showInputMessage="1" showErrorMessage="1" sqref="F53" ns2:uid="{434A996C-AA1F-524A-8EE1-8BB940888077}">
      <ns0:formula1>KV_DD_NOVEMBER_53</ns0:formula1>
    </ns0:dataValidation>
    <ns0:dataValidation type="list" allowBlank="1" showInputMessage="1" showErrorMessage="1" sqref="F54" ns2:uid="{91522F2C-5459-40DE-A369-A54C90755CD2}">
      <ns0:formula1>KV_DD_NOVEMBER_54</ns0:formula1>
    </ns0:dataValidation>
    <ns0:dataValidation type="list" allowBlank="1" showInputMessage="1" showErrorMessage="1" sqref="F55" ns2:uid="{2486B895-583C-46CB-8753-6CA3813BB56D}">
      <ns0:formula1>KV_DD_NOVEMBER_55</ns0:formula1>
    </ns0:dataValidation>
    <ns0:dataValidation type="list" allowBlank="1" showInputMessage="1" showErrorMessage="1" sqref="F56" ns2:uid="{C50F7C78-7DB9-4C74-8504-B27CD05B1415}">
      <ns0:formula1>KV_DD_NOVEMBER_56</ns0:formula1>
    </ns0:dataValidation>
    <ns0:dataValidation type="list" allowBlank="1" showInputMessage="1" showErrorMessage="1" sqref="F57" ns2:uid="{3C8F1E7F-E406-0A4F-9B22-95EFD2B23E2E}">
      <ns0:formula1>KV_DD_NOVEMBER_57</ns0:formula1>
    </ns0:dataValidation>
    <ns0:dataValidation type="list" allowBlank="1" showInputMessage="1" showErrorMessage="1" sqref="F58" ns2:uid="{DF8F7E15-A07C-CE4A-B074-11B6BC2D00E2}">
      <ns0:formula1>KV_DD_NOVEMBER_58</ns0:formula1>
    </ns0:dataValidation>
    <ns0:dataValidation type="list" allowBlank="1" showInputMessage="1" showErrorMessage="1" sqref="F59" ns2:uid="{ED1AD6B8-8951-7B45-AE85-8FF3674FBCE8}">
      <ns0:formula1>KV_DD_NOVEMBER_59</ns0:formula1>
    </ns0:dataValidation>
    <ns0:dataValidation type="list" allowBlank="1" showInputMessage="1" showErrorMessage="1" sqref="F60" ns2:uid="{47952892-4AFA-0B47-9D42-CC8EE620E929}">
      <ns0:formula1>KV_DD_NOVEMBER_60</ns0:formula1>
    </ns0:dataValidation>
    <ns0:dataValidation type="list" allowBlank="1" showInputMessage="1" showErrorMessage="1" sqref="F61" ns2:uid="{2C730243-BD43-944D-91D2-B1EB14E24247}">
      <ns0:formula1>KV_DD_NOVEMBER_61</ns0:formula1>
    </ns0:dataValidation>
    <ns0:dataValidation type="list" allowBlank="1" showInputMessage="1" showErrorMessage="1" sqref="F62" ns2:uid="{64E0E7BA-47A0-48AA-99DB-BFECAE248678}">
      <ns0:formula1>KV_DD_NOVEMBER_62</ns0:formula1>
    </ns0:dataValidation>
    <ns0:dataValidation type="date" allowBlank="1" showDropDown="1" showErrorMessage="1" sqref="I3:I82" ns2:uid="{4B8BE77C-61E4-6C47-9383-C8BF71FB694D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765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609600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A3810996-035A-104E-9295-3E72E8A67299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6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microsoft.com/office/spreadsheetml/2009/9/main" xmlns:ns5="http://schemas.microsoft.com/office/excel/2006/main" ns1:Ignorable="x14ac xr xr2 xr3" ns2:uid="{BA7E8AFE-F9CB-4D9D-AB8D-0FFBFF132FB3}">
  <ns0:sheetPr codeName="Tabelle14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12</ns0:v>
      </ns0:c>
      <ns0:c r="B1" s="282" t="s">
        <ns0:v>191</ns0:v>
      </ns0:c>
      <ns0:c r="C1" s="294" t="s">
        <ns0:v>40</ns0:v>
      </ns0:c>
      <ns0:c r="D1" s="266" t="s">
        <ns0:v>192</ns0:v>
      </ns0:c>
      <ns0:c r="E1" s="266" t="s">
        <ns0:v>0</ns0:v>
      </ns0:c>
      <ns0:c r="F1" s="266" t="s">
        <ns0:v>41</ns0:v>
      </ns0:c>
      <ns0:c r="G1" s="268" t="s">
        <ns0:v>42</ns0:v>
      </ns0:c>
      <ns0:c r="H1" s="285" t="s">
        <ns0:v>43</ns0:v>
      </ns0:c>
      <ns0:c r="I1" s="270" t="s">
        <ns0:v>193</ns0:v>
      </ns0:c>
      <ns0:c r="J1" s="272" t="s">
        <ns0:v>44</ns0:v>
      </ns0:c>
      <ns0:c r="K1" s="274" t="s">
        <ns0:v>45</ns0:v>
      </ns0:c>
      <ns0:c r="L1" s="276" t="s">
        <ns0:v>46</ns0:v>
      </ns0:c>
      <ns0:c r="M1" s="278" t="s">
        <ns0:v>47</ns0:v>
      </ns0:c>
      <ns0:c r="N1" s="283" t="s">
        <ns0:v>194</ns0:v>
      </ns0:c>
      <ns0:c r="AB1" s="8">
        <ns0:f>DATE(EINSTELLUNG!$C$35,$A$1,1)</ns0:f>
        <ns0:v>46357</ns0:v>
      </ns0:c>
    </ns0:row>
    <ns0:row r="2" spans="1:28" ht="16" customHeight="1" thickBot="1">
      <ns0:c r="A2" s="60"/>
      <ns0:c r="B2" s="282"/>
      <ns0:c r="C2" s="295"/>
      <ns0:c r="D2" s="267"/>
      <ns0:c r="E2" s="267"/>
      <ns0:c r="F2" s="267"/>
      <ns0:c r="G2" s="269"/>
      <ns0:c r="H2" s="286"/>
      <ns0:c r="I2" s="271"/>
      <ns0:c r="J2" s="273"/>
      <ns0:c r="K2" s="275"/>
      <ns0:c r="L2" s="277"/>
      <ns0:c r="M2" s="279"/>
      <ns0:c r="N2" s="283"/>
      <ns0:c r="AB2" s="8">
        <ns0:f>EOMONTH(DATE(EINSTELLUNG!$C$35,$A$1,1),0)</ns0:f>
        <ns0:v>46387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  <ns0:v>0</ns0:v>
      </ns0:c>
      <ns0:c r="M3" s="94"/>
      <ns0:c r="N3" s="77"/>
      <ns0:c r="O3" s="280" t="s">
        <ns0:v>49</ns0:v>
      </ns0:c>
      <ns0:c r="P3" s="280" t="s">
        <ns0:v>50</ns0:v>
      </ns0:c>
      <ns0:c r="Q3" s="287" t="s">
        <ns0:v>51</ns0:v>
      </ns0:c>
      <ns0:c r="R3" s="289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  <ns0:v>0</ns0:v>
      </ns0:c>
      <ns0:c r="M4" s="95"/>
      <ns0:c r="N4" s="78"/>
      <ns0:c r="O4" s="281"/>
      <ns0:c r="P4" s="281"/>
      <ns0:c r="Q4" s="288"/>
      <ns0:c r="R4" s="290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  <ns0:v>0</ns0:v>
      </ns0:c>
      <ns0:c r="M5" s="95"/>
      <ns0:c r="N5" s="78"/>
      <ns0:c r="O5" s="76" cm="1">
        <ns0:f t="array" ref="O5">SUMPRODUCT((F3:F82/4.310808)/5*2.08)</ns0:f>
        <ns0:v>819.71379843407556</ns0:v>
      </ns0:c>
      <ns0:c r="P5" s="15">
        <ns0:f>EINSTELLUNG!I17</ns0:f>
        <ns0:v>12</ns0:v>
      </ns0:c>
      <ns0:c r="Q5" s="14">
        <ns0:f>P5-O5</ns0:f>
        <ns0:v>-807.71379843407556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68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  <ns0:v>0</ns0:v>
      </ns0:c>
      <ns0:c r="M6" s="95"/>
      <ns0:c r="N6" s="78"/>
      <ns0:c r="O6" s="291" t="str">
        <ns0:f>IF(Q5&lt;0, "Schlecht! Zu wenig Urlaub abgebaut.", IF(Q5&gt;0, "Gut! Mehr Urlaub abgebaut als aufgebaut.", ""))</ns0:f>
        <ns0:v>Schlecht! Zu wenig Urlaub abgebaut.</ns0:v>
      </ns0:c>
      <ns0:c r="P6" s="292"/>
      <ns0:c r="Q6" s="292"/>
      <ns0:c r="R6" s="293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  <ns0:v>0</ns0:v>
      </ns0:c>
      <ns0:c r="M7" s="95"/>
      <ns0:c r="N7" s="78"/>
    </ns0:row>
    <ns0:row r="8" spans="1:28" ht="16" customHeight="1">
      <ns0:c r="A8" s="61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>
        <ns0:f>IF(OR(E8="",F8=""),"",PID_KVLohnLookup($A$1,E8,F8,LOHNTABELLE!$H$4))</ns0:f>
        <ns0:v>2082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  <ns0:v>0</ns0:v>
      </ns0:c>
      <ns0:c r="M8" s="95"/>
      <ns0:c r="N8" s="78"/>
      <ns0:c r="O8" s="246" t="s">
        <ns0:v>58</ns0:v>
      </ns0:c>
      <ns0:c r="P8" s="247"/>
      <ns0:c r="Q8" s="248">
        <ns0:f>SUM(H3:H82)</ns0:f>
        <ns0:v>8494.2999999999993</ns0:v>
      </ns0:c>
      <ns0:c r="R8" s="248"/>
    </ns0:row>
    <ns0:row r="9" spans="1:28" ht="16" customHeight="1">
      <ns0:c r="A9" s="62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>
        <ns0:f>IF(OR(E9="",F9=""),"",PID_KVLohnLookup($A$1,E9,F9,LOHNTABELLE!$H$4))</ns0:f>
        <ns0:v>2123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  <ns0:v>0</ns0:v>
      </ns0:c>
      <ns0:c r="M9" s="95"/>
      <ns0:c r="N9" s="78"/>
      <ns0:c r="O9" s="246" t="s">
        <ns0:v>60</ns0:v>
      </ns0:c>
      <ns0:c r="P9" s="247"/>
      <ns0:c r="Q9" s="248">
        <ns0:f>EINSTELLUNG!L33</ns0:f>
        <ns0:v>12</ns0:v>
      </ns0:c>
      <ns0:c r="R9" s="248"/>
      <ns0:c r="S9" s="19">
        <ns0:f>IFERROR(Q9/Q8, 0)</ns0:f>
        <ns0:v>1.4127120539656006E-3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  <ns0:v>0</ns0:v>
      </ns0:c>
      <ns0:c r="M10" s="95"/>
      <ns0:c r="N10" s="78"/>
      <ns0:c r="O10" s="246" t="s">
        <ns0:v>62</ns0:v>
      </ns0:c>
      <ns0:c r="P10" s="247"/>
      <ns0:c r="Q10" s="248">
        <ns0:f>EINSTELLUNG!I33</ns0:f>
        <ns0:v>12</ns0:v>
      </ns0:c>
      <ns0:c r="R10" s="248"/>
    </ns0:row>
    <ns0:row r="11" spans="1:28" ht="16" customHeight="1">
      <ns0:c r="A11" s="61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  <ns0:v>0</ns0:v>
      </ns0:c>
      <ns0:c r="M11" s="95"/>
      <ns0:c r="N11" s="78"/>
      <ns0:c r="O11" s="246" t="s">
        <ns0:v>64</ns0:v>
      </ns0:c>
      <ns0:c r="P11" s="247"/>
      <ns0:c r="Q11" s="248">
        <ns0:f>P5</ns0:f>
        <ns0:v>12</ns0:v>
      </ns0:c>
      <ns0:c r="R11" s="248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  <ns0:v>0</ns0:v>
      </ns0:c>
      <ns0:c r="M12" s="95"/>
      <ns0:c r="N12" s="78"/>
      <ns0:c r="O12" s="246" t="s">
        <ns0:v>66</ns0:v>
      </ns0:c>
      <ns0:c r="P12" s="247"/>
      <ns0:c r="Q12" s="252">
        <ns0:v>-303</ns0:v>
      </ns0:c>
      <ns0:c r="R12" s="252"/>
    </ns0:row>
    <ns0:row r="13" spans="1:28" ht="16" customHeight="1">
      <ns0:c r="A13" s="62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  <ns0:v>0</ns0:v>
      </ns0:c>
      <ns0:c r="M13" s="95"/>
      <ns0:c r="N13" s="78"/>
      <ns0:c r="O13" s="246" t="s">
        <ns0:v>68</ns0:v>
      </ns0:c>
      <ns0:c r="P13" s="247"/>
      <ns0:c r="Q13" s="248">
        <ns0:f>Q8-Q9-Q10-Q11-Q12</ns0:f>
        <ns0:v>8761.2999999999993</ns0:v>
      </ns0:c>
      <ns0:c r="R13" s="248"/>
    </ns0:row>
    <ns0:row r="14" spans="1:28" ht="16" customHeight="1">
      <ns0:c r="A14" s="61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  <ns0:v>0</ns0:v>
      </ns0:c>
      <ns0:c r="M14" s="95"/>
      <ns0:c r="N14" s="78"/>
      <ns0:c r="O14" s="246" t="s">
        <ns0:v>70</ns0:v>
      </ns0:c>
      <ns0:c r="P14" s="247"/>
      <ns0:c r="Q14" s="248">
        <ns0:f>EINSTELLUNG!L17</ns0:f>
        <ns0:v>12</ns0:v>
      </ns0:c>
      <ns0:c r="R14" s="248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>
        <ns0:f>IF(OR(E15="",F15=""),"",PID_KVLohnLookup($A$1,E15,F15,LOHNTABELLE!$H$4))</ns0:f>
        <ns0:v>2300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  <ns0:v>0</ns0:v>
      </ns0:c>
      <ns0:c r="M15" s="95"/>
      <ns0:c r="N15" s="78"/>
      <ns0:c r="O15" s="246" t="s">
        <ns0:v>72</ns0:v>
      </ns0:c>
      <ns0:c r="P15" s="247"/>
      <ns0:c r="Q15" s="248">
        <ns0:f>Q13-Q14</ns0:f>
        <ns0:v>8749.2999999999993</ns0:v>
      </ns0:c>
      <ns0:c r="R15" s="24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2200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  <ns0:v>0</ns0:v>
      </ns0:c>
      <ns0:c r="M16" s="95"/>
      <ns0:c r="N16" s="78"/>
      <ns0:c r="O16" s="284" t="str">
        <ns0:f>IF(Q15&lt;0, "Schlecht! Zu wenig Stunden für Dienstplan.", IF(Q15&gt;0, "Du hast mehr als genug Stunden für Dienstplan.", ""))</ns0:f>
        <ns0:v>Du hast mehr als genug Stunden für Dienstplan.</ns0:v>
      </ns0:c>
      <ns0:c r="P16" s="284"/>
      <ns0:c r="Q16" s="284"/>
      <ns0:c r="R16" s="284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  <ns0:v>0</ns0:v>
      </ns0:c>
      <ns0:c r="M17" s="95"/>
      <ns0:c r="N17" s="78"/>
      <ns0:c r="O17" s="249" t="s">
        <ns0:v>75</ns0:v>
      </ns0:c>
      <ns0:c r="P17" s="250"/>
      <ns0:c r="Q17" s="251">
        <ns0:f>SUM(L3:L82)</ns0:f>
        <ns0:v>0</ns0:v>
      </ns0:c>
      <ns0:c r="R17" s="251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8" t="s">
        <ns0:v>250</ns0:v>
      </ns0:c>
      <ns0:c r="D18" s="123">
        <ns0:v>44511</ns0:v>
      </ns0:c>
      <ns0:c r="E18" s="65" t="s">
        <ns0:v>6</ns0:v>
      </ns0:c>
      <ns0:c r="F18" s="67">
        <ns0:v>173</ns0:v>
      </ns0:c>
      <ns0:c r="G18" s="116">
        <ns0:f>IF(OR(E18="",F18=""),"",PID_KVLohnLookup($A$1,E18,F18,LOHNTABELLE!$H$4))</ns0:f>
        <ns0:v>2160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  <ns0:v>0</ns0:v>
      </ns0:c>
      <ns0:c r="M18" s="95"/>
      <ns0:c r="N18" s="78"/>
      <ns0:c r="O18" s="240"/>
      <ns0:c r="P18" s="241"/>
      <ns0:c r="Q18" s="242"/>
      <ns0:c r="R18" s="243"/>
    </ns0:row>
    <ns0:row r="19" spans="1:29" ht="16" customHeight="1">
      <ns0:c r="A19" s="61" t="s">
        <ns0:v>77</ns0:v>
      </ns0:c>
      <ns0:c r="B19" s="101">
        <ns0:v>401481</ns0:v>
      </ns0:c>
      <ns0:c r="C19" s="68" t="s">
        <ns0:v>251</ns0:v>
      </ns0:c>
      <ns0:c r="D19" s="123">
        <ns0:v>44531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  <ns0:v>0</ns0:v>
      </ns0:c>
      <ns0:c r="M19" s="95"/>
      <ns0:c r="N19" s="78"/>
      <ns0:c r="O19" s="240"/>
      <ns0:c r="P19" s="241"/>
      <ns0:c r="Q19" s="242"/>
      <ns0:c r="R19" s="243"/>
    </ns0:row>
    <ns0:row r="20" spans="1:29" ht="16" customHeight="1">
      <ns0:c r="A20" s="61" t="s">
        <ns0:v>78</ns0:v>
      </ns0:c>
      <ns0:c r="B20" s="101">
        <ns0:v>401564</ns0:v>
      </ns0:c>
      <ns0:c r="C20" s="70" t="s">
        <ns0:v>252</ns0:v>
      </ns0:c>
      <ns0:c r="D20" s="123">
        <ns0:v>44824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  <ns0:v>0</ns0:v>
      </ns0:c>
      <ns0:c r="M20" s="95"/>
      <ns0:c r="N20" s="78"/>
      <ns0:c r="O20" s="240"/>
      <ns0:c r="P20" s="241"/>
      <ns0:c r="Q20" s="242"/>
      <ns0:c r="R20" s="243"/>
    </ns0:row>
    <ns0:row r="21" spans="1:29" ht="16" customHeight="1">
      <ns0:c r="A21" s="62" t="s">
        <ns0:v>80</ns0:v>
      </ns0:c>
      <ns0:c r="B21" s="101">
        <ns0:v>401583</ns0:v>
      </ns0:c>
      <ns0:c r="C21" s="68" t="s">
        <ns0:v>254</ns0:v>
      </ns0:c>
      <ns0:c r="D21" s="123">
        <ns0:v>44900</ns0:v>
      </ns0:c>
      <ns0:c r="E21" s="65" t="s">
        <ns0:v>10</ns0:v>
      </ns0:c>
      <ns0:c r="F21" s="67">
        <ns0:v>173</ns0:v>
      </ns0:c>
      <ns0:c r="G21" s="116">
        <ns0:f>IF(OR(E21="",F21=""),"",PID_KVLohnLookup($A$1,E21,F21,LOHNTABELLE!$H$4))</ns0:f>
        <ns0:v>2300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  <ns0:v>0</ns0:v>
      </ns0:c>
      <ns0:c r="M21" s="95"/>
      <ns0:c r="N21" s="78"/>
      <ns0:c r="O21" s="240" t="s">
        <ns0:v>320</ns0:v>
      </ns0:c>
      <ns0:c r="P21" s="241"/>
      <ns0:c r="Q21" s="242">
        <ns0:v>5000</ns0:v>
      </ns0:c>
      <ns0:c r="R21" s="243"/>
    </ns0:row>
    <ns0:row r="22" spans="1:29" ht="16" customHeight="1">
      <ns0:c r="A22" s="61" t="s">
        <ns0:v>81</ns0:v>
      </ns0:c>
      <ns0:c r="B22" s="101">
        <ns0:v>401589</ns0:v>
      </ns0:c>
      <ns0:c r="C22" s="68" t="s">
        <ns0:v>255</ns0:v>
      </ns0:c>
      <ns0:c r="D22" s="123">
        <ns0:v>44926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  <ns0:v>0</ns0:v>
      </ns0:c>
      <ns0:c r="M22" s="95"/>
      <ns0:c r="N22" s="78"/>
      <ns0:c r="O22" s="240"/>
      <ns0:c r="P22" s="241"/>
      <ns0:c r="Q22" s="242"/>
      <ns0:c r="R22" s="243"/>
    </ns0:row>
    <ns0:row r="23" spans="1:29" ht="16" customHeight="1">
      <ns0:c r="A23" s="61" t="s">
        <ns0:v>82</ns0:v>
      </ns0:c>
      <ns0:c r="B23" s="101">
        <ns0:v>401602</ns0:v>
      </ns0:c>
      <ns0:c r="C23" s="68" t="s">
        <ns0:v>256</ns0:v>
      </ns0:c>
      <ns0:c r="D23" s="123">
        <ns0:v>45975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  <ns0:v>0</ns0:v>
      </ns0:c>
      <ns0:c r="M23" s="95"/>
      <ns0:c r="N23" s="78"/>
      <ns0:c r="O23" s="240"/>
      <ns0:c r="P23" s="241"/>
      <ns0:c r="Q23" s="242"/>
      <ns0:c r="R23" s="243"/>
      <ns0:c r="W23" s="12"/>
    </ns0:row>
    <ns0:row r="24" spans="1:29" ht="16" customHeight="1">
      <ns0:c r="A24" s="61" t="s">
        <ns0:v>83</ns0:v>
      </ns0:c>
      <ns0:c r="B24" s="101">
        <ns0:v>401605</ns0:v>
      </ns0:c>
      <ns0:c r="C24" s="68" t="s">
        <ns0:v>257</ns0:v>
      </ns0:c>
      <ns0:c r="D24" s="123">
        <ns0:v>44986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2200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  <ns0:v>0</ns0:v>
      </ns0:c>
      <ns0:c r="M24" s="95"/>
      <ns0:c r="N24" s="78"/>
      <ns0:c r="O24" s="240"/>
      <ns0:c r="P24" s="241"/>
      <ns0:c r="Q24" s="242"/>
      <ns0:c r="R24" s="243"/>
      <ns0:c r="W24" s="12"/>
    </ns0:row>
    <ns0:row r="25" spans="1:29" ht="16" customHeight="1" thickBot="1">
      <ns0:c r="A25" s="62" t="s">
        <ns0:v>84</ns0:v>
      </ns0:c>
      <ns0:c r="B25" s="101">
        <ns0:v>401626</ns0:v>
      </ns0:c>
      <ns0:c r="C25" s="68" t="s">
        <ns0:v>258</ns0:v>
      </ns0:c>
      <ns0:c r="D25" s="123">
        <ns0:v>45063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  <ns0:v>0</ns0:v>
      </ns0:c>
      <ns0:c r="M25" s="95"/>
      <ns0:c r="N25" s="78"/>
      <ns0:c r="O25" s="257"/>
      <ns0:c r="P25" s="258"/>
      <ns0:c r="Q25" s="259"/>
      <ns0:c r="R25" s="260"/>
    </ns0:row>
    <ns0:row r="26" spans="1:29" ht="16" customHeight="1">
      <ns0:c r="A26" s="61" t="s">
        <ns0:v>85</ns0:v>
      </ns0:c>
      <ns0:c r="B26" s="101">
        <ns0:v>401633</ns0:v>
      </ns0:c>
      <ns0:c r="C26" s="68" t="s">
        <ns0:v>259</ns0:v>
      </ns0:c>
      <ns0:c r="D26" s="123">
        <ns0:v>45089</ns0:v>
      </ns0:c>
      <ns0:c r="E26" s="65" t="s">
        <ns0:v>10</ns0:v>
      </ns0:c>
      <ns0:c r="F26" s="67">
        <ns0:v>173</ns0:v>
      </ns0:c>
      <ns0:c r="G26" s="116">
        <ns0:f>IF(OR(E26="",F26=""),"",PID_KVLohnLookup($A$1,E26,F26,LOHNTABELLE!$H$4))</ns0:f>
        <ns0:v>2300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  <ns0:v>0</ns0:v>
      </ns0:c>
      <ns0:c r="M26" s="95"/>
      <ns0:c r="N26" s="78"/>
      <ns0:c r="O26" s="261"/>
      <ns0:c r="P26" s="262"/>
      <ns0:c r="Q26" s="263"/>
      <ns0:c r="R26" s="264"/>
    </ns0:row>
    <ns0:row r="27" spans="1:29" ht="16" customHeight="1">
      <ns0:c r="A27" s="61" t="s">
        <ns0:v>86</ns0:v>
      </ns0:c>
      <ns0:c r="B27" s="101">
        <ns0:v>401647</ns0:v>
      </ns0:c>
      <ns0:c r="C27" s="68" t="s">
        <ns0:v>260</ns0:v>
      </ns0:c>
      <ns0:c r="D27" s="123">
        <ns0:v>45182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  <ns0:v>0</ns0:v>
      </ns0:c>
      <ns0:c r="M27" s="95"/>
      <ns0:c r="N27" s="78"/>
      <ns0:c r="O27" s="220"/>
      <ns0:c r="P27" s="221"/>
      <ns0:c r="Q27" s="243"/>
      <ns0:c r="R27" s="265"/>
    </ns0:row>
    <ns0:row r="28" spans="1:29" ht="16" customHeight="1">
      <ns0:c r="A28" s="61" t="s">
        <ns0:v>88</ns0:v>
      </ns0:c>
      <ns0:c r="B28" s="101">
        <ns0:v>401661</ns0:v>
      </ns0:c>
      <ns0:c r="C28" s="68" t="s">
        <ns0:v>261</ns0:v>
      </ns0:c>
      <ns0:c r="D28" s="123">
        <ns0:v>45261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  <ns0:v>0</ns0:v>
      </ns0:c>
      <ns0:c r="M28" s="95"/>
      <ns0:c r="N28" s="78"/>
      <ns0:c r="O28" s="220"/>
      <ns0:c r="P28" s="221"/>
      <ns0:c r="Q28" s="243"/>
      <ns0:c r="R28" s="265"/>
    </ns0:row>
    <ns0:row r="29" spans="1:29" ht="16" customHeight="1" thickBot="1">
      <ns0:c r="A29" s="62" t="s">
        <ns0:v>89</ns0:v>
      </ns0:c>
      <ns0:c r="B29" s="101">
        <ns0:v>401670</ns0:v>
      </ns0:c>
      <ns0:c r="C29" s="68" t="s">
        <ns0:v>262</ns0:v>
      </ns0:c>
      <ns0:c r="D29" s="123">
        <ns0:v>45358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  <ns0:v>0</ns0:v>
      </ns0:c>
      <ns0:c r="M29" s="95"/>
      <ns0:c r="N29" s="78"/>
      <ns0:c r="O29" s="371" t="s">
        <ns0:v>90</ns0:v>
      </ns0:c>
      <ns0:c r="P29" s="372"/>
      <ns0:c r="Q29" s="373">
        <ns0:f>EINSTELLUNG!O17</ns0:f>
        <ns0:v>12</ns0:v>
      </ns0:c>
      <ns0:c r="R29" s="374"/>
    </ns0:row>
    <ns0:row r="30" spans="1:29" ht="16" customHeight="1">
      <ns0:c r="A30" s="61" t="s">
        <ns0:v>91</ns0:v>
      </ns0:c>
      <ns0:c r="B30" s="101">
        <ns0:v>401678</ns0:v>
      </ns0:c>
      <ns0:c r="C30" s="68" t="s">
        <ns0:v>263</ns0:v>
      </ns0:c>
      <ns0:c r="D30" s="123">
        <ns0:v>45414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  <ns0:v>0</ns0:v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401690</ns0:v>
      </ns0:c>
      <ns0:c r="C31" s="70" t="s">
        <ns0:v>265</ns0:v>
      </ns0:c>
      <ns0:c r="D31" s="123">
        <ns0:v>45536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  <ns0:v>0</ns0:v>
      </ns0:c>
      <ns0:c r="M31" s="95"/>
      <ns0:c r="N31" s="78"/>
      <ns0:c r="O31" s="232">
        <ns0:v>0</ns0:v>
      </ns0:c>
      <ns0:c r="P31" s="233"/>
      <ns0:c r="Q31" s="234">
        <ns0:v>0</ns0:v>
      </ns0:c>
      <ns0:c r="R31" s="235"/>
    </ns0:row>
    <ns0:row r="32" spans="1:29" ht="16" customHeight="1">
      <ns0:c r="A32" s="61" t="s">
        <ns0:v>94</ns0:v>
      </ns0:c>
      <ns0:c r="B32" s="101">
        <ns0:v>401703</ns0:v>
      </ns0:c>
      <ns0:c r="C32" s="68" t="s">
        <ns0:v>266</ns0:v>
      </ns0:c>
      <ns0:c r="D32" s="123">
        <ns0:v>45616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  <ns0:v>0</ns0:v>
      </ns0:c>
      <ns0:c r="M32" s="95"/>
      <ns0:c r="N32" s="78"/>
    </ns0:row>
    <ns0:row r="33" spans="1:24" ht="16" customHeight="1">
      <ns0:c r="A33" s="62" t="s">
        <ns0:v>95</ns0:v>
      </ns0:c>
      <ns0:c r="B33" s="101">
        <ns0:v>401715</ns0:v>
      </ns0:c>
      <ns0:c r="C33" s="68" t="s">
        <ns0:v>268</ns0:v>
      </ns0:c>
      <ns0:c r="D33" s="123">
        <ns0:v>45755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  <ns0:v>0</ns0:v>
      </ns0:c>
      <ns0:c r="M33" s="95"/>
      <ns0:c r="N33" s="78"/>
      <ns0:c r="O33" s="236"/>
      <ns0:c r="P33" s="237"/>
      <ns0:c r="Q33" s="238" t="str">
        <ns0:f>EINSTELLUNG!B3</ns0:f>
        <ns0:v>Budget Zahlen</ns0:v>
      </ns0:c>
      <ns0:c r="R33" s="238"/>
      <ns0:c r="S33" s="239" t="str">
        <ns0:f>EINSTELLUNG!B19</ns0:f>
        <ns0:v>Projection/Aktuell Zahlen</ns0:v>
      </ns0:c>
      <ns0:c r="T33" s="239"/>
      <ns0:c r="U33" s="239" t="s">
        <ns0:v>98</ns0:v>
      </ns0:c>
      <ns0:c r="V33" s="239"/>
    </ns0:row>
    <ns0:row r="34" spans="1:24" ht="16" customHeight="1">
      <ns0:c r="A34" s="61" t="s">
        <ns0:v>99</ns0:v>
      </ns0:c>
      <ns0:c r="B34" s="101">
        <ns0:v>401716</ns0:v>
      </ns0:c>
      <ns0:c r="C34" s="68" t="s">
        <ns0:v>269</ns0:v>
      </ns0:c>
      <ns0:c r="D34" s="123">
        <ns0:v>45800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  <ns0:v>0</ns0:v>
      </ns0:c>
      <ns0:c r="M34" s="95"/>
      <ns0:c r="N34" s="78"/>
      <ns0:c r="O34" s="236"/>
      <ns0:c r="P34" s="237"/>
      <ns0:c r="Q34" s="238"/>
      <ns0:c r="R34" s="238"/>
      <ns0:c r="S34" s="239"/>
      <ns0:c r="T34" s="239"/>
      <ns0:c r="U34" s="239"/>
      <ns0:c r="V34" s="239"/>
    </ns0:row>
    <ns0:row r="35" spans="1:24" ht="16" customHeight="1">
      <ns0:c r="A35" s="61" t="s">
        <ns0:v>100</ns0:v>
      </ns0:c>
      <ns0:c r="B35" s="101">
        <ns0:v>401717</ns0:v>
      </ns0:c>
      <ns0:c r="C35" s="68" t="s">
        <ns0:v>270</ns0:v>
      </ns0:c>
      <ns0:c r="D35" s="123">
        <ns0:v>45814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  <ns0:v>0</ns0:v>
      </ns0:c>
      <ns0:c r="M35" s="95"/>
      <ns0:c r="N35" s="78"/>
      <ns0:c r="O35" s="244" t="s">
        <ns0:v>101</ns0:v>
      </ns0:c>
      <ns0:c r="P35" s="245"/>
      <ns0:c r="Q35" s="218">
        <ns0:f>EINSTELLUNG!C17</ns0:f>
        <ns0:v>12</ns0:v>
      </ns0:c>
      <ns0:c r="R35" s="218"/>
      <ns0:c r="S35" s="218">
        <ns0:f>EINSTELLUNG!C33</ns0:f>
        <ns0:v>12</ns0:v>
      </ns0:c>
      <ns0:c r="T35" s="218"/>
      <ns0:c r="U35" s="222">
        <ns0:f>S35-Q35</ns0:f>
        <ns0:v>0</ns0:v>
      </ns0:c>
      <ns0:c r="V35" s="222"/>
    </ns0:row>
    <ns0:row r="36" spans="1:24" ht="16" customHeight="1">
      <ns0:c r="A36" s="61" t="s">
        <ns0:v>102</ns0:v>
      </ns0:c>
      <ns0:c r="B36" s="101">
        <ns0:v>401722</ns0:v>
      </ns0:c>
      <ns0:c r="C36" s="68" t="s">
        <ns0:v>271</ns0:v>
      </ns0:c>
      <ns0:c r="D36" s="123">
        <ns0:v>45848</ns0:v>
      </ns0:c>
      <ns0:c r="E36" s="65" t="s">
        <ns0:v>2</ns0:v>
      </ns0:c>
      <ns0:c r="F36" s="67">
        <ns0:v>86.5</ns0:v>
      </ns0:c>
      <ns0:c r="G36" s="116">
        <ns0:f>IF(OR(E36="",F36=""),"",PID_KVLohnLookup($A$1,E36,F36,LOHNTABELLE!$H$4))</ns0:f>
        <ns0:v>1333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86.5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  <ns0:v>0</ns0:v>
      </ns0:c>
      <ns0:c r="M36" s="95"/>
      <ns0:c r="N36" s="78"/>
      <ns0:c r="O36" s="244" t="s">
        <ns0:v>103</ns0:v>
      </ns0:c>
      <ns0:c r="P36" s="245"/>
      <ns0:c r="Q36" s="218">
        <ns0:f>EINSTELLUNG!D17</ns0:f>
        <ns0:v>12</ns0:v>
      </ns0:c>
      <ns0:c r="R36" s="218"/>
      <ns0:c r="S36" s="215" cm="1">
        <ns0:f t="array" ref="S36">SumMergedCells(Q17:R29)</ns0:f>
        <ns0:v>5012</ns0:v>
      </ns0:c>
      <ns0:c r="T36" s="217"/>
      <ns0:c r="U36" s="222">
        <ns0:f t="shared" ref="U36:U41" si="2">S36-Q36</ns0:f>
        <ns0:v>5000</ns0:v>
      </ns0:c>
      <ns0:c r="V36" s="222"/>
    </ns0:row>
    <ns0:row r="37" spans="1:24" ht="16" customHeight="1">
      <ns0:c r="A37" s="62" t="s">
        <ns0:v>104</ns0:v>
      </ns0:c>
      <ns0:c r="B37" s="101">
        <ns0:v>401723</ns0:v>
      </ns0:c>
      <ns0:c r="C37" s="68" t="s">
        <ns0:v>272</ns0:v>
      </ns0:c>
      <ns0:c r="D37" s="123">
        <ns0:v>45852</ns0:v>
      </ns0:c>
      <ns0:c r="E37" s="65" t="s">
        <ns0:v>2</ns0:v>
      </ns0:c>
      <ns0:c r="F37" s="67">
        <ns0:v>86.5</ns0:v>
      </ns0:c>
      <ns0:c r="G37" s="116">
        <ns0:f>IF(OR(E37="",F37=""),"",PID_KVLohnLookup($A$1,E37,F37,LOHNTABELLE!$H$4))</ns0:f>
        <ns0:v>1333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  <ns0:v>0</ns0:v>
      </ns0:c>
      <ns0:c r="M37" s="95"/>
      <ns0:c r="N37" s="78"/>
      <ns0:c r="O37" s="244" t="s">
        <ns0:v>105</ns0:v>
      </ns0:c>
      <ns0:c r="P37" s="245"/>
      <ns0:c r="Q37" s="226">
        <ns0:f>IF(ISERROR(Q36/Q35), 0, Q36/Q35)</ns0:f>
        <ns0:v>1</ns0:v>
      </ns0:c>
      <ns0:c r="R37" s="226"/>
      <ns0:c r="S37" s="226">
        <ns0:f>IF(ISERROR(S36/S35), 0, S36/S35)</ns0:f>
        <ns0:v>417.66666666666669</ns0:v>
      </ns0:c>
      <ns0:c r="T37" s="226"/>
      <ns0:c r="U37" s="227">
        <ns0:f t="shared" si="2"/>
        <ns0:v>416.66666666666669</ns0:v>
      </ns0:c>
      <ns0:c r="V37" s="227"/>
    </ns0:row>
    <ns0:row r="38" spans="1:24" ht="16" customHeight="1">
      <ns0:c r="A38" s="61" t="s">
        <ns0:v>106</ns0:v>
      </ns0:c>
      <ns0:c r="B38" s="101">
        <ns0:v>401726</ns0:v>
      </ns0:c>
      <ns0:c r="C38" s="68" t="s">
        <ns0:v>273</ns0:v>
      </ns0:c>
      <ns0:c r="D38" s="123">
        <ns0:v>45870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  <ns0:v>0</ns0:v>
      </ns0:c>
      <ns0:c r="M38" s="95"/>
      <ns0:c r="N38" s="78"/>
      <ns0:c r="O38" s="244" t="s">
        <ns0:v>107</ns0:v>
      </ns0:c>
      <ns0:c r="P38" s="245"/>
      <ns0:c r="Q38" s="219">
        <ns0:f>EINSTELLUNG!F17</ns0:f>
        <ns0:v>12</ns0:v>
      </ns0:c>
      <ns0:c r="R38" s="219"/>
      <ns0:c r="S38" s="219">
        <ns0:f>EINSTELLUNG!F33</ns0:f>
        <ns0:v>12</ns0:v>
      </ns0:c>
      <ns0:c r="T38" s="219"/>
      <ns0:c r="U38" s="223">
        <ns0:f t="shared" si="2"/>
        <ns0:v>0</ns0:v>
      </ns0:c>
      <ns0:c r="V38" s="223"/>
    </ns0:row>
    <ns0:row r="39" spans="1:24" ht="16" customHeight="1">
      <ns0:c r="A39" s="61" t="s">
        <ns0:v>108</ns0:v>
      </ns0:c>
      <ns0:c r="B39" s="101">
        <ns0:v>401730</ns0:v>
      </ns0:c>
      <ns0:c r="C39" s="68" t="s">
        <ns0:v>275</ns0:v>
      </ns0:c>
      <ns0:c r="D39" s="123">
        <ns0:v>45895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  <ns0:v>0</ns0:v>
      </ns0:c>
      <ns0:c r="M39" s="95"/>
      <ns0:c r="N39" s="78"/>
      <ns0:c r="O39" s="244" t="s">
        <ns0:v>109</ns0:v>
      </ns0:c>
      <ns0:c r="P39" s="245"/>
      <ns0:c r="Q39" s="218">
        <ns0:f>IF(Q38=0, 0, Q35/Q38)</ns0:f>
        <ns0:v>1</ns0:v>
      </ns0:c>
      <ns0:c r="R39" s="218"/>
      <ns0:c r="S39" s="218">
        <ns0:f>IF(S38=0, 0, S35/S38)</ns0:f>
        <ns0:v>1</ns0:v>
      </ns0:c>
      <ns0:c r="T39" s="218"/>
      <ns0:c r="U39" s="222">
        <ns0:f t="shared" si="2"/>
        <ns0:v>0</ns0:v>
      </ns0:c>
      <ns0:c r="V39" s="222"/>
    </ns0:row>
    <ns0:row r="40" spans="1:24" ht="16" customHeight="1">
      <ns0:c r="A40" s="61" t="s">
        <ns0:v>110</ns0:v>
      </ns0:c>
      <ns0:c r="B40" s="101">
        <ns0:v>401731</ns0:v>
      </ns0:c>
      <ns0:c r="C40" s="68" t="s">
        <ns0:v>274</ns0:v>
      </ns0:c>
      <ns0:c r="D40" s="123">
        <ns0:v>45899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  <ns0:v>0</ns0:v>
      </ns0:c>
      <ns0:c r="M40" s="95"/>
      <ns0:c r="N40" s="78"/>
      <ns0:c r="O40" s="244" t="s">
        <ns0:v>111</ns0:v>
      </ns0:c>
      <ns0:c r="P40" s="245"/>
      <ns0:c r="Q40" s="218">
        <ns0:f>IF(Q13=0, 0, Q35/Q13)</ns0:f>
        <ns0:v>1.369659753689521E-3</ns0:v>
      </ns0:c>
      <ns0:c r="R40" s="218"/>
      <ns0:c r="S40" s="218">
        <ns0:f>IF(Q13=0, 0, S35/Q13)</ns0:f>
        <ns0:v>1.369659753689521E-3</ns0:v>
      </ns0:c>
      <ns0:c r="T40" s="218"/>
      <ns0:c r="U40" s="222">
        <ns0:f t="shared" si="2"/>
        <ns0:v>0</ns0:v>
      </ns0:c>
      <ns0:c r="V40" s="222"/>
    </ns0:row>
    <ns0:row r="41" spans="1:24" ht="16" customHeight="1">
      <ns0:c r="A41" s="62" t="s">
        <ns0:v>112</ns0:v>
      </ns0:c>
      <ns0:c r="B41" s="101">
        <ns0:v>401734</ns0:v>
      </ns0:c>
      <ns0:c r="C41" s="68" t="s">
        <ns0:v>276</ns0:v>
      </ns0:c>
      <ns0:c r="D41" s="123">
        <ns0:v>45904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  <ns0:v>0</ns0:v>
      </ns0:c>
      <ns0:c r="M41" s="95"/>
      <ns0:c r="N41" s="78"/>
      <ns0:c r="O41" s="244" t="s">
        <ns0:v>113</ns0:v>
      </ns0:c>
      <ns0:c r="P41" s="245"/>
      <ns0:c r="Q41" s="219">
        <ns0:f>IF(Q13=0, 0, Q38/Q13)</ns0:f>
        <ns0:v>1.369659753689521E-3</ns0:v>
      </ns0:c>
      <ns0:c r="R41" s="219"/>
      <ns0:c r="S41" s="219">
        <ns0:f>IF(Q13=0, 0, S38/Q13)</ns0:f>
        <ns0:v>1.369659753689521E-3</ns0:v>
      </ns0:c>
      <ns0:c r="T41" s="219"/>
      <ns0:c r="U41" s="223">
        <ns0:f t="shared" si="2"/>
        <ns0:v>0</ns0:v>
      </ns0:c>
      <ns0:c r="V41" s="223"/>
    </ns0:row>
    <ns0:row r="42" spans="1:24" ht="16" customHeight="1">
      <ns0:c r="A42" s="61" t="s">
        <ns0:v>114</ns0:v>
      </ns0:c>
      <ns0:c r="B42" s="101">
        <ns0:v>401736</ns0:v>
      </ns0:c>
      <ns0:c r="C42" s="68" t="s">
        <ns0:v>277</ns0:v>
      </ns0:c>
      <ns0:c r="D42" s="123">
        <ns0:v>45906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  <ns0:v>0</ns0:v>
      </ns0:c>
      <ns0:c r="M42" s="95"/>
      <ns0:c r="N42" s="78"/>
      <ns0:c r="O42" s="244" t="s">
        <ns0:v>115</ns0:v>
      </ns0:c>
      <ns0:c r="P42" s="245"/>
      <ns0:c r="Q42" s="215">
        <ns0:f>IFERROR(Q17/Q8, 0)</ns0:f>
        <ns0:v>0</ns0:v>
      </ns0:c>
      <ns0:c r="R42" s="216"/>
      <ns0:c r="S42" s="216"/>
      <ns0:c r="T42" s="216"/>
      <ns0:c r="U42" s="216"/>
      <ns0:c r="V42" s="217"/>
    </ns0:row>
    <ns0:row r="43" spans="1:24" ht="16" customHeight="1">
      <ns0:c r="A43" s="61" t="s">
        <ns0:v>116</ns0:v>
      </ns0:c>
      <ns0:c r="B43" s="101">
        <ns0:v>401737</ns0:v>
      </ns0:c>
      <ns0:c r="C43" s="68" t="s">
        <ns0:v>278</ns0:v>
      </ns0:c>
      <ns0:c r="D43" s="123">
        <ns0:v>45906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  <ns0:v>0</ns0:v>
      </ns0:c>
      <ns0:c r="M43" s="95"/>
      <ns0:c r="N43" s="78"/>
    </ns0:row>
    <ns0:row r="44" spans="1:24" ht="16" customHeight="1">
      <ns0:c r="A44" s="61" t="s">
        <ns0:v>117</ns0:v>
      </ns0:c>
      <ns0:c r="B44" s="101">
        <ns0:v>401738</ns0:v>
      </ns0:c>
      <ns0:c r="C44" s="68" t="s">
        <ns0:v>279</ns0:v>
      </ns0:c>
      <ns0:c r="D44" s="123">
        <ns0:v>45909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  <ns0:v>0</ns0:v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401745</ns0:v>
      </ns0:c>
      <ns0:c r="C45" s="68" t="s">
        <ns0:v>283</ns0:v>
      </ns0:c>
      <ns0:c r="D45" s="123">
        <ns0:v>45934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  <ns0:v>0</ns0:v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401748</ns0:v>
      </ns0:c>
      <ns0:c r="C46" s="68" t="s">
        <ns0:v>281</ns0:v>
      </ns0:c>
      <ns0:c r="D46" s="123">
        <ns0:v>45941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  <ns0:v>0</ns0:v>
      </ns0:c>
      <ns0:c r="M46" s="95"/>
      <ns0:c r="N46" s="78"/>
    </ns0:row>
    <ns0:row r="47" spans="1:24" ht="16" customHeight="1">
      <ns0:c r="A47" s="61" t="s">
        <ns0:v>121</ns0:v>
      </ns0:c>
      <ns0:c r="B47" s="101">
        <ns0:v>401751</ns0:v>
      </ns0:c>
      <ns0:c r="C47" s="68" t="s">
        <ns0:v>284</ns0:v>
      </ns0:c>
      <ns0:c r="D47" s="123">
        <ns0:v>45961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  <ns0:v>0</ns0:v>
      </ns0:c>
      <ns0:c r="M47" s="95"/>
      <ns0:c r="N47" s="78"/>
    </ns0:row>
    <ns0:row r="48" spans="1:24" ht="16" customHeight="1">
      <ns0:c r="A48" s="61" t="s">
        <ns0:v>122</ns0:v>
      </ns0:c>
      <ns0:c r="B48" s="101">
        <ns0:v>401752</ns0:v>
      </ns0:c>
      <ns0:c r="C48" s="68" t="s">
        <ns0:v>285</ns0:v>
      </ns0:c>
      <ns0:c r="D48" s="123">
        <ns0:v>45986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  <ns0:v>0</ns0:v>
      </ns0:c>
      <ns0:c r="M48" s="95"/>
      <ns0:c r="N48" s="78"/>
    </ns0:row>
    <ns0:row r="49" spans="1:14" ht="16" customHeight="1">
      <ns0:c r="A49" s="62" t="s">
        <ns0:v>123</ns0:v>
      </ns0:c>
      <ns0:c r="B49" s="101">
        <ns0:v>401999</ns0:v>
      </ns0:c>
      <ns0:c r="C49" s="68" t="s">
        <ns0:v>319</ns0:v>
      </ns0:c>
      <ns0:c r="D49" s="123">
        <ns0:v>46082</ns0:v>
      </ns0:c>
      <ns0:c r="E49" s="65" t="s">
        <ns0:v>2</ns0:v>
      </ns0:c>
      <ns0:c r="F49" s="67">
        <ns0:v>173</ns0:v>
      </ns0:c>
      <ns0:c r="G49" s="116">
        <ns0:f>IF(OR(E49="",F49=""),"",PID_KVLohnLookup($A$1,E49,F49,LOHNTABELLE!$H$4))</ns0:f>
        <ns0:v>2200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173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  <ns0:v>0</ns0:v>
      </ns0:c>
      <ns0:c r="M49" s="95"/>
      <ns0:c r="N49" s="78"/>
    </ns0:row>
    <ns0:row r="50" spans="1:14" ht="16" customHeight="1">
      <ns0:c r="A50" s="61" t="s">
        <ns0:v>124</ns0:v>
      </ns0:c>
      <ns0:c r="B50" s="101">
        <ns0:v>402000</ns0:v>
      </ns0:c>
      <ns0:c r="C50" s="68" t="s">
        <ns0:v>326</ns0:v>
      </ns0:c>
      <ns0:c r="D50" s="123">
        <ns0:v>46143</ns0:v>
      </ns0:c>
      <ns0:c r="E50" s="65" t="s">
        <ns0:v>2</ns0:v>
      </ns0:c>
      <ns0:c r="F50" s="67">
        <ns0:v>173</ns0:v>
      </ns0:c>
      <ns0:c r="G50" s="116">
        <ns0:f>IF(OR(E50="",F50=""),"",PID_KVLohnLookup($A$1,E50,F50,LOHNTABELLE!$H$4))</ns0:f>
        <ns0:v>2200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  <ns0:v>0</ns0:v>
      </ns0:c>
      <ns0:c r="M50" s="95"/>
      <ns0:c r="N50" s="78"/>
    </ns0:row>
    <ns0:row r="51" spans="1:14" ht="16" customHeight="1">
      <ns0:c r="A51" s="61" t="s">
        <ns0:v>125</ns0:v>
      </ns0:c>
      <ns0:c r="B51" s="101">
        <ns0:v>402004</ns0:v>
      </ns0:c>
      <ns0:c r="C51" s="68" t="s">
        <ns0:v>328</ns0:v>
      </ns0:c>
      <ns0:c r="D51" s="123">
        <ns0:v>46122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  <ns0:v>0</ns0:v>
      </ns0:c>
      <ns0:c r="M51" s="95"/>
      <ns0:c r="N51" s="78"/>
    </ns0:row>
    <ns0:row r="52" spans="1:14" ht="16" customHeight="1">
      <ns0:c r="A52" s="61" t="s">
        <ns0:v>126</ns0:v>
      </ns0:c>
      <ns0:c r="B52" s="101">
        <ns0:v>402405</ns0:v>
      </ns0:c>
      <ns0:c r="C52" s="68" t="s">
        <ns0:v>330</ns0:v>
      </ns0:c>
      <ns0:c r="D52" s="123">
        <ns0:v>46054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  <ns0:v>0</ns0:v>
      </ns0:c>
      <ns0:c r="M52" s="95"/>
      <ns0:c r="N52" s="78"/>
    </ns0:row>
    <ns0:row r="53" spans="1:14" ht="16" customHeight="1">
      <ns0:c r="A53" s="62" t="s">
        <ns0:v>127</ns0:v>
      </ns0:c>
      <ns0:c r="B53" s="101">
        <ns0:v>500600</ns0:v>
      </ns0:c>
      <ns0:c r="C53" s="68" t="s">
        <ns0:v>335</ns0:v>
      </ns0:c>
      <ns0:c r="D53" s="123">
        <ns0:v>46054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  <ns0:v>0</ns0:v>
      </ns0:c>
      <ns0:c r="M53" s="95"/>
      <ns0:c r="N53" s="78"/>
    </ns0:row>
    <ns0:row r="54" spans="1:14" ht="16" customHeight="1">
      <ns0:c r="A54" s="61" t="s">
        <ns0:v>128</ns0:v>
      </ns0:c>
      <ns0:c r="B54" s="101">
        <ns0:v>502000</ns0:v>
      </ns0:c>
      <ns0:c r="C54" s="68" t="s">
        <ns0:v>329</ns0:v>
      </ns0:c>
      <ns0:c r="D54" s="123">
        <ns0:v>46147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  <ns0:v>0</ns0:v>
      </ns0:c>
      <ns0:c r="M54" s="95"/>
      <ns0:c r="N54" s="78"/>
    </ns0:row>
    <ns0:row r="55" spans="1:14" ht="16" customHeight="1">
      <ns0:c r="A55" s="61" t="s">
        <ns0:v>129</ns0:v>
      </ns0:c>
      <ns0:c r="B55" s="101">
        <ns0:v>503000</ns0:v>
      </ns0:c>
      <ns0:c r="C55" s="68" t="s">
        <ns0:v>332</ns0:v>
      </ns0:c>
      <ns0:c r="D55" s="123">
        <ns0:v>42401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  <ns0:v>0</ns0:v>
      </ns0:c>
      <ns0:c r="M55" s="95"/>
      <ns0:c r="N55" s="78"/>
    </ns0:row>
    <ns0:row r="56" spans="1:14" ht="16" customHeight="1">
      <ns0:c r="A56" s="61" t="s">
        <ns0:v>130</ns0:v>
      </ns0:c>
      <ns0:c r="B56" s="101">
        <ns0:v>504000</ns0:v>
      </ns0:c>
      <ns0:c r="C56" s="68" t="s">
        <ns0:v>333</ns0:v>
      </ns0:c>
      <ns0:c r="D56" s="123">
        <ns0:v>46054</ns0:v>
      </ns0:c>
      <ns0:c r="E56" s="65" t="s">
        <ns0:v>3</ns0:v>
      </ns0:c>
      <ns0:c r="F56" s="67">
        <ns0:v>138.4</ns0:v>
      </ns0:c>
      <ns0:c r="G56" s="116">
        <ns0:f>IF(OR(E56="",F56=""),"",PID_KVLohnLookup($A$1,E56,F56,LOHNTABELLE!$H$4))</ns0:f>
        <ns0:v>1665.6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138.4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  <ns0:v>0</ns0:v>
      </ns0:c>
      <ns0:c r="M56" s="95"/>
      <ns0:c r="N56" s="78"/>
    </ns0:row>
    <ns0:row r="57" spans="1:14" ht="16" customHeight="1">
      <ns0:c r="A57" s="62" t="s">
        <ns0:v>131</ns0:v>
      </ns0:c>
      <ns0:c r="B57" s="101">
        <ns0:v>505000</ns0:v>
      </ns0:c>
      <ns0:c r="C57" s="68" t="s">
        <ns0:v>334</ns0:v>
      </ns0:c>
      <ns0:c r="D57" s="123">
        <ns0:v>46054</ns0:v>
      </ns0:c>
      <ns0:c r="E57" s="65" t="s">
        <ns0:v>2</ns0:v>
      </ns0:c>
      <ns0:c r="F57" s="67">
        <ns0:v>138.4</ns0:v>
      </ns0:c>
      <ns0:c r="G57" s="116">
        <ns0:f>IF(OR(E57="",F57=""),"",PID_KVLohnLookup($A$1,E57,F57,LOHNTABELLE!$H$4))</ns0:f>
        <ns0:v>1616.8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  <ns0:v>0</ns0:v>
      </ns0:c>
      <ns0:c r="M57" s="95"/>
      <ns0:c r="N57" s="78"/>
    </ns0:row>
    <ns0:row r="58" spans="1:14" ht="16" customHeight="1">
      <ns0:c r="A58" s="61" t="s">
        <ns0:v>132</ns0:v>
      </ns0:c>
      <ns0:c r="B58" s="101">
        <ns0:v>800000</ns0:v>
      </ns0:c>
      <ns0:c r="C58" s="68" t="s">
        <ns0:v>348</ns0:v>
      </ns0:c>
      <ns0:c r="D58" s="123">
        <ns0:v>46082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  <ns0:v>0</ns0:v>
      </ns0:c>
      <ns0:c r="M58" s="95"/>
      <ns0:c r="N58" s="78"/>
    </ns0:row>
    <ns0:row r="59" spans="1:14" ht="16" customHeight="1">
      <ns0:c r="A59" s="61" t="s">
        <ns0:v>133</ns0:v>
      </ns0:c>
      <ns0:c r="B59" s="101"/>
      <ns0:c r="C59" s="68"/>
      <ns0:c r="D59" s="123"/>
      <ns0:c r="E59" s="65"/>
      <ns0:c r="F59" s="67"/>
      <ns0:c r="G59" s="116" t="str">
        <ns0:f>IF(OR(E59="",F59=""),"",PID_KVLohnLookup($A$1,E59,F59,LOHNTABELLE!$H$4))</ns0:f>
        <ns0:v/>
      </ns0:c>
      <ns0:c r="H59" s="89" t="str">
        <ns0:f>IF(AND(ISNUMBER(D59),ISNUMBER(F59)),ROUNDDOWN(MIN(IF(OR(ISBLANK(I59),I59=""),EOMONTH(DATE(EINSTELLUNG!$C$35,$A$1,1),0),I59)-MAX(D59,DATE(EINSTELLUNG!$C$35,$A$1,1))+1)/DAY(EOMONTH(DATE(EINSTELLUNG!$C$35,$A$1,1),0))*F59,2),"")</ns0:f>
        <ns0:v/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  <ns0:v>0</ns0:v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123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  <ns0:v>0</ns0:v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  <ns0:v>0</ns0:v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  <ns0:v>0</ns0:v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  <ns0:v>0</ns0:v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  <ns0:v>0</ns0:v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  <ns0:v>0</ns0:v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  <ns0:v>0</ns0:v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  <ns0:v>0</ns0:v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  <ns0:v>0</ns0:v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  <ns0:v>0</ns0:v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  <ns0:v>0</ns0:v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  <ns0:v>0</ns0:v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  <ns0:v>0</ns0:v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  <ns0:v>0</ns0:v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  <ns0:v>0</ns0:v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  <ns0:v>0</ns0:v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  <ns0:v>0</ns0:v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  <ns0:v>0</ns0:v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  <ns0:v>0</ns0:v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  <ns0:v>0</ns0:v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  <ns0:v>0</ns0:v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  <ns0:v>0</ns0:v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  <ns0:v>0</ns0:v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BJmwynUSuC9URe4n4Ae5WKq1oo0lvDKzGRgHmunDnt8JQTpae+i+2D73Hugpk5OIY4/TpwtYeMXFMrFUi970zw==" saltValue="PEZ2+tcPKa69q2JFW0+ipg==" spinCount="100000" sheet="1" objects="1" scenarios="1" sort="0" autoFilter="0"/>
  <ns0:sortState ref="B3:N82">
    <ns0:sortCondition ref="B3:B82"/>
    <ns0:sortCondition ref="C3:C82"/>
  </ns0:sortState>
  <ns0:mergeCells count="97">
    <ns0:mergeCell ref="B1:B2"/>
    <ns0:mergeCell ref="N1:N2"/>
    <ns0:mergeCell ref="Q15:R15"/>
    <ns0:mergeCell ref="O16:R16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31:P31"/>
    <ns0:mergeCell ref="Q20:R20"/>
    <ns0:mergeCell ref="O21:P21"/>
    <ns0:mergeCell ref="Q21:R21"/>
    <ns0:mergeCell ref="Q19:R19"/>
    <ns0:mergeCell ref="Q31:R31"/>
    <ns0:mergeCell ref="O29:P29"/>
    <ns0:mergeCell ref="Q29:R29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7:P17"/>
    <ns0:mergeCell ref="Q17:R17"/>
    <ns0:mergeCell ref="O18:P18"/>
    <ns0:mergeCell ref="Q18:R18"/>
    <ns0:mergeCell ref="O15:P15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O27:P27"/>
    <ns0:mergeCell ref="Q27:R27"/>
    <ns0:mergeCell ref="O28:P28"/>
    <ns0:mergeCell ref="Q28:R28"/>
    <ns0:mergeCell ref="S39:T39"/>
    <ns0:mergeCell ref="U39:V39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Q39:R39"/>
    <ns0:mergeCell ref="O37:P37"/>
    <ns0:mergeCell ref="Q37:R37"/>
    <ns0:mergeCell ref="S37:T37"/>
    <ns0:mergeCell ref="U37:V37"/>
    <ns0:mergeCell ref="O38:P38"/>
    <ns0:mergeCell ref="Q38:R38"/>
    <ns0:mergeCell ref="S38:T38"/>
    <ns0:mergeCell ref="U38:V38"/>
    <ns0:mergeCell ref="S40:T40"/>
    <ns0:mergeCell ref="U40:V40"/>
    <ns0:mergeCell ref="S41:T41"/>
    <ns0:mergeCell ref="U41:V41"/>
    <ns0:mergeCell ref="Q42:V42"/>
    <ns0:mergeCell ref="Q40:R40"/>
    <ns0:mergeCell ref="Q41:R41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6CA749D9-9402-8F4B-AF74-8C77A2772452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FAF38C14-C38A-7B4F-AAFB-34E21B9A0F6A}">
      <ns0:formula1>KV_DD_DEZEMBER_3</ns0:formula1>
    </ns0:dataValidation>
    <ns0:dataValidation type="list" allowBlank="1" showInputMessage="1" showErrorMessage="1" sqref="F4" ns2:uid="{09BF868D-1063-C743-920F-0008F680CA22}">
      <ns0:formula1>KV_DD_DEZEMBER_4</ns0:formula1>
    </ns0:dataValidation>
    <ns0:dataValidation type="list" allowBlank="1" showInputMessage="1" showErrorMessage="1" sqref="F5" ns2:uid="{B1757DC0-68BE-864F-925F-24A2B775D00D}">
      <ns0:formula1>KV_DD_DEZEMBER_5</ns0:formula1>
    </ns0:dataValidation>
    <ns0:dataValidation type="list" allowBlank="1" showInputMessage="1" showErrorMessage="1" sqref="F6" ns2:uid="{5EAB226F-B404-A645-8C83-77446A606ED4}">
      <ns0:formula1>KV_DD_DEZEMBER_6</ns0:formula1>
    </ns0:dataValidation>
    <ns0:dataValidation type="list" allowBlank="1" showInputMessage="1" showErrorMessage="1" sqref="F7" ns2:uid="{B6A30681-E83D-B142-B1F5-5FB2E45A222B}">
      <ns0:formula1>KV_DD_DEZEMBER_7</ns0:formula1>
    </ns0:dataValidation>
    <ns0:dataValidation type="list" allowBlank="1" showInputMessage="1" showErrorMessage="1" sqref="F8" ns2:uid="{C4978E09-5800-F144-B238-9F2066FC7873}">
      <ns0:formula1>KV_DD_DEZEMBER_8</ns0:formula1>
    </ns0:dataValidation>
    <ns0:dataValidation type="list" allowBlank="1" showInputMessage="1" showErrorMessage="1" sqref="F9" ns2:uid="{80A8404C-E631-C740-95B1-ABB7BEA7E017}">
      <ns0:formula1>KV_DD_DEZEMBER_9</ns0:formula1>
    </ns0:dataValidation>
    <ns0:dataValidation type="list" allowBlank="1" showInputMessage="1" showErrorMessage="1" sqref="F10" ns2:uid="{B5C7A2F9-9AC4-5D44-8BBC-44DC48019A81}">
      <ns0:formula1>KV_DD_DEZEMBER_10</ns0:formula1>
    </ns0:dataValidation>
    <ns0:dataValidation type="list" allowBlank="1" showInputMessage="1" showErrorMessage="1" sqref="F11" ns2:uid="{9676E55B-F27C-D94E-9648-58E6AD8C0879}">
      <ns0:formula1>KV_DD_DEZEMBER_11</ns0:formula1>
    </ns0:dataValidation>
    <ns0:dataValidation type="list" allowBlank="1" showInputMessage="1" showErrorMessage="1" sqref="F12" ns2:uid="{238DB0DE-507A-904C-9D37-67D319F21F09}">
      <ns0:formula1>KV_DD_DEZEMBER_12</ns0:formula1>
    </ns0:dataValidation>
    <ns0:dataValidation type="list" allowBlank="1" showInputMessage="1" showErrorMessage="1" sqref="F13" ns2:uid="{6D8EFA1E-55D8-7D4C-9D62-9AAB0A1098B2}">
      <ns0:formula1>KV_DD_DEZEMBER_13</ns0:formula1>
    </ns0:dataValidation>
    <ns0:dataValidation type="list" allowBlank="1" showInputMessage="1" showErrorMessage="1" sqref="F14" ns2:uid="{BE166265-5FF3-FA4D-8D8A-0089DA141F93}">
      <ns0:formula1>KV_DD_DEZEMBER_14</ns0:formula1>
    </ns0:dataValidation>
    <ns0:dataValidation type="list" allowBlank="1" showInputMessage="1" showErrorMessage="1" sqref="F15" ns2:uid="{E87687DF-5232-BE46-BA80-2FA6E4B48039}">
      <ns0:formula1>KV_DD_DEZEMBER_15</ns0:formula1>
    </ns0:dataValidation>
    <ns0:dataValidation type="list" allowBlank="1" showInputMessage="1" showErrorMessage="1" sqref="F16" ns2:uid="{3DC2EB98-BF64-9F4D-B579-41CCB12CE3AC}">
      <ns0:formula1>KV_DD_DEZEMBER_16</ns0:formula1>
    </ns0:dataValidation>
    <ns0:dataValidation type="list" allowBlank="1" showInputMessage="1" showErrorMessage="1" sqref="F17" ns2:uid="{2426EEAA-E09A-1042-865A-5D0B7FEA19ED}">
      <ns0:formula1>KV_DD_DEZEMBER_17</ns0:formula1>
    </ns0:dataValidation>
    <ns0:dataValidation type="list" allowBlank="1" showInputMessage="1" showErrorMessage="1" sqref="F18" ns2:uid="{716C93A7-25F5-6E4B-BADC-F260841E26A4}">
      <ns0:formula1>KV_DD_DEZEMBER_18</ns0:formula1>
    </ns0:dataValidation>
    <ns0:dataValidation type="list" allowBlank="1" showInputMessage="1" showErrorMessage="1" sqref="F19" ns2:uid="{7B178FBE-A229-A147-8CBC-A3C41374669E}">
      <ns0:formula1>KV_DD_DEZEMBER_19</ns0:formula1>
    </ns0:dataValidation>
    <ns0:dataValidation type="list" allowBlank="1" showInputMessage="1" showErrorMessage="1" sqref="F20" ns2:uid="{0E9B2F9A-0905-0847-9604-4D2BE4EB0627}">
      <ns0:formula1>KV_DD_DEZEMBER_20</ns0:formula1>
    </ns0:dataValidation>
    <ns0:dataValidation type="list" allowBlank="1" showInputMessage="1" showErrorMessage="1" sqref="F21" ns2:uid="{8F55CDA5-DDC4-7041-B5DB-037E8410066A}">
      <ns0:formula1>KV_DD_DEZEMBER_21</ns0:formula1>
    </ns0:dataValidation>
    <ns0:dataValidation type="list" allowBlank="1" showInputMessage="1" showErrorMessage="1" sqref="F22" ns2:uid="{B0E67645-17A8-EE44-B809-9FA67D505ECA}">
      <ns0:formula1>KV_DD_DEZEMBER_22</ns0:formula1>
    </ns0:dataValidation>
    <ns0:dataValidation type="list" allowBlank="1" showInputMessage="1" showErrorMessage="1" sqref="F23" ns2:uid="{7F6CE4C3-297E-9744-BA4E-DB91B750018C}">
      <ns0:formula1>KV_DD_DEZEMBER_23</ns0:formula1>
    </ns0:dataValidation>
    <ns0:dataValidation type="list" allowBlank="1" showInputMessage="1" showErrorMessage="1" sqref="F24" ns2:uid="{B3A237B1-6690-5D4A-9107-0545BED17D8D}">
      <ns0:formula1>KV_DD_DEZEMBER_24</ns0:formula1>
    </ns0:dataValidation>
    <ns0:dataValidation type="list" allowBlank="1" showInputMessage="1" showErrorMessage="1" sqref="F25" ns2:uid="{D988B218-D672-B047-9192-9AA48EF334E9}">
      <ns0:formula1>KV_DD_DEZEMBER_25</ns0:formula1>
    </ns0:dataValidation>
    <ns0:dataValidation type="list" allowBlank="1" showInputMessage="1" showErrorMessage="1" sqref="F26" ns2:uid="{19D4186F-6032-EA45-8C8F-24E44043FEE3}">
      <ns0:formula1>KV_DD_DEZEMBER_26</ns0:formula1>
    </ns0:dataValidation>
    <ns0:dataValidation type="list" allowBlank="1" showInputMessage="1" showErrorMessage="1" sqref="F27" ns2:uid="{94B48BE4-7119-9648-B655-2FFF1278DC58}">
      <ns0:formula1>KV_DD_DEZEMBER_27</ns0:formula1>
    </ns0:dataValidation>
    <ns0:dataValidation type="list" allowBlank="1" showInputMessage="1" showErrorMessage="1" sqref="F28" ns2:uid="{C530C9B5-FA49-7B49-A4CA-F2E6F4D2DAC3}">
      <ns0:formula1>KV_DD_DEZEMBER_28</ns0:formula1>
    </ns0:dataValidation>
    <ns0:dataValidation type="list" allowBlank="1" showInputMessage="1" showErrorMessage="1" sqref="F29" ns2:uid="{03B36827-436A-EC49-A608-D7B2C561DDD2}">
      <ns0:formula1>KV_DD_DEZEMBER_29</ns0:formula1>
    </ns0:dataValidation>
    <ns0:dataValidation type="list" allowBlank="1" showInputMessage="1" showErrorMessage="1" sqref="F30" ns2:uid="{6ABD148D-6FAE-B046-A088-024182E8B64C}">
      <ns0:formula1>KV_DD_DEZEMBER_30</ns0:formula1>
    </ns0:dataValidation>
    <ns0:dataValidation type="list" allowBlank="1" showInputMessage="1" showErrorMessage="1" sqref="F31" ns2:uid="{6CFB4ADE-A3C2-F840-9184-843BC62484C5}">
      <ns0:formula1>KV_DD_DEZEMBER_31</ns0:formula1>
    </ns0:dataValidation>
    <ns0:dataValidation type="list" allowBlank="1" showInputMessage="1" showErrorMessage="1" sqref="F32" ns2:uid="{E0B28CE8-2395-E942-AF4A-879BFBDB035D}">
      <ns0:formula1>KV_DD_DEZEMBER_32</ns0:formula1>
    </ns0:dataValidation>
    <ns0:dataValidation type="list" allowBlank="1" showInputMessage="1" showErrorMessage="1" sqref="F33" ns2:uid="{D18C99CF-50DB-2447-B26C-2B45851BA210}">
      <ns0:formula1>KV_DD_DEZEMBER_33</ns0:formula1>
    </ns0:dataValidation>
    <ns0:dataValidation type="list" allowBlank="1" showInputMessage="1" showErrorMessage="1" sqref="F34" ns2:uid="{CBBE2B75-1A11-A448-9F00-28ABEF0E0B3C}">
      <ns0:formula1>KV_DD_DEZEMBER_34</ns0:formula1>
    </ns0:dataValidation>
    <ns0:dataValidation type="list" allowBlank="1" showInputMessage="1" showErrorMessage="1" sqref="F35" ns2:uid="{4B046A88-E30A-7A42-A838-6236C3332132}">
      <ns0:formula1>KV_DD_DEZEMBER_35</ns0:formula1>
    </ns0:dataValidation>
    <ns0:dataValidation type="list" allowBlank="1" showInputMessage="1" showErrorMessage="1" sqref="F36" ns2:uid="{F39037EC-84C9-D141-AD72-C151AC680D31}">
      <ns0:formula1>KV_DD_DEZEMBER_36</ns0:formula1>
    </ns0:dataValidation>
    <ns0:dataValidation type="list" allowBlank="1" showInputMessage="1" showErrorMessage="1" sqref="F37" ns2:uid="{5602446F-48CE-664B-A979-994905E7ADAE}">
      <ns0:formula1>KV_DD_DEZEMBER_37</ns0:formula1>
    </ns0:dataValidation>
    <ns0:dataValidation type="list" allowBlank="1" showInputMessage="1" showErrorMessage="1" sqref="F38" ns2:uid="{8EAD77E9-A2AC-C34A-90FB-969CB63E7B06}">
      <ns0:formula1>KV_DD_DEZEMBER_38</ns0:formula1>
    </ns0:dataValidation>
    <ns0:dataValidation type="list" allowBlank="1" showInputMessage="1" showErrorMessage="1" sqref="F39" ns2:uid="{A3F1CBD5-1D65-1F41-B3CC-BC37CF6C2AE1}">
      <ns0:formula1>KV_DD_DEZEMBER_39</ns0:formula1>
    </ns0:dataValidation>
    <ns0:dataValidation type="list" allowBlank="1" showInputMessage="1" showErrorMessage="1" sqref="F40" ns2:uid="{DBA3B543-4C69-0C42-BEF7-4A35B0638559}">
      <ns0:formula1>KV_DD_DEZEMBER_40</ns0:formula1>
    </ns0:dataValidation>
    <ns0:dataValidation type="list" allowBlank="1" showInputMessage="1" showErrorMessage="1" sqref="F41" ns2:uid="{DBC7730F-6F3A-AD45-86E0-59C593ADF502}">
      <ns0:formula1>KV_DD_DEZEMBER_41</ns0:formula1>
    </ns0:dataValidation>
    <ns0:dataValidation type="list" allowBlank="1" showInputMessage="1" showErrorMessage="1" sqref="F42" ns2:uid="{2D3CE5FC-8477-0F46-BD4E-A3B0E5D5408C}">
      <ns0:formula1>KV_DD_DEZEMBER_42</ns0:formula1>
    </ns0:dataValidation>
    <ns0:dataValidation type="list" allowBlank="1" showInputMessage="1" showErrorMessage="1" sqref="F43" ns2:uid="{A60B964E-5A92-7047-8139-BF6060CCF51C}">
      <ns0:formula1>KV_DD_DEZEMBER_43</ns0:formula1>
    </ns0:dataValidation>
    <ns0:dataValidation type="list" allowBlank="1" showInputMessage="1" showErrorMessage="1" sqref="F44" ns2:uid="{D93F3DCB-6DCF-F943-B331-0B699D2E8318}">
      <ns0:formula1>KV_DD_DEZEMBER_44</ns0:formula1>
    </ns0:dataValidation>
    <ns0:dataValidation type="list" allowBlank="1" showInputMessage="1" showErrorMessage="1" sqref="F45" ns2:uid="{ECAFA660-B1E4-C243-8B1C-08D8F540153F}">
      <ns0:formula1>KV_DD_DEZEMBER_45</ns0:formula1>
    </ns0:dataValidation>
    <ns0:dataValidation type="list" allowBlank="1" showInputMessage="1" showErrorMessage="1" sqref="F46" ns2:uid="{C9FE47A7-1CFF-A44B-9D19-C384B1680E57}">
      <ns0:formula1>KV_DD_DEZEMBER_46</ns0:formula1>
    </ns0:dataValidation>
    <ns0:dataValidation type="list" allowBlank="1" showInputMessage="1" showErrorMessage="1" sqref="F47" ns2:uid="{0878ED17-086A-1E4E-8DAD-C6C7D033CEA7}">
      <ns0:formula1>KV_DD_DEZEMBER_47</ns0:formula1>
    </ns0:dataValidation>
    <ns0:dataValidation type="list" allowBlank="1" showInputMessage="1" showErrorMessage="1" sqref="F48" ns2:uid="{97129DD8-86E1-224F-9AAA-51C8E6774046}">
      <ns0:formula1>KV_DD_DEZEMBER_48</ns0:formula1>
    </ns0:dataValidation>
    <ns0:dataValidation type="list" allowBlank="1" showInputMessage="1" showErrorMessage="1" sqref="F49" ns2:uid="{12E823D9-1578-EE4D-B390-955EBC22B90B}">
      <ns0:formula1>KV_DD_DEZEMBER_49</ns0:formula1>
    </ns0:dataValidation>
    <ns0:dataValidation type="list" allowBlank="1" showInputMessage="1" showErrorMessage="1" sqref="F50" ns2:uid="{9F8C882C-1EC3-6E4A-82D1-AE38143E64CC}">
      <ns0:formula1>KV_DD_DEZEMBER_50</ns0:formula1>
    </ns0:dataValidation>
    <ns0:dataValidation type="list" allowBlank="1" showInputMessage="1" showErrorMessage="1" sqref="F51" ns2:uid="{BD9FBE9B-6137-F949-8108-64FBD4B1A3D8}">
      <ns0:formula1>KV_DD_DEZEMBER_51</ns0:formula1>
    </ns0:dataValidation>
    <ns0:dataValidation type="list" allowBlank="1" showInputMessage="1" showErrorMessage="1" sqref="F52" ns2:uid="{C9507B71-DA7F-C44B-B5D1-8C76869718F2}">
      <ns0:formula1>KV_DD_DEZEMBER_52</ns0:formula1>
    </ns0:dataValidation>
    <ns0:dataValidation type="list" allowBlank="1" showInputMessage="1" showErrorMessage="1" sqref="F53" ns2:uid="{580A58AA-055C-474E-8706-C94D163F0818}">
      <ns0:formula1>KV_DD_DEZEMBER_53</ns0:formula1>
    </ns0:dataValidation>
    <ns0:dataValidation type="list" allowBlank="1" showInputMessage="1" showErrorMessage="1" sqref="F54" ns2:uid="{849B2C25-BCD2-4AD9-828A-8605FCB5038C}">
      <ns0:formula1>KV_DD_DEZEMBER_54</ns0:formula1>
    </ns0:dataValidation>
    <ns0:dataValidation type="list" allowBlank="1" showInputMessage="1" showErrorMessage="1" sqref="F55" ns2:uid="{AF986518-4AA2-48D3-A760-149278467F69}">
      <ns0:formula1>KV_DD_DEZEMBER_55</ns0:formula1>
    </ns0:dataValidation>
    <ns0:dataValidation type="list" allowBlank="1" showInputMessage="1" showErrorMessage="1" sqref="F56" ns2:uid="{D6FED0E4-62BF-4DBE-905A-C090DA85EA92}">
      <ns0:formula1>KV_DD_DEZEMBER_56</ns0:formula1>
    </ns0:dataValidation>
    <ns0:dataValidation type="list" allowBlank="1" showInputMessage="1" showErrorMessage="1" sqref="F57" ns2:uid="{91A571EA-0DBA-734C-B250-90B132AE5034}">
      <ns0:formula1>KV_DD_DEZEMBER_57</ns0:formula1>
    </ns0:dataValidation>
    <ns0:dataValidation type="list" allowBlank="1" showInputMessage="1" showErrorMessage="1" sqref="F58" ns2:uid="{9F6BA826-DFD0-E64E-975C-6EAEA002C8CA}">
      <ns0:formula1>KV_DD_DEZEMBER_58</ns0:formula1>
    </ns0:dataValidation>
    <ns0:dataValidation type="list" allowBlank="1" showInputMessage="1" showErrorMessage="1" sqref="F59" ns2:uid="{DA26B125-7EC3-4A46-BB4A-2238DB541D19}">
      <ns0:formula1>KV_DD_DEZEMBER_59</ns0:formula1>
    </ns0:dataValidation>
    <ns0:dataValidation type="list" allowBlank="1" showInputMessage="1" showErrorMessage="1" sqref="F60" ns2:uid="{AB7185DF-96B1-4042-8DBF-5B0DD9EF5BD8}">
      <ns0:formula1>KV_DD_DEZEMBER_60</ns0:formula1>
    </ns0:dataValidation>
    <ns0:dataValidation type="list" allowBlank="1" showInputMessage="1" showErrorMessage="1" sqref="F61" ns2:uid="{A790421C-31CC-D040-8784-0C758D428DE2}">
      <ns0:formula1>KV_DD_DEZEMBER_61</ns0:formula1>
    </ns0:dataValidation>
    <ns0:dataValidation type="list" allowBlank="1" showInputMessage="1" showErrorMessage="1" sqref="F62" ns2:uid="{75DC9853-77AB-48E7-AB24-6116759F962C}">
      <ns0:formula1>KV_DD_DEZEMBER_62</ns0:formula1>
    </ns0:dataValidation>
    <ns0:dataValidation type="date" allowBlank="1" showDropDown="1" showErrorMessage="1" sqref="I3:I82" ns2:uid="{FEE048E7-4D8B-084B-9DAF-986F48F23E00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extLst>
    <ns0:ext uri="{CCE6A557-97BC-4b89-ADB6-D9C93CAAB3DF}">
      <ns4:dataValidations count="1">
        <ns4:dataValidation type="list" allowBlank="1" showInputMessage="1" showErrorMessage="1" ns2:uid="{31271727-F155-794D-90FF-8E0BEC9B5EC2}">
          <ns4:formula1>
            <ns5:f>KV_DROPDOWN_HELPER!$AJY$1:$AJY$12</ns5:f>
          </ns4:formula1>
          <ns5:sqref>E3:E82</ns5:sqref>
        </ns4:dataValidation>
      </ns4:dataValidations>
    </ns0:ext>
  </ns0:extLst>
</ns0: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82" t="e">
        <f>"FINANZIELL ÜBERSICHT "&amp;#REF!</f>
        <v>#REF!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2"/>
    </row>
    <row r="3" spans="2:18" ht="15.75" customHeight="1"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2"/>
    </row>
    <row r="4" spans="2:18" ht="30" customHeight="1">
      <c r="B4" s="384"/>
      <c r="C4" s="383" t="s">
        <v>18</v>
      </c>
      <c r="D4" s="383"/>
      <c r="E4" s="383"/>
      <c r="F4" s="383" t="s">
        <v>164</v>
      </c>
      <c r="G4" s="383"/>
      <c r="H4" s="383"/>
      <c r="I4" s="383" t="s">
        <v>165</v>
      </c>
      <c r="J4" s="383"/>
      <c r="K4" s="383"/>
      <c r="L4" s="383" t="s">
        <v>166</v>
      </c>
      <c r="M4" s="383" t="s">
        <v>167</v>
      </c>
      <c r="N4" s="385" t="s">
        <v>168</v>
      </c>
      <c r="O4" s="385"/>
      <c r="P4" s="385"/>
      <c r="Q4" s="385" t="s">
        <v>93</v>
      </c>
    </row>
    <row r="5" spans="2:18" ht="30" customHeight="1">
      <c r="B5" s="384"/>
      <c r="C5" s="383"/>
      <c r="D5" s="383"/>
      <c r="E5" s="383"/>
      <c r="F5" s="383"/>
      <c r="G5" s="383"/>
      <c r="H5" s="383"/>
      <c r="I5" s="383"/>
      <c r="J5" s="383"/>
      <c r="K5" s="383"/>
      <c r="L5" s="383"/>
      <c r="M5" s="383"/>
      <c r="N5" s="385"/>
      <c r="O5" s="385"/>
      <c r="P5" s="385"/>
      <c r="Q5" s="385"/>
    </row>
    <row r="6" spans="2:18" ht="30" customHeight="1">
      <c r="B6" s="38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3"/>
      <c r="M6" s="383"/>
      <c r="N6" s="25" t="s">
        <v>172</v>
      </c>
      <c r="O6" s="25" t="s">
        <v>173</v>
      </c>
      <c r="P6" s="26" t="s">
        <v>171</v>
      </c>
      <c r="Q6" s="38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81" t="s">
        <v>190</v>
      </c>
      <c r="C25" s="381"/>
      <c r="D25" s="381"/>
      <c r="E25" s="381"/>
    </row>
    <row r="26" spans="2:17">
      <c r="B26" s="381"/>
      <c r="C26" s="381"/>
      <c r="D26" s="381"/>
      <c r="E26" s="381"/>
    </row>
    <row r="27" spans="2:17">
      <c r="B27" s="381"/>
      <c r="C27" s="381"/>
      <c r="D27" s="381"/>
      <c r="E27" s="381"/>
    </row>
    <row r="28" spans="2:17" ht="20" customHeight="1">
      <c r="B28" s="375" t="str">
        <f xml:space="preserve"> "DURCHRECHNUNGSSTUNDEN - " &amp; EINSTELLUNG!C35</f>
        <v>DURCHRECHNUNGSSTUNDEN - 2026</v>
      </c>
      <c r="C28" s="376"/>
      <c r="D28" s="376"/>
      <c r="E28" s="376"/>
      <c r="F28" s="376"/>
      <c r="G28" s="376"/>
      <c r="H28" s="376"/>
      <c r="I28" s="376"/>
    </row>
    <row r="29" spans="2:17" ht="36" customHeight="1">
      <c r="B29" s="377" t="s">
        <v>461</v>
      </c>
      <c r="C29" s="378"/>
      <c r="D29" s="378"/>
      <c r="E29" s="378"/>
      <c r="F29" s="378"/>
      <c r="G29" s="378"/>
      <c r="H29" s="378"/>
      <c r="I29" s="378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79" t="s">
        <v>476</v>
      </c>
      <c r="C36" s="380"/>
      <c r="D36" s="380"/>
      <c r="E36" s="380"/>
      <c r="F36" s="380"/>
      <c r="G36" s="380"/>
      <c r="H36" s="380"/>
      <c r="I36" s="380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LWw9SlQyS1RAil5ZLw2hkNIHIdPDycZyqlEBF6iVDLP6GOflYhmp6wHiXt8hTTgMOKVZCVKocJ+V+A8TGtVxwQ==" saltValue="OfzreQBaU+pW2K606G6Lz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UOO9f/Juw8LmISv/9lNJryy0pwI92SQji0z70B+y2XKT/FIIthDOAngMMJQJv+ueLukKFsP2o9BfXNUyWoSkrw==" saltValue="2tpegnp7XSkeq6O5y0ASf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87" t="s">
        <v>362</v>
      </c>
      <c r="B1" s="388"/>
      <c r="C1" s="388"/>
      <c r="D1" s="388"/>
      <c r="E1" s="388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89" t="s">
        <v>366</v>
      </c>
      <c r="B4" s="390"/>
      <c r="C4" s="390"/>
      <c r="D4" s="390"/>
      <c r="E4" s="390"/>
      <c r="P4" s="157" t="s">
        <v>321</v>
      </c>
      <c r="Q4" s="157">
        <v>1</v>
      </c>
    </row>
    <row r="5" spans="1:17" ht="30" customHeight="1">
      <c r="A5" s="397" t="s">
        <v>300</v>
      </c>
      <c r="B5" s="399" t="s">
        <v>360</v>
      </c>
      <c r="C5" s="391" t="s">
        <v>367</v>
      </c>
      <c r="D5" s="392"/>
      <c r="E5" s="393"/>
      <c r="P5" s="157" t="s">
        <v>182</v>
      </c>
      <c r="Q5" s="157">
        <v>1</v>
      </c>
    </row>
    <row r="6" spans="1:17" ht="30" customHeight="1" thickBot="1">
      <c r="A6" s="398"/>
      <c r="B6" s="398"/>
      <c r="C6" s="394"/>
      <c r="D6" s="395"/>
      <c r="E6" s="396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400" t="s">
        <v>375</v>
      </c>
      <c r="E12" s="400"/>
    </row>
    <row r="13" spans="1:17" ht="57.25" customHeight="1">
      <c r="A13" s="153">
        <v>1</v>
      </c>
      <c r="B13" s="152" t="s">
        <v>230</v>
      </c>
      <c r="C13" s="152" t="s">
        <v>389</v>
      </c>
      <c r="D13" s="386" t="s">
        <v>376</v>
      </c>
      <c r="E13" s="386"/>
    </row>
    <row r="14" spans="1:17" ht="73" customHeight="1">
      <c r="A14" s="153">
        <v>2</v>
      </c>
      <c r="B14" s="152" t="s">
        <v>230</v>
      </c>
      <c r="C14" s="152" t="s">
        <v>390</v>
      </c>
      <c r="D14" s="386" t="s">
        <v>376</v>
      </c>
      <c r="E14" s="386"/>
    </row>
    <row r="15" spans="1:17" ht="73" customHeight="1">
      <c r="A15" s="153">
        <v>3</v>
      </c>
      <c r="B15" s="152" t="s">
        <v>377</v>
      </c>
      <c r="C15" s="152" t="s">
        <v>391</v>
      </c>
      <c r="D15" s="386" t="s">
        <v>378</v>
      </c>
      <c r="E15" s="386"/>
    </row>
    <row r="16" spans="1:17" ht="57.25" customHeight="1">
      <c r="A16" s="153">
        <v>4</v>
      </c>
      <c r="B16" s="152" t="s">
        <v>231</v>
      </c>
      <c r="C16" s="152" t="s">
        <v>392</v>
      </c>
      <c r="D16" s="386" t="s">
        <v>379</v>
      </c>
      <c r="E16" s="386"/>
    </row>
    <row r="17" spans="1:17" ht="57.25" customHeight="1">
      <c r="A17" s="153">
        <v>5</v>
      </c>
      <c r="B17" s="152" t="s">
        <v>377</v>
      </c>
      <c r="C17" s="152" t="s">
        <v>393</v>
      </c>
      <c r="D17" s="386" t="s">
        <v>378</v>
      </c>
      <c r="E17" s="386"/>
    </row>
    <row r="18" spans="1:17" ht="57.25" customHeight="1">
      <c r="A18" s="153">
        <v>6</v>
      </c>
      <c r="B18" s="152" t="s">
        <v>231</v>
      </c>
      <c r="C18" s="152" t="s">
        <v>394</v>
      </c>
      <c r="D18" s="386" t="s">
        <v>379</v>
      </c>
      <c r="E18" s="386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86" t="s">
        <v>381</v>
      </c>
      <c r="C22" s="386"/>
      <c r="D22" s="386"/>
      <c r="E22" s="386"/>
      <c r="P22" s="157" t="s">
        <v>350</v>
      </c>
      <c r="Q22" s="157">
        <v>2</v>
      </c>
    </row>
    <row r="23" spans="1:17" ht="41.5" customHeight="1">
      <c r="A23" s="153">
        <v>2</v>
      </c>
      <c r="B23" s="386" t="s">
        <v>382</v>
      </c>
      <c r="C23" s="386"/>
      <c r="D23" s="386"/>
      <c r="E23" s="386"/>
      <c r="P23" s="157" t="s">
        <v>227</v>
      </c>
      <c r="Q23" s="157">
        <v>2</v>
      </c>
    </row>
    <row r="24" spans="1:17" ht="41.5" customHeight="1">
      <c r="A24" s="153">
        <v>3</v>
      </c>
      <c r="B24" s="386" t="s">
        <v>383</v>
      </c>
      <c r="C24" s="386"/>
      <c r="D24" s="386"/>
      <c r="E24" s="386"/>
      <c r="P24" s="157" t="s">
        <v>386</v>
      </c>
      <c r="Q24" s="157">
        <v>3</v>
      </c>
    </row>
    <row r="25" spans="1:17" ht="41.5" customHeight="1">
      <c r="A25" s="153">
        <v>4</v>
      </c>
      <c r="B25" s="386" t="s">
        <v>384</v>
      </c>
      <c r="C25" s="386"/>
      <c r="D25" s="386"/>
      <c r="E25" s="386"/>
    </row>
    <row r="27" spans="1:17" ht="15" customHeight="1">
      <c r="A27" s="401" t="s">
        <v>387</v>
      </c>
      <c r="B27" s="401"/>
      <c r="C27" s="401"/>
      <c r="D27" s="401"/>
      <c r="E27" s="401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403" t="s">
        <v>388</v>
      </c>
      <c r="B61" s="388"/>
      <c r="C61" s="388"/>
      <c r="D61" s="388"/>
      <c r="E61" s="388"/>
      <c r="F61" s="388"/>
      <c r="G61" s="388"/>
      <c r="H61" s="388"/>
      <c r="I61" s="388"/>
      <c r="J61" s="388"/>
      <c r="K61" s="388"/>
      <c r="L61" s="388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86" t="s">
        <v>291</v>
      </c>
      <c r="K64" s="386"/>
      <c r="L64" s="386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86" t="s">
        <v>325</v>
      </c>
      <c r="K65" s="386"/>
      <c r="L65" s="386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86" t="s">
        <v>325</v>
      </c>
      <c r="K66" s="386"/>
      <c r="L66" s="386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86" t="s">
        <v>351</v>
      </c>
      <c r="K67" s="386"/>
      <c r="L67" s="386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86" t="s">
        <v>327</v>
      </c>
      <c r="K68" s="386"/>
      <c r="L68" s="386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86" t="s">
        <v>291</v>
      </c>
      <c r="K69" s="386"/>
      <c r="L69" s="386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86" t="s">
        <v>351</v>
      </c>
      <c r="K70" s="386"/>
      <c r="L70" s="386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86" t="s">
        <v>327</v>
      </c>
      <c r="K71" s="386"/>
      <c r="L71" s="386"/>
    </row>
    <row r="75" spans="1:12" ht="15" customHeight="1">
      <c r="A75" s="404" t="s">
        <v>310</v>
      </c>
      <c r="B75" s="405"/>
      <c r="C75" s="405"/>
      <c r="D75" s="405"/>
      <c r="E75" s="405"/>
    </row>
    <row r="76" spans="1:12" ht="41.5" customHeight="1">
      <c r="A76" s="160" t="s">
        <v>232</v>
      </c>
      <c r="B76" s="402" t="s">
        <v>234</v>
      </c>
      <c r="C76" s="402"/>
      <c r="D76" s="402"/>
      <c r="E76" s="402"/>
    </row>
    <row r="77" spans="1:12" ht="41.5" customHeight="1">
      <c r="A77" s="160" t="s">
        <v>225</v>
      </c>
      <c r="B77" s="402" t="s">
        <v>311</v>
      </c>
      <c r="C77" s="402"/>
      <c r="D77" s="402"/>
      <c r="E77" s="402"/>
    </row>
    <row r="78" spans="1:12" ht="41.5" customHeight="1">
      <c r="A78" s="160" t="s">
        <v>287</v>
      </c>
      <c r="B78" s="402" t="s">
        <v>312</v>
      </c>
      <c r="C78" s="402"/>
      <c r="D78" s="402"/>
      <c r="E78" s="402"/>
    </row>
    <row r="79" spans="1:12" ht="41.5" customHeight="1">
      <c r="A79" s="160" t="s">
        <v>230</v>
      </c>
      <c r="B79" s="402" t="s">
        <v>313</v>
      </c>
      <c r="C79" s="402"/>
      <c r="D79" s="402"/>
      <c r="E79" s="402"/>
    </row>
    <row r="80" spans="1:12" ht="41.5" customHeight="1">
      <c r="A80" s="160" t="s">
        <v>226</v>
      </c>
      <c r="B80" s="402" t="s">
        <v>314</v>
      </c>
      <c r="C80" s="402"/>
      <c r="D80" s="402"/>
      <c r="E80" s="402"/>
    </row>
    <row r="81" spans="1:5" ht="41.5" customHeight="1">
      <c r="A81" s="160" t="s">
        <v>231</v>
      </c>
      <c r="B81" s="402" t="s">
        <v>315</v>
      </c>
      <c r="C81" s="402"/>
      <c r="D81" s="402"/>
      <c r="E81" s="402"/>
    </row>
    <row r="82" spans="1:5" ht="28" customHeight="1">
      <c r="A82" s="160" t="s">
        <v>228</v>
      </c>
      <c r="B82" s="402" t="s">
        <v>316</v>
      </c>
      <c r="C82" s="402"/>
      <c r="D82" s="402"/>
      <c r="E82" s="402"/>
    </row>
    <row r="83" spans="1:5" ht="28" customHeight="1">
      <c r="A83" s="160" t="s">
        <v>317</v>
      </c>
      <c r="B83" s="402" t="s">
        <v>318</v>
      </c>
      <c r="C83" s="402"/>
      <c r="D83" s="402"/>
      <c r="E83" s="402"/>
    </row>
  </sheetData>
  <sheetProtection algorithmName="SHA-512" hashValue="6QLxUYJrxCI2EjgdxekBKOqRFtWXk0Wchm9SPsVCUanDdQCJ1MTSQUw3JR/SWDsQgWAuQYmH23g9IlBFF3Mcvw==" saltValue="NDNtdrKnVVzRyUF+edtTwg==" spinCount="100000" sheet="1" objects="1" scenarios="1" sort="0" autoFilter="0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c8F1fzSkRZLfKJ4fOb3WeWMcDml0JHLGPOk1opomGu54lYjsqTa77s65AULdDZSZlYDf1Wbay9+GvbkY2e7hA==" saltValue="6xJdSR8LVVrDIhHOPqCV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  <c r="AJY1" t="s">
        <v>2</v>
      </c>
    </row>
    <row r="2" spans="1:961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  <c r="AJY2" t="s">
        <v>3</v>
      </c>
    </row>
    <row r="3" spans="1:961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  <c r="AJY3" t="s">
        <v>4</v>
      </c>
    </row>
    <row r="4" spans="1:961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  <c r="AJY4" t="s">
        <v>5</v>
      </c>
    </row>
    <row r="5" spans="1:961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  <c r="AJY5" t="s">
        <v>6</v>
      </c>
    </row>
    <row r="6" spans="1:961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  <c r="AJY6" t="s">
        <v>7</v>
      </c>
    </row>
    <row r="7" spans="1:961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  <c r="AJY7" t="s">
        <v>8</v>
      </c>
    </row>
    <row r="8" spans="1:961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  <c r="AJY8" t="s">
        <v>9</v>
      </c>
    </row>
    <row r="9" spans="1:961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  <c r="AJY9" t="s">
        <v>10</v>
      </c>
    </row>
    <row r="10" spans="1:961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  <c r="AJY10" t="s">
        <v>11</v>
      </c>
    </row>
    <row r="11" spans="1:961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  <c r="AJY11" t="s">
        <v>12</v>
      </c>
    </row>
    <row r="12" spans="1:961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  <c r="AJY12" t="s">
        <v>13</v>
      </c>
    </row>
    <row r="13" spans="1:961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61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61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y7vq0klgb6yQQCcmX3QJNqrD8WEQ8mZT2+gpZRsXgOgx2Iua+7eHdpS6Mxj8faEIrvgpUpMMNAl+57B2nsRKXg==" saltValue="DlZhY67kHHSY9zU3K40w/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2026-05-22T10:17:45Z</dcterms:modified>
  <cp:category/>
  <cp:contentStatus/>
</cp:coreProperties>
</file>
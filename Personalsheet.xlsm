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C9E06B37-C6D9-7846-9AE9-1824CDA3B41A}" xr6:coauthVersionLast="47" xr6:coauthVersionMax="47" xr10:uidLastSave="{00000000-0000-0000-0000-000000000000}"/>
  <bookViews>
    <workbookView xWindow="80" yWindow="800" windowWidth="34040" windowHeight="19900" tabRatio="677" firstSheet="1" activeTab="16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5" i="15" l="1"/>
  <c r="I34" i="15"/>
  <c r="I33" i="15"/>
  <c r="E35" i="15"/>
  <c r="E34" i="15"/>
  <c r="E33" i="15"/>
  <c r="E32" i="15"/>
  <c r="B28" i="15"/>
  <c r="G59" i="35"/>
  <c r="G60" i="35"/>
  <c r="G61" i="35"/>
  <c r="G62" i="35"/>
  <c r="G63" i="35"/>
  <c r="G64" i="35"/>
  <c r="K64" i="35" s="1"/>
  <c r="G65" i="35"/>
  <c r="K65" i="35" s="1"/>
  <c r="G66" i="35"/>
  <c r="G67" i="35"/>
  <c r="G68" i="35"/>
  <c r="G69" i="35"/>
  <c r="G70" i="35"/>
  <c r="G71" i="35"/>
  <c r="G72" i="35"/>
  <c r="G73" i="35"/>
  <c r="K73" i="35" s="1"/>
  <c r="G74" i="35"/>
  <c r="G75" i="35"/>
  <c r="G76" i="35"/>
  <c r="K76" i="35" s="1"/>
  <c r="G77" i="35"/>
  <c r="K77" i="35" s="1"/>
  <c r="G78" i="35"/>
  <c r="G79" i="35"/>
  <c r="K79" i="35" s="1"/>
  <c r="G80" i="35"/>
  <c r="G81" i="35"/>
  <c r="G82" i="35"/>
  <c r="G60" i="36"/>
  <c r="G61" i="36"/>
  <c r="K61" i="36" s="1"/>
  <c r="G62" i="36"/>
  <c r="G63" i="36"/>
  <c r="K63" i="36" s="1"/>
  <c r="G64" i="36"/>
  <c r="G65" i="36"/>
  <c r="G66" i="36"/>
  <c r="G67" i="36"/>
  <c r="G68" i="36"/>
  <c r="G69" i="36"/>
  <c r="G70" i="36"/>
  <c r="G71" i="36"/>
  <c r="K71" i="36" s="1"/>
  <c r="G72" i="36"/>
  <c r="K72" i="36" s="1"/>
  <c r="G73" i="36"/>
  <c r="G74" i="36"/>
  <c r="G75" i="36"/>
  <c r="G76" i="36"/>
  <c r="G77" i="36"/>
  <c r="G78" i="36"/>
  <c r="K78" i="36" s="1"/>
  <c r="G79" i="36"/>
  <c r="G80" i="36"/>
  <c r="G81" i="36"/>
  <c r="K81" i="36" s="1"/>
  <c r="G82" i="36"/>
  <c r="G61" i="33"/>
  <c r="G62" i="33"/>
  <c r="G63" i="33"/>
  <c r="G64" i="33"/>
  <c r="G65" i="33"/>
  <c r="K65" i="33" s="1"/>
  <c r="G66" i="33"/>
  <c r="G67" i="33"/>
  <c r="G68" i="33"/>
  <c r="G69" i="33"/>
  <c r="K69" i="33" s="1"/>
  <c r="G70" i="33"/>
  <c r="G71" i="33"/>
  <c r="G72" i="33"/>
  <c r="G73" i="33"/>
  <c r="K73" i="33" s="1"/>
  <c r="G74" i="33"/>
  <c r="G75" i="33"/>
  <c r="G76" i="33"/>
  <c r="G77" i="33"/>
  <c r="G78" i="33"/>
  <c r="G79" i="33"/>
  <c r="K79" i="33" s="1"/>
  <c r="G80" i="33"/>
  <c r="G81" i="33"/>
  <c r="G82" i="33"/>
  <c r="G62" i="32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G74" i="32"/>
  <c r="G75" i="32"/>
  <c r="G76" i="32"/>
  <c r="G77" i="32"/>
  <c r="G78" i="32"/>
  <c r="G79" i="32"/>
  <c r="G80" i="32"/>
  <c r="G81" i="32"/>
  <c r="G82" i="32"/>
  <c r="G64" i="31"/>
  <c r="G65" i="31"/>
  <c r="G66" i="31"/>
  <c r="G67" i="31"/>
  <c r="K67" i="31" s="1"/>
  <c r="G68" i="31"/>
  <c r="G69" i="31"/>
  <c r="G70" i="31"/>
  <c r="G71" i="31"/>
  <c r="K71" i="31" s="1"/>
  <c r="G72" i="31"/>
  <c r="K72" i="31" s="1"/>
  <c r="G73" i="31"/>
  <c r="G74" i="31"/>
  <c r="G75" i="31"/>
  <c r="G76" i="31"/>
  <c r="G77" i="31"/>
  <c r="G78" i="31"/>
  <c r="G79" i="31"/>
  <c r="G80" i="31"/>
  <c r="K80" i="31" s="1"/>
  <c r="G81" i="31"/>
  <c r="G82" i="31"/>
  <c r="G65" i="30"/>
  <c r="G66" i="30"/>
  <c r="G67" i="30"/>
  <c r="G68" i="30"/>
  <c r="G69" i="30"/>
  <c r="G70" i="30"/>
  <c r="K70" i="30" s="1"/>
  <c r="G71" i="30"/>
  <c r="K71" i="30" s="1"/>
  <c r="G72" i="30"/>
  <c r="G73" i="30"/>
  <c r="G74" i="30"/>
  <c r="G75" i="30"/>
  <c r="G76" i="30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G69" i="37"/>
  <c r="G70" i="37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G65" i="28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77" i="31"/>
  <c r="K68" i="30"/>
  <c r="K76" i="30"/>
  <c r="K67" i="25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67" i="35"/>
  <c r="K69" i="35"/>
  <c r="K75" i="35"/>
  <c r="K81" i="35"/>
  <c r="K60" i="36"/>
  <c r="K76" i="36"/>
  <c r="K77" i="36"/>
  <c r="K71" i="33"/>
  <c r="K65" i="32"/>
  <c r="K67" i="32"/>
  <c r="K73" i="32"/>
  <c r="K81" i="32"/>
  <c r="K75" i="30"/>
  <c r="K65" i="28"/>
  <c r="K73" i="31"/>
  <c r="L73" i="31" s="1"/>
  <c r="K68" i="27"/>
  <c r="K76" i="27"/>
  <c r="K60" i="35"/>
  <c r="K62" i="35"/>
  <c r="K68" i="35"/>
  <c r="K70" i="35"/>
  <c r="K72" i="35"/>
  <c r="K8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K69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K68" i="33"/>
  <c r="K70" i="33"/>
  <c r="K78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K74" i="32"/>
  <c r="K76" i="32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K68" i="37"/>
  <c r="K70" i="37"/>
  <c r="K82" i="37"/>
  <c r="K78" i="25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35" i="35"/>
  <c r="G43" i="36"/>
  <c r="G43" i="33"/>
  <c r="G43" i="32"/>
  <c r="G43" i="31"/>
  <c r="G43" i="30"/>
  <c r="G43" i="37"/>
  <c r="G43" i="28"/>
  <c r="G43" i="27"/>
  <c r="G43" i="26"/>
  <c r="G43" i="25"/>
  <c r="G43" i="3"/>
  <c r="G52" i="35"/>
  <c r="G4" i="33"/>
  <c r="G4" i="32"/>
  <c r="G4" i="31"/>
  <c r="G4" i="30"/>
  <c r="G4" i="37"/>
  <c r="G4" i="28"/>
  <c r="G4" i="27"/>
  <c r="G4" i="26"/>
  <c r="G4" i="25"/>
  <c r="G4" i="3"/>
  <c r="G13" i="35"/>
  <c r="G21" i="36"/>
  <c r="G29" i="33"/>
  <c r="G37" i="32"/>
  <c r="G37" i="31"/>
  <c r="G37" i="30"/>
  <c r="G37" i="37"/>
  <c r="G37" i="28"/>
  <c r="G37" i="27"/>
  <c r="G37" i="26"/>
  <c r="G37" i="25"/>
  <c r="G37" i="3"/>
  <c r="G46" i="35"/>
  <c r="G54" i="36"/>
  <c r="G6" i="32"/>
  <c r="G14" i="31"/>
  <c r="G14" i="30"/>
  <c r="G14" i="37"/>
  <c r="G14" i="28"/>
  <c r="G14" i="27"/>
  <c r="G14" i="26"/>
  <c r="G14" i="25"/>
  <c r="G22" i="3"/>
  <c r="G31" i="35"/>
  <c r="G39" i="36"/>
  <c r="G47" i="33"/>
  <c r="G55" i="32"/>
  <c r="G63" i="31"/>
  <c r="G63" i="30"/>
  <c r="G63" i="37"/>
  <c r="G63" i="28"/>
  <c r="G7" i="26"/>
  <c r="G15" i="25"/>
  <c r="G23" i="3"/>
  <c r="G40" i="35"/>
  <c r="G48" i="36"/>
  <c r="G56" i="33"/>
  <c r="G8" i="31"/>
  <c r="G16" i="30"/>
  <c r="G16" i="37"/>
  <c r="G16" i="28"/>
  <c r="G16" i="27"/>
  <c r="G24" i="26"/>
  <c r="G32" i="25"/>
  <c r="G40" i="3"/>
  <c r="G57" i="35"/>
  <c r="G9" i="33"/>
  <c r="G17" i="32"/>
  <c r="G25" i="31"/>
  <c r="G33" i="30"/>
  <c r="G41" i="37"/>
  <c r="G49" i="28"/>
  <c r="G57" i="27"/>
  <c r="G9" i="25"/>
  <c r="G17" i="3"/>
  <c r="G34" i="35"/>
  <c r="G42" i="36"/>
  <c r="G50" i="33"/>
  <c r="G58" i="32"/>
  <c r="G10" i="30"/>
  <c r="G18" i="37"/>
  <c r="G26" i="28"/>
  <c r="G34" i="27"/>
  <c r="G42" i="26"/>
  <c r="G50" i="25"/>
  <c r="G51" i="35"/>
  <c r="G59" i="36"/>
  <c r="G59" i="33"/>
  <c r="G59" i="32"/>
  <c r="G59" i="31"/>
  <c r="G59" i="30"/>
  <c r="G59" i="37"/>
  <c r="G59" i="28"/>
  <c r="G59" i="27"/>
  <c r="G59" i="26"/>
  <c r="G59" i="25"/>
  <c r="G4" i="35"/>
  <c r="G12" i="36"/>
  <c r="G20" i="33"/>
  <c r="G20" i="32"/>
  <c r="G20" i="31"/>
  <c r="G20" i="30"/>
  <c r="G20" i="37"/>
  <c r="G20" i="28"/>
  <c r="G20" i="27"/>
  <c r="G20" i="26"/>
  <c r="G20" i="25"/>
  <c r="G20" i="3"/>
  <c r="G29" i="35"/>
  <c r="G37" i="36"/>
  <c r="G45" i="33"/>
  <c r="G53" i="32"/>
  <c r="G53" i="31"/>
  <c r="G53" i="30"/>
  <c r="G53" i="37"/>
  <c r="G53" i="28"/>
  <c r="G53" i="27"/>
  <c r="G53" i="26"/>
  <c r="G53" i="25"/>
  <c r="G53" i="3"/>
  <c r="G6" i="36"/>
  <c r="G14" i="33"/>
  <c r="G22" i="32"/>
  <c r="G30" i="31"/>
  <c r="G30" i="30"/>
  <c r="G30" i="37"/>
  <c r="G30" i="28"/>
  <c r="G30" i="27"/>
  <c r="G30" i="26"/>
  <c r="G30" i="25"/>
  <c r="G38" i="3"/>
  <c r="G47" i="35"/>
  <c r="G55" i="36"/>
  <c r="G7" i="32"/>
  <c r="G15" i="31"/>
  <c r="G15" i="30"/>
  <c r="G15" i="37"/>
  <c r="G15" i="28"/>
  <c r="G15" i="27"/>
  <c r="G23" i="26"/>
  <c r="G31" i="25"/>
  <c r="G39" i="3"/>
  <c r="G56" i="35"/>
  <c r="G8" i="33"/>
  <c r="G16" i="32"/>
  <c r="G24" i="31"/>
  <c r="G32" i="30"/>
  <c r="G32" i="37"/>
  <c r="G32" i="28"/>
  <c r="G32" i="27"/>
  <c r="G40" i="26"/>
  <c r="G48" i="25"/>
  <c r="G9" i="35"/>
  <c r="G17" i="36"/>
  <c r="G25" i="33"/>
  <c r="G33" i="32"/>
  <c r="G41" i="31"/>
  <c r="G49" i="30"/>
  <c r="G57" i="37"/>
  <c r="G9" i="27"/>
  <c r="G17" i="26"/>
  <c r="G25" i="25"/>
  <c r="G33" i="3"/>
  <c r="G50" i="35"/>
  <c r="G58" i="36"/>
  <c r="G10" i="32"/>
  <c r="G18" i="31"/>
  <c r="G26" i="30"/>
  <c r="G34" i="37"/>
  <c r="G42" i="28"/>
  <c r="G50" i="27"/>
  <c r="G58" i="26"/>
  <c r="G10" i="3"/>
  <c r="G3" i="35"/>
  <c r="G11" i="36"/>
  <c r="G11" i="33"/>
  <c r="G11" i="32"/>
  <c r="G11" i="31"/>
  <c r="G11" i="30"/>
  <c r="G11" i="37"/>
  <c r="G11" i="28"/>
  <c r="G11" i="27"/>
  <c r="G11" i="26"/>
  <c r="G11" i="25"/>
  <c r="G11" i="3"/>
  <c r="G20" i="35"/>
  <c r="G28" i="36"/>
  <c r="G36" i="33"/>
  <c r="G36" i="32"/>
  <c r="G36" i="31"/>
  <c r="G36" i="30"/>
  <c r="G36" i="37"/>
  <c r="G36" i="28"/>
  <c r="G36" i="27"/>
  <c r="G36" i="26"/>
  <c r="G36" i="25"/>
  <c r="G36" i="3"/>
  <c r="G45" i="35"/>
  <c r="G53" i="36"/>
  <c r="G5" i="32"/>
  <c r="G5" i="31"/>
  <c r="G5" i="30"/>
  <c r="G5" i="37"/>
  <c r="G5" i="28"/>
  <c r="G5" i="27"/>
  <c r="G5" i="26"/>
  <c r="G5" i="25"/>
  <c r="G5" i="3"/>
  <c r="G14" i="35"/>
  <c r="G22" i="36"/>
  <c r="G30" i="33"/>
  <c r="G38" i="32"/>
  <c r="G46" i="31"/>
  <c r="G46" i="30"/>
  <c r="G46" i="37"/>
  <c r="G46" i="28"/>
  <c r="G46" i="27"/>
  <c r="G46" i="26"/>
  <c r="G46" i="25"/>
  <c r="G54" i="3"/>
  <c r="G7" i="36"/>
  <c r="G15" i="33"/>
  <c r="G23" i="32"/>
  <c r="G31" i="31"/>
  <c r="G31" i="30"/>
  <c r="G31" i="37"/>
  <c r="G31" i="28"/>
  <c r="G31" i="27"/>
  <c r="G39" i="26"/>
  <c r="G47" i="25"/>
  <c r="G8" i="35"/>
  <c r="G16" i="36"/>
  <c r="G24" i="33"/>
  <c r="G32" i="32"/>
  <c r="G40" i="31"/>
  <c r="G48" i="30"/>
  <c r="G48" i="37"/>
  <c r="G48" i="28"/>
  <c r="G48" i="27"/>
  <c r="G56" i="26"/>
  <c r="G8" i="3"/>
  <c r="G25" i="35"/>
  <c r="G33" i="36"/>
  <c r="G41" i="33"/>
  <c r="G49" i="32"/>
  <c r="G57" i="31"/>
  <c r="G9" i="37"/>
  <c r="G17" i="28"/>
  <c r="G25" i="27"/>
  <c r="G33" i="26"/>
  <c r="G41" i="25"/>
  <c r="G49" i="3"/>
  <c r="G10" i="36"/>
  <c r="G18" i="33"/>
  <c r="G26" i="32"/>
  <c r="G34" i="31"/>
  <c r="G42" i="30"/>
  <c r="G50" i="37"/>
  <c r="G58" i="28"/>
  <c r="G10" i="26"/>
  <c r="G18" i="25"/>
  <c r="G26" i="3"/>
  <c r="G11" i="35"/>
  <c r="G19" i="36"/>
  <c r="G19" i="33"/>
  <c r="G19" i="32"/>
  <c r="G19" i="31"/>
  <c r="G19" i="30"/>
  <c r="G19" i="37"/>
  <c r="G19" i="28"/>
  <c r="G19" i="27"/>
  <c r="G19" i="26"/>
  <c r="G19" i="25"/>
  <c r="G19" i="3"/>
  <c r="G28" i="35"/>
  <c r="G36" i="36"/>
  <c r="G44" i="33"/>
  <c r="G44" i="32"/>
  <c r="G44" i="31"/>
  <c r="G44" i="30"/>
  <c r="G44" i="37"/>
  <c r="G44" i="28"/>
  <c r="G44" i="27"/>
  <c r="G44" i="26"/>
  <c r="G44" i="25"/>
  <c r="G44" i="3"/>
  <c r="G53" i="35"/>
  <c r="G5" i="33"/>
  <c r="G13" i="32"/>
  <c r="G13" i="31"/>
  <c r="G13" i="30"/>
  <c r="G13" i="37"/>
  <c r="G13" i="28"/>
  <c r="G13" i="27"/>
  <c r="G13" i="26"/>
  <c r="G13" i="25"/>
  <c r="G13" i="3"/>
  <c r="G19" i="35"/>
  <c r="G27" i="36"/>
  <c r="G27" i="33"/>
  <c r="G27" i="32"/>
  <c r="G27" i="31"/>
  <c r="G27" i="30"/>
  <c r="G27" i="37"/>
  <c r="G27" i="28"/>
  <c r="G27" i="27"/>
  <c r="G27" i="26"/>
  <c r="G27" i="25"/>
  <c r="G27" i="3"/>
  <c r="G36" i="35"/>
  <c r="G44" i="36"/>
  <c r="G52" i="33"/>
  <c r="G52" i="32"/>
  <c r="G52" i="31"/>
  <c r="G52" i="30"/>
  <c r="G52" i="37"/>
  <c r="G52" i="28"/>
  <c r="G52" i="27"/>
  <c r="G52" i="26"/>
  <c r="G52" i="25"/>
  <c r="G52" i="3"/>
  <c r="G5" i="36"/>
  <c r="G13" i="33"/>
  <c r="G21" i="32"/>
  <c r="G21" i="31"/>
  <c r="G21" i="30"/>
  <c r="G21" i="37"/>
  <c r="G21" i="28"/>
  <c r="G21" i="27"/>
  <c r="G21" i="26"/>
  <c r="G21" i="25"/>
  <c r="G21" i="3"/>
  <c r="G30" i="35"/>
  <c r="G38" i="36"/>
  <c r="G46" i="33"/>
  <c r="G54" i="32"/>
  <c r="G62" i="31"/>
  <c r="G62" i="30"/>
  <c r="G62" i="37"/>
  <c r="G62" i="28"/>
  <c r="G62" i="27"/>
  <c r="G62" i="26"/>
  <c r="G6" i="3"/>
  <c r="G15" i="35"/>
  <c r="G23" i="36"/>
  <c r="G31" i="33"/>
  <c r="G39" i="32"/>
  <c r="G47" i="31"/>
  <c r="G47" i="30"/>
  <c r="G47" i="37"/>
  <c r="G47" i="28"/>
  <c r="G47" i="27"/>
  <c r="G55" i="26"/>
  <c r="G7" i="3"/>
  <c r="G24" i="35"/>
  <c r="G32" i="36"/>
  <c r="G40" i="33"/>
  <c r="G48" i="32"/>
  <c r="G56" i="31"/>
  <c r="G64" i="30"/>
  <c r="G64" i="37"/>
  <c r="G64" i="28"/>
  <c r="G8" i="26"/>
  <c r="G16" i="25"/>
  <c r="G24" i="3"/>
  <c r="G41" i="35"/>
  <c r="G49" i="36"/>
  <c r="G57" i="33"/>
  <c r="G9" i="31"/>
  <c r="G17" i="30"/>
  <c r="G25" i="37"/>
  <c r="G33" i="28"/>
  <c r="G41" i="27"/>
  <c r="G49" i="26"/>
  <c r="G57" i="25"/>
  <c r="G18" i="35"/>
  <c r="G26" i="36"/>
  <c r="G34" i="33"/>
  <c r="G42" i="32"/>
  <c r="G50" i="31"/>
  <c r="G58" i="30"/>
  <c r="G10" i="28"/>
  <c r="G18" i="27"/>
  <c r="G26" i="26"/>
  <c r="G34" i="25"/>
  <c r="G42" i="3"/>
  <c r="G27" i="35"/>
  <c r="G3" i="32"/>
  <c r="G51" i="30"/>
  <c r="G35" i="27"/>
  <c r="G3" i="3"/>
  <c r="G12" i="33"/>
  <c r="G60" i="31"/>
  <c r="G28" i="28"/>
  <c r="G12" i="25"/>
  <c r="G13" i="36"/>
  <c r="G61" i="32"/>
  <c r="G45" i="37"/>
  <c r="G29" i="26"/>
  <c r="G6" i="35"/>
  <c r="G22" i="33"/>
  <c r="G38" i="31"/>
  <c r="G38" i="37"/>
  <c r="G38" i="27"/>
  <c r="G38" i="25"/>
  <c r="G55" i="35"/>
  <c r="G15" i="32"/>
  <c r="G23" i="30"/>
  <c r="G23" i="28"/>
  <c r="G31" i="26"/>
  <c r="G47" i="3"/>
  <c r="G16" i="33"/>
  <c r="G32" i="31"/>
  <c r="G40" i="37"/>
  <c r="G40" i="27"/>
  <c r="G56" i="25"/>
  <c r="G25" i="36"/>
  <c r="G41" i="32"/>
  <c r="G57" i="30"/>
  <c r="G17" i="27"/>
  <c r="G33" i="25"/>
  <c r="G58" i="35"/>
  <c r="G18" i="32"/>
  <c r="G34" i="30"/>
  <c r="G50" i="28"/>
  <c r="G10" i="25"/>
  <c r="G35" i="36"/>
  <c r="G3" i="31"/>
  <c r="G51" i="37"/>
  <c r="G35" i="26"/>
  <c r="G12" i="35"/>
  <c r="G12" i="32"/>
  <c r="G60" i="30"/>
  <c r="G28" i="27"/>
  <c r="G12" i="3"/>
  <c r="G21" i="33"/>
  <c r="G61" i="31"/>
  <c r="G45" i="28"/>
  <c r="G29" i="25"/>
  <c r="G54" i="35"/>
  <c r="G14" i="32"/>
  <c r="G22" i="30"/>
  <c r="G22" i="28"/>
  <c r="G22" i="26"/>
  <c r="G30" i="3"/>
  <c r="G47" i="36"/>
  <c r="G7" i="31"/>
  <c r="G7" i="37"/>
  <c r="G7" i="27"/>
  <c r="G23" i="25"/>
  <c r="G48" i="35"/>
  <c r="G8" i="32"/>
  <c r="G24" i="30"/>
  <c r="G24" i="28"/>
  <c r="G32" i="26"/>
  <c r="G48" i="3"/>
  <c r="G17" i="33"/>
  <c r="G33" i="31"/>
  <c r="G49" i="37"/>
  <c r="G9" i="26"/>
  <c r="G25" i="3"/>
  <c r="G50" i="36"/>
  <c r="G10" i="31"/>
  <c r="G26" i="37"/>
  <c r="G42" i="27"/>
  <c r="G58" i="25"/>
  <c r="G43" i="35"/>
  <c r="G35" i="32"/>
  <c r="G3" i="37"/>
  <c r="G51" i="27"/>
  <c r="G35" i="3"/>
  <c r="G28" i="33"/>
  <c r="G12" i="30"/>
  <c r="G60" i="28"/>
  <c r="G28" i="25"/>
  <c r="G29" i="36"/>
  <c r="G29" i="31"/>
  <c r="G61" i="37"/>
  <c r="G45" i="26"/>
  <c r="G22" i="35"/>
  <c r="G38" i="33"/>
  <c r="G54" i="31"/>
  <c r="G54" i="37"/>
  <c r="G54" i="27"/>
  <c r="G54" i="25"/>
  <c r="G15" i="36"/>
  <c r="G31" i="32"/>
  <c r="G39" i="30"/>
  <c r="G39" i="28"/>
  <c r="G47" i="26"/>
  <c r="G16" i="35"/>
  <c r="G32" i="33"/>
  <c r="G48" i="31"/>
  <c r="G56" i="37"/>
  <c r="G56" i="27"/>
  <c r="G16" i="3"/>
  <c r="G41" i="36"/>
  <c r="G57" i="32"/>
  <c r="G17" i="37"/>
  <c r="G33" i="27"/>
  <c r="G49" i="25"/>
  <c r="G18" i="36"/>
  <c r="G34" i="32"/>
  <c r="G50" i="30"/>
  <c r="G10" i="27"/>
  <c r="G26" i="25"/>
  <c r="G3" i="33"/>
  <c r="G51" i="31"/>
  <c r="G35" i="28"/>
  <c r="G3" i="25"/>
  <c r="G4" i="36"/>
  <c r="G60" i="32"/>
  <c r="G28" i="37"/>
  <c r="G12" i="26"/>
  <c r="G5" i="35"/>
  <c r="G53" i="33"/>
  <c r="G45" i="30"/>
  <c r="G29" i="27"/>
  <c r="G61" i="25"/>
  <c r="G30" i="36"/>
  <c r="G46" i="32"/>
  <c r="G54" i="30"/>
  <c r="G54" i="28"/>
  <c r="G54" i="26"/>
  <c r="G7" i="35"/>
  <c r="G23" i="33"/>
  <c r="G39" i="31"/>
  <c r="G39" i="37"/>
  <c r="G39" i="27"/>
  <c r="G55" i="25"/>
  <c r="G24" i="36"/>
  <c r="G40" i="32"/>
  <c r="G56" i="30"/>
  <c r="G56" i="28"/>
  <c r="G8" i="25"/>
  <c r="G33" i="35"/>
  <c r="G49" i="33"/>
  <c r="G9" i="30"/>
  <c r="G25" i="28"/>
  <c r="G41" i="26"/>
  <c r="G10" i="35"/>
  <c r="G26" i="33"/>
  <c r="G42" i="31"/>
  <c r="G58" i="37"/>
  <c r="G18" i="26"/>
  <c r="G34" i="3"/>
  <c r="G3" i="36"/>
  <c r="G51" i="32"/>
  <c r="G35" i="37"/>
  <c r="G3" i="26"/>
  <c r="G51" i="3"/>
  <c r="G60" i="33"/>
  <c r="G28" i="30"/>
  <c r="G12" i="27"/>
  <c r="G60" i="25"/>
  <c r="G45" i="36"/>
  <c r="G45" i="31"/>
  <c r="G29" i="28"/>
  <c r="G61" i="26"/>
  <c r="G38" i="35"/>
  <c r="G54" i="33"/>
  <c r="G6" i="30"/>
  <c r="G6" i="28"/>
  <c r="G6" i="26"/>
  <c r="G14" i="3"/>
  <c r="G31" i="36"/>
  <c r="G47" i="32"/>
  <c r="G55" i="30"/>
  <c r="G55" i="28"/>
  <c r="G7" i="25"/>
  <c r="G32" i="35"/>
  <c r="G48" i="33"/>
  <c r="G8" i="30"/>
  <c r="G8" i="28"/>
  <c r="G16" i="26"/>
  <c r="G32" i="3"/>
  <c r="G57" i="36"/>
  <c r="G17" i="31"/>
  <c r="G33" i="37"/>
  <c r="G49" i="27"/>
  <c r="G9" i="3"/>
  <c r="G34" i="36"/>
  <c r="G50" i="32"/>
  <c r="G10" i="37"/>
  <c r="G26" i="27"/>
  <c r="G42" i="25"/>
  <c r="G51" i="36"/>
  <c r="G35" i="31"/>
  <c r="G3" i="28"/>
  <c r="G51" i="26"/>
  <c r="G44" i="35"/>
  <c r="G28" i="32"/>
  <c r="G12" i="37"/>
  <c r="G60" i="27"/>
  <c r="G28" i="3"/>
  <c r="G37" i="33"/>
  <c r="G29" i="30"/>
  <c r="G61" i="28"/>
  <c r="G45" i="25"/>
  <c r="G14" i="36"/>
  <c r="G30" i="32"/>
  <c r="G38" i="30"/>
  <c r="G38" i="28"/>
  <c r="G38" i="26"/>
  <c r="G46" i="3"/>
  <c r="G7" i="33"/>
  <c r="G23" i="31"/>
  <c r="G23" i="37"/>
  <c r="G23" i="27"/>
  <c r="G39" i="25"/>
  <c r="G8" i="36"/>
  <c r="G24" i="32"/>
  <c r="G40" i="30"/>
  <c r="G40" i="28"/>
  <c r="G48" i="26"/>
  <c r="G17" i="35"/>
  <c r="G33" i="33"/>
  <c r="G49" i="31"/>
  <c r="G9" i="28"/>
  <c r="G25" i="26"/>
  <c r="G41" i="3"/>
  <c r="G10" i="33"/>
  <c r="G26" i="31"/>
  <c r="G42" i="37"/>
  <c r="G58" i="27"/>
  <c r="G18" i="3"/>
  <c r="G35" i="33"/>
  <c r="G3" i="30"/>
  <c r="G51" i="28"/>
  <c r="G35" i="25"/>
  <c r="G20" i="36"/>
  <c r="G12" i="31"/>
  <c r="G60" i="37"/>
  <c r="G28" i="26"/>
  <c r="G21" i="35"/>
  <c r="G29" i="32"/>
  <c r="G61" i="30"/>
  <c r="G45" i="27"/>
  <c r="G29" i="3"/>
  <c r="G46" i="36"/>
  <c r="G6" i="31"/>
  <c r="G6" i="37"/>
  <c r="G6" i="27"/>
  <c r="G6" i="25"/>
  <c r="G23" i="35"/>
  <c r="G39" i="33"/>
  <c r="G55" i="31"/>
  <c r="G55" i="37"/>
  <c r="G55" i="27"/>
  <c r="G15" i="3"/>
  <c r="G40" i="36"/>
  <c r="G56" i="32"/>
  <c r="G8" i="37"/>
  <c r="G8" i="27"/>
  <c r="G24" i="25"/>
  <c r="G49" i="35"/>
  <c r="G9" i="32"/>
  <c r="G25" i="30"/>
  <c r="G41" i="28"/>
  <c r="G57" i="26"/>
  <c r="G26" i="35"/>
  <c r="G42" i="33"/>
  <c r="G58" i="31"/>
  <c r="G18" i="28"/>
  <c r="G34" i="26"/>
  <c r="G50" i="3"/>
  <c r="G51" i="33"/>
  <c r="G35" i="30"/>
  <c r="G3" i="27"/>
  <c r="G51" i="25"/>
  <c r="G52" i="36"/>
  <c r="G28" i="31"/>
  <c r="G12" i="28"/>
  <c r="G60" i="26"/>
  <c r="G37" i="35"/>
  <c r="G45" i="32"/>
  <c r="G29" i="37"/>
  <c r="G61" i="27"/>
  <c r="G45" i="3"/>
  <c r="G6" i="33"/>
  <c r="G22" i="31"/>
  <c r="G22" i="37"/>
  <c r="G22" i="27"/>
  <c r="G22" i="25"/>
  <c r="G39" i="35"/>
  <c r="G55" i="33"/>
  <c r="G7" i="30"/>
  <c r="G7" i="28"/>
  <c r="G15" i="26"/>
  <c r="G31" i="3"/>
  <c r="G56" i="36"/>
  <c r="G16" i="31"/>
  <c r="G24" i="37"/>
  <c r="G24" i="27"/>
  <c r="G40" i="25"/>
  <c r="G9" i="36"/>
  <c r="G25" i="32"/>
  <c r="G41" i="30"/>
  <c r="G57" i="28"/>
  <c r="G17" i="25"/>
  <c r="G42" i="35"/>
  <c r="G58" i="33"/>
  <c r="G18" i="30"/>
  <c r="G34" i="28"/>
  <c r="G50" i="26"/>
  <c r="L65" i="35" l="1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58" i="25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L16" i="31" s="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L53" i="31" s="1"/>
  <c r="K45" i="31"/>
  <c r="L45" i="31" s="1"/>
  <c r="K29" i="31"/>
  <c r="L29" i="31" s="1"/>
  <c r="K21" i="31"/>
  <c r="L21" i="31" s="1"/>
  <c r="K13" i="31"/>
  <c r="L13" i="31" s="1"/>
  <c r="K5" i="31"/>
  <c r="L5" i="31" s="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L48" i="32" s="1"/>
  <c r="K40" i="32"/>
  <c r="L40" i="32" s="1"/>
  <c r="K32" i="32"/>
  <c r="L32" i="32" s="1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L53" i="32" s="1"/>
  <c r="K45" i="32"/>
  <c r="L45" i="32" s="1"/>
  <c r="K29" i="32"/>
  <c r="L29" i="32" s="1"/>
  <c r="K21" i="32"/>
  <c r="L21" i="32" s="1"/>
  <c r="K14" i="32"/>
  <c r="L14" i="32" s="1"/>
  <c r="K60" i="32"/>
  <c r="L60" i="32" s="1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L46" i="33" s="1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L50" i="36" s="1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L50" i="35" s="1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L18" i="35" s="1"/>
  <c r="K33" i="35"/>
  <c r="L33" i="35" s="1"/>
  <c r="K53" i="35"/>
  <c r="L53" i="35" s="1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L34" i="35" s="1"/>
  <c r="K57" i="35"/>
  <c r="L57" i="35" s="1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L42" i="35" s="1"/>
  <c r="K51" i="35"/>
  <c r="L51" i="35" s="1"/>
  <c r="K43" i="35"/>
  <c r="L43" i="35" s="1"/>
  <c r="K35" i="35"/>
  <c r="L35" i="35" s="1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K53" i="36"/>
  <c r="L53" i="36" s="1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K51" i="36"/>
  <c r="L51" i="36" s="1"/>
  <c r="K43" i="36"/>
  <c r="L43" i="36" s="1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K33" i="33"/>
  <c r="L33" i="33" s="1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3" i="33" s="1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L51" i="32" s="1"/>
  <c r="K43" i="32"/>
  <c r="L43" i="32" s="1"/>
  <c r="K35" i="32"/>
  <c r="L35" i="32" s="1"/>
  <c r="K27" i="32"/>
  <c r="L27" i="32" s="1"/>
  <c r="K19" i="32"/>
  <c r="L19" i="32" s="1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K39" i="32"/>
  <c r="L39" i="32" s="1"/>
  <c r="K55" i="35"/>
  <c r="L55" i="35" s="1"/>
  <c r="K41" i="35"/>
  <c r="L41" i="35" s="1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K55" i="32"/>
  <c r="L55" i="32" s="1"/>
  <c r="K61" i="33"/>
  <c r="L61" i="33" s="1"/>
  <c r="K17" i="35"/>
  <c r="L17" i="35" s="1"/>
  <c r="K59" i="33"/>
  <c r="L59" i="33" s="1"/>
  <c r="K81" i="33"/>
  <c r="L81" i="33" s="1"/>
  <c r="K45" i="33"/>
  <c r="L45" i="33" s="1"/>
  <c r="K57" i="32"/>
  <c r="L57" i="32" s="1"/>
  <c r="K49" i="32"/>
  <c r="L49" i="32" s="1"/>
  <c r="K25" i="32"/>
  <c r="L25" i="32" s="1"/>
  <c r="K63" i="31"/>
  <c r="L63" i="31" s="1"/>
  <c r="K37" i="31"/>
  <c r="L37" i="31" s="1"/>
  <c r="K82" i="30"/>
  <c r="L82" i="30" s="1"/>
  <c r="K58" i="31"/>
  <c r="L58" i="31" s="1"/>
  <c r="K50" i="31"/>
  <c r="L50" i="31" s="1"/>
  <c r="K34" i="31"/>
  <c r="L34" i="31" s="1"/>
  <c r="K57" i="31"/>
  <c r="L57" i="31" s="1"/>
  <c r="K79" i="30"/>
  <c r="L79" i="30" s="1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D35" i="15" s="1"/>
  <c r="F35" i="15" s="1"/>
  <c r="Q12" i="28"/>
  <c r="S9" i="28"/>
  <c r="S9" i="25"/>
  <c r="S36" i="25" a="1"/>
  <c r="S36" i="27" a="1"/>
  <c r="S36" i="26" a="1"/>
  <c r="D33" i="15" l="1"/>
  <c r="D34" i="15"/>
  <c r="J35" i="15"/>
  <c r="H35" i="15"/>
  <c r="Q15" i="27"/>
  <c r="F32" i="15" s="1"/>
  <c r="S40" i="30"/>
  <c r="S40" i="27"/>
  <c r="Q41" i="27"/>
  <c r="S36" i="26"/>
  <c r="G9" i="15" s="1"/>
  <c r="D24" i="2" s="1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G32" i="15" l="1"/>
  <c r="I32" i="15" s="1"/>
  <c r="H33" i="15"/>
  <c r="J33" i="15"/>
  <c r="J32" i="15"/>
  <c r="H32" i="15"/>
  <c r="R5" i="27"/>
  <c r="J34" i="15"/>
  <c r="H34" i="15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28" a="1"/>
  <c r="S36" i="36" a="1"/>
  <c r="S36" i="35" a="1"/>
  <c r="S36" i="30" a="1"/>
  <c r="S36" i="33" a="1"/>
  <c r="S36" i="32" a="1"/>
  <c r="S36" i="31" a="1"/>
  <c r="S36" i="35" l="1"/>
  <c r="G21" i="15" s="1"/>
  <c r="D33" i="2" s="1"/>
  <c r="Q42" i="35"/>
  <c r="S36" i="36"/>
  <c r="G20" i="15" s="1"/>
  <c r="D32" i="2" s="1"/>
  <c r="Q42" i="36"/>
  <c r="R5" i="36" s="1"/>
  <c r="S36" i="33"/>
  <c r="G19" i="15" s="1"/>
  <c r="D31" i="2" s="1"/>
  <c r="Q42" i="33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G35" i="15" l="1"/>
  <c r="G34" i="15"/>
  <c r="G33" i="15"/>
  <c r="R5" i="33"/>
  <c r="R5" i="30"/>
  <c r="R5" i="35"/>
  <c r="U36" i="35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<sst xmlns="http://schemas.openxmlformats.org/spreadsheetml/2006/main" count="4741" uniqueCount="504">
  <si>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</si>
  <si>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</si>
  <si>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</si>
  <si>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</si>
  <si>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</si>
  <si>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</si>
  <si>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</si>
  <si>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</si>
  <si>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</si>
  <si>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</si>
  <si>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</si>
  <si>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</si>
  <si>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</si>
  <si>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</si>
  <si>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</si>
  <si>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</si>
  <si>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</si>
  <si>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</si>
  <si>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</si>
  <si>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</si>
  <si>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</si>
  <si>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</si>
  <si>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</si>
  <si>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</si>
  <si>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</si>
  <si>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</si>
  <si>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</si>
  <si>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</si>
  <si>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</si>
  <si>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</si>
  <si>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</si>
  <si>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</si>
  <si>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</si>
  <si>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</si>
  <si>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</si>
  <si>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</si>
  <si>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</si>
  <si>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</si>
  <si>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</si>
  <si>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</si>
  <si>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</si>
  <si>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</si>
  <si>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</si>
  <si>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</si>
  <si>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</si>
  <si>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</si>
  <si>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</si>
  <si>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</si>
  <si>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</si>
  <si>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</si>
  <si>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</si>
  <si>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</si>
  <si>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</si>
  <si>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</si>
  <si>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</si>
  <si>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</si>
  <si>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</si>
  <si>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</si>
  <si>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</si>
  <si>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</si>
  <si>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</si>
  <si>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</si>
  <si>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</si>
  <si>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</si>
  <si>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</si>
  <si>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</si>
  <si>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</si>
  <si>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</si>
  <si>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</si>
  <si>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</si>
  <si>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</si>
  <si>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</si>
  <si>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</si>
  <si>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</si>
  <si>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</si>
  <si>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</si>
  <si>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</si>
  <si>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</si>
  <si>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</si>
  <si>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</si>
  <si>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</si>
  <si>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</si>
  <si>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</si>
  <si>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</si>
  <si>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</si>
  <si>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</si>
  <si>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</si>
  <si>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</si>
  <si>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</si>
  <si>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</si>
  <si>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</si>
  <si>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</si>
  <si>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</si>
  <si>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</si>
  <si>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</si>
  <si>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</si>
  <si>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</si>
  <si>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</si>
  <si>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</si>
  <si>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</si>
  <si>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</si>
  <si>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</si>
  <si>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</si>
  <si>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</si>
  <si>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</si>
  <si>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</si>
  <si>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</si>
  <si>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</si>
  <si>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</si>
  <si>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</si>
  <si>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</si>
  <si>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</si>
  <si>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</si>
  <si>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</si>
  <si>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</si>
  <si>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</si>
  <si>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</si>
  <si>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</si>
  <si>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</si>
  <si>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</si>
  <si>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</si>
  <si>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</si>
  <si>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</si>
  <si>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</si>
  <si>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</si>
  <si>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</si>
  <si>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</si>
  <si>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</si>
  <si>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</si>
  <si>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</si>
  <si>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</si>
  <si>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</si>
  <si>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</si>
  <si>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</si>
  <si>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</si>
  <si>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</si>
  <si>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</si>
  <si>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</si>
  <si>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</si>
  <si>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</si>
  <si>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</si>
  <si>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</si>
  <si>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</si>
  <si>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</si>
  <si>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</si>
  <si>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</si>
  <si>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</si>
  <si>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</si>
  <si>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</si>
  <si>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</si>
  <si>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</si>
  <si>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</si>
  <si>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</si>
  <si>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</si>
  <si>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</si>
  <si>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</si>
  <si>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</si>
  <si>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</si>
  <si>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</si>
  <si>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</si>
  <si>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</si>
  <si>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</si>
  <si>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</si>
  <si>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</si>
  <si>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</si>
  <si>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</si>
  <si>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</si>
  <si>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</si>
  <si>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</si>
  <si>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</si>
  <si>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</si>
  <si>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</si>
  <si>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</si>
  <si>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</si>
  <si>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</si>
  <si>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</si>
  <si>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</si>
  <si>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</si>
  <si>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</si>
  <si>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</si>
  <si>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</si>
  <si>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</si>
  <si>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</si>
  <si>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</si>
  <si>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</si>
  <si>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</si>
  <si>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</si>
  <si>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</si>
  <si>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</si>
  <si>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</si>
  <si>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</si>
  <si>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</si>
  <si>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</si>
  <si>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</si>
  <si>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</si>
  <si>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</si>
  <si>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</si>
  <si>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</si>
  <si>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</si>
  <si>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</si>
  <si>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</si>
  <si>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</si>
  <si>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</si>
  <si>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</si>
  <si>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</si>
  <si>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</si>
  <si>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</si>
  <si>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</si>
  <si>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</si>
  <si>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</si>
  <si>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</si>
  <si>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</si>
  <si>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</si>
  <si>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</si>
  <si>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</si>
  <si>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</si>
  <si>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</si>
  <si>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</si>
  <si>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</si>
  <si>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</si>
  <si>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</si>
  <si>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</si>
  <si>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</si>
  <si>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</si>
  <si>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</si>
  <si>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</si>
  <si>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</si>
  <si>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</si>
  <si>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</si>
  <si>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</si>
  <si>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</si>
  <si>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</si>
  <si>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</si>
  <si>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</si>
  <si>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</si>
  <si>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</si>
  <si>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</si>
  <si>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</si>
  <si>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</si>
  <si>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</si>
  <si>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</si>
  <si>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</si>
  <si>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</si>
  <si>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</si>
  <si>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</si>
  <si>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</si>
  <si>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</si>
  <si>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</si>
  <si>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</si>
  <si>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</si>
  <si>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</si>
  <si>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</si>
  <si>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</si>
  <si>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</si>
  <si>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</si>
  <si>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</si>
  <si>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</si>
  <si>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</si>
  <si>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</si>
  <si>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</si>
  <si>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</si>
  <si>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</si>
  <si>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</si>
  <si>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</si>
  <si>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</si>
  <si>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</si>
  <si>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</si>
  <si>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</si>
  <si>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</si>
  <si>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</si>
  <si>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</si>
  <si>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</si>
  <si>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</si>
  <si>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</si>
  <si>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</si>
  <si>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</si>
  <si>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</si>
  <si>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</si>
  <si>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</si>
  <si>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</si>
  <si>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</si>
  <si>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</si>
  <si>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</si>
  <si>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</si>
  <si>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</si>
  <si>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</si>
  <si>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</si>
  <si>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</si>
  <si>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</si>
  <si>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</si>
  <si>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</si>
  <si>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</si>
  <si>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</si>
  <si>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</si>
  <si>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</si>
  <si>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</si>
  <si>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</si>
  <si>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</si>
  <si>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</si>
  <si>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</si>
  <si>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</si>
  <si>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</si>
  <si>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</si>
  <si>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</si>
  <si>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</si>
  <si>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</si>
  <si>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</si>
  <si>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</si>
  <si>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</si>
  <si>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</si>
  <si>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</si>
  <si>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</si>
  <si>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</si>
  <si>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</si>
  <si>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</si>
  <si>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</si>
  <si>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</si>
  <si>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</si>
  <si>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</si>
  <si>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</si>
  <si>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</si>
  <si>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</si>
  <si>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</si>
  <si>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</si>
  <si>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</si>
  <si>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</si>
  <si>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</si>
  <si>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</si>
  <si>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</si>
  <si>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</si>
  <si>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</si>
  <si>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</si>
  <si>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</si>
  <si>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</si>
  <si>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</si>
  <si>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</si>
  <si>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</si>
  <si>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</si>
  <si>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</si>
  <si>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</si>
  <si>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</si>
  <si>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</si>
  <si>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</si>
  <si>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</si>
  <si>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</si>
  <si>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</si>
  <si>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</si>
  <si>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</si>
  <si>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</si>
  <si>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</si>
  <si>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</si>
  <si>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</si>
  <si>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</si>
  <si>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</si>
  <si>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</si>
  <si>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</si>
  <si>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</si>
  <si>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</si>
  <si>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</si>
  <si>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</si>
  <si>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</si>
  <si>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</si>
  <si>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</si>
  <si>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</si>
  <si>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</si>
  <si>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</si>
  <si>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</si>
  <si>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</si>
  <si>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</si>
  <si>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</si>
  <si>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</si>
  <si>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</si>
  <si>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</si>
  <si>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</si>
  <si>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</si>
  <si>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</si>
  <si>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</si>
  <si>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</si>
  <si>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</si>
  <si>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</si>
  <si>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</si>
  <si>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</si>
  <si>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</si>
  <si>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</si>
  <si>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</si>
  <si>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</si>
  <si>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</si>
  <si>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</si>
  <si>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</si>
  <si>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</si>
  <si>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</si>
  <si>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</si>
  <si>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</si>
  <si>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</si>
  <si>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</si>
  <si>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</si>
  <si>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</si>
  <si>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</si>
  <si>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</si>
  <si>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</si>
  <si>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</si>
  <si>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</si>
  <si>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</si>
  <si>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</si>
  <si>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</si>
  <si>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</si>
  <si>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</si>
  <si>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</si>
  <si>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</si>
  <si>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</si>
  <si>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</si>
  <si>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</si>
  <si>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</si>
  <si>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</si>
  <si>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</si>
  <si>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</si>
  <si>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</si>
  <si>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</si>
  <si>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</si>
  <si>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</si>
  <si>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</si>
  <si>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</si>
  <si>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</si>
  <si>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</si>
  <si>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</si>
  <si>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</si>
  <si>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</si>
  <si>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</si>
  <si>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</si>
  <si>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</si>
  <si>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</si>
  <si>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</si>
  <si>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</si>
  <si>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</si>
  <si>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</si>
  <si>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</si>
  <si>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</si>
  <si>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</si>
  <si>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</si>
  <si>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</si>
  <si>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</si>
  <si>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</si>
  <si>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</si>
  <si>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</si>
  <si>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</si>
  <si>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</si>
  <si>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</si>
  <si>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</si>
  <si>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</si>
  <si>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</si>
  <si>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</si>
  <si>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</si>
  <si>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</si>
  <si>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</si>
  <si>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</si>
  <si>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</si>
  <si>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</si>
  <si>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</si>
  <si>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</si>
  <si>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</si>
  <si>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</si>
  <si>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</si>
  <si>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</si>
  <si>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</si>
  <si>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</si>
  <si>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</si>
  <si>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</si>
  <si>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</si>
  <si>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</si>
  <si>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</si>
  <si>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</si>
  <si>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</si>
  <si>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</si>
  <si>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</si>
  <si>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</si>
  <si>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</si>
  <si>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</si>
  <si>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</si>
  <si>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</si>
  <si>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</si>
  <si>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</si>
  <si>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</si>
  <si>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</si>
  <si>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</si>
  <si>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</si>
  <si>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</si>
  <si>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</si>
  <si>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</si>
  <si>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</si>
  <si>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Austrittsgrund fehlt</t>
  </si>
  <si>
    <t>Daten pruefen</t>
  </si>
  <si>
    <t>Die Auswertung ist noch nicht vollstaendig. 1 Austritt(e) haben keinen gueltigen Austrittsgrund. Bitte zuerst die markierten Faelle unten in den Monatsblaettern ergaenzen.</t>
  </si>
  <si>
    <t>Monat Juni, Name: PHOO-IN Sunari</t>
  </si>
  <si>
    <t>Monat oeffnen, Mitarbeiter finden, in Spalte N den Austrittsgrund aus der Liste waehlen.</t>
  </si>
  <si>
    <t>Daten vervollstaendigen: Bei jedem Austritt in Spalte I das Austrittsdatum und in Spalte N den Austrittsgrund aus der Liste eintragen. Ohne diese Angaben kann die Analyse nicht zuverlaessig bewerten.</t>
  </si>
  <si>
    <t>Unvollstaendig</t>
  </si>
  <si>
    <t>Austrittsgrund fehlt (1)</t>
  </si>
  <si>
    <t>Mindestens ein Austritt hat keinen gueltigen Austrittsgrund. Bitte Daten pruefen und ergaenzen.</t>
  </si>
  <si>
    <t>Grund fehlt</t>
  </si>
  <si>
    <t>Jede Zeile = 3 Monate bis zum Schlussmonat. Differenz rot = zu wenig Stunden (Ueberstunden-Risiko), gelb = Reserve. Ueberstunden-EUR nutzt den AVG Bruttolohn/h aus dem Schlussmonat (Monatsblatt Q42). Nur Jaenner-Plan (naechstes Jahr) ist gelb und manuell.</t>
  </si>
  <si>
    <t>Jaenner Verfuegbar Plan (naechstes Jahr):</t>
  </si>
  <si>
    <t>Jaenner Muster Plan (naechstes Jahr):</t>
  </si>
  <si>
    <t>AVG Lohn/h</t>
  </si>
  <si>
    <t>Ueberstunden EUR = Ueberstunden Std x AVG Lohn/h x 1,5 (Spalte G aus Schlussmonat Q42). Nur bei negativem Schluss (rote Differenz). Positive Differenz = Reserve ohne EUR-Kosten.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</si>
</sst>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</numFmts>
  <fonts count="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  <font>
      <b/>
      <sz val="14"/>
      <color rgb="FF1F4E79"/>
      <name val="Calibri"/>
      <family val="2"/>
      <scheme val="minor"/>
    </font>
    <font>
      <b/>
      <sz val="11"/>
      <color rgb="FF1F4E79"/>
      <name val="Calibri"/>
      <family val="2"/>
      <scheme val="minor"/>
    </font>
    <font>
      <sz val="12"/>
      <color rgb="FF000000"/>
      <name val="Speedee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99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3" xfId="0" applyFont="1" applyFill="1" applyBorder="1" applyProtection="1">
      <protection locked="0"/>
    </xf>
    <xf numFmtId="14" fontId="25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9" fillId="16" borderId="36" xfId="0" applyFont="1" applyFill="1" applyBorder="1" applyProtection="1">
      <protection locked="0"/>
    </xf>
    <xf numFmtId="14" fontId="25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7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7" xfId="0" applyNumberFormat="1" applyFont="1" applyFill="1" applyBorder="1" applyAlignment="1" applyProtection="1">
      <alignment horizontal="left" vertical="center"/>
      <protection locked="0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41" fillId="19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7" fillId="4" borderId="45" xfId="0" applyNumberFormat="1" applyFont="1" applyFill="1" applyBorder="1" applyAlignment="1" applyProtection="1">
      <alignment horizontal="left"/>
      <protection locked="0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32" fillId="3" borderId="33" xfId="0" applyFont="1" applyFill="1" applyBorder="1" applyProtection="1"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34" xfId="0" applyFont="1" applyFill="1" applyBorder="1" applyAlignment="1" applyProtection="1">
      <alignment horizontal="center"/>
      <protection locked="0"/>
    </xf>
    <xf numFmtId="0" fontId="39" fillId="18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4" fillId="0" borderId="33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7" fillId="0" borderId="16" xfId="0" applyFont="1" applyBorder="1" applyAlignment="1">
      <alignment horizontal="center" vertical="center"/>
    </xf>
    <xf numFmtId="166" fontId="47" fillId="0" borderId="16" xfId="0" applyNumberFormat="1" applyFont="1" applyBorder="1" applyAlignment="1">
      <alignment horizontal="center" vertical="center"/>
    </xf>
    <xf numFmtId="2" fontId="49" fillId="20" borderId="58" xfId="0" applyNumberFormat="1" applyFont="1" applyFill="1" applyBorder="1" applyAlignment="1" applyProtection="1">
      <alignment horizontal="center" vertical="center"/>
      <protection locked="0"/>
    </xf>
    <xf numFmtId="166" fontId="49" fillId="20" borderId="58" xfId="0" applyNumberFormat="1" applyFont="1" applyFill="1" applyBorder="1" applyAlignment="1" applyProtection="1">
      <alignment horizontal="center" vertical="center"/>
      <protection locked="0"/>
    </xf>
    <xf numFmtId="2" fontId="49" fillId="20" borderId="59" xfId="0" applyNumberFormat="1" applyFont="1" applyFill="1" applyBorder="1" applyAlignment="1" applyProtection="1">
      <alignment horizontal="center" vertical="center"/>
      <protection locked="0"/>
    </xf>
    <xf numFmtId="166" fontId="49" fillId="20" borderId="59" xfId="0" applyNumberFormat="1" applyFont="1" applyFill="1" applyBorder="1" applyAlignment="1" applyProtection="1">
      <alignment horizontal="center" vertical="center"/>
      <protection locked="0"/>
    </xf>
    <xf numFmtId="2" fontId="49" fillId="20" borderId="67" xfId="0" applyNumberFormat="1" applyFont="1" applyFill="1" applyBorder="1" applyAlignment="1" applyProtection="1">
      <alignment horizontal="center" vertical="center"/>
      <protection locked="0"/>
    </xf>
    <xf numFmtId="166" fontId="49" fillId="20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67" xfId="0" applyNumberFormat="1" applyFont="1" applyFill="1" applyBorder="1" applyAlignment="1" applyProtection="1">
      <alignment horizontal="center" vertical="center"/>
      <protection locked="0"/>
    </xf>
    <xf numFmtId="166" fontId="49" fillId="21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59" xfId="0" applyNumberFormat="1" applyFont="1" applyFill="1" applyBorder="1" applyAlignment="1" applyProtection="1">
      <alignment horizontal="center" vertical="center"/>
      <protection locked="0"/>
    </xf>
    <xf numFmtId="166" fontId="49" fillId="21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2" fontId="49" fillId="22" borderId="59" xfId="0" applyNumberFormat="1" applyFont="1" applyFill="1" applyBorder="1" applyAlignment="1" applyProtection="1">
      <alignment horizontal="center" vertical="center"/>
      <protection locked="0"/>
    </xf>
    <xf numFmtId="166" fontId="49" fillId="22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5" xfId="0" applyNumberFormat="1" applyFont="1" applyFill="1" applyBorder="1" applyAlignment="1" applyProtection="1">
      <alignment horizontal="center" vertical="center"/>
      <protection locked="0"/>
    </xf>
    <xf numFmtId="166" fontId="49" fillId="22" borderId="65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4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8" fillId="0" borderId="0" xfId="0" applyFont="1"/>
    <xf numFmtId="170" fontId="49" fillId="20" borderId="58" xfId="0" applyNumberFormat="1" applyFont="1" applyFill="1" applyBorder="1" applyAlignment="1">
      <alignment horizontal="center" vertical="center"/>
    </xf>
    <xf numFmtId="0" fontId="49" fillId="20" borderId="58" xfId="0" applyFont="1" applyFill="1" applyBorder="1" applyAlignment="1">
      <alignment horizontal="center" vertical="center"/>
    </xf>
    <xf numFmtId="170" fontId="49" fillId="20" borderId="59" xfId="0" applyNumberFormat="1" applyFont="1" applyFill="1" applyBorder="1" applyAlignment="1">
      <alignment horizontal="center" vertical="center"/>
    </xf>
    <xf numFmtId="0" fontId="49" fillId="20" borderId="59" xfId="0" applyFont="1" applyFill="1" applyBorder="1" applyAlignment="1">
      <alignment horizontal="center" vertical="center"/>
    </xf>
    <xf numFmtId="170" fontId="49" fillId="20" borderId="67" xfId="0" applyNumberFormat="1" applyFont="1" applyFill="1" applyBorder="1" applyAlignment="1">
      <alignment horizontal="center" vertical="center"/>
    </xf>
    <xf numFmtId="0" fontId="49" fillId="20" borderId="67" xfId="0" applyFont="1" applyFill="1" applyBorder="1" applyAlignment="1">
      <alignment horizontal="center" vertical="center"/>
    </xf>
    <xf numFmtId="170" fontId="49" fillId="21" borderId="67" xfId="0" applyNumberFormat="1" applyFont="1" applyFill="1" applyBorder="1" applyAlignment="1">
      <alignment horizontal="center" vertical="center"/>
    </xf>
    <xf numFmtId="0" fontId="49" fillId="21" borderId="67" xfId="0" applyFont="1" applyFill="1" applyBorder="1" applyAlignment="1">
      <alignment horizontal="center" vertical="center"/>
    </xf>
    <xf numFmtId="170" fontId="49" fillId="21" borderId="59" xfId="0" applyNumberFormat="1" applyFont="1" applyFill="1" applyBorder="1" applyAlignment="1">
      <alignment horizontal="center" vertical="center"/>
    </xf>
    <xf numFmtId="0" fontId="49" fillId="21" borderId="59" xfId="0" applyFont="1" applyFill="1" applyBorder="1" applyAlignment="1">
      <alignment horizontal="center" vertical="center"/>
    </xf>
    <xf numFmtId="170" fontId="49" fillId="22" borderId="79" xfId="0" applyNumberFormat="1" applyFont="1" applyFill="1" applyBorder="1" applyAlignment="1">
      <alignment horizontal="center" vertical="center"/>
    </xf>
    <xf numFmtId="0" fontId="49" fillId="22" borderId="79" xfId="0" applyFont="1" applyFill="1" applyBorder="1" applyAlignment="1">
      <alignment horizontal="center" vertical="center"/>
    </xf>
    <xf numFmtId="2" fontId="49" fillId="22" borderId="79" xfId="0" applyNumberFormat="1" applyFont="1" applyFill="1" applyBorder="1" applyAlignment="1" applyProtection="1">
      <alignment horizontal="center" vertical="center"/>
      <protection locked="0"/>
    </xf>
    <xf numFmtId="166" fontId="49" fillId="22" borderId="79" xfId="0" applyNumberFormat="1" applyFont="1" applyFill="1" applyBorder="1" applyAlignment="1" applyProtection="1">
      <alignment horizontal="center" vertical="center"/>
      <protection locked="0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170" fontId="49" fillId="22" borderId="59" xfId="0" applyNumberFormat="1" applyFont="1" applyFill="1" applyBorder="1" applyAlignment="1">
      <alignment horizontal="center" vertical="center"/>
    </xf>
    <xf numFmtId="0" fontId="49" fillId="22" borderId="59" xfId="0" applyFont="1" applyFill="1" applyBorder="1" applyAlignment="1">
      <alignment horizontal="center" vertical="center"/>
    </xf>
    <xf numFmtId="49" fontId="49" fillId="20" borderId="60" xfId="0" applyNumberFormat="1" applyFont="1" applyFill="1" applyBorder="1" applyAlignment="1">
      <alignment horizontal="center" vertical="center"/>
    </xf>
    <xf numFmtId="49" fontId="49" fillId="20" borderId="61" xfId="0" applyNumberFormat="1" applyFont="1" applyFill="1" applyBorder="1" applyAlignment="1">
      <alignment horizontal="center" vertical="center"/>
    </xf>
    <xf numFmtId="49" fontId="49" fillId="20" borderId="68" xfId="0" applyNumberFormat="1" applyFont="1" applyFill="1" applyBorder="1" applyAlignment="1">
      <alignment horizontal="center" vertical="center"/>
    </xf>
    <xf numFmtId="49" fontId="49" fillId="21" borderId="68" xfId="0" applyNumberFormat="1" applyFont="1" applyFill="1" applyBorder="1" applyAlignment="1">
      <alignment horizontal="center" vertical="center"/>
    </xf>
    <xf numFmtId="49" fontId="49" fillId="21" borderId="61" xfId="0" applyNumberFormat="1" applyFont="1" applyFill="1" applyBorder="1" applyAlignment="1">
      <alignment horizontal="center" vertical="center"/>
    </xf>
    <xf numFmtId="49" fontId="49" fillId="22" borderId="68" xfId="0" applyNumberFormat="1" applyFont="1" applyFill="1" applyBorder="1" applyAlignment="1">
      <alignment horizontal="center" vertical="center"/>
    </xf>
    <xf numFmtId="49" fontId="49" fillId="22" borderId="61" xfId="0" applyNumberFormat="1" applyFont="1" applyFill="1" applyBorder="1" applyAlignment="1">
      <alignment horizontal="center" vertical="center"/>
    </xf>
    <xf numFmtId="49" fontId="49" fillId="22" borderId="81" xfId="0" applyNumberFormat="1" applyFont="1" applyFill="1" applyBorder="1" applyAlignment="1">
      <alignment horizontal="center" vertical="center"/>
    </xf>
    <xf numFmtId="0" fontId="49" fillId="20" borderId="62" xfId="0" applyFont="1" applyFill="1" applyBorder="1" applyAlignment="1">
      <alignment horizontal="center" vertical="center"/>
    </xf>
    <xf numFmtId="0" fontId="49" fillId="20" borderId="63" xfId="0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0" fontId="49" fillId="21" borderId="63" xfId="0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0" fontId="49" fillId="22" borderId="63" xfId="0" applyFont="1" applyFill="1" applyBorder="1" applyAlignment="1">
      <alignment horizontal="center" vertical="center"/>
    </xf>
    <xf numFmtId="0" fontId="49" fillId="22" borderId="83" xfId="0" applyFont="1" applyFill="1" applyBorder="1" applyAlignment="1">
      <alignment horizontal="center" vertical="center"/>
    </xf>
    <xf numFmtId="49" fontId="49" fillId="22" borderId="64" xfId="0" applyNumberFormat="1" applyFont="1" applyFill="1" applyBorder="1" applyAlignment="1">
      <alignment horizontal="center" vertical="center"/>
    </xf>
    <xf numFmtId="170" fontId="49" fillId="22" borderId="65" xfId="0" applyNumberFormat="1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66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0" fillId="0" borderId="57" xfId="0" applyFont="1" applyBorder="1" applyAlignment="1">
      <alignment vertical="center"/>
    </xf>
    <xf numFmtId="0" fontId="20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/>
    </xf>
    <xf numFmtId="10" fontId="20" fillId="0" borderId="57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57" xfId="0" applyFont="1" applyBorder="1" applyAlignment="1">
      <alignment horizontal="left" vertical="center" wrapText="1"/>
    </xf>
    <xf numFmtId="0" fontId="43" fillId="0" borderId="57" xfId="0" applyFont="1" applyBorder="1" applyAlignment="1">
      <alignment horizontal="center" vertical="center" wrapText="1"/>
    </xf>
    <xf numFmtId="10" fontId="43" fillId="0" borderId="57" xfId="0" applyNumberFormat="1" applyFont="1" applyBorder="1" applyAlignment="1">
      <alignment horizontal="center" vertical="center" wrapText="1"/>
    </xf>
    <xf numFmtId="2" fontId="43" fillId="0" borderId="57" xfId="0" applyNumberFormat="1" applyFont="1" applyBorder="1" applyAlignment="1">
      <alignment horizontal="center" vertical="center" wrapText="1"/>
    </xf>
    <xf numFmtId="171" fontId="4" fillId="5" borderId="56" xfId="0" applyNumberFormat="1" applyFont="1" applyFill="1" applyBorder="1" applyAlignment="1">
      <alignment horizontal="center"/>
    </xf>
    <xf numFmtId="0" fontId="60" fillId="24" borderId="57" xfId="0" applyFont="1" applyFill="1" applyBorder="1" applyAlignment="1">
      <alignment horizontal="center" vertical="center"/>
    </xf>
    <xf numFmtId="2" fontId="55" fillId="0" borderId="0" xfId="0" applyNumberFormat="1" applyFont="1" applyAlignment="1" applyProtection="1">
      <alignment vertical="center"/>
      <protection locked="0"/>
    </xf>
    <xf numFmtId="0" fontId="55" fillId="0" borderId="0" xfId="0" applyFont="1" applyAlignment="1">
      <alignment vertical="center"/>
    </xf>
    <xf numFmtId="0" fontId="55" fillId="0" borderId="57" xfId="0" applyFont="1" applyBorder="1" applyAlignment="1">
      <alignment vertical="center"/>
    </xf>
    <xf numFmtId="2" fontId="55" fillId="0" borderId="57" xfId="0" applyNumberFormat="1" applyFont="1" applyBorder="1" applyAlignment="1">
      <alignment vertical="center"/>
    </xf>
    <xf numFmtId="0" fontId="38" fillId="0" borderId="57" xfId="0" applyFont="1" applyBorder="1" applyAlignment="1">
      <alignment vertical="center"/>
    </xf>
    <xf numFmtId="0" fontId="38" fillId="0" borderId="0" xfId="0" applyFont="1" applyAlignment="1">
      <alignment vertical="center"/>
    </xf>
    <xf numFmtId="1" fontId="38" fillId="18" borderId="32" xfId="0" applyNumberFormat="1" applyFont="1" applyFill="1" applyBorder="1" applyAlignment="1">
      <alignment horizontal="center" vertical="center" wrapText="1"/>
    </xf>
    <xf numFmtId="0" fontId="40" fillId="19" borderId="12" xfId="0" applyFont="1" applyFill="1" applyBorder="1" applyAlignment="1">
      <alignment horizontal="center" wrapText="1"/>
    </xf>
    <xf numFmtId="2" fontId="4" fillId="6" borderId="1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/>
    </xf>
    <xf numFmtId="0" fontId="11" fillId="12" borderId="16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8" fillId="5" borderId="48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4" borderId="17" xfId="0" applyFont="1" applyFill="1" applyBorder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 wrapText="1"/>
    </xf>
    <xf numFmtId="0" fontId="38" fillId="10" borderId="9" xfId="0" applyFont="1" applyFill="1" applyBorder="1" applyAlignment="1" applyProtection="1">
      <alignment horizontal="left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38" fillId="10" borderId="17" xfId="0" applyFont="1" applyFill="1" applyBorder="1" applyAlignment="1" applyProtection="1">
      <alignment horizontal="left"/>
      <protection locked="0"/>
    </xf>
    <xf numFmtId="0" fontId="38" fillId="10" borderId="16" xfId="0" applyFont="1" applyFill="1" applyBorder="1" applyAlignment="1" applyProtection="1">
      <alignment horizontal="left"/>
      <protection locked="0"/>
    </xf>
    <xf numFmtId="166" fontId="38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2" xfId="0" applyNumberFormat="1" applyFont="1" applyFill="1" applyBorder="1" applyAlignment="1">
      <alignment horizontal="center" vertical="center"/>
    </xf>
    <xf numFmtId="170" fontId="2" fillId="23" borderId="80" xfId="0" applyNumberFormat="1" applyFont="1" applyFill="1" applyBorder="1" applyAlignment="1">
      <alignment horizontal="center" vertical="center"/>
    </xf>
    <xf numFmtId="0" fontId="2" fillId="23" borderId="80" xfId="0" applyFont="1" applyFill="1" applyBorder="1" applyAlignment="1">
      <alignment horizontal="center" vertical="center"/>
    </xf>
    <xf numFmtId="2" fontId="2" fillId="23" borderId="80" xfId="0" applyNumberFormat="1" applyFont="1" applyFill="1" applyBorder="1" applyAlignment="1">
      <alignment horizontal="center" vertical="center"/>
    </xf>
    <xf numFmtId="166" fontId="2" fillId="23" borderId="80" xfId="0" applyNumberFormat="1" applyFont="1" applyFill="1" applyBorder="1" applyAlignment="1">
      <alignment horizontal="center" vertical="center"/>
    </xf>
    <xf numFmtId="0" fontId="2" fillId="23" borderId="84" xfId="0" applyFont="1" applyFill="1" applyBorder="1" applyAlignment="1">
      <alignment horizontal="center" vertical="center"/>
    </xf>
    <xf numFmtId="0" fontId="46" fillId="0" borderId="19" xfId="0" applyFont="1" applyBorder="1" applyAlignment="1">
      <alignment horizontal="left" vertical="center" wrapText="1"/>
    </xf>
    <xf numFmtId="49" fontId="2" fillId="23" borderId="71" xfId="0" applyNumberFormat="1" applyFont="1" applyFill="1" applyBorder="1" applyAlignment="1">
      <alignment horizontal="center" vertical="center"/>
    </xf>
    <xf numFmtId="170" fontId="2" fillId="23" borderId="70" xfId="0" applyNumberFormat="1" applyFont="1" applyFill="1" applyBorder="1" applyAlignment="1">
      <alignment horizontal="center" vertical="center"/>
    </xf>
    <xf numFmtId="0" fontId="2" fillId="23" borderId="70" xfId="0" applyFont="1" applyFill="1" applyBorder="1" applyAlignment="1">
      <alignment horizontal="center" vertical="center"/>
    </xf>
    <xf numFmtId="2" fontId="2" fillId="23" borderId="70" xfId="0" applyNumberFormat="1" applyFont="1" applyFill="1" applyBorder="1" applyAlignment="1">
      <alignment horizontal="center" vertical="center"/>
    </xf>
    <xf numFmtId="166" fontId="2" fillId="23" borderId="70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4" borderId="23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38" fillId="10" borderId="22" xfId="0" applyFont="1" applyFill="1" applyBorder="1" applyAlignment="1" applyProtection="1">
      <alignment horizontal="left"/>
      <protection locked="0"/>
    </xf>
    <xf numFmtId="166" fontId="38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55" fillId="0" borderId="19" xfId="0" applyFont="1" applyBorder="1" applyAlignment="1">
      <alignment vertical="center"/>
    </xf>
    <xf numFmtId="0" fontId="57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6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43" fillId="0" borderId="57" xfId="0" applyFont="1" applyBorder="1" applyAlignment="1">
      <alignment horizontal="left" vertical="center" wrapText="1"/>
    </xf>
    <xf numFmtId="0" fontId="43" fillId="0" borderId="57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57" xfId="0" applyFont="1" applyBorder="1" applyAlignment="1">
      <alignment vertical="center"/>
    </xf>
    <xf numFmtId="0" fontId="43" fillId="0" borderId="57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6" xfId="0" applyFont="1" applyBorder="1" applyAlignment="1">
      <alignment horizontal="left" vertical="center" wrapText="1"/>
    </xf>
    <xf numFmtId="0" fontId="43" fillId="0" borderId="73" xfId="0" applyFont="1" applyBorder="1" applyAlignment="1">
      <alignment horizontal="left" vertical="center" wrapText="1"/>
    </xf>
    <xf numFmtId="0" fontId="43" fillId="0" borderId="77" xfId="0" applyFont="1" applyBorder="1" applyAlignment="1">
      <alignment horizontal="left" vertical="center" wrapText="1"/>
    </xf>
    <xf numFmtId="0" fontId="43" fillId="0" borderId="78" xfId="0" applyFont="1" applyBorder="1" applyAlignment="1">
      <alignment horizontal="left" vertical="center" wrapText="1"/>
    </xf>
    <xf numFmtId="0" fontId="43" fillId="0" borderId="55" xfId="0" applyFont="1" applyBorder="1" applyAlignment="1">
      <alignment horizontal="left" vertical="center" wrapText="1"/>
    </xf>
    <xf numFmtId="0" fontId="43" fillId="0" borderId="31" xfId="0" applyFont="1" applyBorder="1" applyAlignment="1">
      <alignment horizontal="left" vertical="center" wrapText="1"/>
    </xf>
    <xf numFmtId="0" fontId="20" fillId="0" borderId="74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59" fillId="24" borderId="74" xfId="0" applyFont="1" applyFill="1" applyBorder="1" applyAlignment="1">
      <alignment horizontal="center" vertical="center"/>
    </xf>
    <xf numFmtId="0" fontId="20" fillId="0" borderId="57" xfId="0" applyFont="1" applyBorder="1" applyAlignment="1">
      <alignment vertical="center"/>
    </xf>
    <xf numFmtId="0" fontId="46" fillId="0" borderId="19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0"/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FLUKTUATION!$P$2:$P$10</c:f>
              <c:strCache>
                <c:ptCount val="9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Juni</c:v>
                </c:pt>
                <c:pt idx="4">
                  <c:v>Juli</c:v>
                </c:pt>
                <c:pt idx="5">
                  <c:v>August</c:v>
                </c:pt>
                <c:pt idx="6">
                  <c:v>September</c:v>
                </c:pt>
                <c:pt idx="7">
                  <c:v>Oktober</c:v>
                </c:pt>
                <c:pt idx="8">
                  <c:v>November</c:v>
                </c:pt>
              </c:strCache>
            </c:strRef>
          </c:cat>
          <c:val>
            <c:numRef>
              <c:f>FLUKTUATION!$Q$2:$Q$10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C-CE4B-98AB-CC8297704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105599"/>
        <c:axId val="361108287"/>
      </c:barChart>
      <c:catAx>
        <c:axId val="361105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1108287"/>
        <c:crosses val="autoZero"/>
        <c:auto val="1"/>
        <c:lblAlgn val="ctr"/>
        <c:lblOffset val="100"/>
        <c:noMultiLvlLbl val="0"/>
      </c:catAx>
      <c:valAx>
        <c:axId val="3611082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11055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Daten offen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6-F140-9D0D-219F4439F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Grund fehlt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1-B041-A8E1-AFD2ACCFE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598335"/>
        <c:axId val="392596095"/>
      </c:barChart>
      <c:catAx>
        <c:axId val="3925983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92596095"/>
        <c:crosses val="autoZero"/>
        <c:auto val="1"/>
        <c:lblAlgn val="ctr"/>
        <c:lblOffset val="100"/>
        <c:noMultiLvlLbl val="0"/>
      </c:catAx>
      <c:valAx>
        <c:axId val="39259609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925983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9ABD0E81-C11A-A299-ED40-86E32F5C80EE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3883BC1D-E125-D6BC-6B3C-83AC4A734D5E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09A29591-72D0-044E-927F-9CE56C6BC4A2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6E318277-22FE-0C9F-7967-C313F0A36A11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939800</xdr:colOff>
      <xdr:row>39</xdr:row>
      <xdr:rowOff>152400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D60BA351-76AE-70B5-B06A-636AEE9E3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28</xdr:row>
      <xdr:rowOff>0</xdr:rowOff>
    </xdr:from>
    <xdr:to>
      <xdr:col>4</xdr:col>
      <xdr:colOff>863600</xdr:colOff>
      <xdr:row>39</xdr:row>
      <xdr:rowOff>152400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A3239EC6-F64B-4A65-C824-83C20851F1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863600</xdr:colOff>
      <xdr:row>52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CB821A3-1418-F673-8803-C9685E779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3203125" style="108" customWidth="1"/>
    <col min="2" max="3" width="13.6640625" style="108" customWidth="1"/>
    <col min="4" max="4" width="14.83203125" style="108" customWidth="1"/>
    <col min="5" max="5" width="12.6640625" style="108" customWidth="1"/>
    <col min="6" max="6" width="24.6640625" style="108" customWidth="1"/>
    <col min="7" max="7" width="13.83203125" style="108" customWidth="1"/>
    <col min="8" max="8" width="14.83203125" style="115" customWidth="1"/>
    <col min="9" max="9" width="22.83203125" style="108" customWidth="1"/>
    <col min="10" max="10" width="24.83203125" style="108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84" t="s">
        <v>292</v>
      </c>
      <c r="B1" s="284"/>
      <c r="C1" s="284"/>
      <c r="D1" s="284"/>
      <c r="E1" s="284"/>
      <c r="F1" s="284"/>
      <c r="G1" s="284"/>
      <c r="H1" s="284"/>
      <c r="I1" s="284"/>
      <c r="J1" s="284"/>
    </row>
    <row r="2" spans="1:10" ht="74" customHeight="1">
      <c r="A2" s="291" t="s">
        <v>352</v>
      </c>
      <c r="B2" s="291"/>
      <c r="C2" s="291"/>
      <c r="D2" s="291"/>
      <c r="E2" s="291"/>
      <c r="F2" s="291"/>
      <c r="G2" s="291"/>
      <c r="H2" s="291"/>
      <c r="I2" s="398"/>
      <c r="J2" s="398"/>
    </row>
    <row r="3" spans="1:10" ht="24" customHeight="1">
      <c r="A3" s="122" t="s">
        <v>297</v>
      </c>
      <c r="B3" s="122" t="s">
        <v>342</v>
      </c>
      <c r="C3" s="122" t="s">
        <v>343</v>
      </c>
      <c r="D3" s="122" t="s">
        <v>301</v>
      </c>
      <c r="E3" s="122" t="s">
        <v>298</v>
      </c>
      <c r="F3" s="122" t="s">
        <v>344</v>
      </c>
      <c r="G3" s="122" t="s">
        <v>299</v>
      </c>
      <c r="H3" s="123" t="s">
        <v>1</v>
      </c>
      <c r="I3" s="122" t="s">
        <v>300</v>
      </c>
      <c r="J3" s="122" t="s">
        <v>345</v>
      </c>
    </row>
    <row r="4" spans="1:10" ht="24" customHeight="1" thickBot="1">
      <c r="A4" s="292" t="s">
        <v>478</v>
      </c>
      <c r="B4" s="293"/>
      <c r="C4" s="293"/>
      <c r="D4" s="294"/>
      <c r="E4" s="294"/>
      <c r="F4" s="294"/>
      <c r="G4" s="295"/>
      <c r="H4" s="296"/>
      <c r="I4" s="294"/>
      <c r="J4" s="297"/>
    </row>
    <row r="5" spans="1:10" ht="24" customHeight="1">
      <c r="A5" s="168" t="s">
        <v>477</v>
      </c>
      <c r="B5" s="150">
        <v>46143</v>
      </c>
      <c r="C5" s="150">
        <v>46507</v>
      </c>
      <c r="D5" s="151" t="s">
        <v>302</v>
      </c>
      <c r="E5" s="151" t="s">
        <v>2</v>
      </c>
      <c r="F5" s="151" t="s">
        <v>293</v>
      </c>
      <c r="G5" s="124">
        <v>173</v>
      </c>
      <c r="H5" s="125">
        <v>2200</v>
      </c>
      <c r="I5" s="15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76" t="str">
        <f t="shared" ref="J5:J36" si="1">IF($G5="","",IF(COUNTIFS($A:$A,$A5,$D:$D,$D5,$G:$G,$G5)&gt;1,"Doppelte Monatsstunden",""))</f>
        <v/>
      </c>
    </row>
    <row r="6" spans="1:10" ht="24" customHeight="1">
      <c r="A6" s="169" t="s">
        <v>477</v>
      </c>
      <c r="B6" s="152">
        <v>46143</v>
      </c>
      <c r="C6" s="152">
        <v>46507</v>
      </c>
      <c r="D6" s="153" t="s">
        <v>302</v>
      </c>
      <c r="E6" s="153" t="s">
        <v>2</v>
      </c>
      <c r="F6" s="153" t="s">
        <v>293</v>
      </c>
      <c r="G6" s="126">
        <v>151.38</v>
      </c>
      <c r="H6" s="127">
        <v>2300</v>
      </c>
      <c r="I6" s="153" t="str">
        <f t="shared" si="0"/>
        <v>OK</v>
      </c>
      <c r="J6" s="177" t="str">
        <f t="shared" si="1"/>
        <v/>
      </c>
    </row>
    <row r="7" spans="1:10" ht="24" customHeight="1">
      <c r="A7" s="169" t="s">
        <v>477</v>
      </c>
      <c r="B7" s="152">
        <v>46143</v>
      </c>
      <c r="C7" s="152">
        <v>46507</v>
      </c>
      <c r="D7" s="153" t="s">
        <v>302</v>
      </c>
      <c r="E7" s="153" t="s">
        <v>2</v>
      </c>
      <c r="F7" s="153" t="s">
        <v>293</v>
      </c>
      <c r="G7" s="126">
        <v>138.4</v>
      </c>
      <c r="H7" s="127">
        <v>2300</v>
      </c>
      <c r="I7" s="153" t="str">
        <f t="shared" si="0"/>
        <v>OK</v>
      </c>
      <c r="J7" s="177" t="str">
        <f t="shared" si="1"/>
        <v/>
      </c>
    </row>
    <row r="8" spans="1:10" ht="24" customHeight="1">
      <c r="A8" s="169" t="s">
        <v>477</v>
      </c>
      <c r="B8" s="152">
        <v>46143</v>
      </c>
      <c r="C8" s="152">
        <v>46507</v>
      </c>
      <c r="D8" s="153" t="s">
        <v>302</v>
      </c>
      <c r="E8" s="153" t="s">
        <v>2</v>
      </c>
      <c r="F8" s="153" t="s">
        <v>293</v>
      </c>
      <c r="G8" s="126">
        <v>129.75</v>
      </c>
      <c r="H8" s="127">
        <v>2300</v>
      </c>
      <c r="I8" s="153" t="str">
        <f t="shared" si="0"/>
        <v>OK</v>
      </c>
      <c r="J8" s="177" t="str">
        <f t="shared" si="1"/>
        <v/>
      </c>
    </row>
    <row r="9" spans="1:10" ht="24" customHeight="1">
      <c r="A9" s="169" t="s">
        <v>477</v>
      </c>
      <c r="B9" s="152">
        <v>46143</v>
      </c>
      <c r="C9" s="152">
        <v>46507</v>
      </c>
      <c r="D9" s="153" t="s">
        <v>302</v>
      </c>
      <c r="E9" s="153" t="s">
        <v>2</v>
      </c>
      <c r="F9" s="153" t="s">
        <v>293</v>
      </c>
      <c r="G9" s="126">
        <v>108.13</v>
      </c>
      <c r="H9" s="127">
        <v>2222</v>
      </c>
      <c r="I9" s="153" t="str">
        <f t="shared" si="0"/>
        <v>OK</v>
      </c>
      <c r="J9" s="177" t="str">
        <f t="shared" si="1"/>
        <v/>
      </c>
    </row>
    <row r="10" spans="1:10" ht="24" customHeight="1">
      <c r="A10" s="169" t="s">
        <v>477</v>
      </c>
      <c r="B10" s="152">
        <v>46143</v>
      </c>
      <c r="C10" s="152">
        <v>46507</v>
      </c>
      <c r="D10" s="153" t="s">
        <v>302</v>
      </c>
      <c r="E10" s="153" t="s">
        <v>2</v>
      </c>
      <c r="F10" s="153" t="s">
        <v>293</v>
      </c>
      <c r="G10" s="126">
        <v>103.8</v>
      </c>
      <c r="H10" s="127">
        <v>2111</v>
      </c>
      <c r="I10" s="153" t="str">
        <f t="shared" si="0"/>
        <v>OK</v>
      </c>
      <c r="J10" s="177" t="str">
        <f t="shared" si="1"/>
        <v/>
      </c>
    </row>
    <row r="11" spans="1:10" ht="24" customHeight="1">
      <c r="A11" s="169" t="s">
        <v>477</v>
      </c>
      <c r="B11" s="152">
        <v>46143</v>
      </c>
      <c r="C11" s="152">
        <v>46507</v>
      </c>
      <c r="D11" s="153" t="s">
        <v>302</v>
      </c>
      <c r="E11" s="153" t="s">
        <v>2</v>
      </c>
      <c r="F11" s="153" t="s">
        <v>293</v>
      </c>
      <c r="G11" s="126">
        <v>86.5</v>
      </c>
      <c r="H11" s="127">
        <v>1333</v>
      </c>
      <c r="I11" s="153" t="str">
        <f t="shared" si="0"/>
        <v>OK</v>
      </c>
      <c r="J11" s="177" t="str">
        <f t="shared" si="1"/>
        <v/>
      </c>
    </row>
    <row r="12" spans="1:10" ht="24" customHeight="1">
      <c r="A12" s="169" t="s">
        <v>477</v>
      </c>
      <c r="B12" s="152">
        <v>46143</v>
      </c>
      <c r="C12" s="152">
        <v>46507</v>
      </c>
      <c r="D12" s="153" t="s">
        <v>302</v>
      </c>
      <c r="E12" s="153" t="s">
        <v>2</v>
      </c>
      <c r="F12" s="153" t="s">
        <v>293</v>
      </c>
      <c r="G12" s="126">
        <v>69.2</v>
      </c>
      <c r="H12" s="127"/>
      <c r="I12" s="153" t="str">
        <f t="shared" si="0"/>
        <v>Monatslohn fehlt</v>
      </c>
      <c r="J12" s="177" t="str">
        <f t="shared" si="1"/>
        <v/>
      </c>
    </row>
    <row r="13" spans="1:10" ht="24" customHeight="1">
      <c r="A13" s="169" t="s">
        <v>477</v>
      </c>
      <c r="B13" s="152">
        <v>46143</v>
      </c>
      <c r="C13" s="152">
        <v>46507</v>
      </c>
      <c r="D13" s="153" t="s">
        <v>302</v>
      </c>
      <c r="E13" s="153" t="s">
        <v>2</v>
      </c>
      <c r="F13" s="153" t="s">
        <v>293</v>
      </c>
      <c r="G13" s="126">
        <v>64</v>
      </c>
      <c r="H13" s="127"/>
      <c r="I13" s="153" t="str">
        <f t="shared" si="0"/>
        <v>Monatslohn fehlt</v>
      </c>
      <c r="J13" s="177" t="str">
        <f t="shared" si="1"/>
        <v/>
      </c>
    </row>
    <row r="14" spans="1:10" ht="24" customHeight="1">
      <c r="A14" s="169" t="s">
        <v>477</v>
      </c>
      <c r="B14" s="152">
        <v>46143</v>
      </c>
      <c r="C14" s="152">
        <v>46507</v>
      </c>
      <c r="D14" s="153" t="s">
        <v>302</v>
      </c>
      <c r="E14" s="153" t="s">
        <v>2</v>
      </c>
      <c r="F14" s="153" t="s">
        <v>293</v>
      </c>
      <c r="G14" s="126">
        <v>51.9</v>
      </c>
      <c r="H14" s="127"/>
      <c r="I14" s="153" t="str">
        <f t="shared" si="0"/>
        <v>Monatslohn fehlt</v>
      </c>
      <c r="J14" s="177" t="str">
        <f t="shared" si="1"/>
        <v/>
      </c>
    </row>
    <row r="15" spans="1:10" ht="24" customHeight="1">
      <c r="A15" s="169" t="s">
        <v>477</v>
      </c>
      <c r="B15" s="152">
        <v>46143</v>
      </c>
      <c r="C15" s="152">
        <v>46507</v>
      </c>
      <c r="D15" s="153" t="s">
        <v>302</v>
      </c>
      <c r="E15" s="153" t="s">
        <v>2</v>
      </c>
      <c r="F15" s="153" t="s">
        <v>293</v>
      </c>
      <c r="G15" s="126">
        <v>47.58</v>
      </c>
      <c r="H15" s="127"/>
      <c r="I15" s="153" t="str">
        <f t="shared" si="0"/>
        <v>Monatslohn fehlt</v>
      </c>
      <c r="J15" s="177" t="str">
        <f t="shared" si="1"/>
        <v/>
      </c>
    </row>
    <row r="16" spans="1:10" ht="24" customHeight="1">
      <c r="A16" s="169" t="s">
        <v>477</v>
      </c>
      <c r="B16" s="152">
        <v>46143</v>
      </c>
      <c r="C16" s="152">
        <v>46507</v>
      </c>
      <c r="D16" s="153" t="s">
        <v>302</v>
      </c>
      <c r="E16" s="153" t="s">
        <v>2</v>
      </c>
      <c r="F16" s="153" t="s">
        <v>293</v>
      </c>
      <c r="G16" s="126">
        <v>43.25</v>
      </c>
      <c r="H16" s="127"/>
      <c r="I16" s="153" t="str">
        <f t="shared" si="0"/>
        <v>Monatslohn fehlt</v>
      </c>
      <c r="J16" s="177" t="str">
        <f t="shared" si="1"/>
        <v/>
      </c>
    </row>
    <row r="17" spans="1:10" ht="24" customHeight="1">
      <c r="A17" s="169" t="s">
        <v>477</v>
      </c>
      <c r="B17" s="152">
        <v>46143</v>
      </c>
      <c r="C17" s="152">
        <v>46507</v>
      </c>
      <c r="D17" s="153" t="s">
        <v>302</v>
      </c>
      <c r="E17" s="153" t="s">
        <v>2</v>
      </c>
      <c r="F17" s="153" t="s">
        <v>293</v>
      </c>
      <c r="G17" s="126">
        <v>34.6</v>
      </c>
      <c r="H17" s="127"/>
      <c r="I17" s="153" t="str">
        <f t="shared" si="0"/>
        <v>Monatslohn fehlt</v>
      </c>
      <c r="J17" s="177" t="str">
        <f t="shared" si="1"/>
        <v/>
      </c>
    </row>
    <row r="18" spans="1:10" ht="24" customHeight="1">
      <c r="A18" s="169" t="s">
        <v>477</v>
      </c>
      <c r="B18" s="152">
        <v>46143</v>
      </c>
      <c r="C18" s="152">
        <v>46507</v>
      </c>
      <c r="D18" s="153" t="s">
        <v>302</v>
      </c>
      <c r="E18" s="153" t="s">
        <v>2</v>
      </c>
      <c r="F18" s="153" t="s">
        <v>293</v>
      </c>
      <c r="G18" s="126">
        <v>32.01</v>
      </c>
      <c r="H18" s="127"/>
      <c r="I18" s="153" t="str">
        <f t="shared" si="0"/>
        <v>Monatslohn fehlt</v>
      </c>
      <c r="J18" s="177" t="str">
        <f t="shared" si="1"/>
        <v/>
      </c>
    </row>
    <row r="19" spans="1:10" ht="24" customHeight="1" thickBot="1">
      <c r="A19" s="169" t="s">
        <v>477</v>
      </c>
      <c r="B19" s="152">
        <v>46143</v>
      </c>
      <c r="C19" s="152">
        <v>46507</v>
      </c>
      <c r="D19" s="153" t="s">
        <v>302</v>
      </c>
      <c r="E19" s="153" t="s">
        <v>2</v>
      </c>
      <c r="F19" s="153" t="s">
        <v>293</v>
      </c>
      <c r="G19" s="126">
        <v>10</v>
      </c>
      <c r="H19" s="127"/>
      <c r="I19" s="153" t="str">
        <f t="shared" si="0"/>
        <v>Monatslohn fehlt</v>
      </c>
      <c r="J19" s="177" t="str">
        <f t="shared" si="1"/>
        <v/>
      </c>
    </row>
    <row r="20" spans="1:10" ht="24" customHeight="1">
      <c r="A20" s="170" t="s">
        <v>477</v>
      </c>
      <c r="B20" s="154">
        <v>46143</v>
      </c>
      <c r="C20" s="154">
        <v>46507</v>
      </c>
      <c r="D20" s="155" t="s">
        <v>3</v>
      </c>
      <c r="E20" s="155" t="s">
        <v>2</v>
      </c>
      <c r="F20" s="155" t="s">
        <v>294</v>
      </c>
      <c r="G20" s="128">
        <v>173</v>
      </c>
      <c r="H20" s="129"/>
      <c r="I20" s="155" t="str">
        <f t="shared" si="0"/>
        <v>Monatslohn fehlt</v>
      </c>
      <c r="J20" s="178" t="str">
        <f t="shared" si="1"/>
        <v/>
      </c>
    </row>
    <row r="21" spans="1:10" ht="24" customHeight="1">
      <c r="A21" s="169" t="s">
        <v>477</v>
      </c>
      <c r="B21" s="152">
        <v>46143</v>
      </c>
      <c r="C21" s="152">
        <v>46507</v>
      </c>
      <c r="D21" s="153" t="s">
        <v>3</v>
      </c>
      <c r="E21" s="153" t="s">
        <v>2</v>
      </c>
      <c r="F21" s="153" t="s">
        <v>294</v>
      </c>
      <c r="G21" s="126">
        <v>151.38</v>
      </c>
      <c r="H21" s="127"/>
      <c r="I21" s="153" t="str">
        <f t="shared" si="0"/>
        <v>Monatslohn fehlt</v>
      </c>
      <c r="J21" s="177" t="str">
        <f t="shared" si="1"/>
        <v/>
      </c>
    </row>
    <row r="22" spans="1:10" ht="24" customHeight="1">
      <c r="A22" s="169" t="s">
        <v>477</v>
      </c>
      <c r="B22" s="152">
        <v>46143</v>
      </c>
      <c r="C22" s="152">
        <v>46507</v>
      </c>
      <c r="D22" s="153" t="s">
        <v>3</v>
      </c>
      <c r="E22" s="153" t="s">
        <v>2</v>
      </c>
      <c r="F22" s="153" t="s">
        <v>294</v>
      </c>
      <c r="G22" s="126">
        <v>138.4</v>
      </c>
      <c r="H22" s="127"/>
      <c r="I22" s="153" t="str">
        <f t="shared" si="0"/>
        <v>Monatslohn fehlt</v>
      </c>
      <c r="J22" s="177" t="str">
        <f t="shared" si="1"/>
        <v/>
      </c>
    </row>
    <row r="23" spans="1:10" ht="24" customHeight="1">
      <c r="A23" s="169" t="s">
        <v>477</v>
      </c>
      <c r="B23" s="152">
        <v>46143</v>
      </c>
      <c r="C23" s="152">
        <v>46507</v>
      </c>
      <c r="D23" s="153" t="s">
        <v>3</v>
      </c>
      <c r="E23" s="153" t="s">
        <v>2</v>
      </c>
      <c r="F23" s="153" t="s">
        <v>294</v>
      </c>
      <c r="G23" s="126">
        <v>129.75</v>
      </c>
      <c r="H23" s="127"/>
      <c r="I23" s="153" t="str">
        <f t="shared" si="0"/>
        <v>Monatslohn fehlt</v>
      </c>
      <c r="J23" s="177" t="str">
        <f t="shared" si="1"/>
        <v/>
      </c>
    </row>
    <row r="24" spans="1:10" ht="24" customHeight="1">
      <c r="A24" s="169" t="s">
        <v>477</v>
      </c>
      <c r="B24" s="152">
        <v>46143</v>
      </c>
      <c r="C24" s="152">
        <v>46507</v>
      </c>
      <c r="D24" s="153" t="s">
        <v>3</v>
      </c>
      <c r="E24" s="153" t="s">
        <v>2</v>
      </c>
      <c r="F24" s="153" t="s">
        <v>294</v>
      </c>
      <c r="G24" s="126">
        <v>108.13</v>
      </c>
      <c r="H24" s="127"/>
      <c r="I24" s="153" t="str">
        <f t="shared" si="0"/>
        <v>Monatslohn fehlt</v>
      </c>
      <c r="J24" s="177" t="str">
        <f t="shared" si="1"/>
        <v/>
      </c>
    </row>
    <row r="25" spans="1:10" ht="24" customHeight="1">
      <c r="A25" s="169" t="s">
        <v>477</v>
      </c>
      <c r="B25" s="152">
        <v>46143</v>
      </c>
      <c r="C25" s="152">
        <v>46507</v>
      </c>
      <c r="D25" s="153" t="s">
        <v>3</v>
      </c>
      <c r="E25" s="153" t="s">
        <v>2</v>
      </c>
      <c r="F25" s="153" t="s">
        <v>294</v>
      </c>
      <c r="G25" s="126">
        <v>103.8</v>
      </c>
      <c r="H25" s="127"/>
      <c r="I25" s="153" t="str">
        <f t="shared" si="0"/>
        <v>Monatslohn fehlt</v>
      </c>
      <c r="J25" s="177" t="str">
        <f t="shared" si="1"/>
        <v/>
      </c>
    </row>
    <row r="26" spans="1:10" ht="24" customHeight="1">
      <c r="A26" s="169" t="s">
        <v>477</v>
      </c>
      <c r="B26" s="152">
        <v>46143</v>
      </c>
      <c r="C26" s="152">
        <v>46507</v>
      </c>
      <c r="D26" s="153" t="s">
        <v>3</v>
      </c>
      <c r="E26" s="153" t="s">
        <v>2</v>
      </c>
      <c r="F26" s="153" t="s">
        <v>294</v>
      </c>
      <c r="G26" s="126">
        <v>100</v>
      </c>
      <c r="H26" s="127"/>
      <c r="I26" s="153" t="str">
        <f t="shared" si="0"/>
        <v>Monatslohn fehlt</v>
      </c>
      <c r="J26" s="177" t="str">
        <f t="shared" si="1"/>
        <v/>
      </c>
    </row>
    <row r="27" spans="1:10" ht="24" customHeight="1">
      <c r="A27" s="169" t="s">
        <v>477</v>
      </c>
      <c r="B27" s="152">
        <v>46143</v>
      </c>
      <c r="C27" s="152">
        <v>46507</v>
      </c>
      <c r="D27" s="153" t="s">
        <v>3</v>
      </c>
      <c r="E27" s="153" t="s">
        <v>2</v>
      </c>
      <c r="F27" s="153" t="s">
        <v>294</v>
      </c>
      <c r="G27" s="126">
        <v>86.5</v>
      </c>
      <c r="H27" s="127"/>
      <c r="I27" s="153" t="str">
        <f t="shared" si="0"/>
        <v>Monatslohn fehlt</v>
      </c>
      <c r="J27" s="177" t="str">
        <f t="shared" si="1"/>
        <v/>
      </c>
    </row>
    <row r="28" spans="1:10" ht="24" customHeight="1">
      <c r="A28" s="169" t="s">
        <v>477</v>
      </c>
      <c r="B28" s="152">
        <v>46143</v>
      </c>
      <c r="C28" s="152">
        <v>46507</v>
      </c>
      <c r="D28" s="153" t="s">
        <v>3</v>
      </c>
      <c r="E28" s="153" t="s">
        <v>2</v>
      </c>
      <c r="F28" s="153" t="s">
        <v>294</v>
      </c>
      <c r="G28" s="126">
        <v>69.2</v>
      </c>
      <c r="H28" s="127"/>
      <c r="I28" s="153" t="str">
        <f t="shared" si="0"/>
        <v>Monatslohn fehlt</v>
      </c>
      <c r="J28" s="177" t="str">
        <f t="shared" si="1"/>
        <v/>
      </c>
    </row>
    <row r="29" spans="1:10" ht="24" customHeight="1">
      <c r="A29" s="169" t="s">
        <v>477</v>
      </c>
      <c r="B29" s="152">
        <v>46143</v>
      </c>
      <c r="C29" s="152">
        <v>46507</v>
      </c>
      <c r="D29" s="153" t="s">
        <v>3</v>
      </c>
      <c r="E29" s="153" t="s">
        <v>2</v>
      </c>
      <c r="F29" s="153" t="s">
        <v>294</v>
      </c>
      <c r="G29" s="126">
        <v>51.9</v>
      </c>
      <c r="H29" s="127"/>
      <c r="I29" s="153" t="str">
        <f t="shared" si="0"/>
        <v>Monatslohn fehlt</v>
      </c>
      <c r="J29" s="177" t="str">
        <f t="shared" si="1"/>
        <v/>
      </c>
    </row>
    <row r="30" spans="1:10" ht="24" customHeight="1">
      <c r="A30" s="169" t="s">
        <v>477</v>
      </c>
      <c r="B30" s="152">
        <v>46143</v>
      </c>
      <c r="C30" s="152">
        <v>46507</v>
      </c>
      <c r="D30" s="153" t="s">
        <v>3</v>
      </c>
      <c r="E30" s="153" t="s">
        <v>2</v>
      </c>
      <c r="F30" s="153" t="s">
        <v>294</v>
      </c>
      <c r="G30" s="126">
        <v>47.58</v>
      </c>
      <c r="H30" s="127"/>
      <c r="I30" s="153" t="str">
        <f t="shared" si="0"/>
        <v>Monatslohn fehlt</v>
      </c>
      <c r="J30" s="177" t="str">
        <f t="shared" si="1"/>
        <v/>
      </c>
    </row>
    <row r="31" spans="1:10" ht="24" customHeight="1">
      <c r="A31" s="169" t="s">
        <v>477</v>
      </c>
      <c r="B31" s="152">
        <v>46143</v>
      </c>
      <c r="C31" s="152">
        <v>46507</v>
      </c>
      <c r="D31" s="153" t="s">
        <v>3</v>
      </c>
      <c r="E31" s="153" t="s">
        <v>2</v>
      </c>
      <c r="F31" s="153" t="s">
        <v>294</v>
      </c>
      <c r="G31" s="126">
        <v>43.25</v>
      </c>
      <c r="H31" s="127"/>
      <c r="I31" s="153" t="str">
        <f t="shared" si="0"/>
        <v>Monatslohn fehlt</v>
      </c>
      <c r="J31" s="177" t="str">
        <f t="shared" si="1"/>
        <v/>
      </c>
    </row>
    <row r="32" spans="1:10" ht="24" customHeight="1">
      <c r="A32" s="169" t="s">
        <v>477</v>
      </c>
      <c r="B32" s="152">
        <v>46143</v>
      </c>
      <c r="C32" s="152">
        <v>46507</v>
      </c>
      <c r="D32" s="153" t="s">
        <v>3</v>
      </c>
      <c r="E32" s="153" t="s">
        <v>2</v>
      </c>
      <c r="F32" s="153" t="s">
        <v>294</v>
      </c>
      <c r="G32" s="126">
        <v>34.6</v>
      </c>
      <c r="H32" s="127"/>
      <c r="I32" s="153" t="str">
        <f t="shared" si="0"/>
        <v>Monatslohn fehlt</v>
      </c>
      <c r="J32" s="177" t="str">
        <f t="shared" si="1"/>
        <v/>
      </c>
    </row>
    <row r="33" spans="1:10" ht="24" customHeight="1">
      <c r="A33" s="169" t="s">
        <v>477</v>
      </c>
      <c r="B33" s="152">
        <v>46143</v>
      </c>
      <c r="C33" s="152">
        <v>46507</v>
      </c>
      <c r="D33" s="153" t="s">
        <v>3</v>
      </c>
      <c r="E33" s="153" t="s">
        <v>2</v>
      </c>
      <c r="F33" s="153" t="s">
        <v>294</v>
      </c>
      <c r="G33" s="126">
        <v>32.01</v>
      </c>
      <c r="H33" s="127"/>
      <c r="I33" s="153" t="str">
        <f t="shared" si="0"/>
        <v>Monatslohn fehlt</v>
      </c>
      <c r="J33" s="177" t="str">
        <f t="shared" si="1"/>
        <v/>
      </c>
    </row>
    <row r="34" spans="1:10" ht="24" customHeight="1" thickBot="1">
      <c r="A34" s="169" t="s">
        <v>477</v>
      </c>
      <c r="B34" s="152">
        <v>46143</v>
      </c>
      <c r="C34" s="152">
        <v>46507</v>
      </c>
      <c r="D34" s="153" t="s">
        <v>3</v>
      </c>
      <c r="E34" s="153" t="s">
        <v>2</v>
      </c>
      <c r="F34" s="153" t="s">
        <v>294</v>
      </c>
      <c r="G34" s="126"/>
      <c r="H34" s="127"/>
      <c r="I34" s="153" t="str">
        <f t="shared" si="0"/>
        <v>Werte fehlen</v>
      </c>
      <c r="J34" s="177" t="str">
        <f t="shared" si="1"/>
        <v/>
      </c>
    </row>
    <row r="35" spans="1:10" ht="24" customHeight="1">
      <c r="A35" s="170" t="s">
        <v>477</v>
      </c>
      <c r="B35" s="154">
        <v>46143</v>
      </c>
      <c r="C35" s="154">
        <v>46507</v>
      </c>
      <c r="D35" s="155" t="s">
        <v>4</v>
      </c>
      <c r="E35" s="155" t="s">
        <v>2</v>
      </c>
      <c r="F35" s="155" t="s">
        <v>295</v>
      </c>
      <c r="G35" s="128">
        <v>173</v>
      </c>
      <c r="H35" s="129"/>
      <c r="I35" s="155" t="str">
        <f t="shared" si="0"/>
        <v>Monatslohn fehlt</v>
      </c>
      <c r="J35" s="178" t="str">
        <f t="shared" si="1"/>
        <v/>
      </c>
    </row>
    <row r="36" spans="1:10" ht="24" customHeight="1">
      <c r="A36" s="169" t="s">
        <v>477</v>
      </c>
      <c r="B36" s="152">
        <v>46143</v>
      </c>
      <c r="C36" s="152">
        <v>46507</v>
      </c>
      <c r="D36" s="153" t="s">
        <v>4</v>
      </c>
      <c r="E36" s="153" t="s">
        <v>2</v>
      </c>
      <c r="F36" s="153" t="s">
        <v>295</v>
      </c>
      <c r="G36" s="126">
        <v>151.38</v>
      </c>
      <c r="H36" s="127"/>
      <c r="I36" s="153" t="str">
        <f t="shared" si="0"/>
        <v>Monatslohn fehlt</v>
      </c>
      <c r="J36" s="177" t="str">
        <f t="shared" si="1"/>
        <v/>
      </c>
    </row>
    <row r="37" spans="1:10" ht="24" customHeight="1">
      <c r="A37" s="169" t="s">
        <v>477</v>
      </c>
      <c r="B37" s="152">
        <v>46143</v>
      </c>
      <c r="C37" s="152">
        <v>46507</v>
      </c>
      <c r="D37" s="153" t="s">
        <v>4</v>
      </c>
      <c r="E37" s="153" t="s">
        <v>2</v>
      </c>
      <c r="F37" s="153" t="s">
        <v>295</v>
      </c>
      <c r="G37" s="126">
        <v>138.4</v>
      </c>
      <c r="H37" s="127"/>
      <c r="I37" s="15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77" t="str">
        <f t="shared" ref="J37:J68" si="3">IF($G37="","",IF(COUNTIFS($A:$A,$A37,$D:$D,$D37,$G:$G,$G37)&gt;1,"Doppelte Monatsstunden",""))</f>
        <v/>
      </c>
    </row>
    <row r="38" spans="1:10" ht="24" customHeight="1">
      <c r="A38" s="169" t="s">
        <v>477</v>
      </c>
      <c r="B38" s="152">
        <v>46143</v>
      </c>
      <c r="C38" s="152">
        <v>46507</v>
      </c>
      <c r="D38" s="153" t="s">
        <v>4</v>
      </c>
      <c r="E38" s="153" t="s">
        <v>2</v>
      </c>
      <c r="F38" s="153" t="s">
        <v>295</v>
      </c>
      <c r="G38" s="126">
        <v>129.75</v>
      </c>
      <c r="H38" s="127"/>
      <c r="I38" s="153" t="str">
        <f t="shared" si="2"/>
        <v>Monatslohn fehlt</v>
      </c>
      <c r="J38" s="177" t="str">
        <f t="shared" si="3"/>
        <v/>
      </c>
    </row>
    <row r="39" spans="1:10" ht="24" customHeight="1">
      <c r="A39" s="169" t="s">
        <v>477</v>
      </c>
      <c r="B39" s="152">
        <v>46143</v>
      </c>
      <c r="C39" s="152">
        <v>46507</v>
      </c>
      <c r="D39" s="153" t="s">
        <v>4</v>
      </c>
      <c r="E39" s="153" t="s">
        <v>2</v>
      </c>
      <c r="F39" s="153" t="s">
        <v>295</v>
      </c>
      <c r="G39" s="126">
        <v>108.13</v>
      </c>
      <c r="H39" s="127"/>
      <c r="I39" s="153" t="str">
        <f t="shared" si="2"/>
        <v>Monatslohn fehlt</v>
      </c>
      <c r="J39" s="177" t="str">
        <f t="shared" si="3"/>
        <v/>
      </c>
    </row>
    <row r="40" spans="1:10" ht="24" customHeight="1">
      <c r="A40" s="169" t="s">
        <v>477</v>
      </c>
      <c r="B40" s="152">
        <v>46143</v>
      </c>
      <c r="C40" s="152">
        <v>46507</v>
      </c>
      <c r="D40" s="153" t="s">
        <v>4</v>
      </c>
      <c r="E40" s="153" t="s">
        <v>2</v>
      </c>
      <c r="F40" s="153" t="s">
        <v>295</v>
      </c>
      <c r="G40" s="126">
        <v>103.8</v>
      </c>
      <c r="H40" s="127"/>
      <c r="I40" s="153" t="str">
        <f t="shared" si="2"/>
        <v>Monatslohn fehlt</v>
      </c>
      <c r="J40" s="177" t="str">
        <f t="shared" si="3"/>
        <v/>
      </c>
    </row>
    <row r="41" spans="1:10" ht="24" customHeight="1">
      <c r="A41" s="169" t="s">
        <v>477</v>
      </c>
      <c r="B41" s="152">
        <v>46143</v>
      </c>
      <c r="C41" s="152">
        <v>46507</v>
      </c>
      <c r="D41" s="153" t="s">
        <v>4</v>
      </c>
      <c r="E41" s="153" t="s">
        <v>2</v>
      </c>
      <c r="F41" s="153" t="s">
        <v>295</v>
      </c>
      <c r="G41" s="126">
        <v>86.5</v>
      </c>
      <c r="H41" s="127"/>
      <c r="I41" s="153" t="str">
        <f t="shared" si="2"/>
        <v>Monatslohn fehlt</v>
      </c>
      <c r="J41" s="177" t="str">
        <f t="shared" si="3"/>
        <v/>
      </c>
    </row>
    <row r="42" spans="1:10" ht="24" customHeight="1">
      <c r="A42" s="169" t="s">
        <v>477</v>
      </c>
      <c r="B42" s="152">
        <v>46143</v>
      </c>
      <c r="C42" s="152">
        <v>46507</v>
      </c>
      <c r="D42" s="153" t="s">
        <v>4</v>
      </c>
      <c r="E42" s="153" t="s">
        <v>2</v>
      </c>
      <c r="F42" s="153" t="s">
        <v>295</v>
      </c>
      <c r="G42" s="126">
        <v>69.2</v>
      </c>
      <c r="H42" s="127"/>
      <c r="I42" s="153" t="str">
        <f t="shared" si="2"/>
        <v>Monatslohn fehlt</v>
      </c>
      <c r="J42" s="177" t="str">
        <f t="shared" si="3"/>
        <v/>
      </c>
    </row>
    <row r="43" spans="1:10" ht="24" customHeight="1">
      <c r="A43" s="169" t="s">
        <v>477</v>
      </c>
      <c r="B43" s="152">
        <v>46143</v>
      </c>
      <c r="C43" s="152">
        <v>46507</v>
      </c>
      <c r="D43" s="153" t="s">
        <v>4</v>
      </c>
      <c r="E43" s="153" t="s">
        <v>2</v>
      </c>
      <c r="F43" s="153" t="s">
        <v>295</v>
      </c>
      <c r="G43" s="126">
        <v>51.9</v>
      </c>
      <c r="H43" s="127"/>
      <c r="I43" s="153" t="str">
        <f t="shared" si="2"/>
        <v>Monatslohn fehlt</v>
      </c>
      <c r="J43" s="177" t="str">
        <f t="shared" si="3"/>
        <v/>
      </c>
    </row>
    <row r="44" spans="1:10" ht="24" customHeight="1">
      <c r="A44" s="169" t="s">
        <v>477</v>
      </c>
      <c r="B44" s="152">
        <v>46143</v>
      </c>
      <c r="C44" s="152">
        <v>46507</v>
      </c>
      <c r="D44" s="153" t="s">
        <v>4</v>
      </c>
      <c r="E44" s="153" t="s">
        <v>2</v>
      </c>
      <c r="F44" s="153" t="s">
        <v>295</v>
      </c>
      <c r="G44" s="126">
        <v>47.58</v>
      </c>
      <c r="H44" s="127"/>
      <c r="I44" s="153" t="str">
        <f t="shared" si="2"/>
        <v>Monatslohn fehlt</v>
      </c>
      <c r="J44" s="177" t="str">
        <f t="shared" si="3"/>
        <v/>
      </c>
    </row>
    <row r="45" spans="1:10" ht="24" customHeight="1">
      <c r="A45" s="169" t="s">
        <v>477</v>
      </c>
      <c r="B45" s="152">
        <v>46143</v>
      </c>
      <c r="C45" s="152">
        <v>46507</v>
      </c>
      <c r="D45" s="153" t="s">
        <v>4</v>
      </c>
      <c r="E45" s="153" t="s">
        <v>2</v>
      </c>
      <c r="F45" s="153" t="s">
        <v>295</v>
      </c>
      <c r="G45" s="126">
        <v>43.25</v>
      </c>
      <c r="H45" s="127"/>
      <c r="I45" s="153" t="str">
        <f t="shared" si="2"/>
        <v>Monatslohn fehlt</v>
      </c>
      <c r="J45" s="177" t="str">
        <f t="shared" si="3"/>
        <v/>
      </c>
    </row>
    <row r="46" spans="1:10" ht="24" customHeight="1">
      <c r="A46" s="169" t="s">
        <v>477</v>
      </c>
      <c r="B46" s="152">
        <v>46143</v>
      </c>
      <c r="C46" s="152">
        <v>46507</v>
      </c>
      <c r="D46" s="153" t="s">
        <v>4</v>
      </c>
      <c r="E46" s="153" t="s">
        <v>2</v>
      </c>
      <c r="F46" s="153" t="s">
        <v>295</v>
      </c>
      <c r="G46" s="126">
        <v>34.6</v>
      </c>
      <c r="H46" s="127"/>
      <c r="I46" s="153" t="str">
        <f t="shared" si="2"/>
        <v>Monatslohn fehlt</v>
      </c>
      <c r="J46" s="177" t="str">
        <f t="shared" si="3"/>
        <v/>
      </c>
    </row>
    <row r="47" spans="1:10" ht="24" customHeight="1">
      <c r="A47" s="169" t="s">
        <v>477</v>
      </c>
      <c r="B47" s="152">
        <v>46143</v>
      </c>
      <c r="C47" s="152">
        <v>46507</v>
      </c>
      <c r="D47" s="153" t="s">
        <v>4</v>
      </c>
      <c r="E47" s="153" t="s">
        <v>2</v>
      </c>
      <c r="F47" s="153" t="s">
        <v>295</v>
      </c>
      <c r="G47" s="126">
        <v>32.01</v>
      </c>
      <c r="H47" s="127"/>
      <c r="I47" s="153" t="str">
        <f t="shared" si="2"/>
        <v>Monatslohn fehlt</v>
      </c>
      <c r="J47" s="177" t="str">
        <f t="shared" si="3"/>
        <v/>
      </c>
    </row>
    <row r="48" spans="1:10" ht="24" customHeight="1">
      <c r="A48" s="169" t="s">
        <v>477</v>
      </c>
      <c r="B48" s="152">
        <v>46143</v>
      </c>
      <c r="C48" s="152">
        <v>46507</v>
      </c>
      <c r="D48" s="153" t="s">
        <v>4</v>
      </c>
      <c r="E48" s="153" t="s">
        <v>2</v>
      </c>
      <c r="F48" s="153" t="s">
        <v>295</v>
      </c>
      <c r="G48" s="126"/>
      <c r="H48" s="127"/>
      <c r="I48" s="153" t="str">
        <f t="shared" si="2"/>
        <v>Werte fehlen</v>
      </c>
      <c r="J48" s="177" t="str">
        <f t="shared" si="3"/>
        <v/>
      </c>
    </row>
    <row r="49" spans="1:10" ht="24" customHeight="1" thickBot="1">
      <c r="A49" s="169" t="s">
        <v>477</v>
      </c>
      <c r="B49" s="152">
        <v>46143</v>
      </c>
      <c r="C49" s="152">
        <v>46507</v>
      </c>
      <c r="D49" s="153" t="s">
        <v>4</v>
      </c>
      <c r="E49" s="153" t="s">
        <v>2</v>
      </c>
      <c r="F49" s="153" t="s">
        <v>295</v>
      </c>
      <c r="G49" s="126"/>
      <c r="H49" s="127"/>
      <c r="I49" s="153" t="str">
        <f t="shared" si="2"/>
        <v>Werte fehlen</v>
      </c>
      <c r="J49" s="177" t="str">
        <f t="shared" si="3"/>
        <v/>
      </c>
    </row>
    <row r="50" spans="1:10" ht="24" customHeight="1">
      <c r="A50" s="170" t="s">
        <v>477</v>
      </c>
      <c r="B50" s="154">
        <v>46143</v>
      </c>
      <c r="C50" s="154">
        <v>46507</v>
      </c>
      <c r="D50" s="155" t="s">
        <v>5</v>
      </c>
      <c r="E50" s="155" t="s">
        <v>2</v>
      </c>
      <c r="F50" s="155" t="s">
        <v>296</v>
      </c>
      <c r="G50" s="128">
        <v>173</v>
      </c>
      <c r="H50" s="129"/>
      <c r="I50" s="155" t="str">
        <f t="shared" si="2"/>
        <v>Monatslohn fehlt</v>
      </c>
      <c r="J50" s="178" t="str">
        <f t="shared" si="3"/>
        <v/>
      </c>
    </row>
    <row r="51" spans="1:10" ht="24" customHeight="1">
      <c r="A51" s="169" t="s">
        <v>477</v>
      </c>
      <c r="B51" s="152">
        <v>46143</v>
      </c>
      <c r="C51" s="152">
        <v>46507</v>
      </c>
      <c r="D51" s="153" t="s">
        <v>5</v>
      </c>
      <c r="E51" s="153" t="s">
        <v>2</v>
      </c>
      <c r="F51" s="153" t="s">
        <v>296</v>
      </c>
      <c r="G51" s="126">
        <v>151.38</v>
      </c>
      <c r="H51" s="127"/>
      <c r="I51" s="153" t="str">
        <f t="shared" si="2"/>
        <v>Monatslohn fehlt</v>
      </c>
      <c r="J51" s="177" t="str">
        <f t="shared" si="3"/>
        <v/>
      </c>
    </row>
    <row r="52" spans="1:10" ht="24" customHeight="1">
      <c r="A52" s="169" t="s">
        <v>477</v>
      </c>
      <c r="B52" s="152">
        <v>46143</v>
      </c>
      <c r="C52" s="152">
        <v>46507</v>
      </c>
      <c r="D52" s="153" t="s">
        <v>5</v>
      </c>
      <c r="E52" s="153" t="s">
        <v>2</v>
      </c>
      <c r="F52" s="153" t="s">
        <v>296</v>
      </c>
      <c r="G52" s="126">
        <v>138.4</v>
      </c>
      <c r="H52" s="127"/>
      <c r="I52" s="153" t="str">
        <f t="shared" si="2"/>
        <v>Monatslohn fehlt</v>
      </c>
      <c r="J52" s="177" t="str">
        <f t="shared" si="3"/>
        <v/>
      </c>
    </row>
    <row r="53" spans="1:10" ht="24" customHeight="1">
      <c r="A53" s="169" t="s">
        <v>477</v>
      </c>
      <c r="B53" s="152">
        <v>46143</v>
      </c>
      <c r="C53" s="152">
        <v>46507</v>
      </c>
      <c r="D53" s="153" t="s">
        <v>5</v>
      </c>
      <c r="E53" s="153" t="s">
        <v>2</v>
      </c>
      <c r="F53" s="153" t="s">
        <v>296</v>
      </c>
      <c r="G53" s="126">
        <v>129.75</v>
      </c>
      <c r="H53" s="127"/>
      <c r="I53" s="153" t="str">
        <f t="shared" si="2"/>
        <v>Monatslohn fehlt</v>
      </c>
      <c r="J53" s="177" t="str">
        <f t="shared" si="3"/>
        <v/>
      </c>
    </row>
    <row r="54" spans="1:10" ht="24" customHeight="1">
      <c r="A54" s="169" t="s">
        <v>477</v>
      </c>
      <c r="B54" s="152">
        <v>46143</v>
      </c>
      <c r="C54" s="152">
        <v>46507</v>
      </c>
      <c r="D54" s="153" t="s">
        <v>5</v>
      </c>
      <c r="E54" s="153" t="s">
        <v>2</v>
      </c>
      <c r="F54" s="153" t="s">
        <v>296</v>
      </c>
      <c r="G54" s="126">
        <v>108.13</v>
      </c>
      <c r="H54" s="127"/>
      <c r="I54" s="153" t="str">
        <f t="shared" si="2"/>
        <v>Monatslohn fehlt</v>
      </c>
      <c r="J54" s="177" t="str">
        <f t="shared" si="3"/>
        <v/>
      </c>
    </row>
    <row r="55" spans="1:10" ht="24" customHeight="1">
      <c r="A55" s="169" t="s">
        <v>477</v>
      </c>
      <c r="B55" s="152">
        <v>46143</v>
      </c>
      <c r="C55" s="152">
        <v>46507</v>
      </c>
      <c r="D55" s="153" t="s">
        <v>5</v>
      </c>
      <c r="E55" s="153" t="s">
        <v>2</v>
      </c>
      <c r="F55" s="153" t="s">
        <v>296</v>
      </c>
      <c r="G55" s="126">
        <v>103.8</v>
      </c>
      <c r="H55" s="127"/>
      <c r="I55" s="153" t="str">
        <f t="shared" si="2"/>
        <v>Monatslohn fehlt</v>
      </c>
      <c r="J55" s="177" t="str">
        <f t="shared" si="3"/>
        <v/>
      </c>
    </row>
    <row r="56" spans="1:10" ht="24" customHeight="1">
      <c r="A56" s="169" t="s">
        <v>477</v>
      </c>
      <c r="B56" s="152">
        <v>46143</v>
      </c>
      <c r="C56" s="152">
        <v>46507</v>
      </c>
      <c r="D56" s="153" t="s">
        <v>5</v>
      </c>
      <c r="E56" s="153" t="s">
        <v>2</v>
      </c>
      <c r="F56" s="153" t="s">
        <v>296</v>
      </c>
      <c r="G56" s="126">
        <v>86.5</v>
      </c>
      <c r="H56" s="127"/>
      <c r="I56" s="153" t="str">
        <f t="shared" si="2"/>
        <v>Monatslohn fehlt</v>
      </c>
      <c r="J56" s="177" t="str">
        <f t="shared" si="3"/>
        <v/>
      </c>
    </row>
    <row r="57" spans="1:10" ht="24" customHeight="1">
      <c r="A57" s="169" t="s">
        <v>477</v>
      </c>
      <c r="B57" s="152">
        <v>46143</v>
      </c>
      <c r="C57" s="152">
        <v>46507</v>
      </c>
      <c r="D57" s="153" t="s">
        <v>5</v>
      </c>
      <c r="E57" s="153" t="s">
        <v>2</v>
      </c>
      <c r="F57" s="153" t="s">
        <v>296</v>
      </c>
      <c r="G57" s="126">
        <v>69.2</v>
      </c>
      <c r="H57" s="127"/>
      <c r="I57" s="153" t="str">
        <f t="shared" si="2"/>
        <v>Monatslohn fehlt</v>
      </c>
      <c r="J57" s="177" t="str">
        <f t="shared" si="3"/>
        <v/>
      </c>
    </row>
    <row r="58" spans="1:10" ht="24" customHeight="1">
      <c r="A58" s="169" t="s">
        <v>477</v>
      </c>
      <c r="B58" s="152">
        <v>46143</v>
      </c>
      <c r="C58" s="152">
        <v>46507</v>
      </c>
      <c r="D58" s="153" t="s">
        <v>5</v>
      </c>
      <c r="E58" s="153" t="s">
        <v>2</v>
      </c>
      <c r="F58" s="153" t="s">
        <v>296</v>
      </c>
      <c r="G58" s="126">
        <v>51.9</v>
      </c>
      <c r="H58" s="127"/>
      <c r="I58" s="153" t="str">
        <f t="shared" si="2"/>
        <v>Monatslohn fehlt</v>
      </c>
      <c r="J58" s="177" t="str">
        <f t="shared" si="3"/>
        <v/>
      </c>
    </row>
    <row r="59" spans="1:10" ht="24" customHeight="1">
      <c r="A59" s="169" t="s">
        <v>477</v>
      </c>
      <c r="B59" s="152">
        <v>46143</v>
      </c>
      <c r="C59" s="152">
        <v>46507</v>
      </c>
      <c r="D59" s="153" t="s">
        <v>5</v>
      </c>
      <c r="E59" s="153" t="s">
        <v>2</v>
      </c>
      <c r="F59" s="153" t="s">
        <v>296</v>
      </c>
      <c r="G59" s="126">
        <v>47.58</v>
      </c>
      <c r="H59" s="127"/>
      <c r="I59" s="153" t="str">
        <f t="shared" si="2"/>
        <v>Monatslohn fehlt</v>
      </c>
      <c r="J59" s="177" t="str">
        <f t="shared" si="3"/>
        <v/>
      </c>
    </row>
    <row r="60" spans="1:10" ht="24" customHeight="1">
      <c r="A60" s="169" t="s">
        <v>477</v>
      </c>
      <c r="B60" s="152">
        <v>46143</v>
      </c>
      <c r="C60" s="152">
        <v>46507</v>
      </c>
      <c r="D60" s="153" t="s">
        <v>5</v>
      </c>
      <c r="E60" s="153" t="s">
        <v>2</v>
      </c>
      <c r="F60" s="153" t="s">
        <v>296</v>
      </c>
      <c r="G60" s="126">
        <v>43.25</v>
      </c>
      <c r="H60" s="127"/>
      <c r="I60" s="153" t="str">
        <f t="shared" si="2"/>
        <v>Monatslohn fehlt</v>
      </c>
      <c r="J60" s="177" t="str">
        <f t="shared" si="3"/>
        <v/>
      </c>
    </row>
    <row r="61" spans="1:10" ht="24" customHeight="1">
      <c r="A61" s="169" t="s">
        <v>477</v>
      </c>
      <c r="B61" s="152">
        <v>46143</v>
      </c>
      <c r="C61" s="152">
        <v>46507</v>
      </c>
      <c r="D61" s="153" t="s">
        <v>5</v>
      </c>
      <c r="E61" s="153" t="s">
        <v>2</v>
      </c>
      <c r="F61" s="153" t="s">
        <v>296</v>
      </c>
      <c r="G61" s="126">
        <v>34.6</v>
      </c>
      <c r="H61" s="127"/>
      <c r="I61" s="153" t="str">
        <f t="shared" si="2"/>
        <v>Monatslohn fehlt</v>
      </c>
      <c r="J61" s="177" t="str">
        <f t="shared" si="3"/>
        <v/>
      </c>
    </row>
    <row r="62" spans="1:10" ht="24" customHeight="1">
      <c r="A62" s="169" t="s">
        <v>477</v>
      </c>
      <c r="B62" s="152">
        <v>46143</v>
      </c>
      <c r="C62" s="152">
        <v>46507</v>
      </c>
      <c r="D62" s="153" t="s">
        <v>5</v>
      </c>
      <c r="E62" s="153" t="s">
        <v>2</v>
      </c>
      <c r="F62" s="153" t="s">
        <v>296</v>
      </c>
      <c r="G62" s="126">
        <v>32.01</v>
      </c>
      <c r="H62" s="127"/>
      <c r="I62" s="153" t="str">
        <f t="shared" si="2"/>
        <v>Monatslohn fehlt</v>
      </c>
      <c r="J62" s="177" t="str">
        <f t="shared" si="3"/>
        <v/>
      </c>
    </row>
    <row r="63" spans="1:10" ht="24" customHeight="1">
      <c r="A63" s="169" t="s">
        <v>477</v>
      </c>
      <c r="B63" s="152">
        <v>46143</v>
      </c>
      <c r="C63" s="152">
        <v>46507</v>
      </c>
      <c r="D63" s="153" t="s">
        <v>5</v>
      </c>
      <c r="E63" s="153" t="s">
        <v>2</v>
      </c>
      <c r="F63" s="153" t="s">
        <v>296</v>
      </c>
      <c r="G63" s="126"/>
      <c r="H63" s="127"/>
      <c r="I63" s="153" t="str">
        <f t="shared" si="2"/>
        <v>Werte fehlen</v>
      </c>
      <c r="J63" s="177" t="str">
        <f t="shared" si="3"/>
        <v/>
      </c>
    </row>
    <row r="64" spans="1:10" ht="24" customHeight="1" thickBot="1">
      <c r="A64" s="169" t="s">
        <v>477</v>
      </c>
      <c r="B64" s="152">
        <v>46143</v>
      </c>
      <c r="C64" s="152">
        <v>46507</v>
      </c>
      <c r="D64" s="153" t="s">
        <v>5</v>
      </c>
      <c r="E64" s="153" t="s">
        <v>2</v>
      </c>
      <c r="F64" s="153" t="s">
        <v>296</v>
      </c>
      <c r="G64" s="126"/>
      <c r="H64" s="127"/>
      <c r="I64" s="153" t="str">
        <f t="shared" si="2"/>
        <v>Werte fehlen</v>
      </c>
      <c r="J64" s="177" t="str">
        <f t="shared" si="3"/>
        <v/>
      </c>
    </row>
    <row r="65" spans="1:10" ht="24" customHeight="1">
      <c r="A65" s="171" t="s">
        <v>477</v>
      </c>
      <c r="B65" s="156">
        <v>46143</v>
      </c>
      <c r="C65" s="156">
        <v>46507</v>
      </c>
      <c r="D65" s="157" t="s">
        <v>303</v>
      </c>
      <c r="E65" s="157" t="s">
        <v>6</v>
      </c>
      <c r="F65" s="157" t="s">
        <v>293</v>
      </c>
      <c r="G65" s="130">
        <v>173</v>
      </c>
      <c r="H65" s="131"/>
      <c r="I65" s="157" t="str">
        <f t="shared" si="2"/>
        <v>Monatslohn fehlt</v>
      </c>
      <c r="J65" s="179" t="str">
        <f t="shared" si="3"/>
        <v/>
      </c>
    </row>
    <row r="66" spans="1:10" ht="24" customHeight="1">
      <c r="A66" s="172" t="s">
        <v>477</v>
      </c>
      <c r="B66" s="158">
        <v>46143</v>
      </c>
      <c r="C66" s="158">
        <v>46507</v>
      </c>
      <c r="D66" s="159" t="s">
        <v>303</v>
      </c>
      <c r="E66" s="159" t="s">
        <v>6</v>
      </c>
      <c r="F66" s="159" t="s">
        <v>293</v>
      </c>
      <c r="G66" s="132">
        <v>151.38</v>
      </c>
      <c r="H66" s="133"/>
      <c r="I66" s="159" t="str">
        <f t="shared" si="2"/>
        <v>Monatslohn fehlt</v>
      </c>
      <c r="J66" s="180" t="str">
        <f t="shared" si="3"/>
        <v/>
      </c>
    </row>
    <row r="67" spans="1:10" ht="24" customHeight="1">
      <c r="A67" s="172" t="s">
        <v>477</v>
      </c>
      <c r="B67" s="158">
        <v>46143</v>
      </c>
      <c r="C67" s="158">
        <v>46507</v>
      </c>
      <c r="D67" s="159" t="s">
        <v>303</v>
      </c>
      <c r="E67" s="159" t="s">
        <v>6</v>
      </c>
      <c r="F67" s="159" t="s">
        <v>293</v>
      </c>
      <c r="G67" s="132">
        <v>138.4</v>
      </c>
      <c r="H67" s="133"/>
      <c r="I67" s="159" t="str">
        <f t="shared" si="2"/>
        <v>Monatslohn fehlt</v>
      </c>
      <c r="J67" s="180" t="str">
        <f t="shared" si="3"/>
        <v/>
      </c>
    </row>
    <row r="68" spans="1:10" ht="24" customHeight="1">
      <c r="A68" s="172" t="s">
        <v>477</v>
      </c>
      <c r="B68" s="158">
        <v>46143</v>
      </c>
      <c r="C68" s="158">
        <v>46507</v>
      </c>
      <c r="D68" s="159" t="s">
        <v>303</v>
      </c>
      <c r="E68" s="159" t="s">
        <v>6</v>
      </c>
      <c r="F68" s="159" t="s">
        <v>293</v>
      </c>
      <c r="G68" s="132">
        <v>129.75</v>
      </c>
      <c r="H68" s="133"/>
      <c r="I68" s="159" t="str">
        <f t="shared" si="2"/>
        <v>Monatslohn fehlt</v>
      </c>
      <c r="J68" s="180" t="str">
        <f t="shared" si="3"/>
        <v/>
      </c>
    </row>
    <row r="69" spans="1:10" ht="24" customHeight="1">
      <c r="A69" s="172" t="s">
        <v>477</v>
      </c>
      <c r="B69" s="158">
        <v>46143</v>
      </c>
      <c r="C69" s="158">
        <v>46507</v>
      </c>
      <c r="D69" s="159" t="s">
        <v>303</v>
      </c>
      <c r="E69" s="159" t="s">
        <v>6</v>
      </c>
      <c r="F69" s="159" t="s">
        <v>293</v>
      </c>
      <c r="G69" s="132">
        <v>108.13</v>
      </c>
      <c r="H69" s="133"/>
      <c r="I69" s="15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80" t="str">
        <f t="shared" ref="J69:J100" si="5">IF($G69="","",IF(COUNTIFS($A:$A,$A69,$D:$D,$D69,$G:$G,$G69)&gt;1,"Doppelte Monatsstunden",""))</f>
        <v/>
      </c>
    </row>
    <row r="70" spans="1:10" ht="24" customHeight="1">
      <c r="A70" s="172" t="s">
        <v>477</v>
      </c>
      <c r="B70" s="158">
        <v>46143</v>
      </c>
      <c r="C70" s="158">
        <v>46507</v>
      </c>
      <c r="D70" s="159" t="s">
        <v>303</v>
      </c>
      <c r="E70" s="159" t="s">
        <v>6</v>
      </c>
      <c r="F70" s="159" t="s">
        <v>293</v>
      </c>
      <c r="G70" s="132">
        <v>103.8</v>
      </c>
      <c r="H70" s="133"/>
      <c r="I70" s="159" t="str">
        <f t="shared" si="4"/>
        <v>Monatslohn fehlt</v>
      </c>
      <c r="J70" s="180" t="str">
        <f t="shared" si="5"/>
        <v/>
      </c>
    </row>
    <row r="71" spans="1:10" ht="24" customHeight="1">
      <c r="A71" s="172" t="s">
        <v>477</v>
      </c>
      <c r="B71" s="158">
        <v>46143</v>
      </c>
      <c r="C71" s="158">
        <v>46507</v>
      </c>
      <c r="D71" s="159" t="s">
        <v>303</v>
      </c>
      <c r="E71" s="159" t="s">
        <v>6</v>
      </c>
      <c r="F71" s="159" t="s">
        <v>293</v>
      </c>
      <c r="G71" s="132">
        <v>86.5</v>
      </c>
      <c r="H71" s="133"/>
      <c r="I71" s="159" t="str">
        <f t="shared" si="4"/>
        <v>Monatslohn fehlt</v>
      </c>
      <c r="J71" s="180" t="str">
        <f t="shared" si="5"/>
        <v/>
      </c>
    </row>
    <row r="72" spans="1:10" ht="24" customHeight="1">
      <c r="A72" s="172" t="s">
        <v>477</v>
      </c>
      <c r="B72" s="158">
        <v>46143</v>
      </c>
      <c r="C72" s="158">
        <v>46507</v>
      </c>
      <c r="D72" s="159" t="s">
        <v>303</v>
      </c>
      <c r="E72" s="159" t="s">
        <v>6</v>
      </c>
      <c r="F72" s="159" t="s">
        <v>293</v>
      </c>
      <c r="G72" s="132">
        <v>69.2</v>
      </c>
      <c r="H72" s="133"/>
      <c r="I72" s="159" t="str">
        <f t="shared" si="4"/>
        <v>Monatslohn fehlt</v>
      </c>
      <c r="J72" s="180" t="str">
        <f t="shared" si="5"/>
        <v/>
      </c>
    </row>
    <row r="73" spans="1:10" ht="24" customHeight="1">
      <c r="A73" s="172" t="s">
        <v>477</v>
      </c>
      <c r="B73" s="158">
        <v>46143</v>
      </c>
      <c r="C73" s="158">
        <v>46507</v>
      </c>
      <c r="D73" s="159" t="s">
        <v>303</v>
      </c>
      <c r="E73" s="159" t="s">
        <v>6</v>
      </c>
      <c r="F73" s="159" t="s">
        <v>293</v>
      </c>
      <c r="G73" s="132">
        <v>51.9</v>
      </c>
      <c r="H73" s="133"/>
      <c r="I73" s="159" t="str">
        <f t="shared" si="4"/>
        <v>Monatslohn fehlt</v>
      </c>
      <c r="J73" s="180" t="str">
        <f t="shared" si="5"/>
        <v/>
      </c>
    </row>
    <row r="74" spans="1:10" ht="24" customHeight="1">
      <c r="A74" s="172" t="s">
        <v>477</v>
      </c>
      <c r="B74" s="158">
        <v>46143</v>
      </c>
      <c r="C74" s="158">
        <v>46507</v>
      </c>
      <c r="D74" s="159" t="s">
        <v>303</v>
      </c>
      <c r="E74" s="159" t="s">
        <v>6</v>
      </c>
      <c r="F74" s="159" t="s">
        <v>293</v>
      </c>
      <c r="G74" s="132">
        <v>47.58</v>
      </c>
      <c r="H74" s="133"/>
      <c r="I74" s="159" t="str">
        <f t="shared" si="4"/>
        <v>Monatslohn fehlt</v>
      </c>
      <c r="J74" s="180" t="str">
        <f t="shared" si="5"/>
        <v/>
      </c>
    </row>
    <row r="75" spans="1:10" ht="24" customHeight="1">
      <c r="A75" s="172" t="s">
        <v>477</v>
      </c>
      <c r="B75" s="158">
        <v>46143</v>
      </c>
      <c r="C75" s="158">
        <v>46507</v>
      </c>
      <c r="D75" s="159" t="s">
        <v>303</v>
      </c>
      <c r="E75" s="159" t="s">
        <v>6</v>
      </c>
      <c r="F75" s="159" t="s">
        <v>293</v>
      </c>
      <c r="G75" s="132">
        <v>43.25</v>
      </c>
      <c r="H75" s="133"/>
      <c r="I75" s="159" t="str">
        <f t="shared" si="4"/>
        <v>Monatslohn fehlt</v>
      </c>
      <c r="J75" s="180" t="str">
        <f t="shared" si="5"/>
        <v/>
      </c>
    </row>
    <row r="76" spans="1:10" ht="24" customHeight="1">
      <c r="A76" s="172" t="s">
        <v>477</v>
      </c>
      <c r="B76" s="158">
        <v>46143</v>
      </c>
      <c r="C76" s="158">
        <v>46507</v>
      </c>
      <c r="D76" s="159" t="s">
        <v>303</v>
      </c>
      <c r="E76" s="159" t="s">
        <v>6</v>
      </c>
      <c r="F76" s="159" t="s">
        <v>293</v>
      </c>
      <c r="G76" s="132">
        <v>34.6</v>
      </c>
      <c r="H76" s="133"/>
      <c r="I76" s="159" t="str">
        <f t="shared" si="4"/>
        <v>Monatslohn fehlt</v>
      </c>
      <c r="J76" s="180" t="str">
        <f t="shared" si="5"/>
        <v/>
      </c>
    </row>
    <row r="77" spans="1:10" ht="24" customHeight="1">
      <c r="A77" s="172" t="s">
        <v>477</v>
      </c>
      <c r="B77" s="158">
        <v>46143</v>
      </c>
      <c r="C77" s="158">
        <v>46507</v>
      </c>
      <c r="D77" s="159" t="s">
        <v>303</v>
      </c>
      <c r="E77" s="159" t="s">
        <v>6</v>
      </c>
      <c r="F77" s="159" t="s">
        <v>293</v>
      </c>
      <c r="G77" s="132">
        <v>32.01</v>
      </c>
      <c r="H77" s="133"/>
      <c r="I77" s="159" t="str">
        <f t="shared" si="4"/>
        <v>Monatslohn fehlt</v>
      </c>
      <c r="J77" s="180" t="str">
        <f t="shared" si="5"/>
        <v/>
      </c>
    </row>
    <row r="78" spans="1:10" ht="24" customHeight="1">
      <c r="A78" s="172" t="s">
        <v>477</v>
      </c>
      <c r="B78" s="158">
        <v>46143</v>
      </c>
      <c r="C78" s="158">
        <v>46507</v>
      </c>
      <c r="D78" s="159" t="s">
        <v>303</v>
      </c>
      <c r="E78" s="159" t="s">
        <v>6</v>
      </c>
      <c r="F78" s="159" t="s">
        <v>293</v>
      </c>
      <c r="G78" s="132"/>
      <c r="H78" s="133"/>
      <c r="I78" s="159" t="str">
        <f t="shared" si="4"/>
        <v>Werte fehlen</v>
      </c>
      <c r="J78" s="180" t="str">
        <f t="shared" si="5"/>
        <v/>
      </c>
    </row>
    <row r="79" spans="1:10" ht="24" customHeight="1" thickBot="1">
      <c r="A79" s="172" t="s">
        <v>477</v>
      </c>
      <c r="B79" s="158">
        <v>46143</v>
      </c>
      <c r="C79" s="158">
        <v>46507</v>
      </c>
      <c r="D79" s="159" t="s">
        <v>303</v>
      </c>
      <c r="E79" s="159" t="s">
        <v>6</v>
      </c>
      <c r="F79" s="159" t="s">
        <v>293</v>
      </c>
      <c r="G79" s="132"/>
      <c r="H79" s="133"/>
      <c r="I79" s="159" t="str">
        <f t="shared" si="4"/>
        <v>Werte fehlen</v>
      </c>
      <c r="J79" s="180" t="str">
        <f t="shared" si="5"/>
        <v/>
      </c>
    </row>
    <row r="80" spans="1:10" ht="24" customHeight="1">
      <c r="A80" s="171" t="s">
        <v>477</v>
      </c>
      <c r="B80" s="156">
        <v>46143</v>
      </c>
      <c r="C80" s="156">
        <v>46507</v>
      </c>
      <c r="D80" s="157" t="s">
        <v>7</v>
      </c>
      <c r="E80" s="157" t="s">
        <v>6</v>
      </c>
      <c r="F80" s="157" t="s">
        <v>294</v>
      </c>
      <c r="G80" s="130">
        <v>173</v>
      </c>
      <c r="H80" s="131"/>
      <c r="I80" s="157" t="str">
        <f t="shared" si="4"/>
        <v>Monatslohn fehlt</v>
      </c>
      <c r="J80" s="179" t="str">
        <f t="shared" si="5"/>
        <v/>
      </c>
    </row>
    <row r="81" spans="1:10" ht="24" customHeight="1">
      <c r="A81" s="172" t="s">
        <v>477</v>
      </c>
      <c r="B81" s="158">
        <v>46143</v>
      </c>
      <c r="C81" s="158">
        <v>46507</v>
      </c>
      <c r="D81" s="159" t="s">
        <v>7</v>
      </c>
      <c r="E81" s="159" t="s">
        <v>6</v>
      </c>
      <c r="F81" s="159" t="s">
        <v>294</v>
      </c>
      <c r="G81" s="132">
        <v>151.38</v>
      </c>
      <c r="H81" s="133"/>
      <c r="I81" s="159" t="str">
        <f t="shared" si="4"/>
        <v>Monatslohn fehlt</v>
      </c>
      <c r="J81" s="180" t="str">
        <f t="shared" si="5"/>
        <v/>
      </c>
    </row>
    <row r="82" spans="1:10" ht="24" customHeight="1">
      <c r="A82" s="172" t="s">
        <v>477</v>
      </c>
      <c r="B82" s="158">
        <v>46143</v>
      </c>
      <c r="C82" s="158">
        <v>46507</v>
      </c>
      <c r="D82" s="159" t="s">
        <v>7</v>
      </c>
      <c r="E82" s="159" t="s">
        <v>6</v>
      </c>
      <c r="F82" s="159" t="s">
        <v>294</v>
      </c>
      <c r="G82" s="132">
        <v>138.4</v>
      </c>
      <c r="H82" s="133"/>
      <c r="I82" s="159" t="str">
        <f t="shared" si="4"/>
        <v>Monatslohn fehlt</v>
      </c>
      <c r="J82" s="180" t="str">
        <f t="shared" si="5"/>
        <v/>
      </c>
    </row>
    <row r="83" spans="1:10" ht="24" customHeight="1">
      <c r="A83" s="172" t="s">
        <v>477</v>
      </c>
      <c r="B83" s="158">
        <v>46143</v>
      </c>
      <c r="C83" s="158">
        <v>46507</v>
      </c>
      <c r="D83" s="159" t="s">
        <v>7</v>
      </c>
      <c r="E83" s="159" t="s">
        <v>6</v>
      </c>
      <c r="F83" s="159" t="s">
        <v>294</v>
      </c>
      <c r="G83" s="132">
        <v>129.75</v>
      </c>
      <c r="H83" s="133"/>
      <c r="I83" s="159" t="str">
        <f t="shared" si="4"/>
        <v>Monatslohn fehlt</v>
      </c>
      <c r="J83" s="180" t="str">
        <f t="shared" si="5"/>
        <v/>
      </c>
    </row>
    <row r="84" spans="1:10" ht="24" customHeight="1">
      <c r="A84" s="172" t="s">
        <v>477</v>
      </c>
      <c r="B84" s="158">
        <v>46143</v>
      </c>
      <c r="C84" s="158">
        <v>46507</v>
      </c>
      <c r="D84" s="159" t="s">
        <v>7</v>
      </c>
      <c r="E84" s="159" t="s">
        <v>6</v>
      </c>
      <c r="F84" s="159" t="s">
        <v>294</v>
      </c>
      <c r="G84" s="132">
        <v>108.13</v>
      </c>
      <c r="H84" s="133"/>
      <c r="I84" s="159" t="str">
        <f t="shared" si="4"/>
        <v>Monatslohn fehlt</v>
      </c>
      <c r="J84" s="180" t="str">
        <f t="shared" si="5"/>
        <v/>
      </c>
    </row>
    <row r="85" spans="1:10" ht="24" customHeight="1">
      <c r="A85" s="172" t="s">
        <v>477</v>
      </c>
      <c r="B85" s="158">
        <v>46143</v>
      </c>
      <c r="C85" s="158">
        <v>46507</v>
      </c>
      <c r="D85" s="159" t="s">
        <v>7</v>
      </c>
      <c r="E85" s="159" t="s">
        <v>6</v>
      </c>
      <c r="F85" s="159" t="s">
        <v>294</v>
      </c>
      <c r="G85" s="132">
        <v>103.8</v>
      </c>
      <c r="H85" s="133"/>
      <c r="I85" s="159" t="str">
        <f t="shared" si="4"/>
        <v>Monatslohn fehlt</v>
      </c>
      <c r="J85" s="180" t="str">
        <f t="shared" si="5"/>
        <v/>
      </c>
    </row>
    <row r="86" spans="1:10" ht="24" customHeight="1">
      <c r="A86" s="172" t="s">
        <v>477</v>
      </c>
      <c r="B86" s="158">
        <v>46143</v>
      </c>
      <c r="C86" s="158">
        <v>46507</v>
      </c>
      <c r="D86" s="159" t="s">
        <v>7</v>
      </c>
      <c r="E86" s="159" t="s">
        <v>6</v>
      </c>
      <c r="F86" s="159" t="s">
        <v>294</v>
      </c>
      <c r="G86" s="132">
        <v>86.5</v>
      </c>
      <c r="H86" s="133"/>
      <c r="I86" s="159" t="str">
        <f t="shared" si="4"/>
        <v>Monatslohn fehlt</v>
      </c>
      <c r="J86" s="180" t="str">
        <f t="shared" si="5"/>
        <v/>
      </c>
    </row>
    <row r="87" spans="1:10" ht="24" customHeight="1">
      <c r="A87" s="172" t="s">
        <v>477</v>
      </c>
      <c r="B87" s="158">
        <v>46143</v>
      </c>
      <c r="C87" s="158">
        <v>46507</v>
      </c>
      <c r="D87" s="159" t="s">
        <v>7</v>
      </c>
      <c r="E87" s="159" t="s">
        <v>6</v>
      </c>
      <c r="F87" s="159" t="s">
        <v>294</v>
      </c>
      <c r="G87" s="132">
        <v>69.2</v>
      </c>
      <c r="H87" s="133"/>
      <c r="I87" s="159" t="str">
        <f t="shared" si="4"/>
        <v>Monatslohn fehlt</v>
      </c>
      <c r="J87" s="180" t="str">
        <f t="shared" si="5"/>
        <v/>
      </c>
    </row>
    <row r="88" spans="1:10" ht="24" customHeight="1">
      <c r="A88" s="172" t="s">
        <v>477</v>
      </c>
      <c r="B88" s="158">
        <v>46143</v>
      </c>
      <c r="C88" s="158">
        <v>46507</v>
      </c>
      <c r="D88" s="159" t="s">
        <v>7</v>
      </c>
      <c r="E88" s="159" t="s">
        <v>6</v>
      </c>
      <c r="F88" s="159" t="s">
        <v>294</v>
      </c>
      <c r="G88" s="132">
        <v>51.9</v>
      </c>
      <c r="H88" s="133"/>
      <c r="I88" s="159" t="str">
        <f t="shared" si="4"/>
        <v>Monatslohn fehlt</v>
      </c>
      <c r="J88" s="180" t="str">
        <f t="shared" si="5"/>
        <v/>
      </c>
    </row>
    <row r="89" spans="1:10" ht="24" customHeight="1">
      <c r="A89" s="172" t="s">
        <v>477</v>
      </c>
      <c r="B89" s="158">
        <v>46143</v>
      </c>
      <c r="C89" s="158">
        <v>46507</v>
      </c>
      <c r="D89" s="159" t="s">
        <v>7</v>
      </c>
      <c r="E89" s="159" t="s">
        <v>6</v>
      </c>
      <c r="F89" s="159" t="s">
        <v>294</v>
      </c>
      <c r="G89" s="132">
        <v>47.58</v>
      </c>
      <c r="H89" s="133"/>
      <c r="I89" s="159" t="str">
        <f t="shared" si="4"/>
        <v>Monatslohn fehlt</v>
      </c>
      <c r="J89" s="180" t="str">
        <f t="shared" si="5"/>
        <v/>
      </c>
    </row>
    <row r="90" spans="1:10" ht="24" customHeight="1">
      <c r="A90" s="172" t="s">
        <v>477</v>
      </c>
      <c r="B90" s="158">
        <v>46143</v>
      </c>
      <c r="C90" s="158">
        <v>46507</v>
      </c>
      <c r="D90" s="159" t="s">
        <v>7</v>
      </c>
      <c r="E90" s="159" t="s">
        <v>6</v>
      </c>
      <c r="F90" s="159" t="s">
        <v>294</v>
      </c>
      <c r="G90" s="132">
        <v>43.25</v>
      </c>
      <c r="H90" s="133"/>
      <c r="I90" s="159" t="str">
        <f t="shared" si="4"/>
        <v>Monatslohn fehlt</v>
      </c>
      <c r="J90" s="180" t="str">
        <f t="shared" si="5"/>
        <v/>
      </c>
    </row>
    <row r="91" spans="1:10" ht="24" customHeight="1">
      <c r="A91" s="172" t="s">
        <v>477</v>
      </c>
      <c r="B91" s="158">
        <v>46143</v>
      </c>
      <c r="C91" s="158">
        <v>46507</v>
      </c>
      <c r="D91" s="159" t="s">
        <v>7</v>
      </c>
      <c r="E91" s="159" t="s">
        <v>6</v>
      </c>
      <c r="F91" s="159" t="s">
        <v>294</v>
      </c>
      <c r="G91" s="132">
        <v>34.6</v>
      </c>
      <c r="H91" s="133"/>
      <c r="I91" s="159" t="str">
        <f t="shared" si="4"/>
        <v>Monatslohn fehlt</v>
      </c>
      <c r="J91" s="180" t="str">
        <f t="shared" si="5"/>
        <v/>
      </c>
    </row>
    <row r="92" spans="1:10" ht="24" customHeight="1">
      <c r="A92" s="172" t="s">
        <v>477</v>
      </c>
      <c r="B92" s="158">
        <v>46143</v>
      </c>
      <c r="C92" s="158">
        <v>46507</v>
      </c>
      <c r="D92" s="159" t="s">
        <v>7</v>
      </c>
      <c r="E92" s="159" t="s">
        <v>6</v>
      </c>
      <c r="F92" s="159" t="s">
        <v>294</v>
      </c>
      <c r="G92" s="132">
        <v>32.01</v>
      </c>
      <c r="H92" s="133"/>
      <c r="I92" s="159" t="str">
        <f t="shared" si="4"/>
        <v>Monatslohn fehlt</v>
      </c>
      <c r="J92" s="180" t="str">
        <f t="shared" si="5"/>
        <v/>
      </c>
    </row>
    <row r="93" spans="1:10" ht="24" customHeight="1">
      <c r="A93" s="172" t="s">
        <v>477</v>
      </c>
      <c r="B93" s="158">
        <v>46143</v>
      </c>
      <c r="C93" s="158">
        <v>46507</v>
      </c>
      <c r="D93" s="159" t="s">
        <v>7</v>
      </c>
      <c r="E93" s="159" t="s">
        <v>6</v>
      </c>
      <c r="F93" s="159" t="s">
        <v>294</v>
      </c>
      <c r="G93" s="132"/>
      <c r="H93" s="133"/>
      <c r="I93" s="159" t="str">
        <f t="shared" si="4"/>
        <v>Werte fehlen</v>
      </c>
      <c r="J93" s="180" t="str">
        <f t="shared" si="5"/>
        <v/>
      </c>
    </row>
    <row r="94" spans="1:10" ht="24" customHeight="1" thickBot="1">
      <c r="A94" s="172" t="s">
        <v>477</v>
      </c>
      <c r="B94" s="158">
        <v>46143</v>
      </c>
      <c r="C94" s="158">
        <v>46507</v>
      </c>
      <c r="D94" s="159" t="s">
        <v>7</v>
      </c>
      <c r="E94" s="159" t="s">
        <v>6</v>
      </c>
      <c r="F94" s="159" t="s">
        <v>294</v>
      </c>
      <c r="G94" s="132"/>
      <c r="H94" s="133"/>
      <c r="I94" s="159" t="str">
        <f t="shared" si="4"/>
        <v>Werte fehlen</v>
      </c>
      <c r="J94" s="180" t="str">
        <f t="shared" si="5"/>
        <v/>
      </c>
    </row>
    <row r="95" spans="1:10" ht="24" customHeight="1">
      <c r="A95" s="171" t="s">
        <v>477</v>
      </c>
      <c r="B95" s="156">
        <v>46143</v>
      </c>
      <c r="C95" s="156">
        <v>46507</v>
      </c>
      <c r="D95" s="157" t="s">
        <v>8</v>
      </c>
      <c r="E95" s="157" t="s">
        <v>6</v>
      </c>
      <c r="F95" s="157" t="s">
        <v>295</v>
      </c>
      <c r="G95" s="130">
        <v>173</v>
      </c>
      <c r="H95" s="131"/>
      <c r="I95" s="157" t="str">
        <f t="shared" si="4"/>
        <v>Monatslohn fehlt</v>
      </c>
      <c r="J95" s="179" t="str">
        <f t="shared" si="5"/>
        <v/>
      </c>
    </row>
    <row r="96" spans="1:10" ht="24" customHeight="1">
      <c r="A96" s="172" t="s">
        <v>477</v>
      </c>
      <c r="B96" s="158">
        <v>46143</v>
      </c>
      <c r="C96" s="158">
        <v>46507</v>
      </c>
      <c r="D96" s="159" t="s">
        <v>8</v>
      </c>
      <c r="E96" s="159" t="s">
        <v>6</v>
      </c>
      <c r="F96" s="159" t="s">
        <v>295</v>
      </c>
      <c r="G96" s="132">
        <v>151.38</v>
      </c>
      <c r="H96" s="133"/>
      <c r="I96" s="159" t="str">
        <f t="shared" si="4"/>
        <v>Monatslohn fehlt</v>
      </c>
      <c r="J96" s="180" t="str">
        <f t="shared" si="5"/>
        <v/>
      </c>
    </row>
    <row r="97" spans="1:10" ht="24" customHeight="1">
      <c r="A97" s="172" t="s">
        <v>477</v>
      </c>
      <c r="B97" s="158">
        <v>46143</v>
      </c>
      <c r="C97" s="158">
        <v>46507</v>
      </c>
      <c r="D97" s="159" t="s">
        <v>8</v>
      </c>
      <c r="E97" s="159" t="s">
        <v>6</v>
      </c>
      <c r="F97" s="159" t="s">
        <v>295</v>
      </c>
      <c r="G97" s="132">
        <v>138.4</v>
      </c>
      <c r="H97" s="133"/>
      <c r="I97" s="159" t="str">
        <f t="shared" si="4"/>
        <v>Monatslohn fehlt</v>
      </c>
      <c r="J97" s="180" t="str">
        <f t="shared" si="5"/>
        <v/>
      </c>
    </row>
    <row r="98" spans="1:10" ht="24" customHeight="1">
      <c r="A98" s="172" t="s">
        <v>477</v>
      </c>
      <c r="B98" s="158">
        <v>46143</v>
      </c>
      <c r="C98" s="158">
        <v>46507</v>
      </c>
      <c r="D98" s="159" t="s">
        <v>8</v>
      </c>
      <c r="E98" s="159" t="s">
        <v>6</v>
      </c>
      <c r="F98" s="159" t="s">
        <v>295</v>
      </c>
      <c r="G98" s="132">
        <v>129.75</v>
      </c>
      <c r="H98" s="133"/>
      <c r="I98" s="159" t="str">
        <f t="shared" si="4"/>
        <v>Monatslohn fehlt</v>
      </c>
      <c r="J98" s="180" t="str">
        <f t="shared" si="5"/>
        <v/>
      </c>
    </row>
    <row r="99" spans="1:10" ht="24" customHeight="1">
      <c r="A99" s="172" t="s">
        <v>477</v>
      </c>
      <c r="B99" s="158">
        <v>46143</v>
      </c>
      <c r="C99" s="158">
        <v>46507</v>
      </c>
      <c r="D99" s="159" t="s">
        <v>8</v>
      </c>
      <c r="E99" s="159" t="s">
        <v>6</v>
      </c>
      <c r="F99" s="159" t="s">
        <v>295</v>
      </c>
      <c r="G99" s="132">
        <v>108.13</v>
      </c>
      <c r="H99" s="133"/>
      <c r="I99" s="159" t="str">
        <f t="shared" si="4"/>
        <v>Monatslohn fehlt</v>
      </c>
      <c r="J99" s="180" t="str">
        <f t="shared" si="5"/>
        <v/>
      </c>
    </row>
    <row r="100" spans="1:10" ht="24" customHeight="1">
      <c r="A100" s="172" t="s">
        <v>477</v>
      </c>
      <c r="B100" s="158">
        <v>46143</v>
      </c>
      <c r="C100" s="158">
        <v>46507</v>
      </c>
      <c r="D100" s="159" t="s">
        <v>8</v>
      </c>
      <c r="E100" s="159" t="s">
        <v>6</v>
      </c>
      <c r="F100" s="159" t="s">
        <v>295</v>
      </c>
      <c r="G100" s="132">
        <v>103.8</v>
      </c>
      <c r="H100" s="133"/>
      <c r="I100" s="159" t="str">
        <f t="shared" si="4"/>
        <v>Monatslohn fehlt</v>
      </c>
      <c r="J100" s="180" t="str">
        <f t="shared" si="5"/>
        <v/>
      </c>
    </row>
    <row r="101" spans="1:10" ht="24" customHeight="1">
      <c r="A101" s="172" t="s">
        <v>477</v>
      </c>
      <c r="B101" s="158">
        <v>46143</v>
      </c>
      <c r="C101" s="158">
        <v>46507</v>
      </c>
      <c r="D101" s="159" t="s">
        <v>8</v>
      </c>
      <c r="E101" s="159" t="s">
        <v>6</v>
      </c>
      <c r="F101" s="159" t="s">
        <v>295</v>
      </c>
      <c r="G101" s="132">
        <v>86.5</v>
      </c>
      <c r="H101" s="133"/>
      <c r="I101" s="15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80" t="str">
        <f t="shared" ref="J101:J132" si="7">IF($G101="","",IF(COUNTIFS($A:$A,$A101,$D:$D,$D101,$G:$G,$G101)&gt;1,"Doppelte Monatsstunden",""))</f>
        <v/>
      </c>
    </row>
    <row r="102" spans="1:10" ht="24" customHeight="1">
      <c r="A102" s="172" t="s">
        <v>477</v>
      </c>
      <c r="B102" s="158">
        <v>46143</v>
      </c>
      <c r="C102" s="158">
        <v>46507</v>
      </c>
      <c r="D102" s="159" t="s">
        <v>8</v>
      </c>
      <c r="E102" s="159" t="s">
        <v>6</v>
      </c>
      <c r="F102" s="159" t="s">
        <v>295</v>
      </c>
      <c r="G102" s="132">
        <v>69.2</v>
      </c>
      <c r="H102" s="133"/>
      <c r="I102" s="159" t="str">
        <f t="shared" si="6"/>
        <v>Monatslohn fehlt</v>
      </c>
      <c r="J102" s="180" t="str">
        <f t="shared" si="7"/>
        <v/>
      </c>
    </row>
    <row r="103" spans="1:10" ht="24" customHeight="1">
      <c r="A103" s="172" t="s">
        <v>477</v>
      </c>
      <c r="B103" s="158">
        <v>46143</v>
      </c>
      <c r="C103" s="158">
        <v>46507</v>
      </c>
      <c r="D103" s="159" t="s">
        <v>8</v>
      </c>
      <c r="E103" s="159" t="s">
        <v>6</v>
      </c>
      <c r="F103" s="159" t="s">
        <v>295</v>
      </c>
      <c r="G103" s="132">
        <v>51.9</v>
      </c>
      <c r="H103" s="133"/>
      <c r="I103" s="159" t="str">
        <f t="shared" si="6"/>
        <v>Monatslohn fehlt</v>
      </c>
      <c r="J103" s="180" t="str">
        <f t="shared" si="7"/>
        <v/>
      </c>
    </row>
    <row r="104" spans="1:10" ht="24" customHeight="1">
      <c r="A104" s="172" t="s">
        <v>477</v>
      </c>
      <c r="B104" s="158">
        <v>46143</v>
      </c>
      <c r="C104" s="158">
        <v>46507</v>
      </c>
      <c r="D104" s="159" t="s">
        <v>8</v>
      </c>
      <c r="E104" s="159" t="s">
        <v>6</v>
      </c>
      <c r="F104" s="159" t="s">
        <v>295</v>
      </c>
      <c r="G104" s="132">
        <v>47.58</v>
      </c>
      <c r="H104" s="133"/>
      <c r="I104" s="159" t="str">
        <f t="shared" si="6"/>
        <v>Monatslohn fehlt</v>
      </c>
      <c r="J104" s="180" t="str">
        <f t="shared" si="7"/>
        <v/>
      </c>
    </row>
    <row r="105" spans="1:10" ht="24" customHeight="1">
      <c r="A105" s="172" t="s">
        <v>477</v>
      </c>
      <c r="B105" s="158">
        <v>46143</v>
      </c>
      <c r="C105" s="158">
        <v>46507</v>
      </c>
      <c r="D105" s="159" t="s">
        <v>8</v>
      </c>
      <c r="E105" s="159" t="s">
        <v>6</v>
      </c>
      <c r="F105" s="159" t="s">
        <v>295</v>
      </c>
      <c r="G105" s="132">
        <v>43.25</v>
      </c>
      <c r="H105" s="133"/>
      <c r="I105" s="159" t="str">
        <f t="shared" si="6"/>
        <v>Monatslohn fehlt</v>
      </c>
      <c r="J105" s="180" t="str">
        <f t="shared" si="7"/>
        <v/>
      </c>
    </row>
    <row r="106" spans="1:10" ht="24" customHeight="1">
      <c r="A106" s="172" t="s">
        <v>477</v>
      </c>
      <c r="B106" s="158">
        <v>46143</v>
      </c>
      <c r="C106" s="158">
        <v>46507</v>
      </c>
      <c r="D106" s="159" t="s">
        <v>8</v>
      </c>
      <c r="E106" s="159" t="s">
        <v>6</v>
      </c>
      <c r="F106" s="159" t="s">
        <v>295</v>
      </c>
      <c r="G106" s="132">
        <v>34.6</v>
      </c>
      <c r="H106" s="133"/>
      <c r="I106" s="159" t="str">
        <f t="shared" si="6"/>
        <v>Monatslohn fehlt</v>
      </c>
      <c r="J106" s="180" t="str">
        <f t="shared" si="7"/>
        <v/>
      </c>
    </row>
    <row r="107" spans="1:10" ht="24" customHeight="1">
      <c r="A107" s="172" t="s">
        <v>477</v>
      </c>
      <c r="B107" s="158">
        <v>46143</v>
      </c>
      <c r="C107" s="158">
        <v>46507</v>
      </c>
      <c r="D107" s="159" t="s">
        <v>8</v>
      </c>
      <c r="E107" s="159" t="s">
        <v>6</v>
      </c>
      <c r="F107" s="159" t="s">
        <v>295</v>
      </c>
      <c r="G107" s="132">
        <v>32.01</v>
      </c>
      <c r="H107" s="133"/>
      <c r="I107" s="159" t="str">
        <f t="shared" si="6"/>
        <v>Monatslohn fehlt</v>
      </c>
      <c r="J107" s="180" t="str">
        <f t="shared" si="7"/>
        <v/>
      </c>
    </row>
    <row r="108" spans="1:10" ht="24" customHeight="1">
      <c r="A108" s="172" t="s">
        <v>477</v>
      </c>
      <c r="B108" s="158">
        <v>46143</v>
      </c>
      <c r="C108" s="158">
        <v>46507</v>
      </c>
      <c r="D108" s="159" t="s">
        <v>8</v>
      </c>
      <c r="E108" s="159" t="s">
        <v>6</v>
      </c>
      <c r="F108" s="159" t="s">
        <v>295</v>
      </c>
      <c r="G108" s="132"/>
      <c r="H108" s="133"/>
      <c r="I108" s="159" t="str">
        <f t="shared" si="6"/>
        <v>Werte fehlen</v>
      </c>
      <c r="J108" s="180" t="str">
        <f t="shared" si="7"/>
        <v/>
      </c>
    </row>
    <row r="109" spans="1:10" ht="24" customHeight="1" thickBot="1">
      <c r="A109" s="172" t="s">
        <v>477</v>
      </c>
      <c r="B109" s="158">
        <v>46143</v>
      </c>
      <c r="C109" s="158">
        <v>46507</v>
      </c>
      <c r="D109" s="159" t="s">
        <v>8</v>
      </c>
      <c r="E109" s="159" t="s">
        <v>6</v>
      </c>
      <c r="F109" s="159" t="s">
        <v>295</v>
      </c>
      <c r="G109" s="132"/>
      <c r="H109" s="133"/>
      <c r="I109" s="159" t="str">
        <f t="shared" si="6"/>
        <v>Werte fehlen</v>
      </c>
      <c r="J109" s="180" t="str">
        <f t="shared" si="7"/>
        <v/>
      </c>
    </row>
    <row r="110" spans="1:10" ht="24" customHeight="1">
      <c r="A110" s="171" t="s">
        <v>477</v>
      </c>
      <c r="B110" s="156">
        <v>46143</v>
      </c>
      <c r="C110" s="156">
        <v>46507</v>
      </c>
      <c r="D110" s="157" t="s">
        <v>9</v>
      </c>
      <c r="E110" s="157" t="s">
        <v>6</v>
      </c>
      <c r="F110" s="157" t="s">
        <v>296</v>
      </c>
      <c r="G110" s="130">
        <v>173</v>
      </c>
      <c r="H110" s="131"/>
      <c r="I110" s="157" t="str">
        <f t="shared" si="6"/>
        <v>Monatslohn fehlt</v>
      </c>
      <c r="J110" s="179" t="str">
        <f t="shared" si="7"/>
        <v/>
      </c>
    </row>
    <row r="111" spans="1:10" ht="24" customHeight="1">
      <c r="A111" s="172" t="s">
        <v>477</v>
      </c>
      <c r="B111" s="158">
        <v>46143</v>
      </c>
      <c r="C111" s="158">
        <v>46507</v>
      </c>
      <c r="D111" s="159" t="s">
        <v>9</v>
      </c>
      <c r="E111" s="159" t="s">
        <v>6</v>
      </c>
      <c r="F111" s="159" t="s">
        <v>296</v>
      </c>
      <c r="G111" s="132">
        <v>151.38</v>
      </c>
      <c r="H111" s="133"/>
      <c r="I111" s="159" t="str">
        <f t="shared" si="6"/>
        <v>Monatslohn fehlt</v>
      </c>
      <c r="J111" s="180" t="str">
        <f t="shared" si="7"/>
        <v/>
      </c>
    </row>
    <row r="112" spans="1:10" ht="24" customHeight="1">
      <c r="A112" s="172" t="s">
        <v>477</v>
      </c>
      <c r="B112" s="158">
        <v>46143</v>
      </c>
      <c r="C112" s="158">
        <v>46507</v>
      </c>
      <c r="D112" s="159" t="s">
        <v>9</v>
      </c>
      <c r="E112" s="159" t="s">
        <v>6</v>
      </c>
      <c r="F112" s="159" t="s">
        <v>296</v>
      </c>
      <c r="G112" s="132">
        <v>138.4</v>
      </c>
      <c r="H112" s="133"/>
      <c r="I112" s="159" t="str">
        <f t="shared" si="6"/>
        <v>Monatslohn fehlt</v>
      </c>
      <c r="J112" s="180" t="str">
        <f t="shared" si="7"/>
        <v/>
      </c>
    </row>
    <row r="113" spans="1:10" ht="24" customHeight="1">
      <c r="A113" s="172" t="s">
        <v>477</v>
      </c>
      <c r="B113" s="158">
        <v>46143</v>
      </c>
      <c r="C113" s="158">
        <v>46507</v>
      </c>
      <c r="D113" s="159" t="s">
        <v>9</v>
      </c>
      <c r="E113" s="159" t="s">
        <v>6</v>
      </c>
      <c r="F113" s="159" t="s">
        <v>296</v>
      </c>
      <c r="G113" s="132">
        <v>129.75</v>
      </c>
      <c r="H113" s="133"/>
      <c r="I113" s="159" t="str">
        <f t="shared" si="6"/>
        <v>Monatslohn fehlt</v>
      </c>
      <c r="J113" s="180" t="str">
        <f t="shared" si="7"/>
        <v/>
      </c>
    </row>
    <row r="114" spans="1:10" ht="24" customHeight="1">
      <c r="A114" s="172" t="s">
        <v>477</v>
      </c>
      <c r="B114" s="158">
        <v>46143</v>
      </c>
      <c r="C114" s="158">
        <v>46507</v>
      </c>
      <c r="D114" s="159" t="s">
        <v>9</v>
      </c>
      <c r="E114" s="159" t="s">
        <v>6</v>
      </c>
      <c r="F114" s="159" t="s">
        <v>296</v>
      </c>
      <c r="G114" s="132">
        <v>108.13</v>
      </c>
      <c r="H114" s="133"/>
      <c r="I114" s="159" t="str">
        <f t="shared" si="6"/>
        <v>Monatslohn fehlt</v>
      </c>
      <c r="J114" s="180" t="str">
        <f t="shared" si="7"/>
        <v/>
      </c>
    </row>
    <row r="115" spans="1:10" ht="24" customHeight="1">
      <c r="A115" s="172" t="s">
        <v>477</v>
      </c>
      <c r="B115" s="158">
        <v>46143</v>
      </c>
      <c r="C115" s="158">
        <v>46507</v>
      </c>
      <c r="D115" s="159" t="s">
        <v>9</v>
      </c>
      <c r="E115" s="159" t="s">
        <v>6</v>
      </c>
      <c r="F115" s="159" t="s">
        <v>296</v>
      </c>
      <c r="G115" s="132">
        <v>103.8</v>
      </c>
      <c r="H115" s="133"/>
      <c r="I115" s="159" t="str">
        <f t="shared" si="6"/>
        <v>Monatslohn fehlt</v>
      </c>
      <c r="J115" s="180" t="str">
        <f t="shared" si="7"/>
        <v/>
      </c>
    </row>
    <row r="116" spans="1:10" ht="24" customHeight="1">
      <c r="A116" s="172" t="s">
        <v>477</v>
      </c>
      <c r="B116" s="158">
        <v>46143</v>
      </c>
      <c r="C116" s="158">
        <v>46507</v>
      </c>
      <c r="D116" s="159" t="s">
        <v>9</v>
      </c>
      <c r="E116" s="159" t="s">
        <v>6</v>
      </c>
      <c r="F116" s="159" t="s">
        <v>296</v>
      </c>
      <c r="G116" s="132">
        <v>86.5</v>
      </c>
      <c r="H116" s="133"/>
      <c r="I116" s="159" t="str">
        <f t="shared" si="6"/>
        <v>Monatslohn fehlt</v>
      </c>
      <c r="J116" s="180" t="str">
        <f t="shared" si="7"/>
        <v/>
      </c>
    </row>
    <row r="117" spans="1:10" ht="24" customHeight="1">
      <c r="A117" s="172" t="s">
        <v>477</v>
      </c>
      <c r="B117" s="158">
        <v>46143</v>
      </c>
      <c r="C117" s="158">
        <v>46507</v>
      </c>
      <c r="D117" s="159" t="s">
        <v>9</v>
      </c>
      <c r="E117" s="159" t="s">
        <v>6</v>
      </c>
      <c r="F117" s="159" t="s">
        <v>296</v>
      </c>
      <c r="G117" s="132">
        <v>69.2</v>
      </c>
      <c r="H117" s="133"/>
      <c r="I117" s="159" t="str">
        <f t="shared" si="6"/>
        <v>Monatslohn fehlt</v>
      </c>
      <c r="J117" s="180" t="str">
        <f t="shared" si="7"/>
        <v/>
      </c>
    </row>
    <row r="118" spans="1:10" ht="24" customHeight="1">
      <c r="A118" s="172" t="s">
        <v>477</v>
      </c>
      <c r="B118" s="158">
        <v>46143</v>
      </c>
      <c r="C118" s="158">
        <v>46507</v>
      </c>
      <c r="D118" s="159" t="s">
        <v>9</v>
      </c>
      <c r="E118" s="159" t="s">
        <v>6</v>
      </c>
      <c r="F118" s="159" t="s">
        <v>296</v>
      </c>
      <c r="G118" s="132">
        <v>51.9</v>
      </c>
      <c r="H118" s="133"/>
      <c r="I118" s="159" t="str">
        <f t="shared" si="6"/>
        <v>Monatslohn fehlt</v>
      </c>
      <c r="J118" s="180" t="str">
        <f t="shared" si="7"/>
        <v/>
      </c>
    </row>
    <row r="119" spans="1:10" ht="24" customHeight="1">
      <c r="A119" s="172" t="s">
        <v>477</v>
      </c>
      <c r="B119" s="158">
        <v>46143</v>
      </c>
      <c r="C119" s="158">
        <v>46507</v>
      </c>
      <c r="D119" s="159" t="s">
        <v>9</v>
      </c>
      <c r="E119" s="159" t="s">
        <v>6</v>
      </c>
      <c r="F119" s="159" t="s">
        <v>296</v>
      </c>
      <c r="G119" s="132">
        <v>47.58</v>
      </c>
      <c r="H119" s="133"/>
      <c r="I119" s="159" t="str">
        <f t="shared" si="6"/>
        <v>Monatslohn fehlt</v>
      </c>
      <c r="J119" s="180" t="str">
        <f t="shared" si="7"/>
        <v/>
      </c>
    </row>
    <row r="120" spans="1:10" ht="24" customHeight="1">
      <c r="A120" s="172" t="s">
        <v>477</v>
      </c>
      <c r="B120" s="158">
        <v>46143</v>
      </c>
      <c r="C120" s="158">
        <v>46507</v>
      </c>
      <c r="D120" s="159" t="s">
        <v>9</v>
      </c>
      <c r="E120" s="159" t="s">
        <v>6</v>
      </c>
      <c r="F120" s="159" t="s">
        <v>296</v>
      </c>
      <c r="G120" s="132">
        <v>43.25</v>
      </c>
      <c r="H120" s="133"/>
      <c r="I120" s="159" t="str">
        <f t="shared" si="6"/>
        <v>Monatslohn fehlt</v>
      </c>
      <c r="J120" s="180" t="str">
        <f t="shared" si="7"/>
        <v/>
      </c>
    </row>
    <row r="121" spans="1:10" ht="24" customHeight="1">
      <c r="A121" s="172" t="s">
        <v>477</v>
      </c>
      <c r="B121" s="158">
        <v>46143</v>
      </c>
      <c r="C121" s="158">
        <v>46507</v>
      </c>
      <c r="D121" s="159" t="s">
        <v>9</v>
      </c>
      <c r="E121" s="159" t="s">
        <v>6</v>
      </c>
      <c r="F121" s="159" t="s">
        <v>296</v>
      </c>
      <c r="G121" s="132">
        <v>34.6</v>
      </c>
      <c r="H121" s="133"/>
      <c r="I121" s="159" t="str">
        <f t="shared" si="6"/>
        <v>Monatslohn fehlt</v>
      </c>
      <c r="J121" s="180" t="str">
        <f t="shared" si="7"/>
        <v/>
      </c>
    </row>
    <row r="122" spans="1:10" ht="24" customHeight="1">
      <c r="A122" s="172" t="s">
        <v>477</v>
      </c>
      <c r="B122" s="158">
        <v>46143</v>
      </c>
      <c r="C122" s="158">
        <v>46507</v>
      </c>
      <c r="D122" s="159" t="s">
        <v>9</v>
      </c>
      <c r="E122" s="159" t="s">
        <v>6</v>
      </c>
      <c r="F122" s="159" t="s">
        <v>296</v>
      </c>
      <c r="G122" s="132">
        <v>32.01</v>
      </c>
      <c r="H122" s="133"/>
      <c r="I122" s="159" t="str">
        <f t="shared" si="6"/>
        <v>Monatslohn fehlt</v>
      </c>
      <c r="J122" s="180" t="str">
        <f t="shared" si="7"/>
        <v/>
      </c>
    </row>
    <row r="123" spans="1:10" ht="24" customHeight="1">
      <c r="A123" s="172" t="s">
        <v>477</v>
      </c>
      <c r="B123" s="158">
        <v>46143</v>
      </c>
      <c r="C123" s="158">
        <v>46507</v>
      </c>
      <c r="D123" s="159" t="s">
        <v>9</v>
      </c>
      <c r="E123" s="159" t="s">
        <v>6</v>
      </c>
      <c r="F123" s="159" t="s">
        <v>296</v>
      </c>
      <c r="G123" s="132"/>
      <c r="H123" s="133"/>
      <c r="I123" s="159" t="str">
        <f t="shared" si="6"/>
        <v>Werte fehlen</v>
      </c>
      <c r="J123" s="180" t="str">
        <f t="shared" si="7"/>
        <v/>
      </c>
    </row>
    <row r="124" spans="1:10" ht="24" customHeight="1" thickBot="1">
      <c r="A124" s="172" t="s">
        <v>477</v>
      </c>
      <c r="B124" s="158">
        <v>46143</v>
      </c>
      <c r="C124" s="158">
        <v>46507</v>
      </c>
      <c r="D124" s="159" t="s">
        <v>9</v>
      </c>
      <c r="E124" s="159" t="s">
        <v>6</v>
      </c>
      <c r="F124" s="159" t="s">
        <v>296</v>
      </c>
      <c r="G124" s="132"/>
      <c r="H124" s="133"/>
      <c r="I124" s="159" t="str">
        <f t="shared" si="6"/>
        <v>Werte fehlen</v>
      </c>
      <c r="J124" s="180" t="str">
        <f t="shared" si="7"/>
        <v/>
      </c>
    </row>
    <row r="125" spans="1:10" ht="24" customHeight="1">
      <c r="A125" s="173" t="s">
        <v>477</v>
      </c>
      <c r="B125" s="164">
        <v>46143</v>
      </c>
      <c r="C125" s="164">
        <v>46507</v>
      </c>
      <c r="D125" s="165" t="s">
        <v>304</v>
      </c>
      <c r="E125" s="165" t="s">
        <v>10</v>
      </c>
      <c r="F125" s="165" t="s">
        <v>293</v>
      </c>
      <c r="G125" s="134">
        <v>173</v>
      </c>
      <c r="H125" s="135"/>
      <c r="I125" s="165" t="str">
        <f t="shared" si="6"/>
        <v>Monatslohn fehlt</v>
      </c>
      <c r="J125" s="181" t="str">
        <f t="shared" si="7"/>
        <v/>
      </c>
    </row>
    <row r="126" spans="1:10" ht="24" customHeight="1">
      <c r="A126" s="174" t="s">
        <v>477</v>
      </c>
      <c r="B126" s="166">
        <v>46143</v>
      </c>
      <c r="C126" s="166">
        <v>46507</v>
      </c>
      <c r="D126" s="167" t="s">
        <v>304</v>
      </c>
      <c r="E126" s="167" t="s">
        <v>10</v>
      </c>
      <c r="F126" s="167" t="s">
        <v>293</v>
      </c>
      <c r="G126" s="136">
        <v>151.38</v>
      </c>
      <c r="H126" s="137"/>
      <c r="I126" s="167" t="str">
        <f t="shared" si="6"/>
        <v>Monatslohn fehlt</v>
      </c>
      <c r="J126" s="182" t="str">
        <f t="shared" si="7"/>
        <v/>
      </c>
    </row>
    <row r="127" spans="1:10" ht="24" customHeight="1">
      <c r="A127" s="174" t="s">
        <v>477</v>
      </c>
      <c r="B127" s="166">
        <v>46143</v>
      </c>
      <c r="C127" s="166">
        <v>46507</v>
      </c>
      <c r="D127" s="167" t="s">
        <v>304</v>
      </c>
      <c r="E127" s="167" t="s">
        <v>10</v>
      </c>
      <c r="F127" s="167" t="s">
        <v>293</v>
      </c>
      <c r="G127" s="136">
        <v>138.4</v>
      </c>
      <c r="H127" s="137"/>
      <c r="I127" s="167" t="str">
        <f t="shared" si="6"/>
        <v>Monatslohn fehlt</v>
      </c>
      <c r="J127" s="182" t="str">
        <f t="shared" si="7"/>
        <v/>
      </c>
    </row>
    <row r="128" spans="1:10" ht="24" customHeight="1">
      <c r="A128" s="174" t="s">
        <v>477</v>
      </c>
      <c r="B128" s="166">
        <v>46143</v>
      </c>
      <c r="C128" s="166">
        <v>46507</v>
      </c>
      <c r="D128" s="167" t="s">
        <v>304</v>
      </c>
      <c r="E128" s="167" t="s">
        <v>10</v>
      </c>
      <c r="F128" s="167" t="s">
        <v>293</v>
      </c>
      <c r="G128" s="136">
        <v>129.75</v>
      </c>
      <c r="H128" s="137"/>
      <c r="I128" s="167" t="str">
        <f t="shared" si="6"/>
        <v>Monatslohn fehlt</v>
      </c>
      <c r="J128" s="182" t="str">
        <f t="shared" si="7"/>
        <v/>
      </c>
    </row>
    <row r="129" spans="1:10" ht="24" customHeight="1">
      <c r="A129" s="174" t="s">
        <v>477</v>
      </c>
      <c r="B129" s="166">
        <v>46143</v>
      </c>
      <c r="C129" s="166">
        <v>46507</v>
      </c>
      <c r="D129" s="167" t="s">
        <v>304</v>
      </c>
      <c r="E129" s="167" t="s">
        <v>10</v>
      </c>
      <c r="F129" s="167" t="s">
        <v>293</v>
      </c>
      <c r="G129" s="136">
        <v>108.13</v>
      </c>
      <c r="H129" s="137"/>
      <c r="I129" s="167" t="str">
        <f t="shared" si="6"/>
        <v>Monatslohn fehlt</v>
      </c>
      <c r="J129" s="182" t="str">
        <f t="shared" si="7"/>
        <v/>
      </c>
    </row>
    <row r="130" spans="1:10" ht="24" customHeight="1">
      <c r="A130" s="174" t="s">
        <v>477</v>
      </c>
      <c r="B130" s="166">
        <v>46143</v>
      </c>
      <c r="C130" s="166">
        <v>46507</v>
      </c>
      <c r="D130" s="167" t="s">
        <v>304</v>
      </c>
      <c r="E130" s="167" t="s">
        <v>10</v>
      </c>
      <c r="F130" s="167" t="s">
        <v>293</v>
      </c>
      <c r="G130" s="136">
        <v>103.8</v>
      </c>
      <c r="H130" s="137"/>
      <c r="I130" s="167" t="str">
        <f t="shared" si="6"/>
        <v>Monatslohn fehlt</v>
      </c>
      <c r="J130" s="182" t="str">
        <f t="shared" si="7"/>
        <v/>
      </c>
    </row>
    <row r="131" spans="1:10" ht="24" customHeight="1">
      <c r="A131" s="174" t="s">
        <v>477</v>
      </c>
      <c r="B131" s="166">
        <v>46143</v>
      </c>
      <c r="C131" s="166">
        <v>46507</v>
      </c>
      <c r="D131" s="167" t="s">
        <v>304</v>
      </c>
      <c r="E131" s="167" t="s">
        <v>10</v>
      </c>
      <c r="F131" s="167" t="s">
        <v>293</v>
      </c>
      <c r="G131" s="136">
        <v>86.5</v>
      </c>
      <c r="H131" s="137"/>
      <c r="I131" s="167" t="str">
        <f t="shared" si="6"/>
        <v>Monatslohn fehlt</v>
      </c>
      <c r="J131" s="182" t="str">
        <f t="shared" si="7"/>
        <v/>
      </c>
    </row>
    <row r="132" spans="1:10" ht="24" customHeight="1">
      <c r="A132" s="174" t="s">
        <v>477</v>
      </c>
      <c r="B132" s="166">
        <v>46143</v>
      </c>
      <c r="C132" s="166">
        <v>46507</v>
      </c>
      <c r="D132" s="167" t="s">
        <v>304</v>
      </c>
      <c r="E132" s="167" t="s">
        <v>10</v>
      </c>
      <c r="F132" s="167" t="s">
        <v>293</v>
      </c>
      <c r="G132" s="136">
        <v>69.2</v>
      </c>
      <c r="H132" s="137"/>
      <c r="I132" s="167" t="str">
        <f t="shared" si="6"/>
        <v>Monatslohn fehlt</v>
      </c>
      <c r="J132" s="182" t="str">
        <f t="shared" si="7"/>
        <v/>
      </c>
    </row>
    <row r="133" spans="1:10" ht="24" customHeight="1">
      <c r="A133" s="174" t="s">
        <v>477</v>
      </c>
      <c r="B133" s="166">
        <v>46143</v>
      </c>
      <c r="C133" s="166">
        <v>46507</v>
      </c>
      <c r="D133" s="167" t="s">
        <v>304</v>
      </c>
      <c r="E133" s="167" t="s">
        <v>10</v>
      </c>
      <c r="F133" s="167" t="s">
        <v>293</v>
      </c>
      <c r="G133" s="136">
        <v>51.9</v>
      </c>
      <c r="H133" s="137"/>
      <c r="I133" s="16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82" t="str">
        <f t="shared" ref="J133:J164" si="9">IF($G133="","",IF(COUNTIFS($A:$A,$A133,$D:$D,$D133,$G:$G,$G133)&gt;1,"Doppelte Monatsstunden",""))</f>
        <v/>
      </c>
    </row>
    <row r="134" spans="1:10" ht="24" customHeight="1">
      <c r="A134" s="174" t="s">
        <v>477</v>
      </c>
      <c r="B134" s="166">
        <v>46143</v>
      </c>
      <c r="C134" s="166">
        <v>46507</v>
      </c>
      <c r="D134" s="167" t="s">
        <v>304</v>
      </c>
      <c r="E134" s="167" t="s">
        <v>10</v>
      </c>
      <c r="F134" s="167" t="s">
        <v>293</v>
      </c>
      <c r="G134" s="136">
        <v>47.58</v>
      </c>
      <c r="H134" s="137"/>
      <c r="I134" s="167" t="str">
        <f t="shared" si="8"/>
        <v>Monatslohn fehlt</v>
      </c>
      <c r="J134" s="182" t="str">
        <f t="shared" si="9"/>
        <v/>
      </c>
    </row>
    <row r="135" spans="1:10" ht="24" customHeight="1">
      <c r="A135" s="174" t="s">
        <v>477</v>
      </c>
      <c r="B135" s="166">
        <v>46143</v>
      </c>
      <c r="C135" s="166">
        <v>46507</v>
      </c>
      <c r="D135" s="167" t="s">
        <v>304</v>
      </c>
      <c r="E135" s="167" t="s">
        <v>10</v>
      </c>
      <c r="F135" s="167" t="s">
        <v>293</v>
      </c>
      <c r="G135" s="136">
        <v>43.25</v>
      </c>
      <c r="H135" s="137"/>
      <c r="I135" s="167" t="str">
        <f t="shared" si="8"/>
        <v>Monatslohn fehlt</v>
      </c>
      <c r="J135" s="182" t="str">
        <f t="shared" si="9"/>
        <v/>
      </c>
    </row>
    <row r="136" spans="1:10" ht="24" customHeight="1">
      <c r="A136" s="174" t="s">
        <v>477</v>
      </c>
      <c r="B136" s="166">
        <v>46143</v>
      </c>
      <c r="C136" s="166">
        <v>46507</v>
      </c>
      <c r="D136" s="167" t="s">
        <v>304</v>
      </c>
      <c r="E136" s="167" t="s">
        <v>10</v>
      </c>
      <c r="F136" s="167" t="s">
        <v>293</v>
      </c>
      <c r="G136" s="136">
        <v>34.6</v>
      </c>
      <c r="H136" s="137"/>
      <c r="I136" s="167" t="str">
        <f t="shared" si="8"/>
        <v>Monatslohn fehlt</v>
      </c>
      <c r="J136" s="182" t="str">
        <f t="shared" si="9"/>
        <v/>
      </c>
    </row>
    <row r="137" spans="1:10" ht="24" customHeight="1">
      <c r="A137" s="174" t="s">
        <v>477</v>
      </c>
      <c r="B137" s="166">
        <v>46143</v>
      </c>
      <c r="C137" s="166">
        <v>46507</v>
      </c>
      <c r="D137" s="167" t="s">
        <v>304</v>
      </c>
      <c r="E137" s="167" t="s">
        <v>10</v>
      </c>
      <c r="F137" s="167" t="s">
        <v>293</v>
      </c>
      <c r="G137" s="136">
        <v>32.01</v>
      </c>
      <c r="H137" s="137"/>
      <c r="I137" s="167" t="str">
        <f t="shared" si="8"/>
        <v>Monatslohn fehlt</v>
      </c>
      <c r="J137" s="182" t="str">
        <f t="shared" si="9"/>
        <v/>
      </c>
    </row>
    <row r="138" spans="1:10" ht="24" customHeight="1">
      <c r="A138" s="174" t="s">
        <v>477</v>
      </c>
      <c r="B138" s="166">
        <v>46143</v>
      </c>
      <c r="C138" s="166">
        <v>46507</v>
      </c>
      <c r="D138" s="167" t="s">
        <v>304</v>
      </c>
      <c r="E138" s="167" t="s">
        <v>10</v>
      </c>
      <c r="F138" s="167" t="s">
        <v>293</v>
      </c>
      <c r="G138" s="136"/>
      <c r="H138" s="137"/>
      <c r="I138" s="167" t="str">
        <f t="shared" si="8"/>
        <v>Werte fehlen</v>
      </c>
      <c r="J138" s="182" t="str">
        <f t="shared" si="9"/>
        <v/>
      </c>
    </row>
    <row r="139" spans="1:10" ht="24" customHeight="1" thickBot="1">
      <c r="A139" s="174" t="s">
        <v>477</v>
      </c>
      <c r="B139" s="166">
        <v>46143</v>
      </c>
      <c r="C139" s="166">
        <v>46507</v>
      </c>
      <c r="D139" s="167" t="s">
        <v>304</v>
      </c>
      <c r="E139" s="167" t="s">
        <v>10</v>
      </c>
      <c r="F139" s="167" t="s">
        <v>293</v>
      </c>
      <c r="G139" s="136"/>
      <c r="H139" s="137"/>
      <c r="I139" s="167" t="str">
        <f t="shared" si="8"/>
        <v>Werte fehlen</v>
      </c>
      <c r="J139" s="182" t="str">
        <f t="shared" si="9"/>
        <v/>
      </c>
    </row>
    <row r="140" spans="1:10" ht="24" customHeight="1">
      <c r="A140" s="173" t="s">
        <v>477</v>
      </c>
      <c r="B140" s="164">
        <v>46143</v>
      </c>
      <c r="C140" s="164">
        <v>46507</v>
      </c>
      <c r="D140" s="165" t="s">
        <v>11</v>
      </c>
      <c r="E140" s="165" t="s">
        <v>10</v>
      </c>
      <c r="F140" s="165" t="s">
        <v>294</v>
      </c>
      <c r="G140" s="134">
        <v>173</v>
      </c>
      <c r="H140" s="135"/>
      <c r="I140" s="165" t="str">
        <f t="shared" si="8"/>
        <v>Monatslohn fehlt</v>
      </c>
      <c r="J140" s="181" t="str">
        <f t="shared" si="9"/>
        <v/>
      </c>
    </row>
    <row r="141" spans="1:10" ht="24" customHeight="1">
      <c r="A141" s="174" t="s">
        <v>477</v>
      </c>
      <c r="B141" s="166">
        <v>46143</v>
      </c>
      <c r="C141" s="166">
        <v>46507</v>
      </c>
      <c r="D141" s="167" t="s">
        <v>11</v>
      </c>
      <c r="E141" s="167" t="s">
        <v>10</v>
      </c>
      <c r="F141" s="167" t="s">
        <v>294</v>
      </c>
      <c r="G141" s="136">
        <v>151.38</v>
      </c>
      <c r="H141" s="137"/>
      <c r="I141" s="167" t="str">
        <f t="shared" si="8"/>
        <v>Monatslohn fehlt</v>
      </c>
      <c r="J141" s="182" t="str">
        <f t="shared" si="9"/>
        <v/>
      </c>
    </row>
    <row r="142" spans="1:10" ht="24" customHeight="1">
      <c r="A142" s="174" t="s">
        <v>477</v>
      </c>
      <c r="B142" s="166">
        <v>46143</v>
      </c>
      <c r="C142" s="166">
        <v>46507</v>
      </c>
      <c r="D142" s="167" t="s">
        <v>11</v>
      </c>
      <c r="E142" s="167" t="s">
        <v>10</v>
      </c>
      <c r="F142" s="167" t="s">
        <v>294</v>
      </c>
      <c r="G142" s="136">
        <v>138.4</v>
      </c>
      <c r="H142" s="137"/>
      <c r="I142" s="167" t="str">
        <f t="shared" si="8"/>
        <v>Monatslohn fehlt</v>
      </c>
      <c r="J142" s="182" t="str">
        <f t="shared" si="9"/>
        <v/>
      </c>
    </row>
    <row r="143" spans="1:10" ht="24" customHeight="1">
      <c r="A143" s="174" t="s">
        <v>477</v>
      </c>
      <c r="B143" s="166">
        <v>46143</v>
      </c>
      <c r="C143" s="166">
        <v>46507</v>
      </c>
      <c r="D143" s="167" t="s">
        <v>11</v>
      </c>
      <c r="E143" s="167" t="s">
        <v>10</v>
      </c>
      <c r="F143" s="167" t="s">
        <v>294</v>
      </c>
      <c r="G143" s="136">
        <v>129.75</v>
      </c>
      <c r="H143" s="137"/>
      <c r="I143" s="167" t="str">
        <f t="shared" si="8"/>
        <v>Monatslohn fehlt</v>
      </c>
      <c r="J143" s="182" t="str">
        <f t="shared" si="9"/>
        <v/>
      </c>
    </row>
    <row r="144" spans="1:10" ht="24" customHeight="1">
      <c r="A144" s="174" t="s">
        <v>477</v>
      </c>
      <c r="B144" s="166">
        <v>46143</v>
      </c>
      <c r="C144" s="166">
        <v>46507</v>
      </c>
      <c r="D144" s="167" t="s">
        <v>11</v>
      </c>
      <c r="E144" s="167" t="s">
        <v>10</v>
      </c>
      <c r="F144" s="167" t="s">
        <v>294</v>
      </c>
      <c r="G144" s="136">
        <v>108.13</v>
      </c>
      <c r="H144" s="137"/>
      <c r="I144" s="167" t="str">
        <f t="shared" si="8"/>
        <v>Monatslohn fehlt</v>
      </c>
      <c r="J144" s="182" t="str">
        <f t="shared" si="9"/>
        <v/>
      </c>
    </row>
    <row r="145" spans="1:10" ht="24" customHeight="1">
      <c r="A145" s="174" t="s">
        <v>477</v>
      </c>
      <c r="B145" s="166">
        <v>46143</v>
      </c>
      <c r="C145" s="166">
        <v>46507</v>
      </c>
      <c r="D145" s="167" t="s">
        <v>11</v>
      </c>
      <c r="E145" s="167" t="s">
        <v>10</v>
      </c>
      <c r="F145" s="167" t="s">
        <v>294</v>
      </c>
      <c r="G145" s="136">
        <v>103.8</v>
      </c>
      <c r="H145" s="137"/>
      <c r="I145" s="167" t="str">
        <f t="shared" si="8"/>
        <v>Monatslohn fehlt</v>
      </c>
      <c r="J145" s="182" t="str">
        <f t="shared" si="9"/>
        <v/>
      </c>
    </row>
    <row r="146" spans="1:10" ht="24" customHeight="1">
      <c r="A146" s="174" t="s">
        <v>477</v>
      </c>
      <c r="B146" s="166">
        <v>46143</v>
      </c>
      <c r="C146" s="166">
        <v>46507</v>
      </c>
      <c r="D146" s="167" t="s">
        <v>11</v>
      </c>
      <c r="E146" s="167" t="s">
        <v>10</v>
      </c>
      <c r="F146" s="167" t="s">
        <v>294</v>
      </c>
      <c r="G146" s="136">
        <v>86.5</v>
      </c>
      <c r="H146" s="137"/>
      <c r="I146" s="167" t="str">
        <f t="shared" si="8"/>
        <v>Monatslohn fehlt</v>
      </c>
      <c r="J146" s="182" t="str">
        <f t="shared" si="9"/>
        <v/>
      </c>
    </row>
    <row r="147" spans="1:10" ht="24" customHeight="1">
      <c r="A147" s="174" t="s">
        <v>477</v>
      </c>
      <c r="B147" s="166">
        <v>46143</v>
      </c>
      <c r="C147" s="166">
        <v>46507</v>
      </c>
      <c r="D147" s="167" t="s">
        <v>11</v>
      </c>
      <c r="E147" s="167" t="s">
        <v>10</v>
      </c>
      <c r="F147" s="167" t="s">
        <v>294</v>
      </c>
      <c r="G147" s="136">
        <v>69.2</v>
      </c>
      <c r="H147" s="137"/>
      <c r="I147" s="167" t="str">
        <f t="shared" si="8"/>
        <v>Monatslohn fehlt</v>
      </c>
      <c r="J147" s="182" t="str">
        <f t="shared" si="9"/>
        <v/>
      </c>
    </row>
    <row r="148" spans="1:10" ht="24" customHeight="1">
      <c r="A148" s="174" t="s">
        <v>477</v>
      </c>
      <c r="B148" s="166">
        <v>46143</v>
      </c>
      <c r="C148" s="166">
        <v>46507</v>
      </c>
      <c r="D148" s="167" t="s">
        <v>11</v>
      </c>
      <c r="E148" s="167" t="s">
        <v>10</v>
      </c>
      <c r="F148" s="167" t="s">
        <v>294</v>
      </c>
      <c r="G148" s="136">
        <v>51.9</v>
      </c>
      <c r="H148" s="137"/>
      <c r="I148" s="167" t="str">
        <f t="shared" si="8"/>
        <v>Monatslohn fehlt</v>
      </c>
      <c r="J148" s="182" t="str">
        <f t="shared" si="9"/>
        <v/>
      </c>
    </row>
    <row r="149" spans="1:10" ht="24" customHeight="1">
      <c r="A149" s="174" t="s">
        <v>477</v>
      </c>
      <c r="B149" s="166">
        <v>46143</v>
      </c>
      <c r="C149" s="166">
        <v>46507</v>
      </c>
      <c r="D149" s="167" t="s">
        <v>11</v>
      </c>
      <c r="E149" s="167" t="s">
        <v>10</v>
      </c>
      <c r="F149" s="167" t="s">
        <v>294</v>
      </c>
      <c r="G149" s="136">
        <v>47.58</v>
      </c>
      <c r="H149" s="137"/>
      <c r="I149" s="167" t="str">
        <f t="shared" si="8"/>
        <v>Monatslohn fehlt</v>
      </c>
      <c r="J149" s="182" t="str">
        <f t="shared" si="9"/>
        <v/>
      </c>
    </row>
    <row r="150" spans="1:10" ht="24" customHeight="1">
      <c r="A150" s="174" t="s">
        <v>477</v>
      </c>
      <c r="B150" s="166">
        <v>46143</v>
      </c>
      <c r="C150" s="166">
        <v>46507</v>
      </c>
      <c r="D150" s="167" t="s">
        <v>11</v>
      </c>
      <c r="E150" s="167" t="s">
        <v>10</v>
      </c>
      <c r="F150" s="167" t="s">
        <v>294</v>
      </c>
      <c r="G150" s="136">
        <v>43.25</v>
      </c>
      <c r="H150" s="137"/>
      <c r="I150" s="167" t="str">
        <f t="shared" si="8"/>
        <v>Monatslohn fehlt</v>
      </c>
      <c r="J150" s="182" t="str">
        <f t="shared" si="9"/>
        <v/>
      </c>
    </row>
    <row r="151" spans="1:10" ht="24" customHeight="1">
      <c r="A151" s="174" t="s">
        <v>477</v>
      </c>
      <c r="B151" s="166">
        <v>46143</v>
      </c>
      <c r="C151" s="166">
        <v>46507</v>
      </c>
      <c r="D151" s="167" t="s">
        <v>11</v>
      </c>
      <c r="E151" s="167" t="s">
        <v>10</v>
      </c>
      <c r="F151" s="167" t="s">
        <v>294</v>
      </c>
      <c r="G151" s="136">
        <v>34.6</v>
      </c>
      <c r="H151" s="137"/>
      <c r="I151" s="167" t="str">
        <f t="shared" si="8"/>
        <v>Monatslohn fehlt</v>
      </c>
      <c r="J151" s="182" t="str">
        <f t="shared" si="9"/>
        <v/>
      </c>
    </row>
    <row r="152" spans="1:10" ht="24" customHeight="1">
      <c r="A152" s="174" t="s">
        <v>477</v>
      </c>
      <c r="B152" s="166">
        <v>46143</v>
      </c>
      <c r="C152" s="166">
        <v>46507</v>
      </c>
      <c r="D152" s="167" t="s">
        <v>11</v>
      </c>
      <c r="E152" s="167" t="s">
        <v>10</v>
      </c>
      <c r="F152" s="167" t="s">
        <v>294</v>
      </c>
      <c r="G152" s="136">
        <v>32.01</v>
      </c>
      <c r="H152" s="137"/>
      <c r="I152" s="167" t="str">
        <f t="shared" si="8"/>
        <v>Monatslohn fehlt</v>
      </c>
      <c r="J152" s="182" t="str">
        <f t="shared" si="9"/>
        <v/>
      </c>
    </row>
    <row r="153" spans="1:10" ht="24" customHeight="1">
      <c r="A153" s="174" t="s">
        <v>477</v>
      </c>
      <c r="B153" s="166">
        <v>46143</v>
      </c>
      <c r="C153" s="166">
        <v>46507</v>
      </c>
      <c r="D153" s="167" t="s">
        <v>11</v>
      </c>
      <c r="E153" s="167" t="s">
        <v>10</v>
      </c>
      <c r="F153" s="167" t="s">
        <v>294</v>
      </c>
      <c r="G153" s="136"/>
      <c r="H153" s="137"/>
      <c r="I153" s="167" t="str">
        <f t="shared" si="8"/>
        <v>Werte fehlen</v>
      </c>
      <c r="J153" s="182" t="str">
        <f t="shared" si="9"/>
        <v/>
      </c>
    </row>
    <row r="154" spans="1:10" ht="24" customHeight="1" thickBot="1">
      <c r="A154" s="174" t="s">
        <v>477</v>
      </c>
      <c r="B154" s="166">
        <v>46143</v>
      </c>
      <c r="C154" s="166">
        <v>46507</v>
      </c>
      <c r="D154" s="167" t="s">
        <v>11</v>
      </c>
      <c r="E154" s="167" t="s">
        <v>10</v>
      </c>
      <c r="F154" s="167" t="s">
        <v>294</v>
      </c>
      <c r="G154" s="136"/>
      <c r="H154" s="137"/>
      <c r="I154" s="167" t="str">
        <f t="shared" si="8"/>
        <v>Werte fehlen</v>
      </c>
      <c r="J154" s="182" t="str">
        <f t="shared" si="9"/>
        <v/>
      </c>
    </row>
    <row r="155" spans="1:10" ht="24" customHeight="1">
      <c r="A155" s="173" t="s">
        <v>477</v>
      </c>
      <c r="B155" s="164">
        <v>46143</v>
      </c>
      <c r="C155" s="164">
        <v>46507</v>
      </c>
      <c r="D155" s="165" t="s">
        <v>12</v>
      </c>
      <c r="E155" s="165" t="s">
        <v>10</v>
      </c>
      <c r="F155" s="165" t="s">
        <v>295</v>
      </c>
      <c r="G155" s="134">
        <v>173</v>
      </c>
      <c r="H155" s="135"/>
      <c r="I155" s="165" t="str">
        <f t="shared" si="8"/>
        <v>Monatslohn fehlt</v>
      </c>
      <c r="J155" s="181" t="str">
        <f t="shared" si="9"/>
        <v/>
      </c>
    </row>
    <row r="156" spans="1:10" ht="24" customHeight="1">
      <c r="A156" s="174" t="s">
        <v>477</v>
      </c>
      <c r="B156" s="166">
        <v>46143</v>
      </c>
      <c r="C156" s="166">
        <v>46507</v>
      </c>
      <c r="D156" s="167" t="s">
        <v>12</v>
      </c>
      <c r="E156" s="167" t="s">
        <v>10</v>
      </c>
      <c r="F156" s="167" t="s">
        <v>295</v>
      </c>
      <c r="G156" s="136">
        <v>151.38</v>
      </c>
      <c r="H156" s="137"/>
      <c r="I156" s="167" t="str">
        <f t="shared" si="8"/>
        <v>Monatslohn fehlt</v>
      </c>
      <c r="J156" s="182" t="str">
        <f t="shared" si="9"/>
        <v/>
      </c>
    </row>
    <row r="157" spans="1:10" ht="24" customHeight="1">
      <c r="A157" s="174" t="s">
        <v>477</v>
      </c>
      <c r="B157" s="166">
        <v>46143</v>
      </c>
      <c r="C157" s="166">
        <v>46507</v>
      </c>
      <c r="D157" s="167" t="s">
        <v>12</v>
      </c>
      <c r="E157" s="167" t="s">
        <v>10</v>
      </c>
      <c r="F157" s="167" t="s">
        <v>295</v>
      </c>
      <c r="G157" s="136">
        <v>138.4</v>
      </c>
      <c r="H157" s="137"/>
      <c r="I157" s="167" t="str">
        <f t="shared" si="8"/>
        <v>Monatslohn fehlt</v>
      </c>
      <c r="J157" s="182" t="str">
        <f t="shared" si="9"/>
        <v/>
      </c>
    </row>
    <row r="158" spans="1:10" ht="24" customHeight="1">
      <c r="A158" s="174" t="s">
        <v>477</v>
      </c>
      <c r="B158" s="166">
        <v>46143</v>
      </c>
      <c r="C158" s="166">
        <v>46507</v>
      </c>
      <c r="D158" s="167" t="s">
        <v>12</v>
      </c>
      <c r="E158" s="167" t="s">
        <v>10</v>
      </c>
      <c r="F158" s="167" t="s">
        <v>295</v>
      </c>
      <c r="G158" s="136">
        <v>129.75</v>
      </c>
      <c r="H158" s="137"/>
      <c r="I158" s="167" t="str">
        <f t="shared" si="8"/>
        <v>Monatslohn fehlt</v>
      </c>
      <c r="J158" s="182" t="str">
        <f t="shared" si="9"/>
        <v/>
      </c>
    </row>
    <row r="159" spans="1:10" ht="24" customHeight="1">
      <c r="A159" s="174" t="s">
        <v>477</v>
      </c>
      <c r="B159" s="166">
        <v>46143</v>
      </c>
      <c r="C159" s="166">
        <v>46507</v>
      </c>
      <c r="D159" s="167" t="s">
        <v>12</v>
      </c>
      <c r="E159" s="167" t="s">
        <v>10</v>
      </c>
      <c r="F159" s="167" t="s">
        <v>295</v>
      </c>
      <c r="G159" s="136">
        <v>108.13</v>
      </c>
      <c r="H159" s="137"/>
      <c r="I159" s="167" t="str">
        <f t="shared" si="8"/>
        <v>Monatslohn fehlt</v>
      </c>
      <c r="J159" s="182" t="str">
        <f t="shared" si="9"/>
        <v/>
      </c>
    </row>
    <row r="160" spans="1:10" ht="24" customHeight="1">
      <c r="A160" s="174" t="s">
        <v>477</v>
      </c>
      <c r="B160" s="166">
        <v>46143</v>
      </c>
      <c r="C160" s="166">
        <v>46507</v>
      </c>
      <c r="D160" s="167" t="s">
        <v>12</v>
      </c>
      <c r="E160" s="167" t="s">
        <v>10</v>
      </c>
      <c r="F160" s="167" t="s">
        <v>295</v>
      </c>
      <c r="G160" s="136">
        <v>103.8</v>
      </c>
      <c r="H160" s="137"/>
      <c r="I160" s="167" t="str">
        <f t="shared" si="8"/>
        <v>Monatslohn fehlt</v>
      </c>
      <c r="J160" s="182" t="str">
        <f t="shared" si="9"/>
        <v/>
      </c>
    </row>
    <row r="161" spans="1:10" ht="24" customHeight="1">
      <c r="A161" s="174" t="s">
        <v>477</v>
      </c>
      <c r="B161" s="166">
        <v>46143</v>
      </c>
      <c r="C161" s="166">
        <v>46507</v>
      </c>
      <c r="D161" s="167" t="s">
        <v>12</v>
      </c>
      <c r="E161" s="167" t="s">
        <v>10</v>
      </c>
      <c r="F161" s="167" t="s">
        <v>295</v>
      </c>
      <c r="G161" s="136">
        <v>86.5</v>
      </c>
      <c r="H161" s="137"/>
      <c r="I161" s="167" t="str">
        <f t="shared" si="8"/>
        <v>Monatslohn fehlt</v>
      </c>
      <c r="J161" s="182" t="str">
        <f t="shared" si="9"/>
        <v/>
      </c>
    </row>
    <row r="162" spans="1:10" ht="24" customHeight="1">
      <c r="A162" s="174" t="s">
        <v>477</v>
      </c>
      <c r="B162" s="166">
        <v>46143</v>
      </c>
      <c r="C162" s="166">
        <v>46507</v>
      </c>
      <c r="D162" s="167" t="s">
        <v>12</v>
      </c>
      <c r="E162" s="167" t="s">
        <v>10</v>
      </c>
      <c r="F162" s="167" t="s">
        <v>295</v>
      </c>
      <c r="G162" s="136">
        <v>69.2</v>
      </c>
      <c r="H162" s="137"/>
      <c r="I162" s="167" t="str">
        <f t="shared" si="8"/>
        <v>Monatslohn fehlt</v>
      </c>
      <c r="J162" s="182" t="str">
        <f t="shared" si="9"/>
        <v/>
      </c>
    </row>
    <row r="163" spans="1:10" ht="24" customHeight="1">
      <c r="A163" s="174" t="s">
        <v>477</v>
      </c>
      <c r="B163" s="166">
        <v>46143</v>
      </c>
      <c r="C163" s="166">
        <v>46507</v>
      </c>
      <c r="D163" s="167" t="s">
        <v>12</v>
      </c>
      <c r="E163" s="167" t="s">
        <v>10</v>
      </c>
      <c r="F163" s="167" t="s">
        <v>295</v>
      </c>
      <c r="G163" s="136">
        <v>51.9</v>
      </c>
      <c r="H163" s="137"/>
      <c r="I163" s="167" t="str">
        <f t="shared" si="8"/>
        <v>Monatslohn fehlt</v>
      </c>
      <c r="J163" s="182" t="str">
        <f t="shared" si="9"/>
        <v/>
      </c>
    </row>
    <row r="164" spans="1:10" ht="24" customHeight="1">
      <c r="A164" s="174" t="s">
        <v>477</v>
      </c>
      <c r="B164" s="166">
        <v>46143</v>
      </c>
      <c r="C164" s="166">
        <v>46507</v>
      </c>
      <c r="D164" s="167" t="s">
        <v>12</v>
      </c>
      <c r="E164" s="167" t="s">
        <v>10</v>
      </c>
      <c r="F164" s="167" t="s">
        <v>295</v>
      </c>
      <c r="G164" s="136">
        <v>47.58</v>
      </c>
      <c r="H164" s="137"/>
      <c r="I164" s="167" t="str">
        <f t="shared" si="8"/>
        <v>Monatslohn fehlt</v>
      </c>
      <c r="J164" s="182" t="str">
        <f t="shared" si="9"/>
        <v/>
      </c>
    </row>
    <row r="165" spans="1:10" ht="24" customHeight="1">
      <c r="A165" s="174" t="s">
        <v>477</v>
      </c>
      <c r="B165" s="166">
        <v>46143</v>
      </c>
      <c r="C165" s="166">
        <v>46507</v>
      </c>
      <c r="D165" s="167" t="s">
        <v>12</v>
      </c>
      <c r="E165" s="167" t="s">
        <v>10</v>
      </c>
      <c r="F165" s="167" t="s">
        <v>295</v>
      </c>
      <c r="G165" s="136">
        <v>43.25</v>
      </c>
      <c r="H165" s="137"/>
      <c r="I165" s="16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82" t="str">
        <f t="shared" ref="J165:J184" si="11">IF($G165="","",IF(COUNTIFS($A:$A,$A165,$D:$D,$D165,$G:$G,$G165)&gt;1,"Doppelte Monatsstunden",""))</f>
        <v/>
      </c>
    </row>
    <row r="166" spans="1:10" ht="24" customHeight="1">
      <c r="A166" s="174" t="s">
        <v>477</v>
      </c>
      <c r="B166" s="166">
        <v>46143</v>
      </c>
      <c r="C166" s="166">
        <v>46507</v>
      </c>
      <c r="D166" s="167" t="s">
        <v>12</v>
      </c>
      <c r="E166" s="167" t="s">
        <v>10</v>
      </c>
      <c r="F166" s="167" t="s">
        <v>295</v>
      </c>
      <c r="G166" s="136">
        <v>34.6</v>
      </c>
      <c r="H166" s="137"/>
      <c r="I166" s="167" t="str">
        <f t="shared" si="10"/>
        <v>Monatslohn fehlt</v>
      </c>
      <c r="J166" s="182" t="str">
        <f t="shared" si="11"/>
        <v/>
      </c>
    </row>
    <row r="167" spans="1:10" ht="24" customHeight="1">
      <c r="A167" s="174" t="s">
        <v>477</v>
      </c>
      <c r="B167" s="166">
        <v>46143</v>
      </c>
      <c r="C167" s="166">
        <v>46507</v>
      </c>
      <c r="D167" s="167" t="s">
        <v>12</v>
      </c>
      <c r="E167" s="167" t="s">
        <v>10</v>
      </c>
      <c r="F167" s="167" t="s">
        <v>295</v>
      </c>
      <c r="G167" s="136">
        <v>32.01</v>
      </c>
      <c r="H167" s="137"/>
      <c r="I167" s="167" t="str">
        <f t="shared" si="10"/>
        <v>Monatslohn fehlt</v>
      </c>
      <c r="J167" s="182" t="str">
        <f t="shared" si="11"/>
        <v/>
      </c>
    </row>
    <row r="168" spans="1:10" ht="24" customHeight="1">
      <c r="A168" s="174" t="s">
        <v>477</v>
      </c>
      <c r="B168" s="166">
        <v>46143</v>
      </c>
      <c r="C168" s="166">
        <v>46507</v>
      </c>
      <c r="D168" s="167" t="s">
        <v>12</v>
      </c>
      <c r="E168" s="167" t="s">
        <v>10</v>
      </c>
      <c r="F168" s="167" t="s">
        <v>295</v>
      </c>
      <c r="G168" s="136"/>
      <c r="H168" s="137"/>
      <c r="I168" s="167" t="str">
        <f t="shared" si="10"/>
        <v>Werte fehlen</v>
      </c>
      <c r="J168" s="182" t="str">
        <f t="shared" si="11"/>
        <v/>
      </c>
    </row>
    <row r="169" spans="1:10" ht="24" customHeight="1" thickBot="1">
      <c r="A169" s="174" t="s">
        <v>477</v>
      </c>
      <c r="B169" s="166">
        <v>46143</v>
      </c>
      <c r="C169" s="166">
        <v>46507</v>
      </c>
      <c r="D169" s="167" t="s">
        <v>12</v>
      </c>
      <c r="E169" s="167" t="s">
        <v>10</v>
      </c>
      <c r="F169" s="167" t="s">
        <v>295</v>
      </c>
      <c r="G169" s="136"/>
      <c r="H169" s="137"/>
      <c r="I169" s="167" t="str">
        <f t="shared" si="10"/>
        <v>Werte fehlen</v>
      </c>
      <c r="J169" s="182" t="str">
        <f t="shared" si="11"/>
        <v/>
      </c>
    </row>
    <row r="170" spans="1:10" ht="24" customHeight="1">
      <c r="A170" s="173" t="s">
        <v>477</v>
      </c>
      <c r="B170" s="164">
        <v>46143</v>
      </c>
      <c r="C170" s="164">
        <v>46507</v>
      </c>
      <c r="D170" s="165" t="s">
        <v>13</v>
      </c>
      <c r="E170" s="165" t="s">
        <v>10</v>
      </c>
      <c r="F170" s="165" t="s">
        <v>296</v>
      </c>
      <c r="G170" s="134">
        <v>173</v>
      </c>
      <c r="H170" s="135"/>
      <c r="I170" s="165" t="str">
        <f t="shared" si="10"/>
        <v>Monatslohn fehlt</v>
      </c>
      <c r="J170" s="181" t="str">
        <f t="shared" si="11"/>
        <v/>
      </c>
    </row>
    <row r="171" spans="1:10" ht="24" customHeight="1">
      <c r="A171" s="174" t="s">
        <v>477</v>
      </c>
      <c r="B171" s="166">
        <v>46143</v>
      </c>
      <c r="C171" s="166">
        <v>46507</v>
      </c>
      <c r="D171" s="167" t="s">
        <v>13</v>
      </c>
      <c r="E171" s="167" t="s">
        <v>10</v>
      </c>
      <c r="F171" s="167" t="s">
        <v>296</v>
      </c>
      <c r="G171" s="136">
        <v>151.38</v>
      </c>
      <c r="H171" s="137"/>
      <c r="I171" s="167" t="str">
        <f t="shared" si="10"/>
        <v>Monatslohn fehlt</v>
      </c>
      <c r="J171" s="182" t="str">
        <f t="shared" si="11"/>
        <v/>
      </c>
    </row>
    <row r="172" spans="1:10" ht="24" customHeight="1">
      <c r="A172" s="174" t="s">
        <v>477</v>
      </c>
      <c r="B172" s="166">
        <v>46143</v>
      </c>
      <c r="C172" s="166">
        <v>46507</v>
      </c>
      <c r="D172" s="167" t="s">
        <v>13</v>
      </c>
      <c r="E172" s="167" t="s">
        <v>10</v>
      </c>
      <c r="F172" s="167" t="s">
        <v>296</v>
      </c>
      <c r="G172" s="136">
        <v>138.4</v>
      </c>
      <c r="H172" s="137"/>
      <c r="I172" s="167" t="str">
        <f t="shared" si="10"/>
        <v>Monatslohn fehlt</v>
      </c>
      <c r="J172" s="182" t="str">
        <f t="shared" si="11"/>
        <v/>
      </c>
    </row>
    <row r="173" spans="1:10" ht="24" customHeight="1">
      <c r="A173" s="174" t="s">
        <v>477</v>
      </c>
      <c r="B173" s="166">
        <v>46143</v>
      </c>
      <c r="C173" s="166">
        <v>46507</v>
      </c>
      <c r="D173" s="167" t="s">
        <v>13</v>
      </c>
      <c r="E173" s="167" t="s">
        <v>10</v>
      </c>
      <c r="F173" s="167" t="s">
        <v>296</v>
      </c>
      <c r="G173" s="136">
        <v>129.75</v>
      </c>
      <c r="H173" s="137"/>
      <c r="I173" s="167" t="str">
        <f t="shared" si="10"/>
        <v>Monatslohn fehlt</v>
      </c>
      <c r="J173" s="182" t="str">
        <f t="shared" si="11"/>
        <v/>
      </c>
    </row>
    <row r="174" spans="1:10" ht="24" customHeight="1">
      <c r="A174" s="174" t="s">
        <v>477</v>
      </c>
      <c r="B174" s="166">
        <v>46143</v>
      </c>
      <c r="C174" s="166">
        <v>46507</v>
      </c>
      <c r="D174" s="167" t="s">
        <v>13</v>
      </c>
      <c r="E174" s="167" t="s">
        <v>10</v>
      </c>
      <c r="F174" s="167" t="s">
        <v>296</v>
      </c>
      <c r="G174" s="136">
        <v>108.13</v>
      </c>
      <c r="H174" s="137"/>
      <c r="I174" s="167" t="str">
        <f t="shared" si="10"/>
        <v>Monatslohn fehlt</v>
      </c>
      <c r="J174" s="182" t="str">
        <f t="shared" si="11"/>
        <v/>
      </c>
    </row>
    <row r="175" spans="1:10" ht="24" customHeight="1">
      <c r="A175" s="174" t="s">
        <v>477</v>
      </c>
      <c r="B175" s="166">
        <v>46143</v>
      </c>
      <c r="C175" s="166">
        <v>46507</v>
      </c>
      <c r="D175" s="167" t="s">
        <v>13</v>
      </c>
      <c r="E175" s="167" t="s">
        <v>10</v>
      </c>
      <c r="F175" s="167" t="s">
        <v>296</v>
      </c>
      <c r="G175" s="136">
        <v>103.8</v>
      </c>
      <c r="H175" s="137"/>
      <c r="I175" s="167" t="str">
        <f t="shared" si="10"/>
        <v>Monatslohn fehlt</v>
      </c>
      <c r="J175" s="182" t="str">
        <f t="shared" si="11"/>
        <v/>
      </c>
    </row>
    <row r="176" spans="1:10" ht="24" customHeight="1">
      <c r="A176" s="174" t="s">
        <v>477</v>
      </c>
      <c r="B176" s="166">
        <v>46143</v>
      </c>
      <c r="C176" s="166">
        <v>46507</v>
      </c>
      <c r="D176" s="167" t="s">
        <v>13</v>
      </c>
      <c r="E176" s="167" t="s">
        <v>10</v>
      </c>
      <c r="F176" s="167" t="s">
        <v>296</v>
      </c>
      <c r="G176" s="136">
        <v>86.5</v>
      </c>
      <c r="H176" s="137"/>
      <c r="I176" s="167" t="str">
        <f t="shared" si="10"/>
        <v>Monatslohn fehlt</v>
      </c>
      <c r="J176" s="182" t="str">
        <f t="shared" si="11"/>
        <v/>
      </c>
    </row>
    <row r="177" spans="1:10" ht="24" customHeight="1">
      <c r="A177" s="174" t="s">
        <v>477</v>
      </c>
      <c r="B177" s="166">
        <v>46143</v>
      </c>
      <c r="C177" s="166">
        <v>46507</v>
      </c>
      <c r="D177" s="167" t="s">
        <v>13</v>
      </c>
      <c r="E177" s="167" t="s">
        <v>10</v>
      </c>
      <c r="F177" s="167" t="s">
        <v>296</v>
      </c>
      <c r="G177" s="136">
        <v>69.2</v>
      </c>
      <c r="H177" s="137"/>
      <c r="I177" s="167" t="str">
        <f t="shared" si="10"/>
        <v>Monatslohn fehlt</v>
      </c>
      <c r="J177" s="182" t="str">
        <f t="shared" si="11"/>
        <v/>
      </c>
    </row>
    <row r="178" spans="1:10" ht="24" customHeight="1">
      <c r="A178" s="174" t="s">
        <v>477</v>
      </c>
      <c r="B178" s="166">
        <v>46143</v>
      </c>
      <c r="C178" s="166">
        <v>46507</v>
      </c>
      <c r="D178" s="167" t="s">
        <v>13</v>
      </c>
      <c r="E178" s="167" t="s">
        <v>10</v>
      </c>
      <c r="F178" s="167" t="s">
        <v>296</v>
      </c>
      <c r="G178" s="136">
        <v>51.9</v>
      </c>
      <c r="H178" s="137"/>
      <c r="I178" s="167" t="str">
        <f t="shared" si="10"/>
        <v>Monatslohn fehlt</v>
      </c>
      <c r="J178" s="182" t="str">
        <f t="shared" si="11"/>
        <v/>
      </c>
    </row>
    <row r="179" spans="1:10" ht="24" customHeight="1">
      <c r="A179" s="174" t="s">
        <v>477</v>
      </c>
      <c r="B179" s="166">
        <v>46143</v>
      </c>
      <c r="C179" s="166">
        <v>46507</v>
      </c>
      <c r="D179" s="167" t="s">
        <v>13</v>
      </c>
      <c r="E179" s="167" t="s">
        <v>10</v>
      </c>
      <c r="F179" s="167" t="s">
        <v>296</v>
      </c>
      <c r="G179" s="136">
        <v>47.58</v>
      </c>
      <c r="H179" s="137"/>
      <c r="I179" s="167" t="str">
        <f t="shared" si="10"/>
        <v>Monatslohn fehlt</v>
      </c>
      <c r="J179" s="182" t="str">
        <f t="shared" si="11"/>
        <v/>
      </c>
    </row>
    <row r="180" spans="1:10" ht="24" customHeight="1">
      <c r="A180" s="174" t="s">
        <v>477</v>
      </c>
      <c r="B180" s="166">
        <v>46143</v>
      </c>
      <c r="C180" s="166">
        <v>46507</v>
      </c>
      <c r="D180" s="167" t="s">
        <v>13</v>
      </c>
      <c r="E180" s="167" t="s">
        <v>10</v>
      </c>
      <c r="F180" s="167" t="s">
        <v>296</v>
      </c>
      <c r="G180" s="136">
        <v>43.25</v>
      </c>
      <c r="H180" s="137"/>
      <c r="I180" s="167" t="str">
        <f t="shared" si="10"/>
        <v>Monatslohn fehlt</v>
      </c>
      <c r="J180" s="182" t="str">
        <f t="shared" si="11"/>
        <v/>
      </c>
    </row>
    <row r="181" spans="1:10" ht="24" customHeight="1">
      <c r="A181" s="174" t="s">
        <v>477</v>
      </c>
      <c r="B181" s="166">
        <v>46143</v>
      </c>
      <c r="C181" s="166">
        <v>46507</v>
      </c>
      <c r="D181" s="167" t="s">
        <v>13</v>
      </c>
      <c r="E181" s="167" t="s">
        <v>10</v>
      </c>
      <c r="F181" s="167" t="s">
        <v>296</v>
      </c>
      <c r="G181" s="136">
        <v>34.6</v>
      </c>
      <c r="H181" s="137"/>
      <c r="I181" s="167" t="str">
        <f t="shared" si="10"/>
        <v>Monatslohn fehlt</v>
      </c>
      <c r="J181" s="182" t="str">
        <f t="shared" si="11"/>
        <v/>
      </c>
    </row>
    <row r="182" spans="1:10" ht="24" customHeight="1">
      <c r="A182" s="174" t="s">
        <v>477</v>
      </c>
      <c r="B182" s="166">
        <v>46143</v>
      </c>
      <c r="C182" s="166">
        <v>46507</v>
      </c>
      <c r="D182" s="167" t="s">
        <v>13</v>
      </c>
      <c r="E182" s="167" t="s">
        <v>10</v>
      </c>
      <c r="F182" s="167" t="s">
        <v>296</v>
      </c>
      <c r="G182" s="136">
        <v>32.01</v>
      </c>
      <c r="H182" s="137"/>
      <c r="I182" s="167" t="str">
        <f t="shared" si="10"/>
        <v>Monatslohn fehlt</v>
      </c>
      <c r="J182" s="182" t="str">
        <f t="shared" si="11"/>
        <v/>
      </c>
    </row>
    <row r="183" spans="1:10" ht="24" customHeight="1">
      <c r="A183" s="174" t="s">
        <v>477</v>
      </c>
      <c r="B183" s="166">
        <v>46143</v>
      </c>
      <c r="C183" s="166">
        <v>46507</v>
      </c>
      <c r="D183" s="167" t="s">
        <v>13</v>
      </c>
      <c r="E183" s="167" t="s">
        <v>10</v>
      </c>
      <c r="F183" s="167" t="s">
        <v>296</v>
      </c>
      <c r="G183" s="136"/>
      <c r="H183" s="137"/>
      <c r="I183" s="167" t="str">
        <f t="shared" si="10"/>
        <v>Werte fehlen</v>
      </c>
      <c r="J183" s="182" t="str">
        <f t="shared" si="11"/>
        <v/>
      </c>
    </row>
    <row r="184" spans="1:10" ht="24" customHeight="1">
      <c r="A184" s="175" t="s">
        <v>477</v>
      </c>
      <c r="B184" s="160">
        <v>46143</v>
      </c>
      <c r="C184" s="160">
        <v>46507</v>
      </c>
      <c r="D184" s="161" t="s">
        <v>13</v>
      </c>
      <c r="E184" s="161" t="s">
        <v>10</v>
      </c>
      <c r="F184" s="161" t="s">
        <v>296</v>
      </c>
      <c r="G184" s="162"/>
      <c r="H184" s="163"/>
      <c r="I184" s="161" t="str">
        <f t="shared" si="10"/>
        <v>Werte fehlen</v>
      </c>
      <c r="J184" s="183" t="str">
        <f t="shared" si="11"/>
        <v/>
      </c>
    </row>
    <row r="185" spans="1:10" ht="24" customHeight="1" thickBot="1">
      <c r="A185" s="285" t="s">
        <v>346</v>
      </c>
      <c r="B185" s="286"/>
      <c r="C185" s="286"/>
      <c r="D185" s="287"/>
      <c r="E185" s="287"/>
      <c r="F185" s="287"/>
      <c r="G185" s="288"/>
      <c r="H185" s="289"/>
      <c r="I185" s="287"/>
      <c r="J185" s="290"/>
    </row>
    <row r="186" spans="1:10" ht="24" customHeight="1">
      <c r="A186" s="168" t="s">
        <v>305</v>
      </c>
      <c r="B186" s="150">
        <v>45778</v>
      </c>
      <c r="C186" s="150">
        <v>46142</v>
      </c>
      <c r="D186" s="151" t="s">
        <v>302</v>
      </c>
      <c r="E186" s="151" t="s">
        <v>2</v>
      </c>
      <c r="F186" s="151" t="s">
        <v>293</v>
      </c>
      <c r="G186" s="124">
        <v>173</v>
      </c>
      <c r="H186" s="125">
        <v>2021</v>
      </c>
      <c r="I186" s="15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76" t="str">
        <f t="shared" ref="J186:J217" si="13">IF($G186="","",IF(COUNTIFS($A:$A,$A186,$D:$D,$D186,$G:$G,$G186)&gt;1,"Doppelte Monatsstunden",""))</f>
        <v/>
      </c>
    </row>
    <row r="187" spans="1:10" ht="24" customHeight="1">
      <c r="A187" s="169" t="s">
        <v>305</v>
      </c>
      <c r="B187" s="152">
        <v>45778</v>
      </c>
      <c r="C187" s="152">
        <v>46142</v>
      </c>
      <c r="D187" s="153" t="s">
        <v>302</v>
      </c>
      <c r="E187" s="153" t="s">
        <v>2</v>
      </c>
      <c r="F187" s="153" t="s">
        <v>293</v>
      </c>
      <c r="G187" s="126">
        <v>151.38</v>
      </c>
      <c r="H187" s="127">
        <v>1768.38</v>
      </c>
      <c r="I187" s="153" t="str">
        <f t="shared" si="12"/>
        <v>OK</v>
      </c>
      <c r="J187" s="177" t="str">
        <f t="shared" si="13"/>
        <v/>
      </c>
    </row>
    <row r="188" spans="1:10" ht="24" customHeight="1">
      <c r="A188" s="169" t="s">
        <v>305</v>
      </c>
      <c r="B188" s="152">
        <v>45778</v>
      </c>
      <c r="C188" s="152">
        <v>46142</v>
      </c>
      <c r="D188" s="153" t="s">
        <v>302</v>
      </c>
      <c r="E188" s="153" t="s">
        <v>2</v>
      </c>
      <c r="F188" s="153" t="s">
        <v>293</v>
      </c>
      <c r="G188" s="126">
        <v>138.4</v>
      </c>
      <c r="H188" s="127">
        <v>1616.8</v>
      </c>
      <c r="I188" s="153" t="str">
        <f t="shared" si="12"/>
        <v>OK</v>
      </c>
      <c r="J188" s="177" t="str">
        <f t="shared" si="13"/>
        <v/>
      </c>
    </row>
    <row r="189" spans="1:10" ht="24" customHeight="1">
      <c r="A189" s="169" t="s">
        <v>305</v>
      </c>
      <c r="B189" s="152">
        <v>45778</v>
      </c>
      <c r="C189" s="152">
        <v>46142</v>
      </c>
      <c r="D189" s="153" t="s">
        <v>302</v>
      </c>
      <c r="E189" s="153" t="s">
        <v>2</v>
      </c>
      <c r="F189" s="153" t="s">
        <v>293</v>
      </c>
      <c r="G189" s="126">
        <v>129.75</v>
      </c>
      <c r="H189" s="127">
        <v>1515.75</v>
      </c>
      <c r="I189" s="153" t="str">
        <f t="shared" si="12"/>
        <v>OK</v>
      </c>
      <c r="J189" s="177" t="str">
        <f t="shared" si="13"/>
        <v/>
      </c>
    </row>
    <row r="190" spans="1:10" ht="24" customHeight="1">
      <c r="A190" s="169" t="s">
        <v>305</v>
      </c>
      <c r="B190" s="152">
        <v>45778</v>
      </c>
      <c r="C190" s="152">
        <v>46142</v>
      </c>
      <c r="D190" s="153" t="s">
        <v>302</v>
      </c>
      <c r="E190" s="153" t="s">
        <v>2</v>
      </c>
      <c r="F190" s="153" t="s">
        <v>293</v>
      </c>
      <c r="G190" s="126">
        <v>108.13</v>
      </c>
      <c r="H190" s="127">
        <v>1263.1300000000001</v>
      </c>
      <c r="I190" s="153" t="str">
        <f t="shared" si="12"/>
        <v>OK</v>
      </c>
      <c r="J190" s="177" t="str">
        <f t="shared" si="13"/>
        <v/>
      </c>
    </row>
    <row r="191" spans="1:10" ht="24" customHeight="1">
      <c r="A191" s="169" t="s">
        <v>305</v>
      </c>
      <c r="B191" s="152">
        <v>45778</v>
      </c>
      <c r="C191" s="152">
        <v>46142</v>
      </c>
      <c r="D191" s="153" t="s">
        <v>302</v>
      </c>
      <c r="E191" s="153" t="s">
        <v>2</v>
      </c>
      <c r="F191" s="153" t="s">
        <v>293</v>
      </c>
      <c r="G191" s="126">
        <v>103.8</v>
      </c>
      <c r="H191" s="127">
        <v>1212.5999999999999</v>
      </c>
      <c r="I191" s="153" t="str">
        <f t="shared" si="12"/>
        <v>OK</v>
      </c>
      <c r="J191" s="177" t="str">
        <f t="shared" si="13"/>
        <v/>
      </c>
    </row>
    <row r="192" spans="1:10" ht="24" customHeight="1">
      <c r="A192" s="169" t="s">
        <v>305</v>
      </c>
      <c r="B192" s="152">
        <v>45778</v>
      </c>
      <c r="C192" s="152">
        <v>46142</v>
      </c>
      <c r="D192" s="153" t="s">
        <v>302</v>
      </c>
      <c r="E192" s="153" t="s">
        <v>2</v>
      </c>
      <c r="F192" s="153" t="s">
        <v>293</v>
      </c>
      <c r="G192" s="126">
        <v>86.5</v>
      </c>
      <c r="H192" s="127">
        <v>1010.5</v>
      </c>
      <c r="I192" s="153" t="str">
        <f t="shared" si="12"/>
        <v>OK</v>
      </c>
      <c r="J192" s="177" t="str">
        <f t="shared" si="13"/>
        <v/>
      </c>
    </row>
    <row r="193" spans="1:10" ht="24" customHeight="1">
      <c r="A193" s="169" t="s">
        <v>305</v>
      </c>
      <c r="B193" s="152">
        <v>45778</v>
      </c>
      <c r="C193" s="152">
        <v>46142</v>
      </c>
      <c r="D193" s="153" t="s">
        <v>302</v>
      </c>
      <c r="E193" s="153" t="s">
        <v>2</v>
      </c>
      <c r="F193" s="153" t="s">
        <v>293</v>
      </c>
      <c r="G193" s="126">
        <v>69.2</v>
      </c>
      <c r="H193" s="127">
        <v>808.4</v>
      </c>
      <c r="I193" s="153" t="str">
        <f t="shared" si="12"/>
        <v>OK</v>
      </c>
      <c r="J193" s="177" t="str">
        <f t="shared" si="13"/>
        <v/>
      </c>
    </row>
    <row r="194" spans="1:10" ht="24" customHeight="1">
      <c r="A194" s="169" t="s">
        <v>305</v>
      </c>
      <c r="B194" s="152">
        <v>45778</v>
      </c>
      <c r="C194" s="152">
        <v>46142</v>
      </c>
      <c r="D194" s="153" t="s">
        <v>302</v>
      </c>
      <c r="E194" s="153" t="s">
        <v>2</v>
      </c>
      <c r="F194" s="153" t="s">
        <v>293</v>
      </c>
      <c r="G194" s="126">
        <v>64</v>
      </c>
      <c r="H194" s="127">
        <v>1000</v>
      </c>
      <c r="I194" s="153" t="str">
        <f t="shared" si="12"/>
        <v>OK</v>
      </c>
      <c r="J194" s="177" t="str">
        <f t="shared" si="13"/>
        <v/>
      </c>
    </row>
    <row r="195" spans="1:10" ht="24" customHeight="1">
      <c r="A195" s="169" t="s">
        <v>305</v>
      </c>
      <c r="B195" s="152">
        <v>45778</v>
      </c>
      <c r="C195" s="152">
        <v>46142</v>
      </c>
      <c r="D195" s="153" t="s">
        <v>302</v>
      </c>
      <c r="E195" s="153" t="s">
        <v>2</v>
      </c>
      <c r="F195" s="153" t="s">
        <v>293</v>
      </c>
      <c r="G195" s="126">
        <v>51.9</v>
      </c>
      <c r="H195" s="127">
        <v>606.29999999999995</v>
      </c>
      <c r="I195" s="153" t="str">
        <f t="shared" si="12"/>
        <v>OK</v>
      </c>
      <c r="J195" s="177" t="str">
        <f t="shared" si="13"/>
        <v/>
      </c>
    </row>
    <row r="196" spans="1:10" ht="24" customHeight="1">
      <c r="A196" s="169" t="s">
        <v>305</v>
      </c>
      <c r="B196" s="152">
        <v>45778</v>
      </c>
      <c r="C196" s="152">
        <v>46142</v>
      </c>
      <c r="D196" s="153" t="s">
        <v>302</v>
      </c>
      <c r="E196" s="153" t="s">
        <v>2</v>
      </c>
      <c r="F196" s="153" t="s">
        <v>293</v>
      </c>
      <c r="G196" s="126">
        <v>47.58</v>
      </c>
      <c r="H196" s="127">
        <v>555.78</v>
      </c>
      <c r="I196" s="153" t="str">
        <f t="shared" si="12"/>
        <v>OK</v>
      </c>
      <c r="J196" s="177" t="str">
        <f t="shared" si="13"/>
        <v/>
      </c>
    </row>
    <row r="197" spans="1:10" ht="24" customHeight="1">
      <c r="A197" s="169" t="s">
        <v>305</v>
      </c>
      <c r="B197" s="152">
        <v>45778</v>
      </c>
      <c r="C197" s="152">
        <v>46142</v>
      </c>
      <c r="D197" s="153" t="s">
        <v>302</v>
      </c>
      <c r="E197" s="153" t="s">
        <v>2</v>
      </c>
      <c r="F197" s="153" t="s">
        <v>293</v>
      </c>
      <c r="G197" s="126">
        <v>43.25</v>
      </c>
      <c r="H197" s="127">
        <v>505.25</v>
      </c>
      <c r="I197" s="153" t="str">
        <f t="shared" si="12"/>
        <v>OK</v>
      </c>
      <c r="J197" s="177" t="str">
        <f t="shared" si="13"/>
        <v/>
      </c>
    </row>
    <row r="198" spans="1:10" ht="24" customHeight="1">
      <c r="A198" s="169" t="s">
        <v>305</v>
      </c>
      <c r="B198" s="152">
        <v>45778</v>
      </c>
      <c r="C198" s="152">
        <v>46142</v>
      </c>
      <c r="D198" s="153" t="s">
        <v>302</v>
      </c>
      <c r="E198" s="153" t="s">
        <v>2</v>
      </c>
      <c r="F198" s="153" t="s">
        <v>293</v>
      </c>
      <c r="G198" s="126">
        <v>34.6</v>
      </c>
      <c r="H198" s="127">
        <v>404.2</v>
      </c>
      <c r="I198" s="153" t="str">
        <f t="shared" si="12"/>
        <v>OK</v>
      </c>
      <c r="J198" s="177" t="str">
        <f t="shared" si="13"/>
        <v/>
      </c>
    </row>
    <row r="199" spans="1:10" ht="24" customHeight="1">
      <c r="A199" s="169" t="s">
        <v>305</v>
      </c>
      <c r="B199" s="152">
        <v>45778</v>
      </c>
      <c r="C199" s="152">
        <v>46142</v>
      </c>
      <c r="D199" s="153" t="s">
        <v>302</v>
      </c>
      <c r="E199" s="153" t="s">
        <v>2</v>
      </c>
      <c r="F199" s="153" t="s">
        <v>293</v>
      </c>
      <c r="G199" s="126">
        <v>32.01</v>
      </c>
      <c r="H199" s="127">
        <v>373.89</v>
      </c>
      <c r="I199" s="153" t="str">
        <f t="shared" si="12"/>
        <v>OK</v>
      </c>
      <c r="J199" s="177" t="str">
        <f t="shared" si="13"/>
        <v/>
      </c>
    </row>
    <row r="200" spans="1:10" ht="24" customHeight="1" thickBot="1">
      <c r="A200" s="169" t="s">
        <v>305</v>
      </c>
      <c r="B200" s="152">
        <v>45778</v>
      </c>
      <c r="C200" s="152">
        <v>46142</v>
      </c>
      <c r="D200" s="153" t="s">
        <v>302</v>
      </c>
      <c r="E200" s="153" t="s">
        <v>2</v>
      </c>
      <c r="F200" s="153" t="s">
        <v>293</v>
      </c>
      <c r="G200" s="126">
        <v>10</v>
      </c>
      <c r="H200" s="127">
        <v>60</v>
      </c>
      <c r="I200" s="153" t="str">
        <f t="shared" si="12"/>
        <v>OK</v>
      </c>
      <c r="J200" s="177" t="str">
        <f t="shared" si="13"/>
        <v/>
      </c>
    </row>
    <row r="201" spans="1:10" ht="24" customHeight="1">
      <c r="A201" s="170" t="s">
        <v>305</v>
      </c>
      <c r="B201" s="154">
        <v>45778</v>
      </c>
      <c r="C201" s="154">
        <v>46142</v>
      </c>
      <c r="D201" s="155" t="s">
        <v>3</v>
      </c>
      <c r="E201" s="155" t="s">
        <v>2</v>
      </c>
      <c r="F201" s="155" t="s">
        <v>294</v>
      </c>
      <c r="G201" s="128">
        <v>173</v>
      </c>
      <c r="H201" s="129">
        <v>2082</v>
      </c>
      <c r="I201" s="155" t="str">
        <f t="shared" si="12"/>
        <v>OK</v>
      </c>
      <c r="J201" s="178" t="str">
        <f t="shared" si="13"/>
        <v/>
      </c>
    </row>
    <row r="202" spans="1:10" ht="24" customHeight="1">
      <c r="A202" s="169" t="s">
        <v>305</v>
      </c>
      <c r="B202" s="152">
        <v>45778</v>
      </c>
      <c r="C202" s="152">
        <v>46142</v>
      </c>
      <c r="D202" s="153" t="s">
        <v>3</v>
      </c>
      <c r="E202" s="153" t="s">
        <v>2</v>
      </c>
      <c r="F202" s="153" t="s">
        <v>294</v>
      </c>
      <c r="G202" s="126">
        <v>151.38</v>
      </c>
      <c r="H202" s="127">
        <v>1821.75</v>
      </c>
      <c r="I202" s="153" t="str">
        <f t="shared" si="12"/>
        <v>OK</v>
      </c>
      <c r="J202" s="177" t="str">
        <f t="shared" si="13"/>
        <v/>
      </c>
    </row>
    <row r="203" spans="1:10" ht="24" customHeight="1">
      <c r="A203" s="169" t="s">
        <v>305</v>
      </c>
      <c r="B203" s="152">
        <v>45778</v>
      </c>
      <c r="C203" s="152">
        <v>46142</v>
      </c>
      <c r="D203" s="153" t="s">
        <v>3</v>
      </c>
      <c r="E203" s="153" t="s">
        <v>2</v>
      </c>
      <c r="F203" s="153" t="s">
        <v>294</v>
      </c>
      <c r="G203" s="126">
        <v>138.4</v>
      </c>
      <c r="H203" s="127">
        <v>1665.6</v>
      </c>
      <c r="I203" s="153" t="str">
        <f t="shared" si="12"/>
        <v>OK</v>
      </c>
      <c r="J203" s="177" t="str">
        <f t="shared" si="13"/>
        <v/>
      </c>
    </row>
    <row r="204" spans="1:10" ht="24" customHeight="1">
      <c r="A204" s="169" t="s">
        <v>305</v>
      </c>
      <c r="B204" s="152">
        <v>45778</v>
      </c>
      <c r="C204" s="152">
        <v>46142</v>
      </c>
      <c r="D204" s="153" t="s">
        <v>3</v>
      </c>
      <c r="E204" s="153" t="s">
        <v>2</v>
      </c>
      <c r="F204" s="153" t="s">
        <v>294</v>
      </c>
      <c r="G204" s="126">
        <v>129.75</v>
      </c>
      <c r="H204" s="127">
        <v>1561.5</v>
      </c>
      <c r="I204" s="153" t="str">
        <f t="shared" si="12"/>
        <v>OK</v>
      </c>
      <c r="J204" s="177" t="str">
        <f t="shared" si="13"/>
        <v/>
      </c>
    </row>
    <row r="205" spans="1:10" ht="24" customHeight="1">
      <c r="A205" s="169" t="s">
        <v>305</v>
      </c>
      <c r="B205" s="152">
        <v>45778</v>
      </c>
      <c r="C205" s="152">
        <v>46142</v>
      </c>
      <c r="D205" s="153" t="s">
        <v>3</v>
      </c>
      <c r="E205" s="153" t="s">
        <v>2</v>
      </c>
      <c r="F205" s="153" t="s">
        <v>294</v>
      </c>
      <c r="G205" s="126">
        <v>108.13</v>
      </c>
      <c r="H205" s="127">
        <v>1301.25</v>
      </c>
      <c r="I205" s="153" t="str">
        <f t="shared" si="12"/>
        <v>OK</v>
      </c>
      <c r="J205" s="177" t="str">
        <f t="shared" si="13"/>
        <v/>
      </c>
    </row>
    <row r="206" spans="1:10" ht="24" customHeight="1">
      <c r="A206" s="169" t="s">
        <v>305</v>
      </c>
      <c r="B206" s="152">
        <v>45778</v>
      </c>
      <c r="C206" s="152">
        <v>46142</v>
      </c>
      <c r="D206" s="153" t="s">
        <v>3</v>
      </c>
      <c r="E206" s="153" t="s">
        <v>2</v>
      </c>
      <c r="F206" s="153" t="s">
        <v>294</v>
      </c>
      <c r="G206" s="126">
        <v>103.8</v>
      </c>
      <c r="H206" s="127">
        <v>1249.2</v>
      </c>
      <c r="I206" s="153" t="str">
        <f t="shared" si="12"/>
        <v>OK</v>
      </c>
      <c r="J206" s="177" t="str">
        <f t="shared" si="13"/>
        <v/>
      </c>
    </row>
    <row r="207" spans="1:10" ht="24" customHeight="1">
      <c r="A207" s="169" t="s">
        <v>305</v>
      </c>
      <c r="B207" s="152">
        <v>45778</v>
      </c>
      <c r="C207" s="152">
        <v>46142</v>
      </c>
      <c r="D207" s="153" t="s">
        <v>3</v>
      </c>
      <c r="E207" s="153" t="s">
        <v>2</v>
      </c>
      <c r="F207" s="153" t="s">
        <v>294</v>
      </c>
      <c r="G207" s="126">
        <v>100</v>
      </c>
      <c r="H207" s="127">
        <v>2000</v>
      </c>
      <c r="I207" s="153" t="str">
        <f t="shared" si="12"/>
        <v>OK</v>
      </c>
      <c r="J207" s="177" t="str">
        <f t="shared" si="13"/>
        <v/>
      </c>
    </row>
    <row r="208" spans="1:10" ht="24" customHeight="1">
      <c r="A208" s="169" t="s">
        <v>305</v>
      </c>
      <c r="B208" s="152">
        <v>45778</v>
      </c>
      <c r="C208" s="152">
        <v>46142</v>
      </c>
      <c r="D208" s="153" t="s">
        <v>3</v>
      </c>
      <c r="E208" s="153" t="s">
        <v>2</v>
      </c>
      <c r="F208" s="153" t="s">
        <v>294</v>
      </c>
      <c r="G208" s="126">
        <v>86.5</v>
      </c>
      <c r="H208" s="127">
        <v>1041.2</v>
      </c>
      <c r="I208" s="153" t="str">
        <f t="shared" si="12"/>
        <v>OK</v>
      </c>
      <c r="J208" s="177" t="str">
        <f t="shared" si="13"/>
        <v/>
      </c>
    </row>
    <row r="209" spans="1:10" ht="24" customHeight="1">
      <c r="A209" s="169" t="s">
        <v>305</v>
      </c>
      <c r="B209" s="152">
        <v>45778</v>
      </c>
      <c r="C209" s="152">
        <v>46142</v>
      </c>
      <c r="D209" s="153" t="s">
        <v>3</v>
      </c>
      <c r="E209" s="153" t="s">
        <v>2</v>
      </c>
      <c r="F209" s="153" t="s">
        <v>294</v>
      </c>
      <c r="G209" s="126">
        <v>69.2</v>
      </c>
      <c r="H209" s="127">
        <v>832.8</v>
      </c>
      <c r="I209" s="153" t="str">
        <f t="shared" si="12"/>
        <v>OK</v>
      </c>
      <c r="J209" s="177" t="str">
        <f t="shared" si="13"/>
        <v/>
      </c>
    </row>
    <row r="210" spans="1:10" ht="24" customHeight="1">
      <c r="A210" s="169" t="s">
        <v>305</v>
      </c>
      <c r="B210" s="152">
        <v>45778</v>
      </c>
      <c r="C210" s="152">
        <v>46142</v>
      </c>
      <c r="D210" s="153" t="s">
        <v>3</v>
      </c>
      <c r="E210" s="153" t="s">
        <v>2</v>
      </c>
      <c r="F210" s="153" t="s">
        <v>294</v>
      </c>
      <c r="G210" s="126">
        <v>51.9</v>
      </c>
      <c r="H210" s="127">
        <v>624.6</v>
      </c>
      <c r="I210" s="153" t="str">
        <f t="shared" si="12"/>
        <v>OK</v>
      </c>
      <c r="J210" s="177" t="str">
        <f t="shared" si="13"/>
        <v/>
      </c>
    </row>
    <row r="211" spans="1:10" ht="24" customHeight="1">
      <c r="A211" s="169" t="s">
        <v>305</v>
      </c>
      <c r="B211" s="152">
        <v>45778</v>
      </c>
      <c r="C211" s="152">
        <v>46142</v>
      </c>
      <c r="D211" s="153" t="s">
        <v>3</v>
      </c>
      <c r="E211" s="153" t="s">
        <v>2</v>
      </c>
      <c r="F211" s="153" t="s">
        <v>294</v>
      </c>
      <c r="G211" s="126">
        <v>47.58</v>
      </c>
      <c r="H211" s="127">
        <v>575.54999999999995</v>
      </c>
      <c r="I211" s="153" t="str">
        <f t="shared" si="12"/>
        <v>OK</v>
      </c>
      <c r="J211" s="177" t="str">
        <f t="shared" si="13"/>
        <v/>
      </c>
    </row>
    <row r="212" spans="1:10" ht="24" customHeight="1">
      <c r="A212" s="169" t="s">
        <v>305</v>
      </c>
      <c r="B212" s="152">
        <v>45778</v>
      </c>
      <c r="C212" s="152">
        <v>46142</v>
      </c>
      <c r="D212" s="153" t="s">
        <v>3</v>
      </c>
      <c r="E212" s="153" t="s">
        <v>2</v>
      </c>
      <c r="F212" s="153" t="s">
        <v>294</v>
      </c>
      <c r="G212" s="126">
        <v>43.25</v>
      </c>
      <c r="H212" s="127">
        <v>520.5</v>
      </c>
      <c r="I212" s="153" t="str">
        <f t="shared" si="12"/>
        <v>OK</v>
      </c>
      <c r="J212" s="177" t="str">
        <f t="shared" si="13"/>
        <v/>
      </c>
    </row>
    <row r="213" spans="1:10" ht="24" customHeight="1">
      <c r="A213" s="169" t="s">
        <v>305</v>
      </c>
      <c r="B213" s="152">
        <v>45778</v>
      </c>
      <c r="C213" s="152">
        <v>46142</v>
      </c>
      <c r="D213" s="153" t="s">
        <v>3</v>
      </c>
      <c r="E213" s="153" t="s">
        <v>2</v>
      </c>
      <c r="F213" s="153" t="s">
        <v>294</v>
      </c>
      <c r="G213" s="126">
        <v>34.6</v>
      </c>
      <c r="H213" s="127">
        <v>416.4</v>
      </c>
      <c r="I213" s="153" t="str">
        <f t="shared" si="12"/>
        <v>OK</v>
      </c>
      <c r="J213" s="177" t="str">
        <f t="shared" si="13"/>
        <v/>
      </c>
    </row>
    <row r="214" spans="1:10" ht="24" customHeight="1" thickBot="1">
      <c r="A214" s="169" t="s">
        <v>305</v>
      </c>
      <c r="B214" s="152">
        <v>45778</v>
      </c>
      <c r="C214" s="152">
        <v>46142</v>
      </c>
      <c r="D214" s="153" t="s">
        <v>3</v>
      </c>
      <c r="E214" s="153" t="s">
        <v>2</v>
      </c>
      <c r="F214" s="153" t="s">
        <v>294</v>
      </c>
      <c r="G214" s="126">
        <v>32.01</v>
      </c>
      <c r="H214" s="127">
        <v>385.17</v>
      </c>
      <c r="I214" s="153" t="str">
        <f t="shared" si="12"/>
        <v>OK</v>
      </c>
      <c r="J214" s="177" t="str">
        <f t="shared" si="13"/>
        <v/>
      </c>
    </row>
    <row r="215" spans="1:10" ht="24" customHeight="1">
      <c r="A215" s="170" t="s">
        <v>305</v>
      </c>
      <c r="B215" s="154">
        <v>45778</v>
      </c>
      <c r="C215" s="154">
        <v>46142</v>
      </c>
      <c r="D215" s="155" t="s">
        <v>4</v>
      </c>
      <c r="E215" s="155" t="s">
        <v>2</v>
      </c>
      <c r="F215" s="155" t="s">
        <v>295</v>
      </c>
      <c r="G215" s="128">
        <v>173</v>
      </c>
      <c r="H215" s="129">
        <v>2123</v>
      </c>
      <c r="I215" s="155" t="str">
        <f t="shared" si="12"/>
        <v>OK</v>
      </c>
      <c r="J215" s="178" t="str">
        <f t="shared" si="13"/>
        <v/>
      </c>
    </row>
    <row r="216" spans="1:10" ht="24" customHeight="1">
      <c r="A216" s="169" t="s">
        <v>305</v>
      </c>
      <c r="B216" s="152">
        <v>45778</v>
      </c>
      <c r="C216" s="152">
        <v>46142</v>
      </c>
      <c r="D216" s="153" t="s">
        <v>4</v>
      </c>
      <c r="E216" s="153" t="s">
        <v>2</v>
      </c>
      <c r="F216" s="153" t="s">
        <v>295</v>
      </c>
      <c r="G216" s="126">
        <v>151.38</v>
      </c>
      <c r="H216" s="127">
        <v>1857.63</v>
      </c>
      <c r="I216" s="153" t="str">
        <f t="shared" si="12"/>
        <v>OK</v>
      </c>
      <c r="J216" s="177" t="str">
        <f t="shared" si="13"/>
        <v/>
      </c>
    </row>
    <row r="217" spans="1:10" ht="24" customHeight="1">
      <c r="A217" s="169" t="s">
        <v>305</v>
      </c>
      <c r="B217" s="152">
        <v>45778</v>
      </c>
      <c r="C217" s="152">
        <v>46142</v>
      </c>
      <c r="D217" s="153" t="s">
        <v>4</v>
      </c>
      <c r="E217" s="153" t="s">
        <v>2</v>
      </c>
      <c r="F217" s="153" t="s">
        <v>295</v>
      </c>
      <c r="G217" s="126">
        <v>138.4</v>
      </c>
      <c r="H217" s="127">
        <v>1698.4</v>
      </c>
      <c r="I217" s="153" t="str">
        <f t="shared" si="12"/>
        <v>OK</v>
      </c>
      <c r="J217" s="177" t="str">
        <f t="shared" si="13"/>
        <v/>
      </c>
    </row>
    <row r="218" spans="1:10" ht="24" customHeight="1">
      <c r="A218" s="169" t="s">
        <v>305</v>
      </c>
      <c r="B218" s="152">
        <v>45778</v>
      </c>
      <c r="C218" s="152">
        <v>46142</v>
      </c>
      <c r="D218" s="153" t="s">
        <v>4</v>
      </c>
      <c r="E218" s="153" t="s">
        <v>2</v>
      </c>
      <c r="F218" s="153" t="s">
        <v>295</v>
      </c>
      <c r="G218" s="126">
        <v>129.75</v>
      </c>
      <c r="H218" s="127">
        <v>1592.25</v>
      </c>
      <c r="I218" s="15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77" t="str">
        <f t="shared" ref="J218:J249" si="15">IF($G218="","",IF(COUNTIFS($A:$A,$A218,$D:$D,$D218,$G:$G,$G218)&gt;1,"Doppelte Monatsstunden",""))</f>
        <v/>
      </c>
    </row>
    <row r="219" spans="1:10" ht="24" customHeight="1">
      <c r="A219" s="169" t="s">
        <v>305</v>
      </c>
      <c r="B219" s="152">
        <v>45778</v>
      </c>
      <c r="C219" s="152">
        <v>46142</v>
      </c>
      <c r="D219" s="153" t="s">
        <v>4</v>
      </c>
      <c r="E219" s="153" t="s">
        <v>2</v>
      </c>
      <c r="F219" s="153" t="s">
        <v>295</v>
      </c>
      <c r="G219" s="126">
        <v>108.13</v>
      </c>
      <c r="H219" s="127">
        <v>1326.88</v>
      </c>
      <c r="I219" s="153" t="str">
        <f t="shared" si="14"/>
        <v>OK</v>
      </c>
      <c r="J219" s="177" t="str">
        <f t="shared" si="15"/>
        <v/>
      </c>
    </row>
    <row r="220" spans="1:10" ht="24" customHeight="1">
      <c r="A220" s="169" t="s">
        <v>305</v>
      </c>
      <c r="B220" s="152">
        <v>45778</v>
      </c>
      <c r="C220" s="152">
        <v>46142</v>
      </c>
      <c r="D220" s="153" t="s">
        <v>4</v>
      </c>
      <c r="E220" s="153" t="s">
        <v>2</v>
      </c>
      <c r="F220" s="153" t="s">
        <v>295</v>
      </c>
      <c r="G220" s="126">
        <v>103.8</v>
      </c>
      <c r="H220" s="127">
        <v>1273.8</v>
      </c>
      <c r="I220" s="153" t="str">
        <f t="shared" si="14"/>
        <v>OK</v>
      </c>
      <c r="J220" s="177" t="str">
        <f t="shared" si="15"/>
        <v/>
      </c>
    </row>
    <row r="221" spans="1:10" ht="24" customHeight="1">
      <c r="A221" s="169" t="s">
        <v>305</v>
      </c>
      <c r="B221" s="152">
        <v>45778</v>
      </c>
      <c r="C221" s="152">
        <v>46142</v>
      </c>
      <c r="D221" s="153" t="s">
        <v>4</v>
      </c>
      <c r="E221" s="153" t="s">
        <v>2</v>
      </c>
      <c r="F221" s="153" t="s">
        <v>295</v>
      </c>
      <c r="G221" s="126">
        <v>86.5</v>
      </c>
      <c r="H221" s="127">
        <v>1061.5</v>
      </c>
      <c r="I221" s="153" t="str">
        <f t="shared" si="14"/>
        <v>OK</v>
      </c>
      <c r="J221" s="177" t="str">
        <f t="shared" si="15"/>
        <v/>
      </c>
    </row>
    <row r="222" spans="1:10" ht="24" customHeight="1">
      <c r="A222" s="169" t="s">
        <v>305</v>
      </c>
      <c r="B222" s="152">
        <v>45778</v>
      </c>
      <c r="C222" s="152">
        <v>46142</v>
      </c>
      <c r="D222" s="153" t="s">
        <v>4</v>
      </c>
      <c r="E222" s="153" t="s">
        <v>2</v>
      </c>
      <c r="F222" s="153" t="s">
        <v>295</v>
      </c>
      <c r="G222" s="126">
        <v>69.2</v>
      </c>
      <c r="H222" s="127">
        <v>849.2</v>
      </c>
      <c r="I222" s="153" t="str">
        <f t="shared" si="14"/>
        <v>OK</v>
      </c>
      <c r="J222" s="177" t="str">
        <f t="shared" si="15"/>
        <v/>
      </c>
    </row>
    <row r="223" spans="1:10" ht="24" customHeight="1">
      <c r="A223" s="169" t="s">
        <v>305</v>
      </c>
      <c r="B223" s="152">
        <v>45778</v>
      </c>
      <c r="C223" s="152">
        <v>46142</v>
      </c>
      <c r="D223" s="153" t="s">
        <v>4</v>
      </c>
      <c r="E223" s="153" t="s">
        <v>2</v>
      </c>
      <c r="F223" s="153" t="s">
        <v>295</v>
      </c>
      <c r="G223" s="126">
        <v>51.9</v>
      </c>
      <c r="H223" s="127">
        <v>636.9</v>
      </c>
      <c r="I223" s="153" t="str">
        <f t="shared" si="14"/>
        <v>OK</v>
      </c>
      <c r="J223" s="177" t="str">
        <f t="shared" si="15"/>
        <v/>
      </c>
    </row>
    <row r="224" spans="1:10" ht="24" customHeight="1">
      <c r="A224" s="169" t="s">
        <v>305</v>
      </c>
      <c r="B224" s="152">
        <v>45778</v>
      </c>
      <c r="C224" s="152">
        <v>46142</v>
      </c>
      <c r="D224" s="153" t="s">
        <v>4</v>
      </c>
      <c r="E224" s="153" t="s">
        <v>2</v>
      </c>
      <c r="F224" s="153" t="s">
        <v>295</v>
      </c>
      <c r="G224" s="126">
        <v>47.58</v>
      </c>
      <c r="H224" s="127">
        <v>583.83000000000004</v>
      </c>
      <c r="I224" s="153" t="str">
        <f t="shared" si="14"/>
        <v>OK</v>
      </c>
      <c r="J224" s="177" t="str">
        <f t="shared" si="15"/>
        <v/>
      </c>
    </row>
    <row r="225" spans="1:10" ht="24" customHeight="1">
      <c r="A225" s="169" t="s">
        <v>305</v>
      </c>
      <c r="B225" s="152">
        <v>45778</v>
      </c>
      <c r="C225" s="152">
        <v>46142</v>
      </c>
      <c r="D225" s="153" t="s">
        <v>4</v>
      </c>
      <c r="E225" s="153" t="s">
        <v>2</v>
      </c>
      <c r="F225" s="153" t="s">
        <v>295</v>
      </c>
      <c r="G225" s="126">
        <v>43.25</v>
      </c>
      <c r="H225" s="127">
        <v>530.75</v>
      </c>
      <c r="I225" s="153" t="str">
        <f t="shared" si="14"/>
        <v>OK</v>
      </c>
      <c r="J225" s="177" t="str">
        <f t="shared" si="15"/>
        <v/>
      </c>
    </row>
    <row r="226" spans="1:10" ht="24" customHeight="1">
      <c r="A226" s="169" t="s">
        <v>305</v>
      </c>
      <c r="B226" s="152">
        <v>45778</v>
      </c>
      <c r="C226" s="152">
        <v>46142</v>
      </c>
      <c r="D226" s="153" t="s">
        <v>4</v>
      </c>
      <c r="E226" s="153" t="s">
        <v>2</v>
      </c>
      <c r="F226" s="153" t="s">
        <v>295</v>
      </c>
      <c r="G226" s="126">
        <v>34.6</v>
      </c>
      <c r="H226" s="127">
        <v>424.6</v>
      </c>
      <c r="I226" s="153" t="str">
        <f t="shared" si="14"/>
        <v>OK</v>
      </c>
      <c r="J226" s="177" t="str">
        <f t="shared" si="15"/>
        <v/>
      </c>
    </row>
    <row r="227" spans="1:10" ht="24" customHeight="1" thickBot="1">
      <c r="A227" s="169" t="s">
        <v>305</v>
      </c>
      <c r="B227" s="152">
        <v>45778</v>
      </c>
      <c r="C227" s="152">
        <v>46142</v>
      </c>
      <c r="D227" s="153" t="s">
        <v>4</v>
      </c>
      <c r="E227" s="153" t="s">
        <v>2</v>
      </c>
      <c r="F227" s="153" t="s">
        <v>295</v>
      </c>
      <c r="G227" s="126">
        <v>32.01</v>
      </c>
      <c r="H227" s="127">
        <v>392.76</v>
      </c>
      <c r="I227" s="153" t="str">
        <f t="shared" si="14"/>
        <v>OK</v>
      </c>
      <c r="J227" s="177" t="str">
        <f t="shared" si="15"/>
        <v/>
      </c>
    </row>
    <row r="228" spans="1:10" ht="24" customHeight="1">
      <c r="A228" s="170" t="s">
        <v>305</v>
      </c>
      <c r="B228" s="154">
        <v>45778</v>
      </c>
      <c r="C228" s="154">
        <v>46142</v>
      </c>
      <c r="D228" s="155" t="s">
        <v>5</v>
      </c>
      <c r="E228" s="155" t="s">
        <v>2</v>
      </c>
      <c r="F228" s="155" t="s">
        <v>296</v>
      </c>
      <c r="G228" s="128">
        <v>173</v>
      </c>
      <c r="H228" s="129">
        <v>2183</v>
      </c>
      <c r="I228" s="155" t="str">
        <f t="shared" si="14"/>
        <v>OK</v>
      </c>
      <c r="J228" s="178" t="str">
        <f t="shared" si="15"/>
        <v/>
      </c>
    </row>
    <row r="229" spans="1:10" ht="24" customHeight="1">
      <c r="A229" s="169" t="s">
        <v>305</v>
      </c>
      <c r="B229" s="152">
        <v>45778</v>
      </c>
      <c r="C229" s="152">
        <v>46142</v>
      </c>
      <c r="D229" s="153" t="s">
        <v>5</v>
      </c>
      <c r="E229" s="153" t="s">
        <v>2</v>
      </c>
      <c r="F229" s="153" t="s">
        <v>296</v>
      </c>
      <c r="G229" s="126">
        <v>151.38</v>
      </c>
      <c r="H229" s="127">
        <v>1910.13</v>
      </c>
      <c r="I229" s="153" t="str">
        <f t="shared" si="14"/>
        <v>OK</v>
      </c>
      <c r="J229" s="177" t="str">
        <f t="shared" si="15"/>
        <v/>
      </c>
    </row>
    <row r="230" spans="1:10" ht="24" customHeight="1">
      <c r="A230" s="169" t="s">
        <v>305</v>
      </c>
      <c r="B230" s="152">
        <v>45778</v>
      </c>
      <c r="C230" s="152">
        <v>46142</v>
      </c>
      <c r="D230" s="153" t="s">
        <v>5</v>
      </c>
      <c r="E230" s="153" t="s">
        <v>2</v>
      </c>
      <c r="F230" s="153" t="s">
        <v>296</v>
      </c>
      <c r="G230" s="126">
        <v>138.4</v>
      </c>
      <c r="H230" s="127">
        <v>1746.4</v>
      </c>
      <c r="I230" s="153" t="str">
        <f t="shared" si="14"/>
        <v>OK</v>
      </c>
      <c r="J230" s="177" t="str">
        <f t="shared" si="15"/>
        <v/>
      </c>
    </row>
    <row r="231" spans="1:10" ht="24" customHeight="1">
      <c r="A231" s="169" t="s">
        <v>305</v>
      </c>
      <c r="B231" s="152">
        <v>45778</v>
      </c>
      <c r="C231" s="152">
        <v>46142</v>
      </c>
      <c r="D231" s="153" t="s">
        <v>5</v>
      </c>
      <c r="E231" s="153" t="s">
        <v>2</v>
      </c>
      <c r="F231" s="153" t="s">
        <v>296</v>
      </c>
      <c r="G231" s="126">
        <v>129.75</v>
      </c>
      <c r="H231" s="127">
        <v>1637.25</v>
      </c>
      <c r="I231" s="153" t="str">
        <f t="shared" si="14"/>
        <v>OK</v>
      </c>
      <c r="J231" s="177" t="str">
        <f t="shared" si="15"/>
        <v/>
      </c>
    </row>
    <row r="232" spans="1:10" ht="24" customHeight="1">
      <c r="A232" s="169" t="s">
        <v>305</v>
      </c>
      <c r="B232" s="152">
        <v>45778</v>
      </c>
      <c r="C232" s="152">
        <v>46142</v>
      </c>
      <c r="D232" s="153" t="s">
        <v>5</v>
      </c>
      <c r="E232" s="153" t="s">
        <v>2</v>
      </c>
      <c r="F232" s="153" t="s">
        <v>296</v>
      </c>
      <c r="G232" s="126">
        <v>108.13</v>
      </c>
      <c r="H232" s="127">
        <v>1364.38</v>
      </c>
      <c r="I232" s="153" t="str">
        <f t="shared" si="14"/>
        <v>OK</v>
      </c>
      <c r="J232" s="177" t="str">
        <f t="shared" si="15"/>
        <v/>
      </c>
    </row>
    <row r="233" spans="1:10" ht="24" customHeight="1">
      <c r="A233" s="169" t="s">
        <v>305</v>
      </c>
      <c r="B233" s="152">
        <v>45778</v>
      </c>
      <c r="C233" s="152">
        <v>46142</v>
      </c>
      <c r="D233" s="153" t="s">
        <v>5</v>
      </c>
      <c r="E233" s="153" t="s">
        <v>2</v>
      </c>
      <c r="F233" s="153" t="s">
        <v>296</v>
      </c>
      <c r="G233" s="126">
        <v>103.8</v>
      </c>
      <c r="H233" s="127">
        <v>1309.8</v>
      </c>
      <c r="I233" s="153" t="str">
        <f t="shared" si="14"/>
        <v>OK</v>
      </c>
      <c r="J233" s="177" t="str">
        <f t="shared" si="15"/>
        <v/>
      </c>
    </row>
    <row r="234" spans="1:10" ht="24" customHeight="1">
      <c r="A234" s="169" t="s">
        <v>305</v>
      </c>
      <c r="B234" s="152">
        <v>45778</v>
      </c>
      <c r="C234" s="152">
        <v>46142</v>
      </c>
      <c r="D234" s="153" t="s">
        <v>5</v>
      </c>
      <c r="E234" s="153" t="s">
        <v>2</v>
      </c>
      <c r="F234" s="153" t="s">
        <v>296</v>
      </c>
      <c r="G234" s="126">
        <v>86.5</v>
      </c>
      <c r="H234" s="127">
        <v>1091.5</v>
      </c>
      <c r="I234" s="153" t="str">
        <f t="shared" si="14"/>
        <v>OK</v>
      </c>
      <c r="J234" s="177" t="str">
        <f t="shared" si="15"/>
        <v/>
      </c>
    </row>
    <row r="235" spans="1:10" ht="24" customHeight="1">
      <c r="A235" s="169" t="s">
        <v>305</v>
      </c>
      <c r="B235" s="152">
        <v>45778</v>
      </c>
      <c r="C235" s="152">
        <v>46142</v>
      </c>
      <c r="D235" s="153" t="s">
        <v>5</v>
      </c>
      <c r="E235" s="153" t="s">
        <v>2</v>
      </c>
      <c r="F235" s="153" t="s">
        <v>296</v>
      </c>
      <c r="G235" s="126">
        <v>69.2</v>
      </c>
      <c r="H235" s="127">
        <v>873.2</v>
      </c>
      <c r="I235" s="153" t="str">
        <f t="shared" si="14"/>
        <v>OK</v>
      </c>
      <c r="J235" s="177" t="str">
        <f t="shared" si="15"/>
        <v/>
      </c>
    </row>
    <row r="236" spans="1:10" ht="24" customHeight="1">
      <c r="A236" s="169" t="s">
        <v>305</v>
      </c>
      <c r="B236" s="152">
        <v>45778</v>
      </c>
      <c r="C236" s="152">
        <v>46142</v>
      </c>
      <c r="D236" s="153" t="s">
        <v>5</v>
      </c>
      <c r="E236" s="153" t="s">
        <v>2</v>
      </c>
      <c r="F236" s="153" t="s">
        <v>296</v>
      </c>
      <c r="G236" s="126">
        <v>51.9</v>
      </c>
      <c r="H236" s="127">
        <v>654.9</v>
      </c>
      <c r="I236" s="153" t="str">
        <f t="shared" si="14"/>
        <v>OK</v>
      </c>
      <c r="J236" s="177" t="str">
        <f t="shared" si="15"/>
        <v/>
      </c>
    </row>
    <row r="237" spans="1:10" ht="24" customHeight="1">
      <c r="A237" s="169" t="s">
        <v>305</v>
      </c>
      <c r="B237" s="152">
        <v>45778</v>
      </c>
      <c r="C237" s="152">
        <v>46142</v>
      </c>
      <c r="D237" s="153" t="s">
        <v>5</v>
      </c>
      <c r="E237" s="153" t="s">
        <v>2</v>
      </c>
      <c r="F237" s="153" t="s">
        <v>296</v>
      </c>
      <c r="G237" s="126">
        <v>47.58</v>
      </c>
      <c r="H237" s="127">
        <v>600.33000000000004</v>
      </c>
      <c r="I237" s="153" t="str">
        <f t="shared" si="14"/>
        <v>OK</v>
      </c>
      <c r="J237" s="177" t="str">
        <f t="shared" si="15"/>
        <v/>
      </c>
    </row>
    <row r="238" spans="1:10" ht="24" customHeight="1">
      <c r="A238" s="169" t="s">
        <v>305</v>
      </c>
      <c r="B238" s="152">
        <v>45778</v>
      </c>
      <c r="C238" s="152">
        <v>46142</v>
      </c>
      <c r="D238" s="153" t="s">
        <v>5</v>
      </c>
      <c r="E238" s="153" t="s">
        <v>2</v>
      </c>
      <c r="F238" s="153" t="s">
        <v>296</v>
      </c>
      <c r="G238" s="126">
        <v>43.25</v>
      </c>
      <c r="H238" s="127">
        <v>545.75</v>
      </c>
      <c r="I238" s="153" t="str">
        <f t="shared" si="14"/>
        <v>OK</v>
      </c>
      <c r="J238" s="177" t="str">
        <f t="shared" si="15"/>
        <v/>
      </c>
    </row>
    <row r="239" spans="1:10" ht="24" customHeight="1">
      <c r="A239" s="169" t="s">
        <v>305</v>
      </c>
      <c r="B239" s="152">
        <v>45778</v>
      </c>
      <c r="C239" s="152">
        <v>46142</v>
      </c>
      <c r="D239" s="153" t="s">
        <v>5</v>
      </c>
      <c r="E239" s="153" t="s">
        <v>2</v>
      </c>
      <c r="F239" s="153" t="s">
        <v>296</v>
      </c>
      <c r="G239" s="126">
        <v>34.6</v>
      </c>
      <c r="H239" s="127">
        <v>436.6</v>
      </c>
      <c r="I239" s="153" t="str">
        <f t="shared" si="14"/>
        <v>OK</v>
      </c>
      <c r="J239" s="177" t="str">
        <f t="shared" si="15"/>
        <v/>
      </c>
    </row>
    <row r="240" spans="1:10" ht="24" customHeight="1" thickBot="1">
      <c r="A240" s="169" t="s">
        <v>305</v>
      </c>
      <c r="B240" s="152">
        <v>45778</v>
      </c>
      <c r="C240" s="152">
        <v>46142</v>
      </c>
      <c r="D240" s="153" t="s">
        <v>5</v>
      </c>
      <c r="E240" s="153" t="s">
        <v>2</v>
      </c>
      <c r="F240" s="153" t="s">
        <v>296</v>
      </c>
      <c r="G240" s="126">
        <v>32.01</v>
      </c>
      <c r="H240" s="127">
        <v>403.86</v>
      </c>
      <c r="I240" s="153" t="str">
        <f t="shared" si="14"/>
        <v>OK</v>
      </c>
      <c r="J240" s="177" t="str">
        <f t="shared" si="15"/>
        <v/>
      </c>
    </row>
    <row r="241" spans="1:10" ht="24" customHeight="1">
      <c r="A241" s="171" t="s">
        <v>305</v>
      </c>
      <c r="B241" s="156">
        <v>45778</v>
      </c>
      <c r="C241" s="156">
        <v>46142</v>
      </c>
      <c r="D241" s="157" t="s">
        <v>303</v>
      </c>
      <c r="E241" s="157" t="s">
        <v>6</v>
      </c>
      <c r="F241" s="157" t="s">
        <v>293</v>
      </c>
      <c r="G241" s="130">
        <v>173</v>
      </c>
      <c r="H241" s="131">
        <v>2160</v>
      </c>
      <c r="I241" s="157" t="str">
        <f t="shared" si="14"/>
        <v>OK</v>
      </c>
      <c r="J241" s="179" t="str">
        <f t="shared" si="15"/>
        <v/>
      </c>
    </row>
    <row r="242" spans="1:10" ht="24" customHeight="1">
      <c r="A242" s="172" t="s">
        <v>305</v>
      </c>
      <c r="B242" s="158">
        <v>45778</v>
      </c>
      <c r="C242" s="158">
        <v>46142</v>
      </c>
      <c r="D242" s="159" t="s">
        <v>303</v>
      </c>
      <c r="E242" s="159" t="s">
        <v>6</v>
      </c>
      <c r="F242" s="159" t="s">
        <v>293</v>
      </c>
      <c r="G242" s="132">
        <v>151.38</v>
      </c>
      <c r="H242" s="133">
        <v>1890</v>
      </c>
      <c r="I242" s="159" t="str">
        <f t="shared" si="14"/>
        <v>OK</v>
      </c>
      <c r="J242" s="180" t="str">
        <f t="shared" si="15"/>
        <v/>
      </c>
    </row>
    <row r="243" spans="1:10" ht="24" customHeight="1">
      <c r="A243" s="172" t="s">
        <v>305</v>
      </c>
      <c r="B243" s="158">
        <v>45778</v>
      </c>
      <c r="C243" s="158">
        <v>46142</v>
      </c>
      <c r="D243" s="159" t="s">
        <v>303</v>
      </c>
      <c r="E243" s="159" t="s">
        <v>6</v>
      </c>
      <c r="F243" s="159" t="s">
        <v>293</v>
      </c>
      <c r="G243" s="132">
        <v>138.4</v>
      </c>
      <c r="H243" s="133">
        <v>1728</v>
      </c>
      <c r="I243" s="159" t="str">
        <f t="shared" si="14"/>
        <v>OK</v>
      </c>
      <c r="J243" s="180" t="str">
        <f t="shared" si="15"/>
        <v/>
      </c>
    </row>
    <row r="244" spans="1:10" ht="24" customHeight="1">
      <c r="A244" s="172" t="s">
        <v>305</v>
      </c>
      <c r="B244" s="158">
        <v>45778</v>
      </c>
      <c r="C244" s="158">
        <v>46142</v>
      </c>
      <c r="D244" s="159" t="s">
        <v>303</v>
      </c>
      <c r="E244" s="159" t="s">
        <v>6</v>
      </c>
      <c r="F244" s="159" t="s">
        <v>293</v>
      </c>
      <c r="G244" s="132">
        <v>129.75</v>
      </c>
      <c r="H244" s="133">
        <v>1620</v>
      </c>
      <c r="I244" s="159" t="str">
        <f t="shared" si="14"/>
        <v>OK</v>
      </c>
      <c r="J244" s="180" t="str">
        <f t="shared" si="15"/>
        <v/>
      </c>
    </row>
    <row r="245" spans="1:10" ht="24" customHeight="1">
      <c r="A245" s="172" t="s">
        <v>305</v>
      </c>
      <c r="B245" s="158">
        <v>45778</v>
      </c>
      <c r="C245" s="158">
        <v>46142</v>
      </c>
      <c r="D245" s="159" t="s">
        <v>303</v>
      </c>
      <c r="E245" s="159" t="s">
        <v>6</v>
      </c>
      <c r="F245" s="159" t="s">
        <v>293</v>
      </c>
      <c r="G245" s="132">
        <v>108.13</v>
      </c>
      <c r="H245" s="133">
        <v>1350</v>
      </c>
      <c r="I245" s="159" t="str">
        <f t="shared" si="14"/>
        <v>OK</v>
      </c>
      <c r="J245" s="180" t="str">
        <f t="shared" si="15"/>
        <v/>
      </c>
    </row>
    <row r="246" spans="1:10" ht="24" customHeight="1">
      <c r="A246" s="172" t="s">
        <v>305</v>
      </c>
      <c r="B246" s="158">
        <v>45778</v>
      </c>
      <c r="C246" s="158">
        <v>46142</v>
      </c>
      <c r="D246" s="159" t="s">
        <v>303</v>
      </c>
      <c r="E246" s="159" t="s">
        <v>6</v>
      </c>
      <c r="F246" s="159" t="s">
        <v>293</v>
      </c>
      <c r="G246" s="132">
        <v>103.8</v>
      </c>
      <c r="H246" s="133">
        <v>1296</v>
      </c>
      <c r="I246" s="159" t="str">
        <f t="shared" si="14"/>
        <v>OK</v>
      </c>
      <c r="J246" s="180" t="str">
        <f t="shared" si="15"/>
        <v/>
      </c>
    </row>
    <row r="247" spans="1:10" ht="24" customHeight="1">
      <c r="A247" s="172" t="s">
        <v>305</v>
      </c>
      <c r="B247" s="158">
        <v>45778</v>
      </c>
      <c r="C247" s="158">
        <v>46142</v>
      </c>
      <c r="D247" s="159" t="s">
        <v>303</v>
      </c>
      <c r="E247" s="159" t="s">
        <v>6</v>
      </c>
      <c r="F247" s="159" t="s">
        <v>293</v>
      </c>
      <c r="G247" s="132">
        <v>86.5</v>
      </c>
      <c r="H247" s="133">
        <v>1080</v>
      </c>
      <c r="I247" s="159" t="str">
        <f t="shared" si="14"/>
        <v>OK</v>
      </c>
      <c r="J247" s="180" t="str">
        <f t="shared" si="15"/>
        <v/>
      </c>
    </row>
    <row r="248" spans="1:10" ht="24" customHeight="1">
      <c r="A248" s="172" t="s">
        <v>305</v>
      </c>
      <c r="B248" s="158">
        <v>45778</v>
      </c>
      <c r="C248" s="158">
        <v>46142</v>
      </c>
      <c r="D248" s="159" t="s">
        <v>303</v>
      </c>
      <c r="E248" s="159" t="s">
        <v>6</v>
      </c>
      <c r="F248" s="159" t="s">
        <v>293</v>
      </c>
      <c r="G248" s="132">
        <v>69.2</v>
      </c>
      <c r="H248" s="133">
        <v>864</v>
      </c>
      <c r="I248" s="159" t="str">
        <f t="shared" si="14"/>
        <v>OK</v>
      </c>
      <c r="J248" s="180" t="str">
        <f t="shared" si="15"/>
        <v/>
      </c>
    </row>
    <row r="249" spans="1:10" ht="24" customHeight="1">
      <c r="A249" s="172" t="s">
        <v>305</v>
      </c>
      <c r="B249" s="158">
        <v>45778</v>
      </c>
      <c r="C249" s="158">
        <v>46142</v>
      </c>
      <c r="D249" s="159" t="s">
        <v>303</v>
      </c>
      <c r="E249" s="159" t="s">
        <v>6</v>
      </c>
      <c r="F249" s="159" t="s">
        <v>293</v>
      </c>
      <c r="G249" s="132">
        <v>51.9</v>
      </c>
      <c r="H249" s="133">
        <v>648</v>
      </c>
      <c r="I249" s="159" t="str">
        <f t="shared" si="14"/>
        <v>OK</v>
      </c>
      <c r="J249" s="180" t="str">
        <f t="shared" si="15"/>
        <v/>
      </c>
    </row>
    <row r="250" spans="1:10" ht="24" customHeight="1">
      <c r="A250" s="172" t="s">
        <v>305</v>
      </c>
      <c r="B250" s="158">
        <v>45778</v>
      </c>
      <c r="C250" s="158">
        <v>46142</v>
      </c>
      <c r="D250" s="159" t="s">
        <v>303</v>
      </c>
      <c r="E250" s="159" t="s">
        <v>6</v>
      </c>
      <c r="F250" s="159" t="s">
        <v>293</v>
      </c>
      <c r="G250" s="132">
        <v>47.58</v>
      </c>
      <c r="H250" s="133">
        <v>594</v>
      </c>
      <c r="I250" s="15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80" t="str">
        <f t="shared" ref="J250:J281" si="17">IF($G250="","",IF(COUNTIFS($A:$A,$A250,$D:$D,$D250,$G:$G,$G250)&gt;1,"Doppelte Monatsstunden",""))</f>
        <v/>
      </c>
    </row>
    <row r="251" spans="1:10" ht="24" customHeight="1">
      <c r="A251" s="172" t="s">
        <v>305</v>
      </c>
      <c r="B251" s="158">
        <v>45778</v>
      </c>
      <c r="C251" s="158">
        <v>46142</v>
      </c>
      <c r="D251" s="159" t="s">
        <v>303</v>
      </c>
      <c r="E251" s="159" t="s">
        <v>6</v>
      </c>
      <c r="F251" s="159" t="s">
        <v>293</v>
      </c>
      <c r="G251" s="132">
        <v>43.25</v>
      </c>
      <c r="H251" s="133">
        <v>540</v>
      </c>
      <c r="I251" s="159" t="str">
        <f t="shared" si="16"/>
        <v>OK</v>
      </c>
      <c r="J251" s="180" t="str">
        <f t="shared" si="17"/>
        <v/>
      </c>
    </row>
    <row r="252" spans="1:10" ht="24" customHeight="1">
      <c r="A252" s="172" t="s">
        <v>305</v>
      </c>
      <c r="B252" s="158">
        <v>45778</v>
      </c>
      <c r="C252" s="158">
        <v>46142</v>
      </c>
      <c r="D252" s="159" t="s">
        <v>303</v>
      </c>
      <c r="E252" s="159" t="s">
        <v>6</v>
      </c>
      <c r="F252" s="159" t="s">
        <v>293</v>
      </c>
      <c r="G252" s="132">
        <v>34.6</v>
      </c>
      <c r="H252" s="133">
        <v>432</v>
      </c>
      <c r="I252" s="159" t="str">
        <f t="shared" si="16"/>
        <v>OK</v>
      </c>
      <c r="J252" s="180" t="str">
        <f t="shared" si="17"/>
        <v/>
      </c>
    </row>
    <row r="253" spans="1:10" ht="24" customHeight="1" thickBot="1">
      <c r="A253" s="172" t="s">
        <v>305</v>
      </c>
      <c r="B253" s="158">
        <v>45778</v>
      </c>
      <c r="C253" s="158">
        <v>46142</v>
      </c>
      <c r="D253" s="159" t="s">
        <v>303</v>
      </c>
      <c r="E253" s="159" t="s">
        <v>6</v>
      </c>
      <c r="F253" s="159" t="s">
        <v>293</v>
      </c>
      <c r="G253" s="132">
        <v>32.01</v>
      </c>
      <c r="H253" s="133">
        <v>399.6</v>
      </c>
      <c r="I253" s="159" t="str">
        <f t="shared" si="16"/>
        <v>OK</v>
      </c>
      <c r="J253" s="180" t="str">
        <f t="shared" si="17"/>
        <v/>
      </c>
    </row>
    <row r="254" spans="1:10" ht="24" customHeight="1">
      <c r="A254" s="171" t="s">
        <v>305</v>
      </c>
      <c r="B254" s="156">
        <v>45778</v>
      </c>
      <c r="C254" s="156">
        <v>46142</v>
      </c>
      <c r="D254" s="157" t="s">
        <v>7</v>
      </c>
      <c r="E254" s="157" t="s">
        <v>6</v>
      </c>
      <c r="F254" s="157" t="s">
        <v>294</v>
      </c>
      <c r="G254" s="130">
        <v>173</v>
      </c>
      <c r="H254" s="131">
        <v>2160</v>
      </c>
      <c r="I254" s="157" t="str">
        <f t="shared" si="16"/>
        <v>OK</v>
      </c>
      <c r="J254" s="179" t="str">
        <f t="shared" si="17"/>
        <v/>
      </c>
    </row>
    <row r="255" spans="1:10" ht="24" customHeight="1">
      <c r="A255" s="172" t="s">
        <v>305</v>
      </c>
      <c r="B255" s="158">
        <v>45778</v>
      </c>
      <c r="C255" s="158">
        <v>46142</v>
      </c>
      <c r="D255" s="159" t="s">
        <v>7</v>
      </c>
      <c r="E255" s="159" t="s">
        <v>6</v>
      </c>
      <c r="F255" s="159" t="s">
        <v>294</v>
      </c>
      <c r="G255" s="132">
        <v>151.38</v>
      </c>
      <c r="H255" s="133">
        <v>1890</v>
      </c>
      <c r="I255" s="159" t="str">
        <f t="shared" si="16"/>
        <v>OK</v>
      </c>
      <c r="J255" s="180" t="str">
        <f t="shared" si="17"/>
        <v/>
      </c>
    </row>
    <row r="256" spans="1:10" ht="24" customHeight="1">
      <c r="A256" s="172" t="s">
        <v>305</v>
      </c>
      <c r="B256" s="158">
        <v>45778</v>
      </c>
      <c r="C256" s="158">
        <v>46142</v>
      </c>
      <c r="D256" s="159" t="s">
        <v>7</v>
      </c>
      <c r="E256" s="159" t="s">
        <v>6</v>
      </c>
      <c r="F256" s="159" t="s">
        <v>294</v>
      </c>
      <c r="G256" s="132">
        <v>138.4</v>
      </c>
      <c r="H256" s="133">
        <v>1728</v>
      </c>
      <c r="I256" s="159" t="str">
        <f t="shared" si="16"/>
        <v>OK</v>
      </c>
      <c r="J256" s="180" t="str">
        <f t="shared" si="17"/>
        <v/>
      </c>
    </row>
    <row r="257" spans="1:10" ht="24" customHeight="1">
      <c r="A257" s="172" t="s">
        <v>305</v>
      </c>
      <c r="B257" s="158">
        <v>45778</v>
      </c>
      <c r="C257" s="158">
        <v>46142</v>
      </c>
      <c r="D257" s="159" t="s">
        <v>7</v>
      </c>
      <c r="E257" s="159" t="s">
        <v>6</v>
      </c>
      <c r="F257" s="159" t="s">
        <v>294</v>
      </c>
      <c r="G257" s="132">
        <v>129.75</v>
      </c>
      <c r="H257" s="133">
        <v>1620</v>
      </c>
      <c r="I257" s="159" t="str">
        <f t="shared" si="16"/>
        <v>OK</v>
      </c>
      <c r="J257" s="180" t="str">
        <f t="shared" si="17"/>
        <v/>
      </c>
    </row>
    <row r="258" spans="1:10" ht="24" customHeight="1">
      <c r="A258" s="172" t="s">
        <v>305</v>
      </c>
      <c r="B258" s="158">
        <v>45778</v>
      </c>
      <c r="C258" s="158">
        <v>46142</v>
      </c>
      <c r="D258" s="159" t="s">
        <v>7</v>
      </c>
      <c r="E258" s="159" t="s">
        <v>6</v>
      </c>
      <c r="F258" s="159" t="s">
        <v>294</v>
      </c>
      <c r="G258" s="132">
        <v>108.13</v>
      </c>
      <c r="H258" s="133">
        <v>1350</v>
      </c>
      <c r="I258" s="159" t="str">
        <f t="shared" si="16"/>
        <v>OK</v>
      </c>
      <c r="J258" s="180" t="str">
        <f t="shared" si="17"/>
        <v/>
      </c>
    </row>
    <row r="259" spans="1:10" ht="24" customHeight="1">
      <c r="A259" s="172" t="s">
        <v>305</v>
      </c>
      <c r="B259" s="158">
        <v>45778</v>
      </c>
      <c r="C259" s="158">
        <v>46142</v>
      </c>
      <c r="D259" s="159" t="s">
        <v>7</v>
      </c>
      <c r="E259" s="159" t="s">
        <v>6</v>
      </c>
      <c r="F259" s="159" t="s">
        <v>294</v>
      </c>
      <c r="G259" s="132">
        <v>103.8</v>
      </c>
      <c r="H259" s="133">
        <v>1296</v>
      </c>
      <c r="I259" s="159" t="str">
        <f t="shared" si="16"/>
        <v>OK</v>
      </c>
      <c r="J259" s="180" t="str">
        <f t="shared" si="17"/>
        <v/>
      </c>
    </row>
    <row r="260" spans="1:10" ht="24" customHeight="1">
      <c r="A260" s="172" t="s">
        <v>305</v>
      </c>
      <c r="B260" s="158">
        <v>45778</v>
      </c>
      <c r="C260" s="158">
        <v>46142</v>
      </c>
      <c r="D260" s="159" t="s">
        <v>7</v>
      </c>
      <c r="E260" s="159" t="s">
        <v>6</v>
      </c>
      <c r="F260" s="159" t="s">
        <v>294</v>
      </c>
      <c r="G260" s="132">
        <v>86.5</v>
      </c>
      <c r="H260" s="133">
        <v>1080</v>
      </c>
      <c r="I260" s="159" t="str">
        <f t="shared" si="16"/>
        <v>OK</v>
      </c>
      <c r="J260" s="180" t="str">
        <f t="shared" si="17"/>
        <v/>
      </c>
    </row>
    <row r="261" spans="1:10" ht="24" customHeight="1">
      <c r="A261" s="172" t="s">
        <v>305</v>
      </c>
      <c r="B261" s="158">
        <v>45778</v>
      </c>
      <c r="C261" s="158">
        <v>46142</v>
      </c>
      <c r="D261" s="159" t="s">
        <v>7</v>
      </c>
      <c r="E261" s="159" t="s">
        <v>6</v>
      </c>
      <c r="F261" s="159" t="s">
        <v>294</v>
      </c>
      <c r="G261" s="132">
        <v>69.2</v>
      </c>
      <c r="H261" s="133">
        <v>864</v>
      </c>
      <c r="I261" s="159" t="str">
        <f t="shared" si="16"/>
        <v>OK</v>
      </c>
      <c r="J261" s="180" t="str">
        <f t="shared" si="17"/>
        <v/>
      </c>
    </row>
    <row r="262" spans="1:10" ht="24" customHeight="1">
      <c r="A262" s="172" t="s">
        <v>305</v>
      </c>
      <c r="B262" s="158">
        <v>45778</v>
      </c>
      <c r="C262" s="158">
        <v>46142</v>
      </c>
      <c r="D262" s="159" t="s">
        <v>7</v>
      </c>
      <c r="E262" s="159" t="s">
        <v>6</v>
      </c>
      <c r="F262" s="159" t="s">
        <v>294</v>
      </c>
      <c r="G262" s="132">
        <v>51.9</v>
      </c>
      <c r="H262" s="133">
        <v>648</v>
      </c>
      <c r="I262" s="159" t="str">
        <f t="shared" si="16"/>
        <v>OK</v>
      </c>
      <c r="J262" s="180" t="str">
        <f t="shared" si="17"/>
        <v/>
      </c>
    </row>
    <row r="263" spans="1:10" ht="24" customHeight="1">
      <c r="A263" s="172" t="s">
        <v>305</v>
      </c>
      <c r="B263" s="158">
        <v>45778</v>
      </c>
      <c r="C263" s="158">
        <v>46142</v>
      </c>
      <c r="D263" s="159" t="s">
        <v>7</v>
      </c>
      <c r="E263" s="159" t="s">
        <v>6</v>
      </c>
      <c r="F263" s="159" t="s">
        <v>294</v>
      </c>
      <c r="G263" s="132">
        <v>47.58</v>
      </c>
      <c r="H263" s="133">
        <v>594</v>
      </c>
      <c r="I263" s="159" t="str">
        <f t="shared" si="16"/>
        <v>OK</v>
      </c>
      <c r="J263" s="180" t="str">
        <f t="shared" si="17"/>
        <v/>
      </c>
    </row>
    <row r="264" spans="1:10" ht="24" customHeight="1">
      <c r="A264" s="172" t="s">
        <v>305</v>
      </c>
      <c r="B264" s="158">
        <v>45778</v>
      </c>
      <c r="C264" s="158">
        <v>46142</v>
      </c>
      <c r="D264" s="159" t="s">
        <v>7</v>
      </c>
      <c r="E264" s="159" t="s">
        <v>6</v>
      </c>
      <c r="F264" s="159" t="s">
        <v>294</v>
      </c>
      <c r="G264" s="132">
        <v>43.25</v>
      </c>
      <c r="H264" s="133">
        <v>540</v>
      </c>
      <c r="I264" s="159" t="str">
        <f t="shared" si="16"/>
        <v>OK</v>
      </c>
      <c r="J264" s="180" t="str">
        <f t="shared" si="17"/>
        <v/>
      </c>
    </row>
    <row r="265" spans="1:10" ht="24" customHeight="1">
      <c r="A265" s="172" t="s">
        <v>305</v>
      </c>
      <c r="B265" s="158">
        <v>45778</v>
      </c>
      <c r="C265" s="158">
        <v>46142</v>
      </c>
      <c r="D265" s="159" t="s">
        <v>7</v>
      </c>
      <c r="E265" s="159" t="s">
        <v>6</v>
      </c>
      <c r="F265" s="159" t="s">
        <v>294</v>
      </c>
      <c r="G265" s="132">
        <v>34.6</v>
      </c>
      <c r="H265" s="133">
        <v>432</v>
      </c>
      <c r="I265" s="159" t="str">
        <f t="shared" si="16"/>
        <v>OK</v>
      </c>
      <c r="J265" s="180" t="str">
        <f t="shared" si="17"/>
        <v/>
      </c>
    </row>
    <row r="266" spans="1:10" ht="24" customHeight="1" thickBot="1">
      <c r="A266" s="172" t="s">
        <v>305</v>
      </c>
      <c r="B266" s="158">
        <v>45778</v>
      </c>
      <c r="C266" s="158">
        <v>46142</v>
      </c>
      <c r="D266" s="159" t="s">
        <v>7</v>
      </c>
      <c r="E266" s="159" t="s">
        <v>6</v>
      </c>
      <c r="F266" s="159" t="s">
        <v>294</v>
      </c>
      <c r="G266" s="132">
        <v>32.01</v>
      </c>
      <c r="H266" s="133">
        <v>399.6</v>
      </c>
      <c r="I266" s="159" t="str">
        <f t="shared" si="16"/>
        <v>OK</v>
      </c>
      <c r="J266" s="180" t="str">
        <f t="shared" si="17"/>
        <v/>
      </c>
    </row>
    <row r="267" spans="1:10" ht="24" customHeight="1">
      <c r="A267" s="171" t="s">
        <v>305</v>
      </c>
      <c r="B267" s="156">
        <v>45778</v>
      </c>
      <c r="C267" s="156">
        <v>46142</v>
      </c>
      <c r="D267" s="157" t="s">
        <v>8</v>
      </c>
      <c r="E267" s="157" t="s">
        <v>6</v>
      </c>
      <c r="F267" s="157" t="s">
        <v>295</v>
      </c>
      <c r="G267" s="130">
        <v>173</v>
      </c>
      <c r="H267" s="131">
        <v>2163</v>
      </c>
      <c r="I267" s="157" t="str">
        <f t="shared" si="16"/>
        <v>OK</v>
      </c>
      <c r="J267" s="179" t="str">
        <f t="shared" si="17"/>
        <v/>
      </c>
    </row>
    <row r="268" spans="1:10" ht="24" customHeight="1">
      <c r="A268" s="172" t="s">
        <v>305</v>
      </c>
      <c r="B268" s="158">
        <v>45778</v>
      </c>
      <c r="C268" s="158">
        <v>46142</v>
      </c>
      <c r="D268" s="159" t="s">
        <v>8</v>
      </c>
      <c r="E268" s="159" t="s">
        <v>6</v>
      </c>
      <c r="F268" s="159" t="s">
        <v>295</v>
      </c>
      <c r="G268" s="132">
        <v>151.38</v>
      </c>
      <c r="H268" s="133">
        <v>1892.63</v>
      </c>
      <c r="I268" s="159" t="str">
        <f t="shared" si="16"/>
        <v>OK</v>
      </c>
      <c r="J268" s="180" t="str">
        <f t="shared" si="17"/>
        <v/>
      </c>
    </row>
    <row r="269" spans="1:10" ht="24" customHeight="1">
      <c r="A269" s="172" t="s">
        <v>305</v>
      </c>
      <c r="B269" s="158">
        <v>45778</v>
      </c>
      <c r="C269" s="158">
        <v>46142</v>
      </c>
      <c r="D269" s="159" t="s">
        <v>8</v>
      </c>
      <c r="E269" s="159" t="s">
        <v>6</v>
      </c>
      <c r="F269" s="159" t="s">
        <v>295</v>
      </c>
      <c r="G269" s="132">
        <v>138.4</v>
      </c>
      <c r="H269" s="133">
        <v>1730.4</v>
      </c>
      <c r="I269" s="159" t="str">
        <f t="shared" si="16"/>
        <v>OK</v>
      </c>
      <c r="J269" s="180" t="str">
        <f t="shared" si="17"/>
        <v/>
      </c>
    </row>
    <row r="270" spans="1:10" ht="24" customHeight="1">
      <c r="A270" s="172" t="s">
        <v>305</v>
      </c>
      <c r="B270" s="158">
        <v>45778</v>
      </c>
      <c r="C270" s="158">
        <v>46142</v>
      </c>
      <c r="D270" s="159" t="s">
        <v>8</v>
      </c>
      <c r="E270" s="159" t="s">
        <v>6</v>
      </c>
      <c r="F270" s="159" t="s">
        <v>295</v>
      </c>
      <c r="G270" s="132">
        <v>129.75</v>
      </c>
      <c r="H270" s="133">
        <v>1622.25</v>
      </c>
      <c r="I270" s="159" t="str">
        <f t="shared" si="16"/>
        <v>OK</v>
      </c>
      <c r="J270" s="180" t="str">
        <f t="shared" si="17"/>
        <v/>
      </c>
    </row>
    <row r="271" spans="1:10" ht="24" customHeight="1">
      <c r="A271" s="172" t="s">
        <v>305</v>
      </c>
      <c r="B271" s="158">
        <v>45778</v>
      </c>
      <c r="C271" s="158">
        <v>46142</v>
      </c>
      <c r="D271" s="159" t="s">
        <v>8</v>
      </c>
      <c r="E271" s="159" t="s">
        <v>6</v>
      </c>
      <c r="F271" s="159" t="s">
        <v>295</v>
      </c>
      <c r="G271" s="132">
        <v>108.13</v>
      </c>
      <c r="H271" s="133">
        <v>1351.88</v>
      </c>
      <c r="I271" s="159" t="str">
        <f t="shared" si="16"/>
        <v>OK</v>
      </c>
      <c r="J271" s="180" t="str">
        <f t="shared" si="17"/>
        <v/>
      </c>
    </row>
    <row r="272" spans="1:10" ht="24" customHeight="1">
      <c r="A272" s="172" t="s">
        <v>305</v>
      </c>
      <c r="B272" s="158">
        <v>45778</v>
      </c>
      <c r="C272" s="158">
        <v>46142</v>
      </c>
      <c r="D272" s="159" t="s">
        <v>8</v>
      </c>
      <c r="E272" s="159" t="s">
        <v>6</v>
      </c>
      <c r="F272" s="159" t="s">
        <v>295</v>
      </c>
      <c r="G272" s="132">
        <v>103.8</v>
      </c>
      <c r="H272" s="133">
        <v>1297.8</v>
      </c>
      <c r="I272" s="159" t="str">
        <f t="shared" si="16"/>
        <v>OK</v>
      </c>
      <c r="J272" s="180" t="str">
        <f t="shared" si="17"/>
        <v/>
      </c>
    </row>
    <row r="273" spans="1:10" ht="24" customHeight="1">
      <c r="A273" s="172" t="s">
        <v>305</v>
      </c>
      <c r="B273" s="158">
        <v>45778</v>
      </c>
      <c r="C273" s="158">
        <v>46142</v>
      </c>
      <c r="D273" s="159" t="s">
        <v>8</v>
      </c>
      <c r="E273" s="159" t="s">
        <v>6</v>
      </c>
      <c r="F273" s="159" t="s">
        <v>295</v>
      </c>
      <c r="G273" s="132">
        <v>86.5</v>
      </c>
      <c r="H273" s="133">
        <v>1081.5</v>
      </c>
      <c r="I273" s="159" t="str">
        <f t="shared" si="16"/>
        <v>OK</v>
      </c>
      <c r="J273" s="180" t="str">
        <f t="shared" si="17"/>
        <v/>
      </c>
    </row>
    <row r="274" spans="1:10" ht="24" customHeight="1">
      <c r="A274" s="172" t="s">
        <v>305</v>
      </c>
      <c r="B274" s="158">
        <v>45778</v>
      </c>
      <c r="C274" s="158">
        <v>46142</v>
      </c>
      <c r="D274" s="159" t="s">
        <v>8</v>
      </c>
      <c r="E274" s="159" t="s">
        <v>6</v>
      </c>
      <c r="F274" s="159" t="s">
        <v>295</v>
      </c>
      <c r="G274" s="132">
        <v>69.2</v>
      </c>
      <c r="H274" s="133">
        <v>865.2</v>
      </c>
      <c r="I274" s="159" t="str">
        <f t="shared" si="16"/>
        <v>OK</v>
      </c>
      <c r="J274" s="180" t="str">
        <f t="shared" si="17"/>
        <v/>
      </c>
    </row>
    <row r="275" spans="1:10" ht="24" customHeight="1">
      <c r="A275" s="172" t="s">
        <v>305</v>
      </c>
      <c r="B275" s="158">
        <v>45778</v>
      </c>
      <c r="C275" s="158">
        <v>46142</v>
      </c>
      <c r="D275" s="159" t="s">
        <v>8</v>
      </c>
      <c r="E275" s="159" t="s">
        <v>6</v>
      </c>
      <c r="F275" s="159" t="s">
        <v>295</v>
      </c>
      <c r="G275" s="132">
        <v>51.9</v>
      </c>
      <c r="H275" s="133">
        <v>648.9</v>
      </c>
      <c r="I275" s="159" t="str">
        <f t="shared" si="16"/>
        <v>OK</v>
      </c>
      <c r="J275" s="180" t="str">
        <f t="shared" si="17"/>
        <v/>
      </c>
    </row>
    <row r="276" spans="1:10" ht="24" customHeight="1">
      <c r="A276" s="172" t="s">
        <v>305</v>
      </c>
      <c r="B276" s="158">
        <v>45778</v>
      </c>
      <c r="C276" s="158">
        <v>46142</v>
      </c>
      <c r="D276" s="159" t="s">
        <v>8</v>
      </c>
      <c r="E276" s="159" t="s">
        <v>6</v>
      </c>
      <c r="F276" s="159" t="s">
        <v>295</v>
      </c>
      <c r="G276" s="132">
        <v>47.58</v>
      </c>
      <c r="H276" s="133">
        <v>594.83000000000004</v>
      </c>
      <c r="I276" s="159" t="str">
        <f t="shared" si="16"/>
        <v>OK</v>
      </c>
      <c r="J276" s="180" t="str">
        <f t="shared" si="17"/>
        <v/>
      </c>
    </row>
    <row r="277" spans="1:10" ht="24" customHeight="1">
      <c r="A277" s="172" t="s">
        <v>305</v>
      </c>
      <c r="B277" s="158">
        <v>45778</v>
      </c>
      <c r="C277" s="158">
        <v>46142</v>
      </c>
      <c r="D277" s="159" t="s">
        <v>8</v>
      </c>
      <c r="E277" s="159" t="s">
        <v>6</v>
      </c>
      <c r="F277" s="159" t="s">
        <v>295</v>
      </c>
      <c r="G277" s="132">
        <v>43.25</v>
      </c>
      <c r="H277" s="133">
        <v>540.75</v>
      </c>
      <c r="I277" s="159" t="str">
        <f t="shared" si="16"/>
        <v>OK</v>
      </c>
      <c r="J277" s="180" t="str">
        <f t="shared" si="17"/>
        <v/>
      </c>
    </row>
    <row r="278" spans="1:10" ht="24" customHeight="1">
      <c r="A278" s="172" t="s">
        <v>305</v>
      </c>
      <c r="B278" s="158">
        <v>45778</v>
      </c>
      <c r="C278" s="158">
        <v>46142</v>
      </c>
      <c r="D278" s="159" t="s">
        <v>8</v>
      </c>
      <c r="E278" s="159" t="s">
        <v>6</v>
      </c>
      <c r="F278" s="159" t="s">
        <v>295</v>
      </c>
      <c r="G278" s="132">
        <v>34.6</v>
      </c>
      <c r="H278" s="133">
        <v>432.6</v>
      </c>
      <c r="I278" s="159" t="str">
        <f t="shared" si="16"/>
        <v>OK</v>
      </c>
      <c r="J278" s="180" t="str">
        <f t="shared" si="17"/>
        <v/>
      </c>
    </row>
    <row r="279" spans="1:10" ht="24" customHeight="1" thickBot="1">
      <c r="A279" s="172" t="s">
        <v>305</v>
      </c>
      <c r="B279" s="158">
        <v>45778</v>
      </c>
      <c r="C279" s="158">
        <v>46142</v>
      </c>
      <c r="D279" s="159" t="s">
        <v>8</v>
      </c>
      <c r="E279" s="159" t="s">
        <v>6</v>
      </c>
      <c r="F279" s="159" t="s">
        <v>295</v>
      </c>
      <c r="G279" s="132">
        <v>32.01</v>
      </c>
      <c r="H279" s="133">
        <v>400.16</v>
      </c>
      <c r="I279" s="159" t="str">
        <f t="shared" si="16"/>
        <v>OK</v>
      </c>
      <c r="J279" s="180" t="str">
        <f t="shared" si="17"/>
        <v/>
      </c>
    </row>
    <row r="280" spans="1:10" ht="24" customHeight="1">
      <c r="A280" s="171" t="s">
        <v>305</v>
      </c>
      <c r="B280" s="156">
        <v>45778</v>
      </c>
      <c r="C280" s="156">
        <v>46142</v>
      </c>
      <c r="D280" s="157" t="s">
        <v>9</v>
      </c>
      <c r="E280" s="157" t="s">
        <v>6</v>
      </c>
      <c r="F280" s="157" t="s">
        <v>296</v>
      </c>
      <c r="G280" s="130">
        <v>173</v>
      </c>
      <c r="H280" s="131">
        <v>2225</v>
      </c>
      <c r="I280" s="157" t="str">
        <f t="shared" si="16"/>
        <v>OK</v>
      </c>
      <c r="J280" s="179" t="str">
        <f t="shared" si="17"/>
        <v/>
      </c>
    </row>
    <row r="281" spans="1:10" ht="24" customHeight="1">
      <c r="A281" s="172" t="s">
        <v>305</v>
      </c>
      <c r="B281" s="158">
        <v>45778</v>
      </c>
      <c r="C281" s="158">
        <v>46142</v>
      </c>
      <c r="D281" s="159" t="s">
        <v>9</v>
      </c>
      <c r="E281" s="159" t="s">
        <v>6</v>
      </c>
      <c r="F281" s="159" t="s">
        <v>296</v>
      </c>
      <c r="G281" s="132">
        <v>151.38</v>
      </c>
      <c r="H281" s="133">
        <v>1946.88</v>
      </c>
      <c r="I281" s="159" t="str">
        <f t="shared" si="16"/>
        <v>OK</v>
      </c>
      <c r="J281" s="180" t="str">
        <f t="shared" si="17"/>
        <v/>
      </c>
    </row>
    <row r="282" spans="1:10" ht="24" customHeight="1">
      <c r="A282" s="172" t="s">
        <v>305</v>
      </c>
      <c r="B282" s="158">
        <v>45778</v>
      </c>
      <c r="C282" s="158">
        <v>46142</v>
      </c>
      <c r="D282" s="159" t="s">
        <v>9</v>
      </c>
      <c r="E282" s="159" t="s">
        <v>6</v>
      </c>
      <c r="F282" s="159" t="s">
        <v>296</v>
      </c>
      <c r="G282" s="132">
        <v>138.4</v>
      </c>
      <c r="H282" s="133">
        <v>1780</v>
      </c>
      <c r="I282" s="15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80" t="str">
        <f t="shared" ref="J282:J313" si="19">IF($G282="","",IF(COUNTIFS($A:$A,$A282,$D:$D,$D282,$G:$G,$G282)&gt;1,"Doppelte Monatsstunden",""))</f>
        <v/>
      </c>
    </row>
    <row r="283" spans="1:10" ht="24" customHeight="1">
      <c r="A283" s="172" t="s">
        <v>305</v>
      </c>
      <c r="B283" s="158">
        <v>45778</v>
      </c>
      <c r="C283" s="158">
        <v>46142</v>
      </c>
      <c r="D283" s="159" t="s">
        <v>9</v>
      </c>
      <c r="E283" s="159" t="s">
        <v>6</v>
      </c>
      <c r="F283" s="159" t="s">
        <v>296</v>
      </c>
      <c r="G283" s="132">
        <v>129.75</v>
      </c>
      <c r="H283" s="133">
        <v>1668.75</v>
      </c>
      <c r="I283" s="159" t="str">
        <f t="shared" si="18"/>
        <v>OK</v>
      </c>
      <c r="J283" s="180" t="str">
        <f t="shared" si="19"/>
        <v/>
      </c>
    </row>
    <row r="284" spans="1:10" ht="24" customHeight="1">
      <c r="A284" s="172" t="s">
        <v>305</v>
      </c>
      <c r="B284" s="158">
        <v>45778</v>
      </c>
      <c r="C284" s="158">
        <v>46142</v>
      </c>
      <c r="D284" s="159" t="s">
        <v>9</v>
      </c>
      <c r="E284" s="159" t="s">
        <v>6</v>
      </c>
      <c r="F284" s="159" t="s">
        <v>296</v>
      </c>
      <c r="G284" s="132">
        <v>108.13</v>
      </c>
      <c r="H284" s="133">
        <v>1390.63</v>
      </c>
      <c r="I284" s="159" t="str">
        <f t="shared" si="18"/>
        <v>OK</v>
      </c>
      <c r="J284" s="180" t="str">
        <f t="shared" si="19"/>
        <v/>
      </c>
    </row>
    <row r="285" spans="1:10" ht="24" customHeight="1">
      <c r="A285" s="172" t="s">
        <v>305</v>
      </c>
      <c r="B285" s="158">
        <v>45778</v>
      </c>
      <c r="C285" s="158">
        <v>46142</v>
      </c>
      <c r="D285" s="159" t="s">
        <v>9</v>
      </c>
      <c r="E285" s="159" t="s">
        <v>6</v>
      </c>
      <c r="F285" s="159" t="s">
        <v>296</v>
      </c>
      <c r="G285" s="132">
        <v>103.8</v>
      </c>
      <c r="H285" s="133">
        <v>1335</v>
      </c>
      <c r="I285" s="159" t="str">
        <f t="shared" si="18"/>
        <v>OK</v>
      </c>
      <c r="J285" s="180" t="str">
        <f t="shared" si="19"/>
        <v/>
      </c>
    </row>
    <row r="286" spans="1:10" ht="24" customHeight="1">
      <c r="A286" s="172" t="s">
        <v>305</v>
      </c>
      <c r="B286" s="158">
        <v>45778</v>
      </c>
      <c r="C286" s="158">
        <v>46142</v>
      </c>
      <c r="D286" s="159" t="s">
        <v>9</v>
      </c>
      <c r="E286" s="159" t="s">
        <v>6</v>
      </c>
      <c r="F286" s="159" t="s">
        <v>296</v>
      </c>
      <c r="G286" s="132">
        <v>86.5</v>
      </c>
      <c r="H286" s="133">
        <v>1112.5</v>
      </c>
      <c r="I286" s="159" t="str">
        <f t="shared" si="18"/>
        <v>OK</v>
      </c>
      <c r="J286" s="180" t="str">
        <f t="shared" si="19"/>
        <v/>
      </c>
    </row>
    <row r="287" spans="1:10" ht="24" customHeight="1">
      <c r="A287" s="172" t="s">
        <v>305</v>
      </c>
      <c r="B287" s="158">
        <v>45778</v>
      </c>
      <c r="C287" s="158">
        <v>46142</v>
      </c>
      <c r="D287" s="159" t="s">
        <v>9</v>
      </c>
      <c r="E287" s="159" t="s">
        <v>6</v>
      </c>
      <c r="F287" s="159" t="s">
        <v>296</v>
      </c>
      <c r="G287" s="132">
        <v>69.2</v>
      </c>
      <c r="H287" s="133">
        <v>890</v>
      </c>
      <c r="I287" s="159" t="str">
        <f t="shared" si="18"/>
        <v>OK</v>
      </c>
      <c r="J287" s="180" t="str">
        <f t="shared" si="19"/>
        <v/>
      </c>
    </row>
    <row r="288" spans="1:10" ht="24" customHeight="1">
      <c r="A288" s="172" t="s">
        <v>305</v>
      </c>
      <c r="B288" s="158">
        <v>45778</v>
      </c>
      <c r="C288" s="158">
        <v>46142</v>
      </c>
      <c r="D288" s="159" t="s">
        <v>9</v>
      </c>
      <c r="E288" s="159" t="s">
        <v>6</v>
      </c>
      <c r="F288" s="159" t="s">
        <v>296</v>
      </c>
      <c r="G288" s="132">
        <v>51.9</v>
      </c>
      <c r="H288" s="133">
        <v>667.5</v>
      </c>
      <c r="I288" s="159" t="str">
        <f t="shared" si="18"/>
        <v>OK</v>
      </c>
      <c r="J288" s="180" t="str">
        <f t="shared" si="19"/>
        <v/>
      </c>
    </row>
    <row r="289" spans="1:10" ht="24" customHeight="1">
      <c r="A289" s="172" t="s">
        <v>305</v>
      </c>
      <c r="B289" s="158">
        <v>45778</v>
      </c>
      <c r="C289" s="158">
        <v>46142</v>
      </c>
      <c r="D289" s="159" t="s">
        <v>9</v>
      </c>
      <c r="E289" s="159" t="s">
        <v>6</v>
      </c>
      <c r="F289" s="159" t="s">
        <v>296</v>
      </c>
      <c r="G289" s="132">
        <v>47.58</v>
      </c>
      <c r="H289" s="133">
        <v>611.88</v>
      </c>
      <c r="I289" s="159" t="str">
        <f t="shared" si="18"/>
        <v>OK</v>
      </c>
      <c r="J289" s="180" t="str">
        <f t="shared" si="19"/>
        <v/>
      </c>
    </row>
    <row r="290" spans="1:10" ht="24" customHeight="1">
      <c r="A290" s="172" t="s">
        <v>305</v>
      </c>
      <c r="B290" s="158">
        <v>45778</v>
      </c>
      <c r="C290" s="158">
        <v>46142</v>
      </c>
      <c r="D290" s="159" t="s">
        <v>9</v>
      </c>
      <c r="E290" s="159" t="s">
        <v>6</v>
      </c>
      <c r="F290" s="159" t="s">
        <v>296</v>
      </c>
      <c r="G290" s="132">
        <v>43.25</v>
      </c>
      <c r="H290" s="133">
        <v>556.25</v>
      </c>
      <c r="I290" s="159" t="str">
        <f t="shared" si="18"/>
        <v>OK</v>
      </c>
      <c r="J290" s="180" t="str">
        <f t="shared" si="19"/>
        <v/>
      </c>
    </row>
    <row r="291" spans="1:10" ht="24" customHeight="1">
      <c r="A291" s="172" t="s">
        <v>305</v>
      </c>
      <c r="B291" s="158">
        <v>45778</v>
      </c>
      <c r="C291" s="158">
        <v>46142</v>
      </c>
      <c r="D291" s="159" t="s">
        <v>9</v>
      </c>
      <c r="E291" s="159" t="s">
        <v>6</v>
      </c>
      <c r="F291" s="159" t="s">
        <v>296</v>
      </c>
      <c r="G291" s="132">
        <v>34.6</v>
      </c>
      <c r="H291" s="133">
        <v>445</v>
      </c>
      <c r="I291" s="159" t="str">
        <f t="shared" si="18"/>
        <v>OK</v>
      </c>
      <c r="J291" s="180" t="str">
        <f t="shared" si="19"/>
        <v/>
      </c>
    </row>
    <row r="292" spans="1:10" ht="24" customHeight="1" thickBot="1">
      <c r="A292" s="172" t="s">
        <v>305</v>
      </c>
      <c r="B292" s="158">
        <v>45778</v>
      </c>
      <c r="C292" s="158">
        <v>46142</v>
      </c>
      <c r="D292" s="159" t="s">
        <v>9</v>
      </c>
      <c r="E292" s="159" t="s">
        <v>6</v>
      </c>
      <c r="F292" s="159" t="s">
        <v>296</v>
      </c>
      <c r="G292" s="132">
        <v>32.01</v>
      </c>
      <c r="H292" s="133">
        <v>411.63</v>
      </c>
      <c r="I292" s="159" t="str">
        <f t="shared" si="18"/>
        <v>OK</v>
      </c>
      <c r="J292" s="180" t="str">
        <f t="shared" si="19"/>
        <v/>
      </c>
    </row>
    <row r="293" spans="1:10" ht="24" customHeight="1">
      <c r="A293" s="173" t="s">
        <v>305</v>
      </c>
      <c r="B293" s="164">
        <v>45778</v>
      </c>
      <c r="C293" s="164">
        <v>46142</v>
      </c>
      <c r="D293" s="165" t="s">
        <v>304</v>
      </c>
      <c r="E293" s="165" t="s">
        <v>10</v>
      </c>
      <c r="F293" s="165" t="s">
        <v>293</v>
      </c>
      <c r="G293" s="134">
        <v>173</v>
      </c>
      <c r="H293" s="135">
        <v>2300</v>
      </c>
      <c r="I293" s="165" t="str">
        <f t="shared" si="18"/>
        <v>OK</v>
      </c>
      <c r="J293" s="181" t="str">
        <f t="shared" si="19"/>
        <v/>
      </c>
    </row>
    <row r="294" spans="1:10" ht="24" customHeight="1">
      <c r="A294" s="174" t="s">
        <v>305</v>
      </c>
      <c r="B294" s="166">
        <v>45778</v>
      </c>
      <c r="C294" s="166">
        <v>46142</v>
      </c>
      <c r="D294" s="167" t="s">
        <v>304</v>
      </c>
      <c r="E294" s="167" t="s">
        <v>10</v>
      </c>
      <c r="F294" s="167" t="s">
        <v>293</v>
      </c>
      <c r="G294" s="136">
        <v>151.38</v>
      </c>
      <c r="H294" s="137">
        <v>2012.5</v>
      </c>
      <c r="I294" s="167" t="str">
        <f t="shared" si="18"/>
        <v>OK</v>
      </c>
      <c r="J294" s="182" t="str">
        <f t="shared" si="19"/>
        <v/>
      </c>
    </row>
    <row r="295" spans="1:10" ht="24" customHeight="1">
      <c r="A295" s="174" t="s">
        <v>305</v>
      </c>
      <c r="B295" s="166">
        <v>45778</v>
      </c>
      <c r="C295" s="166">
        <v>46142</v>
      </c>
      <c r="D295" s="167" t="s">
        <v>304</v>
      </c>
      <c r="E295" s="167" t="s">
        <v>10</v>
      </c>
      <c r="F295" s="167" t="s">
        <v>293</v>
      </c>
      <c r="G295" s="136">
        <v>138.4</v>
      </c>
      <c r="H295" s="137">
        <v>1840</v>
      </c>
      <c r="I295" s="167" t="str">
        <f t="shared" si="18"/>
        <v>OK</v>
      </c>
      <c r="J295" s="182" t="str">
        <f t="shared" si="19"/>
        <v/>
      </c>
    </row>
    <row r="296" spans="1:10" ht="24" customHeight="1">
      <c r="A296" s="174" t="s">
        <v>305</v>
      </c>
      <c r="B296" s="166">
        <v>45778</v>
      </c>
      <c r="C296" s="166">
        <v>46142</v>
      </c>
      <c r="D296" s="167" t="s">
        <v>304</v>
      </c>
      <c r="E296" s="167" t="s">
        <v>10</v>
      </c>
      <c r="F296" s="167" t="s">
        <v>293</v>
      </c>
      <c r="G296" s="136">
        <v>129.75</v>
      </c>
      <c r="H296" s="137">
        <v>1725</v>
      </c>
      <c r="I296" s="167" t="str">
        <f t="shared" si="18"/>
        <v>OK</v>
      </c>
      <c r="J296" s="182" t="str">
        <f t="shared" si="19"/>
        <v/>
      </c>
    </row>
    <row r="297" spans="1:10" ht="24" customHeight="1">
      <c r="A297" s="174" t="s">
        <v>305</v>
      </c>
      <c r="B297" s="166">
        <v>45778</v>
      </c>
      <c r="C297" s="166">
        <v>46142</v>
      </c>
      <c r="D297" s="167" t="s">
        <v>304</v>
      </c>
      <c r="E297" s="167" t="s">
        <v>10</v>
      </c>
      <c r="F297" s="167" t="s">
        <v>293</v>
      </c>
      <c r="G297" s="136">
        <v>108.13</v>
      </c>
      <c r="H297" s="137">
        <v>1437.5</v>
      </c>
      <c r="I297" s="167" t="str">
        <f t="shared" si="18"/>
        <v>OK</v>
      </c>
      <c r="J297" s="182" t="str">
        <f t="shared" si="19"/>
        <v/>
      </c>
    </row>
    <row r="298" spans="1:10" ht="24" customHeight="1">
      <c r="A298" s="174" t="s">
        <v>305</v>
      </c>
      <c r="B298" s="166">
        <v>45778</v>
      </c>
      <c r="C298" s="166">
        <v>46142</v>
      </c>
      <c r="D298" s="167" t="s">
        <v>304</v>
      </c>
      <c r="E298" s="167" t="s">
        <v>10</v>
      </c>
      <c r="F298" s="167" t="s">
        <v>293</v>
      </c>
      <c r="G298" s="136">
        <v>103.8</v>
      </c>
      <c r="H298" s="137">
        <v>1380</v>
      </c>
      <c r="I298" s="167" t="str">
        <f t="shared" si="18"/>
        <v>OK</v>
      </c>
      <c r="J298" s="182" t="str">
        <f t="shared" si="19"/>
        <v/>
      </c>
    </row>
    <row r="299" spans="1:10" ht="24" customHeight="1">
      <c r="A299" s="174" t="s">
        <v>305</v>
      </c>
      <c r="B299" s="166">
        <v>45778</v>
      </c>
      <c r="C299" s="166">
        <v>46142</v>
      </c>
      <c r="D299" s="167" t="s">
        <v>304</v>
      </c>
      <c r="E299" s="167" t="s">
        <v>10</v>
      </c>
      <c r="F299" s="167" t="s">
        <v>293</v>
      </c>
      <c r="G299" s="136">
        <v>86.5</v>
      </c>
      <c r="H299" s="137">
        <v>1150</v>
      </c>
      <c r="I299" s="167" t="str">
        <f t="shared" si="18"/>
        <v>OK</v>
      </c>
      <c r="J299" s="182" t="str">
        <f t="shared" si="19"/>
        <v/>
      </c>
    </row>
    <row r="300" spans="1:10" ht="24" customHeight="1">
      <c r="A300" s="174" t="s">
        <v>305</v>
      </c>
      <c r="B300" s="166">
        <v>45778</v>
      </c>
      <c r="C300" s="166">
        <v>46142</v>
      </c>
      <c r="D300" s="167" t="s">
        <v>304</v>
      </c>
      <c r="E300" s="167" t="s">
        <v>10</v>
      </c>
      <c r="F300" s="167" t="s">
        <v>293</v>
      </c>
      <c r="G300" s="136">
        <v>69.2</v>
      </c>
      <c r="H300" s="137">
        <v>920</v>
      </c>
      <c r="I300" s="167" t="str">
        <f t="shared" si="18"/>
        <v>OK</v>
      </c>
      <c r="J300" s="182" t="str">
        <f t="shared" si="19"/>
        <v/>
      </c>
    </row>
    <row r="301" spans="1:10" ht="24" customHeight="1">
      <c r="A301" s="174" t="s">
        <v>305</v>
      </c>
      <c r="B301" s="166">
        <v>45778</v>
      </c>
      <c r="C301" s="166">
        <v>46142</v>
      </c>
      <c r="D301" s="167" t="s">
        <v>304</v>
      </c>
      <c r="E301" s="167" t="s">
        <v>10</v>
      </c>
      <c r="F301" s="167" t="s">
        <v>293</v>
      </c>
      <c r="G301" s="136">
        <v>51.9</v>
      </c>
      <c r="H301" s="137">
        <v>690</v>
      </c>
      <c r="I301" s="167" t="str">
        <f t="shared" si="18"/>
        <v>OK</v>
      </c>
      <c r="J301" s="182" t="str">
        <f t="shared" si="19"/>
        <v/>
      </c>
    </row>
    <row r="302" spans="1:10" ht="24" customHeight="1">
      <c r="A302" s="174" t="s">
        <v>305</v>
      </c>
      <c r="B302" s="166">
        <v>45778</v>
      </c>
      <c r="C302" s="166">
        <v>46142</v>
      </c>
      <c r="D302" s="167" t="s">
        <v>304</v>
      </c>
      <c r="E302" s="167" t="s">
        <v>10</v>
      </c>
      <c r="F302" s="167" t="s">
        <v>293</v>
      </c>
      <c r="G302" s="136">
        <v>47.58</v>
      </c>
      <c r="H302" s="137">
        <v>632.5</v>
      </c>
      <c r="I302" s="167" t="str">
        <f t="shared" si="18"/>
        <v>OK</v>
      </c>
      <c r="J302" s="182" t="str">
        <f t="shared" si="19"/>
        <v/>
      </c>
    </row>
    <row r="303" spans="1:10" ht="24" customHeight="1">
      <c r="A303" s="174" t="s">
        <v>305</v>
      </c>
      <c r="B303" s="166">
        <v>45778</v>
      </c>
      <c r="C303" s="166">
        <v>46142</v>
      </c>
      <c r="D303" s="167" t="s">
        <v>304</v>
      </c>
      <c r="E303" s="167" t="s">
        <v>10</v>
      </c>
      <c r="F303" s="167" t="s">
        <v>293</v>
      </c>
      <c r="G303" s="136">
        <v>43.25</v>
      </c>
      <c r="H303" s="137">
        <v>575</v>
      </c>
      <c r="I303" s="167" t="str">
        <f t="shared" si="18"/>
        <v>OK</v>
      </c>
      <c r="J303" s="182" t="str">
        <f t="shared" si="19"/>
        <v/>
      </c>
    </row>
    <row r="304" spans="1:10" ht="24" customHeight="1">
      <c r="A304" s="174" t="s">
        <v>305</v>
      </c>
      <c r="B304" s="166">
        <v>45778</v>
      </c>
      <c r="C304" s="166">
        <v>46142</v>
      </c>
      <c r="D304" s="167" t="s">
        <v>304</v>
      </c>
      <c r="E304" s="167" t="s">
        <v>10</v>
      </c>
      <c r="F304" s="167" t="s">
        <v>293</v>
      </c>
      <c r="G304" s="136">
        <v>34.6</v>
      </c>
      <c r="H304" s="137">
        <v>460</v>
      </c>
      <c r="I304" s="167" t="str">
        <f t="shared" si="18"/>
        <v>OK</v>
      </c>
      <c r="J304" s="182" t="str">
        <f t="shared" si="19"/>
        <v/>
      </c>
    </row>
    <row r="305" spans="1:10" ht="24" customHeight="1" thickBot="1">
      <c r="A305" s="174" t="s">
        <v>305</v>
      </c>
      <c r="B305" s="166">
        <v>45778</v>
      </c>
      <c r="C305" s="166">
        <v>46142</v>
      </c>
      <c r="D305" s="167" t="s">
        <v>304</v>
      </c>
      <c r="E305" s="167" t="s">
        <v>10</v>
      </c>
      <c r="F305" s="167" t="s">
        <v>293</v>
      </c>
      <c r="G305" s="136">
        <v>32.01</v>
      </c>
      <c r="H305" s="137">
        <v>425.5</v>
      </c>
      <c r="I305" s="167" t="str">
        <f t="shared" si="18"/>
        <v>OK</v>
      </c>
      <c r="J305" s="182" t="str">
        <f t="shared" si="19"/>
        <v/>
      </c>
    </row>
    <row r="306" spans="1:10" ht="24" customHeight="1">
      <c r="A306" s="173" t="s">
        <v>305</v>
      </c>
      <c r="B306" s="164">
        <v>45778</v>
      </c>
      <c r="C306" s="164">
        <v>46142</v>
      </c>
      <c r="D306" s="165" t="s">
        <v>11</v>
      </c>
      <c r="E306" s="165" t="s">
        <v>10</v>
      </c>
      <c r="F306" s="165" t="s">
        <v>294</v>
      </c>
      <c r="G306" s="134">
        <v>173</v>
      </c>
      <c r="H306" s="135">
        <v>2300</v>
      </c>
      <c r="I306" s="165" t="str">
        <f t="shared" si="18"/>
        <v>OK</v>
      </c>
      <c r="J306" s="181" t="str">
        <f t="shared" si="19"/>
        <v/>
      </c>
    </row>
    <row r="307" spans="1:10" ht="24" customHeight="1">
      <c r="A307" s="174" t="s">
        <v>305</v>
      </c>
      <c r="B307" s="166">
        <v>45778</v>
      </c>
      <c r="C307" s="166">
        <v>46142</v>
      </c>
      <c r="D307" s="167" t="s">
        <v>11</v>
      </c>
      <c r="E307" s="167" t="s">
        <v>10</v>
      </c>
      <c r="F307" s="167" t="s">
        <v>294</v>
      </c>
      <c r="G307" s="136">
        <v>151.38</v>
      </c>
      <c r="H307" s="137">
        <v>2012.5</v>
      </c>
      <c r="I307" s="167" t="str">
        <f t="shared" si="18"/>
        <v>OK</v>
      </c>
      <c r="J307" s="182" t="str">
        <f t="shared" si="19"/>
        <v/>
      </c>
    </row>
    <row r="308" spans="1:10" ht="24" customHeight="1">
      <c r="A308" s="174" t="s">
        <v>305</v>
      </c>
      <c r="B308" s="166">
        <v>45778</v>
      </c>
      <c r="C308" s="166">
        <v>46142</v>
      </c>
      <c r="D308" s="167" t="s">
        <v>11</v>
      </c>
      <c r="E308" s="167" t="s">
        <v>10</v>
      </c>
      <c r="F308" s="167" t="s">
        <v>294</v>
      </c>
      <c r="G308" s="136">
        <v>138.4</v>
      </c>
      <c r="H308" s="137">
        <v>1840</v>
      </c>
      <c r="I308" s="167" t="str">
        <f t="shared" si="18"/>
        <v>OK</v>
      </c>
      <c r="J308" s="182" t="str">
        <f t="shared" si="19"/>
        <v/>
      </c>
    </row>
    <row r="309" spans="1:10" ht="24" customHeight="1">
      <c r="A309" s="174" t="s">
        <v>305</v>
      </c>
      <c r="B309" s="166">
        <v>45778</v>
      </c>
      <c r="C309" s="166">
        <v>46142</v>
      </c>
      <c r="D309" s="167" t="s">
        <v>11</v>
      </c>
      <c r="E309" s="167" t="s">
        <v>10</v>
      </c>
      <c r="F309" s="167" t="s">
        <v>294</v>
      </c>
      <c r="G309" s="136">
        <v>129.75</v>
      </c>
      <c r="H309" s="137">
        <v>1725</v>
      </c>
      <c r="I309" s="167" t="str">
        <f t="shared" si="18"/>
        <v>OK</v>
      </c>
      <c r="J309" s="182" t="str">
        <f t="shared" si="19"/>
        <v/>
      </c>
    </row>
    <row r="310" spans="1:10" ht="24" customHeight="1">
      <c r="A310" s="174" t="s">
        <v>305</v>
      </c>
      <c r="B310" s="166">
        <v>45778</v>
      </c>
      <c r="C310" s="166">
        <v>46142</v>
      </c>
      <c r="D310" s="167" t="s">
        <v>11</v>
      </c>
      <c r="E310" s="167" t="s">
        <v>10</v>
      </c>
      <c r="F310" s="167" t="s">
        <v>294</v>
      </c>
      <c r="G310" s="136">
        <v>108.13</v>
      </c>
      <c r="H310" s="137">
        <v>1437.5</v>
      </c>
      <c r="I310" s="167" t="str">
        <f t="shared" si="18"/>
        <v>OK</v>
      </c>
      <c r="J310" s="182" t="str">
        <f t="shared" si="19"/>
        <v/>
      </c>
    </row>
    <row r="311" spans="1:10" ht="24" customHeight="1">
      <c r="A311" s="174" t="s">
        <v>305</v>
      </c>
      <c r="B311" s="166">
        <v>45778</v>
      </c>
      <c r="C311" s="166">
        <v>46142</v>
      </c>
      <c r="D311" s="167" t="s">
        <v>11</v>
      </c>
      <c r="E311" s="167" t="s">
        <v>10</v>
      </c>
      <c r="F311" s="167" t="s">
        <v>294</v>
      </c>
      <c r="G311" s="136">
        <v>103.8</v>
      </c>
      <c r="H311" s="137">
        <v>1380</v>
      </c>
      <c r="I311" s="167" t="str">
        <f t="shared" si="18"/>
        <v>OK</v>
      </c>
      <c r="J311" s="182" t="str">
        <f t="shared" si="19"/>
        <v/>
      </c>
    </row>
    <row r="312" spans="1:10" ht="24" customHeight="1">
      <c r="A312" s="174" t="s">
        <v>305</v>
      </c>
      <c r="B312" s="166">
        <v>45778</v>
      </c>
      <c r="C312" s="166">
        <v>46142</v>
      </c>
      <c r="D312" s="167" t="s">
        <v>11</v>
      </c>
      <c r="E312" s="167" t="s">
        <v>10</v>
      </c>
      <c r="F312" s="167" t="s">
        <v>294</v>
      </c>
      <c r="G312" s="136">
        <v>86.5</v>
      </c>
      <c r="H312" s="137">
        <v>1150</v>
      </c>
      <c r="I312" s="167" t="str">
        <f t="shared" si="18"/>
        <v>OK</v>
      </c>
      <c r="J312" s="182" t="str">
        <f t="shared" si="19"/>
        <v/>
      </c>
    </row>
    <row r="313" spans="1:10" ht="24" customHeight="1">
      <c r="A313" s="174" t="s">
        <v>305</v>
      </c>
      <c r="B313" s="166">
        <v>45778</v>
      </c>
      <c r="C313" s="166">
        <v>46142</v>
      </c>
      <c r="D313" s="167" t="s">
        <v>11</v>
      </c>
      <c r="E313" s="167" t="s">
        <v>10</v>
      </c>
      <c r="F313" s="167" t="s">
        <v>294</v>
      </c>
      <c r="G313" s="136">
        <v>69.2</v>
      </c>
      <c r="H313" s="137">
        <v>920</v>
      </c>
      <c r="I313" s="167" t="str">
        <f t="shared" si="18"/>
        <v>OK</v>
      </c>
      <c r="J313" s="182" t="str">
        <f t="shared" si="19"/>
        <v/>
      </c>
    </row>
    <row r="314" spans="1:10" ht="24" customHeight="1">
      <c r="A314" s="174" t="s">
        <v>305</v>
      </c>
      <c r="B314" s="166">
        <v>45778</v>
      </c>
      <c r="C314" s="166">
        <v>46142</v>
      </c>
      <c r="D314" s="167" t="s">
        <v>11</v>
      </c>
      <c r="E314" s="167" t="s">
        <v>10</v>
      </c>
      <c r="F314" s="167" t="s">
        <v>294</v>
      </c>
      <c r="G314" s="136">
        <v>51.9</v>
      </c>
      <c r="H314" s="137">
        <v>690</v>
      </c>
      <c r="I314" s="16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82" t="str">
        <f t="shared" ref="J314:J344" si="21">IF($G314="","",IF(COUNTIFS($A:$A,$A314,$D:$D,$D314,$G:$G,$G314)&gt;1,"Doppelte Monatsstunden",""))</f>
        <v/>
      </c>
    </row>
    <row r="315" spans="1:10" ht="24" customHeight="1">
      <c r="A315" s="174" t="s">
        <v>305</v>
      </c>
      <c r="B315" s="166">
        <v>45778</v>
      </c>
      <c r="C315" s="166">
        <v>46142</v>
      </c>
      <c r="D315" s="167" t="s">
        <v>11</v>
      </c>
      <c r="E315" s="167" t="s">
        <v>10</v>
      </c>
      <c r="F315" s="167" t="s">
        <v>294</v>
      </c>
      <c r="G315" s="136">
        <v>47.58</v>
      </c>
      <c r="H315" s="137">
        <v>632.5</v>
      </c>
      <c r="I315" s="167" t="str">
        <f t="shared" si="20"/>
        <v>OK</v>
      </c>
      <c r="J315" s="182" t="str">
        <f t="shared" si="21"/>
        <v/>
      </c>
    </row>
    <row r="316" spans="1:10" ht="24" customHeight="1">
      <c r="A316" s="174" t="s">
        <v>305</v>
      </c>
      <c r="B316" s="166">
        <v>45778</v>
      </c>
      <c r="C316" s="166">
        <v>46142</v>
      </c>
      <c r="D316" s="167" t="s">
        <v>11</v>
      </c>
      <c r="E316" s="167" t="s">
        <v>10</v>
      </c>
      <c r="F316" s="167" t="s">
        <v>294</v>
      </c>
      <c r="G316" s="136">
        <v>43.25</v>
      </c>
      <c r="H316" s="137">
        <v>575</v>
      </c>
      <c r="I316" s="167" t="str">
        <f t="shared" si="20"/>
        <v>OK</v>
      </c>
      <c r="J316" s="182" t="str">
        <f t="shared" si="21"/>
        <v/>
      </c>
    </row>
    <row r="317" spans="1:10" ht="24" customHeight="1">
      <c r="A317" s="174" t="s">
        <v>305</v>
      </c>
      <c r="B317" s="166">
        <v>45778</v>
      </c>
      <c r="C317" s="166">
        <v>46142</v>
      </c>
      <c r="D317" s="167" t="s">
        <v>11</v>
      </c>
      <c r="E317" s="167" t="s">
        <v>10</v>
      </c>
      <c r="F317" s="167" t="s">
        <v>294</v>
      </c>
      <c r="G317" s="136">
        <v>34.6</v>
      </c>
      <c r="H317" s="137">
        <v>460</v>
      </c>
      <c r="I317" s="167" t="str">
        <f t="shared" si="20"/>
        <v>OK</v>
      </c>
      <c r="J317" s="182" t="str">
        <f t="shared" si="21"/>
        <v/>
      </c>
    </row>
    <row r="318" spans="1:10" ht="24" customHeight="1" thickBot="1">
      <c r="A318" s="174" t="s">
        <v>305</v>
      </c>
      <c r="B318" s="166">
        <v>45778</v>
      </c>
      <c r="C318" s="166">
        <v>46142</v>
      </c>
      <c r="D318" s="167" t="s">
        <v>11</v>
      </c>
      <c r="E318" s="167" t="s">
        <v>10</v>
      </c>
      <c r="F318" s="167" t="s">
        <v>294</v>
      </c>
      <c r="G318" s="136">
        <v>32.01</v>
      </c>
      <c r="H318" s="137">
        <v>425.5</v>
      </c>
      <c r="I318" s="167" t="str">
        <f t="shared" si="20"/>
        <v>OK</v>
      </c>
      <c r="J318" s="182" t="str">
        <f t="shared" si="21"/>
        <v/>
      </c>
    </row>
    <row r="319" spans="1:10" ht="24" customHeight="1">
      <c r="A319" s="173" t="s">
        <v>305</v>
      </c>
      <c r="B319" s="164">
        <v>45778</v>
      </c>
      <c r="C319" s="164">
        <v>46142</v>
      </c>
      <c r="D319" s="165" t="s">
        <v>12</v>
      </c>
      <c r="E319" s="165" t="s">
        <v>10</v>
      </c>
      <c r="F319" s="165" t="s">
        <v>295</v>
      </c>
      <c r="G319" s="134">
        <v>173</v>
      </c>
      <c r="H319" s="135">
        <v>2300</v>
      </c>
      <c r="I319" s="165" t="str">
        <f t="shared" si="20"/>
        <v>OK</v>
      </c>
      <c r="J319" s="181" t="str">
        <f t="shared" si="21"/>
        <v/>
      </c>
    </row>
    <row r="320" spans="1:10" ht="24" customHeight="1">
      <c r="A320" s="174" t="s">
        <v>305</v>
      </c>
      <c r="B320" s="166">
        <v>45778</v>
      </c>
      <c r="C320" s="166">
        <v>46142</v>
      </c>
      <c r="D320" s="167" t="s">
        <v>12</v>
      </c>
      <c r="E320" s="167" t="s">
        <v>10</v>
      </c>
      <c r="F320" s="167" t="s">
        <v>295</v>
      </c>
      <c r="G320" s="136">
        <v>151.38</v>
      </c>
      <c r="H320" s="137">
        <v>2012.5</v>
      </c>
      <c r="I320" s="167" t="str">
        <f t="shared" si="20"/>
        <v>OK</v>
      </c>
      <c r="J320" s="182" t="str">
        <f t="shared" si="21"/>
        <v/>
      </c>
    </row>
    <row r="321" spans="1:10" ht="24" customHeight="1">
      <c r="A321" s="174" t="s">
        <v>305</v>
      </c>
      <c r="B321" s="166">
        <v>45778</v>
      </c>
      <c r="C321" s="166">
        <v>46142</v>
      </c>
      <c r="D321" s="167" t="s">
        <v>12</v>
      </c>
      <c r="E321" s="167" t="s">
        <v>10</v>
      </c>
      <c r="F321" s="167" t="s">
        <v>295</v>
      </c>
      <c r="G321" s="136">
        <v>138.4</v>
      </c>
      <c r="H321" s="137">
        <v>1840</v>
      </c>
      <c r="I321" s="167" t="str">
        <f t="shared" si="20"/>
        <v>OK</v>
      </c>
      <c r="J321" s="182" t="str">
        <f t="shared" si="21"/>
        <v/>
      </c>
    </row>
    <row r="322" spans="1:10" ht="24" customHeight="1">
      <c r="A322" s="174" t="s">
        <v>305</v>
      </c>
      <c r="B322" s="166">
        <v>45778</v>
      </c>
      <c r="C322" s="166">
        <v>46142</v>
      </c>
      <c r="D322" s="167" t="s">
        <v>12</v>
      </c>
      <c r="E322" s="167" t="s">
        <v>10</v>
      </c>
      <c r="F322" s="167" t="s">
        <v>295</v>
      </c>
      <c r="G322" s="136">
        <v>129.75</v>
      </c>
      <c r="H322" s="137">
        <v>1725</v>
      </c>
      <c r="I322" s="167" t="str">
        <f t="shared" si="20"/>
        <v>OK</v>
      </c>
      <c r="J322" s="182" t="str">
        <f t="shared" si="21"/>
        <v/>
      </c>
    </row>
    <row r="323" spans="1:10" ht="24" customHeight="1">
      <c r="A323" s="174" t="s">
        <v>305</v>
      </c>
      <c r="B323" s="166">
        <v>45778</v>
      </c>
      <c r="C323" s="166">
        <v>46142</v>
      </c>
      <c r="D323" s="167" t="s">
        <v>12</v>
      </c>
      <c r="E323" s="167" t="s">
        <v>10</v>
      </c>
      <c r="F323" s="167" t="s">
        <v>295</v>
      </c>
      <c r="G323" s="136">
        <v>108.13</v>
      </c>
      <c r="H323" s="137">
        <v>1437.5</v>
      </c>
      <c r="I323" s="167" t="str">
        <f t="shared" si="20"/>
        <v>OK</v>
      </c>
      <c r="J323" s="182" t="str">
        <f t="shared" si="21"/>
        <v/>
      </c>
    </row>
    <row r="324" spans="1:10" ht="24" customHeight="1">
      <c r="A324" s="174" t="s">
        <v>305</v>
      </c>
      <c r="B324" s="166">
        <v>45778</v>
      </c>
      <c r="C324" s="166">
        <v>46142</v>
      </c>
      <c r="D324" s="167" t="s">
        <v>12</v>
      </c>
      <c r="E324" s="167" t="s">
        <v>10</v>
      </c>
      <c r="F324" s="167" t="s">
        <v>295</v>
      </c>
      <c r="G324" s="136">
        <v>103.8</v>
      </c>
      <c r="H324" s="137">
        <v>1380</v>
      </c>
      <c r="I324" s="167" t="str">
        <f t="shared" si="20"/>
        <v>OK</v>
      </c>
      <c r="J324" s="182" t="str">
        <f t="shared" si="21"/>
        <v/>
      </c>
    </row>
    <row r="325" spans="1:10" ht="24" customHeight="1">
      <c r="A325" s="174" t="s">
        <v>305</v>
      </c>
      <c r="B325" s="166">
        <v>45778</v>
      </c>
      <c r="C325" s="166">
        <v>46142</v>
      </c>
      <c r="D325" s="167" t="s">
        <v>12</v>
      </c>
      <c r="E325" s="167" t="s">
        <v>10</v>
      </c>
      <c r="F325" s="167" t="s">
        <v>295</v>
      </c>
      <c r="G325" s="136">
        <v>86.5</v>
      </c>
      <c r="H325" s="137">
        <v>1150</v>
      </c>
      <c r="I325" s="167" t="str">
        <f t="shared" si="20"/>
        <v>OK</v>
      </c>
      <c r="J325" s="182" t="str">
        <f t="shared" si="21"/>
        <v/>
      </c>
    </row>
    <row r="326" spans="1:10" ht="24" customHeight="1">
      <c r="A326" s="174" t="s">
        <v>305</v>
      </c>
      <c r="B326" s="166">
        <v>45778</v>
      </c>
      <c r="C326" s="166">
        <v>46142</v>
      </c>
      <c r="D326" s="167" t="s">
        <v>12</v>
      </c>
      <c r="E326" s="167" t="s">
        <v>10</v>
      </c>
      <c r="F326" s="167" t="s">
        <v>295</v>
      </c>
      <c r="G326" s="136">
        <v>69.2</v>
      </c>
      <c r="H326" s="137">
        <v>920</v>
      </c>
      <c r="I326" s="167" t="str">
        <f t="shared" si="20"/>
        <v>OK</v>
      </c>
      <c r="J326" s="182" t="str">
        <f t="shared" si="21"/>
        <v/>
      </c>
    </row>
    <row r="327" spans="1:10" ht="24" customHeight="1">
      <c r="A327" s="174" t="s">
        <v>305</v>
      </c>
      <c r="B327" s="166">
        <v>45778</v>
      </c>
      <c r="C327" s="166">
        <v>46142</v>
      </c>
      <c r="D327" s="167" t="s">
        <v>12</v>
      </c>
      <c r="E327" s="167" t="s">
        <v>10</v>
      </c>
      <c r="F327" s="167" t="s">
        <v>295</v>
      </c>
      <c r="G327" s="136">
        <v>51.9</v>
      </c>
      <c r="H327" s="137">
        <v>690</v>
      </c>
      <c r="I327" s="167" t="str">
        <f t="shared" si="20"/>
        <v>OK</v>
      </c>
      <c r="J327" s="182" t="str">
        <f t="shared" si="21"/>
        <v/>
      </c>
    </row>
    <row r="328" spans="1:10" ht="24" customHeight="1">
      <c r="A328" s="174" t="s">
        <v>305</v>
      </c>
      <c r="B328" s="166">
        <v>45778</v>
      </c>
      <c r="C328" s="166">
        <v>46142</v>
      </c>
      <c r="D328" s="167" t="s">
        <v>12</v>
      </c>
      <c r="E328" s="167" t="s">
        <v>10</v>
      </c>
      <c r="F328" s="167" t="s">
        <v>295</v>
      </c>
      <c r="G328" s="136">
        <v>47.58</v>
      </c>
      <c r="H328" s="137">
        <v>632.5</v>
      </c>
      <c r="I328" s="167" t="str">
        <f t="shared" si="20"/>
        <v>OK</v>
      </c>
      <c r="J328" s="182" t="str">
        <f t="shared" si="21"/>
        <v/>
      </c>
    </row>
    <row r="329" spans="1:10" ht="24" customHeight="1">
      <c r="A329" s="174" t="s">
        <v>305</v>
      </c>
      <c r="B329" s="166">
        <v>45778</v>
      </c>
      <c r="C329" s="166">
        <v>46142</v>
      </c>
      <c r="D329" s="167" t="s">
        <v>12</v>
      </c>
      <c r="E329" s="167" t="s">
        <v>10</v>
      </c>
      <c r="F329" s="167" t="s">
        <v>295</v>
      </c>
      <c r="G329" s="136">
        <v>43.25</v>
      </c>
      <c r="H329" s="137">
        <v>575</v>
      </c>
      <c r="I329" s="167" t="str">
        <f t="shared" si="20"/>
        <v>OK</v>
      </c>
      <c r="J329" s="182" t="str">
        <f t="shared" si="21"/>
        <v/>
      </c>
    </row>
    <row r="330" spans="1:10" ht="24" customHeight="1">
      <c r="A330" s="174" t="s">
        <v>305</v>
      </c>
      <c r="B330" s="166">
        <v>45778</v>
      </c>
      <c r="C330" s="166">
        <v>46142</v>
      </c>
      <c r="D330" s="167" t="s">
        <v>12</v>
      </c>
      <c r="E330" s="167" t="s">
        <v>10</v>
      </c>
      <c r="F330" s="167" t="s">
        <v>295</v>
      </c>
      <c r="G330" s="136">
        <v>34.6</v>
      </c>
      <c r="H330" s="137">
        <v>460</v>
      </c>
      <c r="I330" s="167" t="str">
        <f t="shared" si="20"/>
        <v>OK</v>
      </c>
      <c r="J330" s="182" t="str">
        <f t="shared" si="21"/>
        <v/>
      </c>
    </row>
    <row r="331" spans="1:10" ht="24" customHeight="1" thickBot="1">
      <c r="A331" s="174" t="s">
        <v>305</v>
      </c>
      <c r="B331" s="166">
        <v>45778</v>
      </c>
      <c r="C331" s="166">
        <v>46142</v>
      </c>
      <c r="D331" s="167" t="s">
        <v>12</v>
      </c>
      <c r="E331" s="167" t="s">
        <v>10</v>
      </c>
      <c r="F331" s="167" t="s">
        <v>295</v>
      </c>
      <c r="G331" s="136">
        <v>32.01</v>
      </c>
      <c r="H331" s="137">
        <v>425.5</v>
      </c>
      <c r="I331" s="167" t="str">
        <f t="shared" si="20"/>
        <v>OK</v>
      </c>
      <c r="J331" s="182" t="str">
        <f t="shared" si="21"/>
        <v/>
      </c>
    </row>
    <row r="332" spans="1:10" ht="24" customHeight="1">
      <c r="A332" s="173" t="s">
        <v>305</v>
      </c>
      <c r="B332" s="164">
        <v>45778</v>
      </c>
      <c r="C332" s="164">
        <v>46142</v>
      </c>
      <c r="D332" s="165" t="s">
        <v>13</v>
      </c>
      <c r="E332" s="165" t="s">
        <v>10</v>
      </c>
      <c r="F332" s="165" t="s">
        <v>296</v>
      </c>
      <c r="G332" s="134">
        <v>173</v>
      </c>
      <c r="H332" s="135">
        <v>2328</v>
      </c>
      <c r="I332" s="165" t="str">
        <f t="shared" si="20"/>
        <v>OK</v>
      </c>
      <c r="J332" s="181" t="str">
        <f t="shared" si="21"/>
        <v/>
      </c>
    </row>
    <row r="333" spans="1:10" ht="24" customHeight="1">
      <c r="A333" s="174" t="s">
        <v>305</v>
      </c>
      <c r="B333" s="166">
        <v>45778</v>
      </c>
      <c r="C333" s="166">
        <v>46142</v>
      </c>
      <c r="D333" s="167" t="s">
        <v>13</v>
      </c>
      <c r="E333" s="167" t="s">
        <v>10</v>
      </c>
      <c r="F333" s="167" t="s">
        <v>296</v>
      </c>
      <c r="G333" s="136">
        <v>151.38</v>
      </c>
      <c r="H333" s="137">
        <v>2037</v>
      </c>
      <c r="I333" s="167" t="str">
        <f t="shared" si="20"/>
        <v>OK</v>
      </c>
      <c r="J333" s="182" t="str">
        <f t="shared" si="21"/>
        <v/>
      </c>
    </row>
    <row r="334" spans="1:10" ht="24" customHeight="1">
      <c r="A334" s="174" t="s">
        <v>305</v>
      </c>
      <c r="B334" s="166">
        <v>45778</v>
      </c>
      <c r="C334" s="166">
        <v>46142</v>
      </c>
      <c r="D334" s="167" t="s">
        <v>13</v>
      </c>
      <c r="E334" s="167" t="s">
        <v>10</v>
      </c>
      <c r="F334" s="167" t="s">
        <v>296</v>
      </c>
      <c r="G334" s="136">
        <v>138.4</v>
      </c>
      <c r="H334" s="137">
        <v>1862.4</v>
      </c>
      <c r="I334" s="167" t="str">
        <f t="shared" si="20"/>
        <v>OK</v>
      </c>
      <c r="J334" s="182" t="str">
        <f t="shared" si="21"/>
        <v/>
      </c>
    </row>
    <row r="335" spans="1:10" ht="24" customHeight="1">
      <c r="A335" s="174" t="s">
        <v>305</v>
      </c>
      <c r="B335" s="166">
        <v>45778</v>
      </c>
      <c r="C335" s="166">
        <v>46142</v>
      </c>
      <c r="D335" s="167" t="s">
        <v>13</v>
      </c>
      <c r="E335" s="167" t="s">
        <v>10</v>
      </c>
      <c r="F335" s="167" t="s">
        <v>296</v>
      </c>
      <c r="G335" s="136">
        <v>129.75</v>
      </c>
      <c r="H335" s="137">
        <v>1476</v>
      </c>
      <c r="I335" s="167" t="str">
        <f t="shared" si="20"/>
        <v>OK</v>
      </c>
      <c r="J335" s="182" t="str">
        <f t="shared" si="21"/>
        <v/>
      </c>
    </row>
    <row r="336" spans="1:10" ht="24" customHeight="1">
      <c r="A336" s="174" t="s">
        <v>305</v>
      </c>
      <c r="B336" s="166">
        <v>45778</v>
      </c>
      <c r="C336" s="166">
        <v>46142</v>
      </c>
      <c r="D336" s="167" t="s">
        <v>13</v>
      </c>
      <c r="E336" s="167" t="s">
        <v>10</v>
      </c>
      <c r="F336" s="167" t="s">
        <v>296</v>
      </c>
      <c r="G336" s="136">
        <v>108.13</v>
      </c>
      <c r="H336" s="137">
        <v>1455</v>
      </c>
      <c r="I336" s="167" t="str">
        <f t="shared" si="20"/>
        <v>OK</v>
      </c>
      <c r="J336" s="182" t="str">
        <f t="shared" si="21"/>
        <v/>
      </c>
    </row>
    <row r="337" spans="1:10" ht="24" customHeight="1">
      <c r="A337" s="174" t="s">
        <v>305</v>
      </c>
      <c r="B337" s="166">
        <v>45778</v>
      </c>
      <c r="C337" s="166">
        <v>46142</v>
      </c>
      <c r="D337" s="167" t="s">
        <v>13</v>
      </c>
      <c r="E337" s="167" t="s">
        <v>10</v>
      </c>
      <c r="F337" s="167" t="s">
        <v>296</v>
      </c>
      <c r="G337" s="136">
        <v>103.8</v>
      </c>
      <c r="H337" s="137">
        <v>1396.8</v>
      </c>
      <c r="I337" s="167" t="str">
        <f t="shared" si="20"/>
        <v>OK</v>
      </c>
      <c r="J337" s="182" t="str">
        <f t="shared" si="21"/>
        <v/>
      </c>
    </row>
    <row r="338" spans="1:10" ht="24" customHeight="1">
      <c r="A338" s="174" t="s">
        <v>305</v>
      </c>
      <c r="B338" s="166">
        <v>45778</v>
      </c>
      <c r="C338" s="166">
        <v>46142</v>
      </c>
      <c r="D338" s="167" t="s">
        <v>13</v>
      </c>
      <c r="E338" s="167" t="s">
        <v>10</v>
      </c>
      <c r="F338" s="167" t="s">
        <v>296</v>
      </c>
      <c r="G338" s="136">
        <v>86.5</v>
      </c>
      <c r="H338" s="137">
        <v>1164</v>
      </c>
      <c r="I338" s="167" t="str">
        <f t="shared" si="20"/>
        <v>OK</v>
      </c>
      <c r="J338" s="182" t="str">
        <f t="shared" si="21"/>
        <v/>
      </c>
    </row>
    <row r="339" spans="1:10" ht="24" customHeight="1">
      <c r="A339" s="174" t="s">
        <v>305</v>
      </c>
      <c r="B339" s="166">
        <v>45778</v>
      </c>
      <c r="C339" s="166">
        <v>46142</v>
      </c>
      <c r="D339" s="167" t="s">
        <v>13</v>
      </c>
      <c r="E339" s="167" t="s">
        <v>10</v>
      </c>
      <c r="F339" s="167" t="s">
        <v>296</v>
      </c>
      <c r="G339" s="136">
        <v>69.2</v>
      </c>
      <c r="H339" s="137">
        <v>931.2</v>
      </c>
      <c r="I339" s="167" t="str">
        <f t="shared" si="20"/>
        <v>OK</v>
      </c>
      <c r="J339" s="182" t="str">
        <f t="shared" si="21"/>
        <v/>
      </c>
    </row>
    <row r="340" spans="1:10" ht="24" customHeight="1">
      <c r="A340" s="174" t="s">
        <v>305</v>
      </c>
      <c r="B340" s="166">
        <v>45778</v>
      </c>
      <c r="C340" s="166">
        <v>46142</v>
      </c>
      <c r="D340" s="167" t="s">
        <v>13</v>
      </c>
      <c r="E340" s="167" t="s">
        <v>10</v>
      </c>
      <c r="F340" s="167" t="s">
        <v>296</v>
      </c>
      <c r="G340" s="136">
        <v>51.9</v>
      </c>
      <c r="H340" s="137">
        <v>698.4</v>
      </c>
      <c r="I340" s="167" t="str">
        <f t="shared" si="20"/>
        <v>OK</v>
      </c>
      <c r="J340" s="182" t="str">
        <f t="shared" si="21"/>
        <v/>
      </c>
    </row>
    <row r="341" spans="1:10" ht="24" customHeight="1">
      <c r="A341" s="174" t="s">
        <v>305</v>
      </c>
      <c r="B341" s="166">
        <v>45778</v>
      </c>
      <c r="C341" s="166">
        <v>46142</v>
      </c>
      <c r="D341" s="167" t="s">
        <v>13</v>
      </c>
      <c r="E341" s="167" t="s">
        <v>10</v>
      </c>
      <c r="F341" s="167" t="s">
        <v>296</v>
      </c>
      <c r="G341" s="136">
        <v>47.58</v>
      </c>
      <c r="H341" s="137">
        <v>640</v>
      </c>
      <c r="I341" s="167" t="str">
        <f t="shared" si="20"/>
        <v>OK</v>
      </c>
      <c r="J341" s="182" t="str">
        <f t="shared" si="21"/>
        <v/>
      </c>
    </row>
    <row r="342" spans="1:10" ht="24" customHeight="1">
      <c r="A342" s="174" t="s">
        <v>305</v>
      </c>
      <c r="B342" s="166">
        <v>45778</v>
      </c>
      <c r="C342" s="166">
        <v>46142</v>
      </c>
      <c r="D342" s="167" t="s">
        <v>13</v>
      </c>
      <c r="E342" s="167" t="s">
        <v>10</v>
      </c>
      <c r="F342" s="167" t="s">
        <v>296</v>
      </c>
      <c r="G342" s="136">
        <v>43.25</v>
      </c>
      <c r="H342" s="137">
        <v>582</v>
      </c>
      <c r="I342" s="167" t="str">
        <f t="shared" si="20"/>
        <v>OK</v>
      </c>
      <c r="J342" s="182" t="str">
        <f t="shared" si="21"/>
        <v/>
      </c>
    </row>
    <row r="343" spans="1:10" ht="24" customHeight="1">
      <c r="A343" s="174" t="s">
        <v>305</v>
      </c>
      <c r="B343" s="166">
        <v>45778</v>
      </c>
      <c r="C343" s="166">
        <v>46142</v>
      </c>
      <c r="D343" s="167" t="s">
        <v>13</v>
      </c>
      <c r="E343" s="167" t="s">
        <v>10</v>
      </c>
      <c r="F343" s="167" t="s">
        <v>296</v>
      </c>
      <c r="G343" s="136">
        <v>34.6</v>
      </c>
      <c r="H343" s="137">
        <v>465.6</v>
      </c>
      <c r="I343" s="167" t="str">
        <f t="shared" si="20"/>
        <v>OK</v>
      </c>
      <c r="J343" s="182" t="str">
        <f t="shared" si="21"/>
        <v/>
      </c>
    </row>
    <row r="344" spans="1:10" ht="24" customHeight="1" thickBot="1">
      <c r="A344" s="184" t="s">
        <v>305</v>
      </c>
      <c r="B344" s="185">
        <v>45778</v>
      </c>
      <c r="C344" s="185">
        <v>46142</v>
      </c>
      <c r="D344" s="186" t="s">
        <v>13</v>
      </c>
      <c r="E344" s="186" t="s">
        <v>10</v>
      </c>
      <c r="F344" s="186" t="s">
        <v>296</v>
      </c>
      <c r="G344" s="138">
        <v>32.01</v>
      </c>
      <c r="H344" s="139">
        <v>430.68</v>
      </c>
      <c r="I344" s="186" t="str">
        <f t="shared" si="20"/>
        <v>OK</v>
      </c>
      <c r="J344" s="187" t="str">
        <f t="shared" si="21"/>
        <v/>
      </c>
    </row>
  </sheetData>
  <sheetProtection algorithmName="SHA-512" hashValue="Qmc3gcn0rxVjctS+JLDFgDvGm+iu8dl3sRQ/FwpIjGD6fswz070RiDDjtAErINeUe7GLKdFBi070EfaW+Q6RJg==" saltValue="4CYPT7v6LoDzvf7uiSGhSA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0" sqref="L10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3"/>
      <c r="C1" s="142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7.2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ht="18" customHeight="1">
      <c r="B3" s="302" t="s">
        <v>14</v>
      </c>
      <c r="C3" s="302"/>
      <c r="D3" s="302"/>
      <c r="E3" s="302"/>
      <c r="F3" s="302"/>
      <c r="H3" s="299" t="s">
        <v>15</v>
      </c>
      <c r="I3" s="299"/>
      <c r="K3" s="301" t="s">
        <v>16</v>
      </c>
      <c r="L3" s="301"/>
      <c r="N3" s="299" t="s">
        <v>17</v>
      </c>
      <c r="O3" s="299"/>
    </row>
    <row r="4" spans="2:15" ht="15" customHeight="1">
      <c r="B4" s="302"/>
      <c r="C4" s="302"/>
      <c r="D4" s="302"/>
      <c r="E4" s="302"/>
      <c r="F4" s="302"/>
      <c r="H4" s="299"/>
      <c r="I4" s="299"/>
      <c r="K4" s="301"/>
      <c r="L4" s="301"/>
      <c r="N4" s="299"/>
      <c r="O4" s="29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00" t="s">
        <v>22</v>
      </c>
      <c r="I5" s="300"/>
      <c r="K5" s="300" t="s">
        <v>22</v>
      </c>
      <c r="L5" s="300"/>
      <c r="N5" s="300" t="s">
        <v>23</v>
      </c>
      <c r="O5" s="300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9300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9300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9300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9300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9300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9300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9300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9300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9300</v>
      </c>
      <c r="N17" s="24" t="s">
        <v>36</v>
      </c>
      <c r="O17" s="3">
        <v>12</v>
      </c>
    </row>
    <row r="19" spans="2:21" ht="14.5" customHeight="1">
      <c r="B19" s="298" t="s">
        <v>37</v>
      </c>
      <c r="C19" s="298"/>
      <c r="D19" s="298"/>
      <c r="E19" s="298"/>
      <c r="F19" s="298"/>
      <c r="H19" s="299" t="s">
        <v>38</v>
      </c>
      <c r="I19" s="299"/>
      <c r="K19" s="301" t="s">
        <v>39</v>
      </c>
      <c r="L19" s="301"/>
      <c r="N19" s="140"/>
      <c r="O19" s="140"/>
      <c r="P19" s="140"/>
      <c r="Q19" s="140"/>
      <c r="R19" s="140"/>
      <c r="S19" s="140"/>
      <c r="T19" s="140"/>
      <c r="U19" s="140"/>
    </row>
    <row r="20" spans="2:21">
      <c r="B20" s="298"/>
      <c r="C20" s="298"/>
      <c r="D20" s="298"/>
      <c r="E20" s="298"/>
      <c r="F20" s="298"/>
      <c r="H20" s="299"/>
      <c r="I20" s="299"/>
      <c r="K20" s="301"/>
      <c r="L20" s="301"/>
      <c r="N20" s="140"/>
      <c r="O20" s="140"/>
      <c r="P20" s="140"/>
      <c r="Q20" s="140"/>
      <c r="R20" s="140"/>
      <c r="S20" s="140"/>
      <c r="T20" s="140"/>
      <c r="U20" s="140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00" t="s">
        <v>22</v>
      </c>
      <c r="I21" s="300"/>
      <c r="K21" s="300" t="s">
        <v>22</v>
      </c>
      <c r="L21" s="300"/>
      <c r="N21" s="140"/>
      <c r="O21" s="140"/>
      <c r="P21" s="140"/>
      <c r="Q21" s="140"/>
      <c r="R21" s="140"/>
      <c r="S21" s="140"/>
      <c r="T21" s="140"/>
      <c r="U21" s="140"/>
    </row>
    <row r="22" spans="2:21">
      <c r="B22" s="22" t="s">
        <v>24</v>
      </c>
      <c r="C22" s="3">
        <v>1</v>
      </c>
      <c r="D22" s="52">
        <f>UBERSICHT!G7</f>
        <v>95005.828800000003</v>
      </c>
      <c r="E22" s="23">
        <f>Januar!$S$37</f>
        <v>95005.828800000003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0"/>
      <c r="O22" s="140"/>
      <c r="P22" s="140"/>
      <c r="Q22" s="140"/>
      <c r="R22" s="140"/>
      <c r="S22" s="140"/>
      <c r="T22" s="140"/>
      <c r="U22" s="140"/>
    </row>
    <row r="23" spans="2:21">
      <c r="B23" s="22" t="s">
        <v>25</v>
      </c>
      <c r="C23" s="3">
        <v>2</v>
      </c>
      <c r="D23" s="52">
        <f>UBERSICHT!G8</f>
        <v>108523.0129</v>
      </c>
      <c r="E23" s="23">
        <f>Februar!$S$37</f>
        <v>54261.506450000001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0"/>
      <c r="O23" s="140"/>
      <c r="P23" s="140"/>
      <c r="Q23" s="140"/>
      <c r="R23" s="140"/>
      <c r="S23" s="140"/>
      <c r="T23" s="140"/>
      <c r="U23" s="140"/>
    </row>
    <row r="24" spans="2:21">
      <c r="B24" s="22" t="s">
        <v>27</v>
      </c>
      <c r="C24" s="3">
        <v>3</v>
      </c>
      <c r="D24" s="52">
        <f>UBERSICHT!G9</f>
        <v>112024.0961</v>
      </c>
      <c r="E24" s="23">
        <f>Marz!$S$37</f>
        <v>37341.365366666665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0"/>
      <c r="O24" s="140"/>
      <c r="P24" s="140"/>
      <c r="Q24" s="140"/>
      <c r="R24" s="140"/>
      <c r="S24" s="140"/>
      <c r="T24" s="140"/>
      <c r="U24" s="140"/>
    </row>
    <row r="25" spans="2:21">
      <c r="B25" s="22" t="s">
        <v>28</v>
      </c>
      <c r="C25" s="3">
        <v>4</v>
      </c>
      <c r="D25" s="52">
        <f>UBERSICHT!G11</f>
        <v>110604.4</v>
      </c>
      <c r="E25" s="23">
        <f>April!$S$37</f>
        <v>27651.1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0"/>
      <c r="O25" s="140"/>
      <c r="P25" s="140"/>
      <c r="Q25" s="140"/>
      <c r="R25" s="140"/>
      <c r="S25" s="140"/>
      <c r="T25" s="140"/>
      <c r="U25" s="140"/>
    </row>
    <row r="26" spans="2:21">
      <c r="B26" s="22" t="s">
        <v>29</v>
      </c>
      <c r="C26" s="3">
        <v>5</v>
      </c>
      <c r="D26" s="52">
        <f>UBERSICHT!G12</f>
        <v>126182.72900000001</v>
      </c>
      <c r="E26" s="23">
        <f>Mai!$S$37</f>
        <v>25236.5458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0"/>
      <c r="O26" s="140"/>
      <c r="P26" s="140"/>
      <c r="Q26" s="140"/>
      <c r="R26" s="140"/>
      <c r="S26" s="140"/>
      <c r="T26" s="140"/>
      <c r="U26" s="140"/>
    </row>
    <row r="27" spans="2:21">
      <c r="B27" s="22" t="s">
        <v>30</v>
      </c>
      <c r="C27" s="3">
        <v>6</v>
      </c>
      <c r="D27" s="52">
        <f>UBERSICHT!G13</f>
        <v>127053.51669999999</v>
      </c>
      <c r="E27" s="23">
        <f>Juni!$S$37</f>
        <v>21175.586116666665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0"/>
      <c r="O27" s="140"/>
      <c r="P27" s="140"/>
      <c r="Q27" s="140"/>
      <c r="R27" s="140"/>
      <c r="S27" s="140"/>
      <c r="T27" s="140"/>
      <c r="U27" s="140"/>
    </row>
    <row r="28" spans="2:21">
      <c r="B28" s="22" t="s">
        <v>31</v>
      </c>
      <c r="C28" s="3">
        <v>7</v>
      </c>
      <c r="D28" s="52">
        <f>UBERSICHT!G15</f>
        <v>125719.37420000001</v>
      </c>
      <c r="E28" s="23">
        <f>Juli!$S$37</f>
        <v>17959.910599999999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0"/>
      <c r="O28" s="140"/>
      <c r="P28" s="140"/>
      <c r="Q28" s="140"/>
      <c r="R28" s="140"/>
      <c r="S28" s="140"/>
      <c r="T28" s="140"/>
      <c r="U28" s="140"/>
    </row>
    <row r="29" spans="2:21">
      <c r="B29" s="22" t="s">
        <v>32</v>
      </c>
      <c r="C29" s="3">
        <v>8</v>
      </c>
      <c r="D29" s="52">
        <f>UBERSICHT!G16</f>
        <v>123990.6</v>
      </c>
      <c r="E29" s="23">
        <f>August!$S$37</f>
        <v>15498.825000000001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0"/>
      <c r="O29" s="140"/>
      <c r="P29" s="140"/>
      <c r="Q29" s="140"/>
      <c r="R29" s="140"/>
      <c r="S29" s="140"/>
      <c r="T29" s="140"/>
      <c r="U29" s="140"/>
    </row>
    <row r="30" spans="2:21">
      <c r="B30" s="22" t="s">
        <v>33</v>
      </c>
      <c r="C30" s="3">
        <v>9</v>
      </c>
      <c r="D30" s="52">
        <f>UBERSICHT!G17</f>
        <v>121385.26669999999</v>
      </c>
      <c r="E30" s="23">
        <f>September!$S$37</f>
        <v>13487.251855555554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0"/>
      <c r="O30" s="140"/>
      <c r="P30" s="140"/>
      <c r="Q30" s="140"/>
      <c r="R30" s="140"/>
      <c r="S30" s="140"/>
      <c r="T30" s="140"/>
      <c r="U30" s="140"/>
    </row>
    <row r="31" spans="2:21">
      <c r="B31" s="22" t="s">
        <v>34</v>
      </c>
      <c r="C31" s="3">
        <v>10</v>
      </c>
      <c r="D31" s="52">
        <f>UBERSICHT!G19</f>
        <v>118921.4387</v>
      </c>
      <c r="E31" s="23">
        <f>Oktober!$S$37</f>
        <v>11892.14387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0"/>
      <c r="O31" s="140"/>
      <c r="P31" s="140"/>
      <c r="Q31" s="140"/>
      <c r="R31" s="140"/>
      <c r="S31" s="140"/>
      <c r="T31" s="140"/>
      <c r="U31" s="140"/>
    </row>
    <row r="32" spans="2:21">
      <c r="B32" s="22" t="s">
        <v>35</v>
      </c>
      <c r="C32" s="3">
        <v>11</v>
      </c>
      <c r="D32" s="52">
        <f>UBERSICHT!G20</f>
        <v>116770.9333</v>
      </c>
      <c r="E32" s="23">
        <f>November!$S$37</f>
        <v>10615.539390909091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0"/>
      <c r="O32" s="140"/>
      <c r="P32" s="140"/>
      <c r="Q32" s="140"/>
      <c r="R32" s="140"/>
      <c r="S32" s="140"/>
      <c r="T32" s="140"/>
      <c r="U32" s="140"/>
    </row>
    <row r="33" spans="2:21">
      <c r="B33" s="22" t="s">
        <v>36</v>
      </c>
      <c r="C33" s="3">
        <v>12</v>
      </c>
      <c r="D33" s="52">
        <f>UBERSICHT!G21</f>
        <v>116038.6</v>
      </c>
      <c r="E33" s="23">
        <f>Dezember!$S$37</f>
        <v>9669.8833333333332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0"/>
      <c r="O33" s="140"/>
      <c r="P33" s="140"/>
      <c r="Q33" s="140"/>
      <c r="R33" s="140"/>
      <c r="S33" s="140"/>
      <c r="T33" s="140"/>
      <c r="U33" s="140"/>
    </row>
    <row r="34" spans="2:21">
      <c r="N34" s="140"/>
      <c r="O34" s="140"/>
      <c r="P34" s="140"/>
      <c r="Q34" s="140"/>
      <c r="R34" s="140"/>
      <c r="S34" s="140"/>
      <c r="T34" s="140"/>
      <c r="U34" s="140"/>
    </row>
    <row r="35" spans="2:21" ht="14.5" customHeight="1">
      <c r="B35" s="144" t="s">
        <v>353</v>
      </c>
      <c r="C35" s="16">
        <v>2026</v>
      </c>
      <c r="D35" s="57"/>
      <c r="E35" s="57"/>
      <c r="N35" s="140"/>
      <c r="O35" s="140"/>
      <c r="P35" s="140"/>
      <c r="Q35" s="140"/>
      <c r="R35" s="140"/>
      <c r="S35" s="140"/>
      <c r="T35" s="140"/>
      <c r="U35" s="140"/>
    </row>
    <row r="36" spans="2:21">
      <c r="B36" s="57"/>
      <c r="C36" s="57"/>
      <c r="D36" s="57"/>
      <c r="N36" s="140"/>
      <c r="O36" s="140"/>
      <c r="P36" s="140"/>
      <c r="Q36" s="140"/>
      <c r="R36" s="140"/>
      <c r="S36" s="140"/>
      <c r="T36" s="140"/>
      <c r="U36" s="140"/>
    </row>
    <row r="37" spans="2:21" ht="16" hidden="1">
      <c r="B37" s="102" t="s">
        <v>194</v>
      </c>
      <c r="C37" s="102" t="s">
        <v>198</v>
      </c>
      <c r="N37" s="140"/>
      <c r="O37" s="140"/>
      <c r="P37" s="140"/>
      <c r="Q37" s="140"/>
      <c r="R37" s="140"/>
      <c r="S37" s="140"/>
      <c r="T37" s="140"/>
      <c r="U37" s="140"/>
    </row>
    <row r="38" spans="2:21" ht="17" hidden="1">
      <c r="B38" s="145" t="s">
        <v>199</v>
      </c>
      <c r="C38" s="100">
        <v>0</v>
      </c>
      <c r="N38" s="140"/>
      <c r="O38" s="140"/>
      <c r="P38" s="140"/>
      <c r="Q38" s="140"/>
      <c r="R38" s="140"/>
      <c r="S38" s="140"/>
      <c r="T38" s="140"/>
      <c r="U38" s="140"/>
    </row>
    <row r="39" spans="2:21" ht="17" hidden="1">
      <c r="B39" s="145" t="s">
        <v>200</v>
      </c>
      <c r="C39" s="100">
        <v>0</v>
      </c>
      <c r="N39" s="140"/>
      <c r="O39" s="140"/>
      <c r="P39" s="140"/>
      <c r="Q39" s="140"/>
      <c r="R39" s="140"/>
      <c r="S39" s="140"/>
      <c r="T39" s="140"/>
      <c r="U39" s="140"/>
    </row>
    <row r="40" spans="2:21" ht="17" hidden="1">
      <c r="B40" s="145" t="s">
        <v>196</v>
      </c>
      <c r="C40" s="100">
        <v>0</v>
      </c>
      <c r="N40" s="140"/>
      <c r="O40" s="140"/>
      <c r="P40" s="140"/>
      <c r="Q40" s="140"/>
      <c r="R40" s="140"/>
      <c r="S40" s="140"/>
      <c r="T40" s="140"/>
      <c r="U40" s="140"/>
    </row>
    <row r="41" spans="2:21" ht="17" hidden="1">
      <c r="B41" s="145" t="s">
        <v>201</v>
      </c>
      <c r="C41" s="100">
        <v>0</v>
      </c>
      <c r="N41" s="140"/>
      <c r="O41" s="140"/>
      <c r="P41" s="140"/>
      <c r="Q41" s="140"/>
      <c r="R41" s="140"/>
      <c r="S41" s="140"/>
      <c r="T41" s="140"/>
      <c r="U41" s="140"/>
    </row>
    <row r="42" spans="2:21" ht="17" hidden="1">
      <c r="B42" s="145" t="s">
        <v>202</v>
      </c>
      <c r="C42" s="100">
        <v>0.35</v>
      </c>
      <c r="N42" s="140"/>
      <c r="O42" s="140"/>
      <c r="P42" s="140"/>
      <c r="Q42" s="140"/>
      <c r="R42" s="140"/>
      <c r="S42" s="140"/>
      <c r="T42" s="140"/>
      <c r="U42" s="140"/>
    </row>
    <row r="43" spans="2:21" ht="17" hidden="1">
      <c r="B43" s="145" t="s">
        <v>203</v>
      </c>
      <c r="C43" s="100">
        <v>0.35</v>
      </c>
    </row>
    <row r="44" spans="2:21" ht="34" hidden="1">
      <c r="B44" s="145" t="s">
        <v>197</v>
      </c>
      <c r="C44" s="100">
        <v>0.5</v>
      </c>
    </row>
    <row r="45" spans="2:21" ht="34" hidden="1">
      <c r="B45" s="145" t="s">
        <v>204</v>
      </c>
      <c r="C45" s="100">
        <v>0.6</v>
      </c>
    </row>
    <row r="46" spans="2:21" ht="34" hidden="1">
      <c r="B46" s="145" t="s">
        <v>195</v>
      </c>
      <c r="C46" s="100">
        <v>0.75</v>
      </c>
    </row>
    <row r="47" spans="2:21" ht="34" hidden="1">
      <c r="B47" s="145" t="s">
        <v>205</v>
      </c>
      <c r="C47" s="100">
        <v>1</v>
      </c>
    </row>
    <row r="48" spans="2:21" ht="34" hidden="1">
      <c r="B48" s="145" t="s">
        <v>206</v>
      </c>
      <c r="C48" s="100">
        <v>1.1000000000000001</v>
      </c>
    </row>
    <row r="49" spans="2:3" ht="17" hidden="1">
      <c r="B49" s="145" t="s">
        <v>207</v>
      </c>
      <c r="C49" s="100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2" t="s">
        <v>208</v>
      </c>
      <c r="C52" s="102" t="s">
        <v>209</v>
      </c>
    </row>
    <row r="53" spans="2:3" ht="17" hidden="1">
      <c r="B53" s="101" t="s">
        <v>210</v>
      </c>
      <c r="C53" s="100">
        <v>0.3</v>
      </c>
    </row>
    <row r="54" spans="2:3" ht="17" hidden="1">
      <c r="B54" s="101" t="s">
        <v>211</v>
      </c>
      <c r="C54" s="100">
        <v>0.5</v>
      </c>
    </row>
    <row r="55" spans="2:3" ht="17" hidden="1">
      <c r="B55" s="101" t="s">
        <v>212</v>
      </c>
      <c r="C55" s="100">
        <v>0.75</v>
      </c>
    </row>
    <row r="56" spans="2:3" ht="17" hidden="1">
      <c r="B56" s="101" t="s">
        <v>213</v>
      </c>
      <c r="C56" s="100">
        <v>1</v>
      </c>
    </row>
    <row r="57" spans="2:3" ht="17" hidden="1">
      <c r="B57" s="101" t="s">
        <v>214</v>
      </c>
      <c r="C57" s="100">
        <v>1.25</v>
      </c>
    </row>
    <row r="58" spans="2:3" ht="17" hidden="1">
      <c r="B58" s="101" t="s">
        <v>215</v>
      </c>
      <c r="C58" s="100">
        <v>1.5</v>
      </c>
    </row>
    <row r="59" spans="2:3" ht="17" hidden="1">
      <c r="B59" s="101" t="s">
        <v>216</v>
      </c>
      <c r="C59" s="100">
        <v>2</v>
      </c>
    </row>
  </sheetData>
  <sheetProtection algorithmName="SHA-512" hashValue="/8rbN7VDDMC2Y5T7LgDI/ECnJOo8/BPxSuNuopKbQgMywnSdUioa1n4pnFLTDbxZIfV+KIPmsz+Uz1+RhsfSGg==" saltValue="gJ2YqgKqVVvq27xrSU0SXQ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04" t="s">
        <v>392</v>
      </c>
      <c r="B1" s="305"/>
      <c r="C1" s="305"/>
      <c r="D1" s="305"/>
    </row>
    <row r="2" spans="1:4">
      <c r="A2" s="143" t="s">
        <v>363</v>
      </c>
      <c r="B2" s="143" t="s">
        <v>364</v>
      </c>
    </row>
    <row r="3" spans="1:4" ht="36" customHeight="1">
      <c r="A3" s="303" t="s">
        <v>393</v>
      </c>
      <c r="B3" s="303"/>
      <c r="C3" s="303"/>
      <c r="D3" s="303"/>
    </row>
    <row r="4" spans="1:4">
      <c r="A4" s="146" t="s">
        <v>222</v>
      </c>
      <c r="B4" s="146" t="s">
        <v>394</v>
      </c>
      <c r="C4" s="146" t="s">
        <v>395</v>
      </c>
      <c r="D4" s="146" t="s">
        <v>396</v>
      </c>
    </row>
    <row r="5" spans="1:4" ht="32">
      <c r="A5" s="146" t="s">
        <v>397</v>
      </c>
      <c r="B5" s="147" t="s">
        <v>398</v>
      </c>
      <c r="C5" s="148" t="s">
        <v>399</v>
      </c>
      <c r="D5" s="148" t="s">
        <v>400</v>
      </c>
    </row>
    <row r="6" spans="1:4" ht="32">
      <c r="A6" s="146" t="s">
        <v>397</v>
      </c>
      <c r="B6" s="147" t="s">
        <v>401</v>
      </c>
      <c r="C6" s="148" t="s">
        <v>402</v>
      </c>
      <c r="D6" s="148" t="s">
        <v>403</v>
      </c>
    </row>
    <row r="7" spans="1:4" ht="28" customHeight="1">
      <c r="A7" s="146" t="s">
        <v>397</v>
      </c>
      <c r="B7" s="147" t="s">
        <v>404</v>
      </c>
      <c r="C7" s="148" t="s">
        <v>405</v>
      </c>
      <c r="D7" s="148" t="s">
        <v>406</v>
      </c>
    </row>
    <row r="8" spans="1:4" ht="32">
      <c r="A8" s="146" t="s">
        <v>407</v>
      </c>
      <c r="B8" s="147" t="s">
        <v>408</v>
      </c>
      <c r="C8" s="148" t="s">
        <v>409</v>
      </c>
      <c r="D8" s="148" t="s">
        <v>410</v>
      </c>
    </row>
    <row r="9" spans="1:4" ht="28" customHeight="1">
      <c r="A9" s="146" t="s">
        <v>411</v>
      </c>
      <c r="B9" s="147" t="s">
        <v>412</v>
      </c>
      <c r="C9" s="148" t="s">
        <v>413</v>
      </c>
      <c r="D9" s="148" t="s">
        <v>414</v>
      </c>
    </row>
    <row r="10" spans="1:4" ht="32">
      <c r="A10" s="146" t="s">
        <v>411</v>
      </c>
      <c r="B10" s="147" t="s">
        <v>415</v>
      </c>
      <c r="C10" s="148" t="s">
        <v>416</v>
      </c>
      <c r="D10" s="148" t="s">
        <v>417</v>
      </c>
    </row>
    <row r="11" spans="1:4" ht="28" customHeight="1">
      <c r="A11" s="146" t="s">
        <v>411</v>
      </c>
      <c r="B11" s="147" t="s">
        <v>418</v>
      </c>
      <c r="C11" s="148" t="s">
        <v>419</v>
      </c>
      <c r="D11" s="148" t="s">
        <v>414</v>
      </c>
    </row>
    <row r="12" spans="1:4" ht="28" customHeight="1">
      <c r="A12" s="146" t="s">
        <v>411</v>
      </c>
      <c r="B12" s="147" t="s">
        <v>420</v>
      </c>
      <c r="C12" s="148" t="s">
        <v>421</v>
      </c>
      <c r="D12" s="148" t="s">
        <v>422</v>
      </c>
    </row>
    <row r="13" spans="1:4" ht="32">
      <c r="A13" s="146" t="s">
        <v>423</v>
      </c>
      <c r="B13" s="147" t="s">
        <v>424</v>
      </c>
      <c r="C13" s="148" t="s">
        <v>425</v>
      </c>
      <c r="D13" s="148" t="s">
        <v>426</v>
      </c>
    </row>
    <row r="14" spans="1:4" ht="28" customHeight="1">
      <c r="A14" s="146" t="s">
        <v>423</v>
      </c>
      <c r="B14" s="147" t="s">
        <v>427</v>
      </c>
      <c r="C14" s="148" t="s">
        <v>428</v>
      </c>
      <c r="D14" s="148" t="s">
        <v>426</v>
      </c>
    </row>
    <row r="15" spans="1:4" ht="32">
      <c r="A15" s="146" t="s">
        <v>423</v>
      </c>
      <c r="B15" s="147" t="s">
        <v>429</v>
      </c>
      <c r="C15" s="148" t="s">
        <v>430</v>
      </c>
      <c r="D15" s="148" t="s">
        <v>431</v>
      </c>
    </row>
    <row r="16" spans="1:4" ht="28" customHeight="1">
      <c r="A16" s="146" t="s">
        <v>432</v>
      </c>
      <c r="B16" s="147" t="s">
        <v>433</v>
      </c>
      <c r="C16" s="148" t="s">
        <v>434</v>
      </c>
      <c r="D16" s="148" t="s">
        <v>435</v>
      </c>
    </row>
    <row r="17" spans="1:4" ht="28" customHeight="1">
      <c r="A17" s="146" t="s">
        <v>432</v>
      </c>
      <c r="B17" s="147" t="s">
        <v>436</v>
      </c>
      <c r="C17" s="148" t="s">
        <v>437</v>
      </c>
      <c r="D17" s="148" t="s">
        <v>438</v>
      </c>
    </row>
    <row r="18" spans="1:4" ht="28" customHeight="1">
      <c r="A18" s="146" t="s">
        <v>439</v>
      </c>
      <c r="B18" s="147" t="s">
        <v>440</v>
      </c>
      <c r="C18" s="148" t="s">
        <v>441</v>
      </c>
      <c r="D18" s="148" t="s">
        <v>442</v>
      </c>
    </row>
    <row r="19" spans="1:4" ht="32">
      <c r="A19" s="146" t="s">
        <v>443</v>
      </c>
      <c r="B19" s="147" t="s">
        <v>444</v>
      </c>
      <c r="C19" s="148" t="s">
        <v>445</v>
      </c>
      <c r="D19" s="148" t="s">
        <v>446</v>
      </c>
    </row>
    <row r="20" spans="1:4" ht="28" customHeight="1">
      <c r="A20" s="146" t="s">
        <v>443</v>
      </c>
      <c r="B20" s="147" t="s">
        <v>447</v>
      </c>
      <c r="C20" s="148" t="s">
        <v>448</v>
      </c>
      <c r="D20" s="148" t="s">
        <v>449</v>
      </c>
    </row>
    <row r="21" spans="1:4" ht="28" customHeight="1">
      <c r="A21" s="146" t="s">
        <v>450</v>
      </c>
      <c r="B21" s="147" t="s">
        <v>451</v>
      </c>
      <c r="C21" s="148" t="s">
        <v>452</v>
      </c>
      <c r="D21" s="148" t="s">
        <v>453</v>
      </c>
    </row>
    <row r="22" spans="1:4" ht="32">
      <c r="A22" s="146" t="s">
        <v>454</v>
      </c>
      <c r="B22" s="147" t="s">
        <v>455</v>
      </c>
      <c r="C22" s="148" t="s">
        <v>456</v>
      </c>
      <c r="D22" s="148" t="s">
        <v>457</v>
      </c>
    </row>
  </sheetData>
  <sheetProtection algorithmName="SHA-512" hashValue="T1YQRgPwkA/y31oW7N1cpv9dymFl6Ns7aKTSC0HMAasnzunZe9C0ZKYsIqU0NL9YkEStTEAppDsSgoahtEC7jg==" saltValue="wDrWbsUA5ETZpVlCv0/iFg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N27" sqref="N2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46023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46053</v>
      </c>
    </row>
    <row r="3" spans="1:28" ht="16" customHeight="1" thickBo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-8689.1328090824209</v>
      </c>
    </row>
    <row r="6" spans="1:28" ht="16" customHeight="1" thickBo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0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92"/>
      <c r="N7" s="76"/>
    </row>
    <row r="8" spans="1:28" ht="16" customHeight="1" thickBo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7494.8</v>
      </c>
      <c r="R8" s="211"/>
    </row>
    <row r="9" spans="1:28" ht="16" customHeight="1" thickBo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13" t="s">
        <v>60</v>
      </c>
      <c r="P9" s="214"/>
      <c r="Q9" s="211">
        <f>EINSTELLUNG!L22</f>
        <v>1</v>
      </c>
      <c r="R9" s="211"/>
      <c r="S9" s="19">
        <f>IFERROR(Q9/Q8, 0)</f>
        <v>1.3342584191706249E-4</v>
      </c>
    </row>
    <row r="10" spans="1:28" ht="16" customHeight="1" thickBo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13" t="s">
        <v>62</v>
      </c>
      <c r="P10" s="214"/>
      <c r="Q10" s="211">
        <f>EINSTELLUNG!I22</f>
        <v>1</v>
      </c>
      <c r="R10" s="211"/>
    </row>
    <row r="11" spans="1:28" ht="16" customHeight="1" thickBo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1</v>
      </c>
      <c r="R11" s="211"/>
    </row>
    <row r="12" spans="1:28" ht="16" customHeight="1" thickBo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66</v>
      </c>
      <c r="P12" s="214"/>
      <c r="Q12" s="256"/>
      <c r="R12" s="256"/>
    </row>
    <row r="13" spans="1:28" ht="16" customHeight="1" thickBo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0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92"/>
      <c r="N13" s="76"/>
      <c r="O13" s="213" t="s">
        <v>68</v>
      </c>
      <c r="P13" s="214"/>
      <c r="Q13" s="211">
        <f>Q8-Q9-Q10-Q11-Q12</f>
        <v>7491.8</v>
      </c>
      <c r="R13" s="211"/>
    </row>
    <row r="14" spans="1:28" ht="16" customHeight="1" thickBo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0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92"/>
      <c r="N14" s="76"/>
      <c r="O14" s="213" t="s">
        <v>70</v>
      </c>
      <c r="P14" s="214"/>
      <c r="Q14" s="211">
        <f>EINSTELLUNG!L6</f>
        <v>9300</v>
      </c>
      <c r="R14" s="211"/>
    </row>
    <row r="15" spans="1:28" ht="16" customHeight="1" thickBo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0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92"/>
      <c r="N15" s="76"/>
      <c r="O15" s="213" t="s">
        <v>72</v>
      </c>
      <c r="P15" s="214"/>
      <c r="Q15" s="211">
        <f>Q13-Q14</f>
        <v>-1808.1999999999998</v>
      </c>
      <c r="R15" s="211"/>
      <c r="S15" s="56"/>
      <c r="T15" s="56"/>
      <c r="U15" s="56"/>
    </row>
    <row r="16" spans="1:28" ht="16" customHeight="1" thickBo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O16" s="212" t="str">
        <f>IF(Q15&lt;0, "Schlecht! Zu wenig Stunden für Dienstplan.", IF(Q15&gt;0, "Du hast mehr als genug Stunden für Dienstplan.", ""))</f>
        <v>Schlecht! Zu wenig Stunden für Dienstplan.</v>
      </c>
      <c r="P16" s="212"/>
      <c r="Q16" s="212"/>
      <c r="R16" s="212"/>
      <c r="W16" s="12"/>
    </row>
    <row r="17" spans="1:29" ht="16" customHeight="1" thickBo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57" t="s">
        <v>75</v>
      </c>
      <c r="P17" s="258"/>
      <c r="Q17" s="259">
        <f>SUM(L3:L82)</f>
        <v>90004.82881720431</v>
      </c>
      <c r="R17" s="259"/>
      <c r="W17" s="12"/>
    </row>
    <row r="18" spans="1:29" ht="16" customHeight="1" thickBo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71"/>
      <c r="P18" s="272"/>
      <c r="Q18" s="249"/>
      <c r="R18" s="249"/>
    </row>
    <row r="19" spans="1:29" ht="16" customHeight="1" thickBo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71"/>
      <c r="P19" s="272"/>
      <c r="Q19" s="249"/>
      <c r="R19" s="249"/>
    </row>
    <row r="20" spans="1:29" ht="16" customHeight="1" thickBo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271"/>
      <c r="P20" s="272"/>
      <c r="Q20" s="249"/>
      <c r="R20" s="249"/>
    </row>
    <row r="21" spans="1:29" ht="16" customHeight="1" thickBo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71" t="s">
        <v>320</v>
      </c>
      <c r="P21" s="272"/>
      <c r="Q21" s="249">
        <v>5000</v>
      </c>
      <c r="R21" s="249"/>
    </row>
    <row r="22" spans="1:29" ht="16" customHeight="1" thickBo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3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271"/>
      <c r="P22" s="272"/>
      <c r="Q22" s="249"/>
      <c r="R22" s="249"/>
    </row>
    <row r="23" spans="1:29" ht="16" customHeight="1" thickBo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71"/>
      <c r="P23" s="272"/>
      <c r="Q23" s="249"/>
      <c r="R23" s="249"/>
      <c r="W23" s="12"/>
    </row>
    <row r="24" spans="1:29" ht="16" customHeight="1" thickBo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0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92"/>
      <c r="N24" s="76"/>
      <c r="O24" s="271"/>
      <c r="P24" s="272"/>
      <c r="Q24" s="249"/>
      <c r="R24" s="249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18"/>
      <c r="P25" s="319"/>
      <c r="Q25" s="266"/>
      <c r="R25" s="266"/>
    </row>
    <row r="26" spans="1:29" ht="16" customHeight="1" thickBo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10" t="s">
        <v>90</v>
      </c>
      <c r="P29" s="311"/>
      <c r="Q29" s="312">
        <f>EINSTELLUNG!O6</f>
        <v>1</v>
      </c>
      <c r="R29" s="313"/>
    </row>
    <row r="30" spans="1:29" ht="16" customHeight="1" thickBo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46">
        <v>0</v>
      </c>
      <c r="P31" s="247"/>
      <c r="Q31" s="250">
        <v>1.9607843137254902E-2</v>
      </c>
      <c r="R31" s="251"/>
    </row>
    <row r="32" spans="1:29" ht="16" customHeight="1" thickBo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0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3">
        <v>2</v>
      </c>
      <c r="K32" s="89">
        <f t="shared" si="0"/>
        <v>53.893333333333331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92"/>
      <c r="N32" s="76" t="s">
        <v>197</v>
      </c>
    </row>
    <row r="33" spans="1:24" ht="16" customHeight="1" thickBo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60"/>
      <c r="P33" s="261"/>
      <c r="Q33" s="320" t="s">
        <v>96</v>
      </c>
      <c r="R33" s="321"/>
      <c r="S33" s="324" t="s">
        <v>97</v>
      </c>
      <c r="T33" s="325"/>
      <c r="U33" s="324" t="s">
        <v>98</v>
      </c>
      <c r="V33" s="325"/>
    </row>
    <row r="34" spans="1:24" ht="16" customHeight="1" thickBo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60"/>
      <c r="P34" s="261"/>
      <c r="Q34" s="322"/>
      <c r="R34" s="323"/>
      <c r="S34" s="326"/>
      <c r="T34" s="327"/>
      <c r="U34" s="326"/>
      <c r="V34" s="327"/>
    </row>
    <row r="35" spans="1:24" ht="16" customHeight="1" thickBo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0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3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92"/>
      <c r="N35" s="76"/>
      <c r="O35" s="230" t="s">
        <v>101</v>
      </c>
      <c r="P35" s="231"/>
      <c r="Q35" s="274">
        <f>EINSTELLUNG!C6</f>
        <v>1</v>
      </c>
      <c r="R35" s="274"/>
      <c r="S35" s="274">
        <f>EINSTELLUNG!C22</f>
        <v>1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30" t="s">
        <v>103</v>
      </c>
      <c r="P36" s="231"/>
      <c r="Q36" s="274">
        <f>EINSTELLUNG!D6</f>
        <v>1</v>
      </c>
      <c r="R36" s="274"/>
      <c r="S36" s="274" cm="1">
        <f t="array" ref="S36">SumMergedCells(Q17:R29)</f>
        <v>95005.828800000003</v>
      </c>
      <c r="T36" s="274"/>
      <c r="U36" s="275">
        <f t="shared" ref="U36:U41" si="2">S36-Q36</f>
        <v>95004.828800000003</v>
      </c>
      <c r="V36" s="275"/>
    </row>
    <row r="37" spans="1:24" ht="16" customHeight="1" thickBo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95005.828800000003</v>
      </c>
      <c r="T37" s="279"/>
      <c r="U37" s="280">
        <f t="shared" si="2"/>
        <v>95004.828800000003</v>
      </c>
      <c r="V37" s="280"/>
    </row>
    <row r="38" spans="1:24" ht="16" customHeight="1" thickBo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30" t="s">
        <v>107</v>
      </c>
      <c r="P38" s="231"/>
      <c r="Q38" s="281">
        <f>EINSTELLUNG!F6</f>
        <v>1</v>
      </c>
      <c r="R38" s="281"/>
      <c r="S38" s="281">
        <f>EINSTELLUNG!F22</f>
        <v>1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30" t="s">
        <v>111</v>
      </c>
      <c r="P40" s="231"/>
      <c r="Q40" s="274">
        <f>IF(Q13=0, 0, Q35/Q13)</f>
        <v>1.3347927066926506E-4</v>
      </c>
      <c r="R40" s="274"/>
      <c r="S40" s="274">
        <f>IF(Q13=0, 0, S35/Q13)</f>
        <v>1.3347927066926506E-4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30" t="s">
        <v>113</v>
      </c>
      <c r="P41" s="231"/>
      <c r="Q41" s="281">
        <f>IF(Q13=0, 0, Q38/Q13)</f>
        <v>1.3347927066926506E-4</v>
      </c>
      <c r="R41" s="281"/>
      <c r="S41" s="281">
        <f>IF(Q13=0, 0, S38/Q13)</f>
        <v>1.3347927066926506E-4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30" t="s">
        <v>115</v>
      </c>
      <c r="P42" s="231"/>
      <c r="Q42" s="277">
        <f>IFERROR(Q17/Q8, 0)</f>
        <v>12.008970061536573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92"/>
      <c r="N54" s="76"/>
    </row>
    <row r="55" spans="1:14" ht="16" customHeight="1" thickBot="1">
      <c r="A55" s="61" t="s">
        <v>129</v>
      </c>
      <c r="B55" s="98"/>
      <c r="C55" s="67"/>
      <c r="D55" s="68"/>
      <c r="E55" s="65"/>
      <c r="F55" s="66"/>
      <c r="G55" s="110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 thickBot="1">
      <c r="A56" s="61" t="s">
        <v>130</v>
      </c>
      <c r="B56" s="98"/>
      <c r="C56" s="67"/>
      <c r="D56" s="68"/>
      <c r="E56" s="65"/>
      <c r="F56" s="66"/>
      <c r="G56" s="110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 thickBot="1">
      <c r="A57" s="62" t="s">
        <v>131</v>
      </c>
      <c r="B57" s="98"/>
      <c r="C57" s="67"/>
      <c r="D57" s="68"/>
      <c r="E57" s="65"/>
      <c r="F57" s="66"/>
      <c r="G57" s="110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 thickBot="1">
      <c r="A58" s="61" t="s">
        <v>132</v>
      </c>
      <c r="B58" s="98"/>
      <c r="C58" s="67"/>
      <c r="D58" s="68"/>
      <c r="E58" s="65"/>
      <c r="F58" s="66"/>
      <c r="G58" s="110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68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68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68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68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68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68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68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68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68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3"/>
      <c r="K67" s="89">
        <f t="shared" si="1"/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68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3"/>
      <c r="K68" s="89">
        <f t="shared" si="1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68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3"/>
      <c r="K69" s="89">
        <f t="shared" si="1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68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3"/>
      <c r="K70" s="89">
        <f t="shared" si="1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68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3"/>
      <c r="K71" s="89">
        <f t="shared" si="1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68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3"/>
      <c r="K72" s="89">
        <f t="shared" si="1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68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3"/>
      <c r="K73" s="89">
        <f t="shared" si="1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68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3"/>
      <c r="K74" s="89">
        <f t="shared" si="1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68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3"/>
      <c r="K75" s="89">
        <f t="shared" si="1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68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3"/>
      <c r="K76" s="89">
        <f t="shared" si="1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68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3"/>
      <c r="K77" s="89">
        <f t="shared" si="1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68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3"/>
      <c r="K78" s="89">
        <f t="shared" si="1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68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3"/>
      <c r="K79" s="89">
        <f t="shared" si="1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68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3"/>
      <c r="K80" s="89">
        <f t="shared" si="1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68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3"/>
      <c r="K81" s="89">
        <f t="shared" si="1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4"/>
      <c r="K82" s="90">
        <f t="shared" si="1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306"/>
      <c r="L114" s="306"/>
      <c r="M114" s="306"/>
      <c r="N114" s="58"/>
    </row>
    <row r="115" spans="11:14" ht="16" customHeight="1">
      <c r="K115" s="306"/>
      <c r="L115" s="306"/>
      <c r="M115" s="306"/>
      <c r="N115" s="58"/>
    </row>
    <row r="116" spans="11:14" ht="16" customHeight="1">
      <c r="K116" s="307"/>
      <c r="L116" s="307"/>
      <c r="M116" s="43"/>
      <c r="N116" s="43"/>
    </row>
    <row r="117" spans="11:14" ht="16" customHeight="1">
      <c r="K117" s="307"/>
      <c r="L117" s="307"/>
      <c r="M117" s="43"/>
      <c r="N117" s="43"/>
    </row>
    <row r="118" spans="11:14" ht="16" customHeight="1">
      <c r="K118" s="308"/>
      <c r="L118" s="308"/>
      <c r="M118" s="44"/>
      <c r="N118" s="44"/>
    </row>
    <row r="119" spans="11:14" ht="16" customHeight="1">
      <c r="K119" s="309"/>
      <c r="L119" s="309"/>
      <c r="M119" s="45"/>
      <c r="N119" s="45"/>
    </row>
    <row r="120" spans="11:14" ht="16" customHeight="1">
      <c r="K120" s="307"/>
      <c r="L120" s="307"/>
      <c r="M120" s="43"/>
      <c r="N120" s="43"/>
    </row>
    <row r="121" spans="11:14" ht="16" customHeight="1">
      <c r="K121" s="307"/>
      <c r="L121" s="307"/>
      <c r="M121" s="43"/>
      <c r="N121" s="43"/>
    </row>
    <row r="122" spans="11:14" ht="16" customHeight="1">
      <c r="K122" s="309"/>
      <c r="L122" s="309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gNr8snn70rJffb5sfFNBFpt8IRvY2qgszUe9t8bfF7iPUrz4dfla6EoTUBB3O02N/Ru7biBZcZbE5hp0lLLi0g==" saltValue="Wt0Ni6DxtQhSOu+a4qU/Tw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8DiKm01RlvzUT5zao+7F+aqh4NrJpdJAWY20Lv6FrRXho3XJmHv0krVRuMOWy13BB6A9rxg204EeYEfyiazV6g==" saltValue="suSStjI6C24wFDEz84hcV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46054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46081</v>
      </c>
    </row>
    <row r="3" spans="1:28" ht="16" customHeight="1" thickBot="1">
      <c r="A3" s="61" t="s">
        <v>48</v>
      </c>
      <c r="B3" s="97">
        <v>401006</v>
      </c>
      <c r="C3" s="94" t="s">
        <v>235</v>
      </c>
      <c r="D3" s="116">
        <v>38188</v>
      </c>
      <c r="E3" s="72" t="s">
        <v>13</v>
      </c>
      <c r="F3" s="95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401010</v>
      </c>
      <c r="C4" s="67" t="s">
        <v>236</v>
      </c>
      <c r="D4" s="117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401047</v>
      </c>
      <c r="C5" s="67" t="s">
        <v>238</v>
      </c>
      <c r="D5" s="117">
        <v>41154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-10128.460236841885</v>
      </c>
    </row>
    <row r="6" spans="1:28" ht="16" customHeight="1" thickBot="1">
      <c r="A6" s="61" t="s">
        <v>55</v>
      </c>
      <c r="B6" s="98">
        <v>401049</v>
      </c>
      <c r="C6" s="69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39" t="str">
        <f>IF(Q5&lt;0, "Schlecht! Zu wenig Urlaub abgebaut.", IF(Q5&gt;0, "Gut! Mehr Urlaub abgebaut als aufgebaut.", ""))</f>
        <v>Schlecht! Zu wenig Urlaub abgebaut.</v>
      </c>
      <c r="P6" s="339"/>
      <c r="Q6" s="339"/>
      <c r="R6" s="339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335" t="s">
        <v>58</v>
      </c>
      <c r="P8" s="213"/>
      <c r="Q8" s="336">
        <f>SUM(H3:H82)</f>
        <v>8643.5099999999984</v>
      </c>
      <c r="R8" s="337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335" t="s">
        <v>60</v>
      </c>
      <c r="P9" s="213"/>
      <c r="Q9" s="336">
        <f>EINSTELLUNG!L23</f>
        <v>2</v>
      </c>
      <c r="R9" s="337"/>
      <c r="S9" s="19">
        <f>IFERROR(Q9/Q8, 0)</f>
        <v>2.313874803176025E-4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335" t="s">
        <v>62</v>
      </c>
      <c r="P10" s="213"/>
      <c r="Q10" s="336">
        <f>EINSTELLUNG!I23</f>
        <v>2</v>
      </c>
      <c r="R10" s="337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335" t="s">
        <v>64</v>
      </c>
      <c r="P11" s="213"/>
      <c r="Q11" s="336">
        <f>P5</f>
        <v>2</v>
      </c>
      <c r="R11" s="337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335" t="s">
        <v>68</v>
      </c>
      <c r="P12" s="213"/>
      <c r="Q12" s="336">
        <f>Q8-Q9-Q10-Q11</f>
        <v>8637.5099999999984</v>
      </c>
      <c r="R12" s="337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335" t="s">
        <v>70</v>
      </c>
      <c r="P13" s="213"/>
      <c r="Q13" s="336">
        <f>EINSTELLUNG!L7</f>
        <v>9300</v>
      </c>
      <c r="R13" s="337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335" t="s">
        <v>72</v>
      </c>
      <c r="P14" s="213"/>
      <c r="Q14" s="336">
        <f>Q12-Q13</f>
        <v>-662.4900000000016</v>
      </c>
      <c r="R14" s="337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38" t="str">
        <f>IF(Q14&lt;0, "Schlecht! Zu wenig Stunden für Dienstplan.", IF(Q14&gt;0, "Du hast mehr als genug Stunden für Dienstplan.", ""))</f>
        <v>Schlecht! Zu wenig Stunden für Dienstplan.</v>
      </c>
      <c r="P15" s="338"/>
      <c r="Q15" s="338"/>
      <c r="R15" s="338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46" t="s">
        <v>75</v>
      </c>
      <c r="P17" s="257"/>
      <c r="Q17" s="347">
        <f>SUM(L3:L82)</f>
        <v>103521.01285714286</v>
      </c>
      <c r="R17" s="348"/>
      <c r="W17" s="12"/>
    </row>
    <row r="18" spans="1:29" ht="16" customHeight="1" thickBot="1">
      <c r="A18" s="61" t="s">
        <v>76</v>
      </c>
      <c r="B18" s="98">
        <v>401476</v>
      </c>
      <c r="C18" s="67" t="s">
        <v>249</v>
      </c>
      <c r="D18" s="117">
        <v>44504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49"/>
      <c r="P18" s="244"/>
      <c r="Q18" s="350"/>
      <c r="R18" s="351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49"/>
      <c r="P19" s="244"/>
      <c r="Q19" s="350"/>
      <c r="R19" s="351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349"/>
      <c r="P20" s="244"/>
      <c r="Q20" s="350"/>
      <c r="R20" s="351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49" t="s">
        <v>320</v>
      </c>
      <c r="P21" s="244"/>
      <c r="Q21" s="350">
        <v>5000</v>
      </c>
      <c r="R21" s="351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49"/>
      <c r="P22" s="244"/>
      <c r="Q22" s="350"/>
      <c r="R22" s="351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49"/>
      <c r="P23" s="244"/>
      <c r="Q23" s="350"/>
      <c r="R23" s="351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49"/>
      <c r="P24" s="244"/>
      <c r="Q24" s="350"/>
      <c r="R24" s="351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40"/>
      <c r="P25" s="263"/>
      <c r="Q25" s="341"/>
      <c r="R25" s="342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43"/>
      <c r="P26" s="267"/>
      <c r="Q26" s="344"/>
      <c r="R26" s="345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359"/>
      <c r="P27" s="271"/>
      <c r="Q27" s="360"/>
      <c r="R27" s="361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62"/>
      <c r="P28" s="314"/>
      <c r="Q28" s="363"/>
      <c r="R28" s="364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65" t="s">
        <v>90</v>
      </c>
      <c r="P29" s="310"/>
      <c r="Q29" s="366">
        <f>EINSTELLUNG!O7</f>
        <v>2</v>
      </c>
      <c r="R29" s="367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7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52">
        <v>0</v>
      </c>
      <c r="P31" s="353"/>
      <c r="Q31" s="354">
        <v>1.7241379310344827E-2</v>
      </c>
      <c r="R31" s="246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55"/>
      <c r="P33" s="356"/>
      <c r="Q33" s="320" t="s">
        <v>96</v>
      </c>
      <c r="R33" s="321"/>
      <c r="S33" s="324" t="s">
        <v>97</v>
      </c>
      <c r="T33" s="325"/>
      <c r="U33" s="324" t="s">
        <v>98</v>
      </c>
      <c r="V33" s="325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57"/>
      <c r="P34" s="358"/>
      <c r="Q34" s="322"/>
      <c r="R34" s="323"/>
      <c r="S34" s="326"/>
      <c r="T34" s="327"/>
      <c r="U34" s="326"/>
      <c r="V34" s="327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330" t="s">
        <v>101</v>
      </c>
      <c r="P35" s="230"/>
      <c r="Q35" s="277">
        <f>EINSTELLUNG!C7</f>
        <v>2</v>
      </c>
      <c r="R35" s="278"/>
      <c r="S35" s="277">
        <f>EINSTELLUNG!C23</f>
        <v>2</v>
      </c>
      <c r="T35" s="278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330" t="s">
        <v>103</v>
      </c>
      <c r="P36" s="230"/>
      <c r="Q36" s="277">
        <f>EINSTELLUNG!D7</f>
        <v>2</v>
      </c>
      <c r="R36" s="278"/>
      <c r="S36" s="274" cm="1">
        <f t="array" ref="S36">SumMergedCells(Q17:R29)</f>
        <v>108523.0129</v>
      </c>
      <c r="T36" s="274"/>
      <c r="U36" s="275">
        <f t="shared" ref="U36:U41" si="2">S36-Q36</f>
        <v>108521.0129</v>
      </c>
      <c r="V36" s="275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330" t="s">
        <v>105</v>
      </c>
      <c r="P37" s="230"/>
      <c r="Q37" s="331">
        <f>IF(ISERROR(Q36/Q35), 0, Q36/Q35)</f>
        <v>1</v>
      </c>
      <c r="R37" s="332"/>
      <c r="S37" s="331">
        <f>IF(ISERROR(S36/S35), 0, S36/S35)</f>
        <v>54261.506450000001</v>
      </c>
      <c r="T37" s="332"/>
      <c r="U37" s="280">
        <f t="shared" si="2"/>
        <v>54260.506450000001</v>
      </c>
      <c r="V37" s="280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92"/>
      <c r="N38" s="76"/>
      <c r="O38" s="330" t="s">
        <v>107</v>
      </c>
      <c r="P38" s="230"/>
      <c r="Q38" s="333">
        <f>EINSTELLUNG!F7</f>
        <v>2</v>
      </c>
      <c r="R38" s="334"/>
      <c r="S38" s="333">
        <f>EINSTELLUNG!F23</f>
        <v>2</v>
      </c>
      <c r="T38" s="334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330" t="s">
        <v>109</v>
      </c>
      <c r="P39" s="230"/>
      <c r="Q39" s="277">
        <f>IF(Q38=0, 0, Q35/Q38)</f>
        <v>1</v>
      </c>
      <c r="R39" s="278"/>
      <c r="S39" s="277">
        <f>IF(S38=0, 0, S35/S38)</f>
        <v>1</v>
      </c>
      <c r="T39" s="278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30" t="s">
        <v>111</v>
      </c>
      <c r="P40" s="231"/>
      <c r="Q40" s="274">
        <f>IF(Q12=0, 0, Q35/Q12)</f>
        <v>2.3154821238991334E-4</v>
      </c>
      <c r="R40" s="274"/>
      <c r="S40" s="274">
        <f>IF(Q12=0, 0, S35/Q12)</f>
        <v>2.3154821238991334E-4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30" t="s">
        <v>113</v>
      </c>
      <c r="P41" s="231"/>
      <c r="Q41" s="281">
        <f>IF(Q12=0, 0, Q38/Q12)</f>
        <v>2.3154821238991334E-4</v>
      </c>
      <c r="R41" s="281"/>
      <c r="S41" s="281">
        <f>IF(Q12=0, 0, S38/Q12)</f>
        <v>2.3154821238991334E-4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30" t="s">
        <v>115</v>
      </c>
      <c r="P42" s="231"/>
      <c r="Q42" s="277">
        <f>IFERROR(Q17/Q8, 0)</f>
        <v>11.976733162470209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9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138.4</v>
      </c>
      <c r="G49" s="110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92"/>
      <c r="N49" s="76"/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401754</v>
      </c>
      <c r="C53" s="67" t="s">
        <v>286</v>
      </c>
      <c r="D53" s="117">
        <v>46014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55</v>
      </c>
      <c r="C55" s="67" t="s">
        <v>331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92"/>
      <c r="N58" s="76"/>
    </row>
    <row r="59" spans="1:14" ht="16" customHeight="1" thickBot="1">
      <c r="A59" s="61" t="s">
        <v>133</v>
      </c>
      <c r="B59" s="98">
        <v>500600</v>
      </c>
      <c r="C59" s="67" t="s">
        <v>335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92"/>
      <c r="N59" s="76"/>
    </row>
    <row r="60" spans="1:14" ht="16" customHeight="1" thickBot="1">
      <c r="A60" s="61" t="s">
        <v>134</v>
      </c>
      <c r="B60" s="98">
        <v>600000</v>
      </c>
      <c r="C60" s="67" t="s">
        <v>336</v>
      </c>
      <c r="D60" s="117">
        <v>46054</v>
      </c>
      <c r="E60" s="65" t="s">
        <v>2</v>
      </c>
      <c r="F60" s="66">
        <v>151.38</v>
      </c>
      <c r="G60" s="110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0">
        <v>46055</v>
      </c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92"/>
      <c r="N60" s="76" t="s">
        <v>195</v>
      </c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jRqsfMDyukfNtM1Ls7dYEOSYEkNUqxafuxe5vs2dZBVZJBxerLE+HbafmCf6xGaeur2TdBszLJZzaLgBMl3ZQw==" saltValue="reTQAvNvqSzIQ3XwFmBTe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46082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46112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-10433.863624459818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8920.8000000000011</v>
      </c>
      <c r="R8" s="21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13" t="s">
        <v>60</v>
      </c>
      <c r="P9" s="214"/>
      <c r="Q9" s="211">
        <f>EINSTELLUNG!L24</f>
        <v>3</v>
      </c>
      <c r="R9" s="211"/>
      <c r="S9" s="19">
        <f>IFERROR(Q9/Q8, 0)</f>
        <v>3.3629270917406509E-4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13" t="s">
        <v>62</v>
      </c>
      <c r="P10" s="214"/>
      <c r="Q10" s="211">
        <f>EINSTELLUNG!I24</f>
        <v>3</v>
      </c>
      <c r="R10" s="21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3</v>
      </c>
      <c r="R11" s="21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66</v>
      </c>
      <c r="P12" s="214"/>
      <c r="Q12" s="256">
        <v>-445</v>
      </c>
      <c r="R12" s="25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68</v>
      </c>
      <c r="P13" s="214"/>
      <c r="Q13" s="211">
        <f>Q8-Q9-Q10-Q11-Q12</f>
        <v>9356.8000000000011</v>
      </c>
      <c r="R13" s="21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70</v>
      </c>
      <c r="P14" s="214"/>
      <c r="Q14" s="211">
        <f>EINSTELLUNG!L8</f>
        <v>9300</v>
      </c>
      <c r="R14" s="21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13" t="s">
        <v>72</v>
      </c>
      <c r="P15" s="214"/>
      <c r="Q15" s="211">
        <f>Q13-Q14</f>
        <v>56.800000000001091</v>
      </c>
      <c r="R15" s="21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12" t="str">
        <f>IF(Q15&lt;0, "Schlecht! Zu wenig Stunden für Dienstplan.", IF(Q15&gt;0, "Du hast mehr als genug Stunden für Dienstplan.", ""))</f>
        <v>Du hast mehr als genug Stunden für Dienstplan.</v>
      </c>
      <c r="P16" s="212"/>
      <c r="Q16" s="212"/>
      <c r="R16" s="21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57" t="s">
        <v>75</v>
      </c>
      <c r="P17" s="258"/>
      <c r="Q17" s="259">
        <f>SUM(L3:L82)</f>
        <v>107021.09612903227</v>
      </c>
      <c r="R17" s="259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44"/>
      <c r="P19" s="245"/>
      <c r="Q19" s="248"/>
      <c r="R19" s="249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244"/>
      <c r="P20" s="245"/>
      <c r="Q20" s="248"/>
      <c r="R20" s="249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244"/>
      <c r="P22" s="245"/>
      <c r="Q22" s="248"/>
      <c r="R22" s="249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263"/>
      <c r="P25" s="264"/>
      <c r="Q25" s="265"/>
      <c r="R25" s="26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10" t="s">
        <v>90</v>
      </c>
      <c r="P29" s="311"/>
      <c r="Q29" s="312">
        <f>EINSTELLUNG!O8</f>
        <v>3</v>
      </c>
      <c r="R29" s="313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46">
        <v>0</v>
      </c>
      <c r="P31" s="247"/>
      <c r="Q31" s="250">
        <v>1.6949152542372881E-2</v>
      </c>
      <c r="R31" s="25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30" t="s">
        <v>101</v>
      </c>
      <c r="P35" s="231"/>
      <c r="Q35" s="274">
        <f>EINSTELLUNG!C8</f>
        <v>3</v>
      </c>
      <c r="R35" s="274"/>
      <c r="S35" s="274">
        <f>EINSTELLUNG!C24</f>
        <v>3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30" t="s">
        <v>103</v>
      </c>
      <c r="P36" s="231"/>
      <c r="Q36" s="274">
        <f>EINSTELLUNG!D8</f>
        <v>3</v>
      </c>
      <c r="R36" s="274"/>
      <c r="S36" s="274" cm="1">
        <f t="array" ref="S36">SumMergedCells(Q17:R29)</f>
        <v>112024.0961</v>
      </c>
      <c r="T36" s="274"/>
      <c r="U36" s="275">
        <f t="shared" ref="U36:U41" si="2">S36-Q36</f>
        <v>112021.0961</v>
      </c>
      <c r="V36" s="275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37341.365366666665</v>
      </c>
      <c r="T37" s="279"/>
      <c r="U37" s="280">
        <f t="shared" si="2"/>
        <v>37340.365366666665</v>
      </c>
      <c r="V37" s="280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30" t="s">
        <v>107</v>
      </c>
      <c r="P38" s="231"/>
      <c r="Q38" s="281">
        <f>EINSTELLUNG!F8</f>
        <v>3</v>
      </c>
      <c r="R38" s="281"/>
      <c r="S38" s="281">
        <f>EINSTELLUNG!F24</f>
        <v>3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30" t="s">
        <v>111</v>
      </c>
      <c r="P40" s="231"/>
      <c r="Q40" s="274">
        <f>IF(Q13=0, 0, Q35/Q13)</f>
        <v>3.2062243502051978E-4</v>
      </c>
      <c r="R40" s="274"/>
      <c r="S40" s="274">
        <f>IF(Q13=0, 0, S35/Q13)</f>
        <v>3.2062243502051978E-4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30" t="s">
        <v>113</v>
      </c>
      <c r="P41" s="231"/>
      <c r="Q41" s="281">
        <f>IF(Q13=0, 0, Q38/Q13)</f>
        <v>3.2062243502051978E-4</v>
      </c>
      <c r="R41" s="281"/>
      <c r="S41" s="281">
        <f>IF(Q13=0, 0, S38/Q13)</f>
        <v>3.2062243502051978E-4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151.38</v>
      </c>
      <c r="G42" s="110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92"/>
      <c r="N42" s="76"/>
      <c r="O42" s="230" t="s">
        <v>115</v>
      </c>
      <c r="P42" s="231"/>
      <c r="Q42" s="277">
        <f>IFERROR(Q17/Q8, 0)</f>
        <v>11.996804785336771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138.4</v>
      </c>
      <c r="G44" s="110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117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0">
        <v>46096</v>
      </c>
      <c r="J54" s="113">
        <v>8</v>
      </c>
      <c r="K54" s="89">
        <f t="shared" si="1"/>
        <v>260.77419354838707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92"/>
      <c r="N54" s="76" t="s">
        <v>205</v>
      </c>
    </row>
    <row r="55" spans="1:14" ht="16" customHeight="1" thickBot="1">
      <c r="A55" s="61" t="s">
        <v>129</v>
      </c>
      <c r="B55" s="98">
        <v>401999</v>
      </c>
      <c r="C55" s="67" t="s">
        <v>319</v>
      </c>
      <c r="D55" s="117">
        <v>46082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9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46096</v>
      </c>
      <c r="E62" s="65" t="s">
        <v>2</v>
      </c>
      <c r="F62" s="66">
        <v>173</v>
      </c>
      <c r="G62" s="110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xM8Wb0NY3nHurn4z2xBLysBN92YynsOk4qDO8l53ptW4iFV0fQQj2jUWFGav0tktls8dEAH3TloLSfpK3PUWPQ==" saltValue="5yAc+/kBvGFQgAq+YEQ6L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46113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46142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-10202.717279060409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8796.1799999999985</v>
      </c>
      <c r="R8" s="21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13" t="s">
        <v>60</v>
      </c>
      <c r="P9" s="214"/>
      <c r="Q9" s="211">
        <f>EINSTELLUNG!L25</f>
        <v>4</v>
      </c>
      <c r="R9" s="211"/>
      <c r="S9" s="19">
        <f>IFERROR(Q9/Q8, 0)</f>
        <v>4.5474285428447357E-4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13" t="s">
        <v>62</v>
      </c>
      <c r="P10" s="214"/>
      <c r="Q10" s="211">
        <f>EINSTELLUNG!I25</f>
        <v>4</v>
      </c>
      <c r="R10" s="21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4</v>
      </c>
      <c r="R11" s="21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66</v>
      </c>
      <c r="P12" s="214"/>
      <c r="Q12" s="256">
        <v>-255</v>
      </c>
      <c r="R12" s="25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68</v>
      </c>
      <c r="P13" s="214"/>
      <c r="Q13" s="211">
        <f>Q8-Q9-Q10-Q11-Q12</f>
        <v>9039.1799999999985</v>
      </c>
      <c r="R13" s="21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70</v>
      </c>
      <c r="P14" s="214"/>
      <c r="Q14" s="211">
        <f>EINSTELLUNG!L9</f>
        <v>9300</v>
      </c>
      <c r="R14" s="21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13" t="s">
        <v>72</v>
      </c>
      <c r="P15" s="214"/>
      <c r="Q15" s="211">
        <f>Q13-Q14</f>
        <v>-260.82000000000153</v>
      </c>
      <c r="R15" s="21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12" t="str">
        <f>IF(Q15&lt;0, "Schlecht! Zu wenig Stunden für Dienstplan.", IF(Q15&gt;0, "Du hast mehr als genug Stunden für Dienstplan.", ""))</f>
        <v>Schlecht! Zu wenig Stunden für Dienstplan.</v>
      </c>
      <c r="P16" s="212"/>
      <c r="Q16" s="212"/>
      <c r="R16" s="21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57" t="s">
        <v>75</v>
      </c>
      <c r="P17" s="258"/>
      <c r="Q17" s="259">
        <f>SUM(L3:L82)</f>
        <v>105600.40000000001</v>
      </c>
      <c r="R17" s="259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44"/>
      <c r="P19" s="245"/>
      <c r="Q19" s="248"/>
      <c r="R19" s="249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151.38</v>
      </c>
      <c r="G20" s="110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92"/>
      <c r="N20" s="76"/>
      <c r="O20" s="244"/>
      <c r="P20" s="245"/>
      <c r="Q20" s="248"/>
      <c r="R20" s="249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244"/>
      <c r="P22" s="245"/>
      <c r="Q22" s="248"/>
      <c r="R22" s="249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263"/>
      <c r="P25" s="264"/>
      <c r="Q25" s="265"/>
      <c r="R25" s="26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10" t="s">
        <v>90</v>
      </c>
      <c r="P29" s="311"/>
      <c r="Q29" s="312">
        <f>EINSTELLUNG!O9</f>
        <v>4</v>
      </c>
      <c r="R29" s="313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46">
        <v>0</v>
      </c>
      <c r="P31" s="247"/>
      <c r="Q31" s="250">
        <v>0</v>
      </c>
      <c r="R31" s="25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30" t="s">
        <v>101</v>
      </c>
      <c r="P35" s="231"/>
      <c r="Q35" s="274">
        <f>EINSTELLUNG!C9</f>
        <v>4</v>
      </c>
      <c r="R35" s="274"/>
      <c r="S35" s="274">
        <f>EINSTELLUNG!C25</f>
        <v>4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30" t="s">
        <v>103</v>
      </c>
      <c r="P36" s="231"/>
      <c r="Q36" s="274">
        <f>EINSTELLUNG!D9</f>
        <v>4</v>
      </c>
      <c r="R36" s="274"/>
      <c r="S36" s="274" cm="1">
        <f t="array" ref="S36">SumMergedCells(Q17:R29)</f>
        <v>110604.4</v>
      </c>
      <c r="T36" s="274"/>
      <c r="U36" s="275">
        <f t="shared" ref="U36:U41" si="2">S36-Q36</f>
        <v>110600.4</v>
      </c>
      <c r="V36" s="275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27651.1</v>
      </c>
      <c r="T37" s="279"/>
      <c r="U37" s="280">
        <f t="shared" si="2"/>
        <v>27650.1</v>
      </c>
      <c r="V37" s="280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30" t="s">
        <v>107</v>
      </c>
      <c r="P38" s="231"/>
      <c r="Q38" s="281">
        <f>EINSTELLUNG!F9</f>
        <v>4</v>
      </c>
      <c r="R38" s="281"/>
      <c r="S38" s="281">
        <f>EINSTELLUNG!F25</f>
        <v>4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30" t="s">
        <v>111</v>
      </c>
      <c r="P40" s="231"/>
      <c r="Q40" s="274">
        <f>IF(Q13=0, 0, Q35/Q13)</f>
        <v>4.4251801601472707E-4</v>
      </c>
      <c r="R40" s="274"/>
      <c r="S40" s="274">
        <f>IF(Q13=0, 0, S35/Q13)</f>
        <v>4.4251801601472707E-4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30" t="s">
        <v>113</v>
      </c>
      <c r="P41" s="231"/>
      <c r="Q41" s="281">
        <f>IF(Q13=0, 0, Q38/Q13)</f>
        <v>4.4251801601472707E-4</v>
      </c>
      <c r="R41" s="281"/>
      <c r="S41" s="281">
        <f>IF(Q13=0, 0, S38/Q13)</f>
        <v>4.4251801601472707E-4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30" t="s">
        <v>115</v>
      </c>
      <c r="P42" s="231"/>
      <c r="Q42" s="277">
        <f>IFERROR(Q17/Q8, 0)</f>
        <v>12.005256827395531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46082</v>
      </c>
      <c r="E62" s="65" t="s">
        <v>2</v>
      </c>
      <c r="F62" s="66">
        <v>64</v>
      </c>
      <c r="G62" s="110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9w24pmPHb0EHSNM3rhxMiYtOHi/fEer5PZ6QzbXPodNK8AtgqRgPE7RulxIut1cjB7uGIBx3RWnz7ubuuWYduw==" saltValue="9Egrs0NEcHsFsf5gRW7Vx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46143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46173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3</v>
      </c>
      <c r="F4" s="66">
        <v>173</v>
      </c>
      <c r="G4" s="110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896.92764790266722</v>
      </c>
      <c r="P5" s="15">
        <f>EINSTELLUNG!I10</f>
        <v>5</v>
      </c>
      <c r="Q5" s="14">
        <f>P5-O5</f>
        <v>-891.92764790266722</v>
      </c>
      <c r="R5" s="18">
        <f>IFERROR(Q5*Q42, 0)</f>
        <v>-11656.665354550607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9272.1</v>
      </c>
      <c r="R8" s="21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13" t="s">
        <v>60</v>
      </c>
      <c r="P9" s="214"/>
      <c r="Q9" s="211">
        <f>EINSTELLUNG!L26</f>
        <v>5</v>
      </c>
      <c r="R9" s="211"/>
      <c r="S9" s="19">
        <f>IFERROR(Q9/Q8, 0)</f>
        <v>5.3925216509744282E-4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13" t="s">
        <v>62</v>
      </c>
      <c r="P10" s="214"/>
      <c r="Q10" s="211">
        <f>EINSTELLUNG!I26</f>
        <v>5</v>
      </c>
      <c r="R10" s="21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5</v>
      </c>
      <c r="R11" s="21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68</v>
      </c>
      <c r="P12" s="214"/>
      <c r="Q12" s="211">
        <f>Q8-Q9-Q10-Q11</f>
        <v>9257.1</v>
      </c>
      <c r="R12" s="211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70</v>
      </c>
      <c r="P13" s="214"/>
      <c r="Q13" s="211">
        <f>EINSTELLUNG!L10</f>
        <v>9300</v>
      </c>
      <c r="R13" s="21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72</v>
      </c>
      <c r="P14" s="214"/>
      <c r="Q14" s="211">
        <f>Q12-Q13</f>
        <v>-42.899999999999636</v>
      </c>
      <c r="R14" s="21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129.75</v>
      </c>
      <c r="G15" s="110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92"/>
      <c r="N15" s="76"/>
      <c r="O15" s="368" t="str">
        <f>IF(Q14&lt;0, "Schlecht! Zu wenig Stunden für Dienstplan.", IF(Q14&gt;0, "Du hast mehr als genug Stunden für Dienstplan.", ""))</f>
        <v>Schlecht! Zu wenig Stunden für Dienstplan.</v>
      </c>
      <c r="P15" s="368"/>
      <c r="Q15" s="368"/>
      <c r="R15" s="368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57" t="s">
        <v>75</v>
      </c>
      <c r="P17" s="258"/>
      <c r="Q17" s="259">
        <f>SUM(L3:L82)</f>
        <v>121177.72903225807</v>
      </c>
      <c r="R17" s="259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244"/>
      <c r="P19" s="245"/>
      <c r="Q19" s="248"/>
      <c r="R19" s="249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244"/>
      <c r="P20" s="245"/>
      <c r="Q20" s="248"/>
      <c r="R20" s="249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244"/>
      <c r="P22" s="245"/>
      <c r="Q22" s="248"/>
      <c r="R22" s="249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10</v>
      </c>
      <c r="F23" s="66">
        <v>151.38</v>
      </c>
      <c r="G23" s="110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263"/>
      <c r="P25" s="264"/>
      <c r="Q25" s="265"/>
      <c r="R25" s="26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10" t="s">
        <v>90</v>
      </c>
      <c r="P29" s="311"/>
      <c r="Q29" s="312">
        <f>EINSTELLUNG!O10</f>
        <v>5</v>
      </c>
      <c r="R29" s="313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6">
        <v>0</v>
      </c>
      <c r="P31" s="247"/>
      <c r="Q31" s="250">
        <v>0</v>
      </c>
      <c r="R31" s="25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0" t="s">
        <v>101</v>
      </c>
      <c r="P35" s="231"/>
      <c r="Q35" s="274">
        <f>EINSTELLUNG!C10</f>
        <v>5</v>
      </c>
      <c r="R35" s="274"/>
      <c r="S35" s="274">
        <f>EINSTELLUNG!C26</f>
        <v>5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0" t="s">
        <v>103</v>
      </c>
      <c r="P36" s="231"/>
      <c r="Q36" s="274">
        <f>EINSTELLUNG!D10</f>
        <v>5</v>
      </c>
      <c r="R36" s="274"/>
      <c r="S36" s="274" cm="1">
        <f t="array" ref="S36">SumMergedCells(Q17:R29)</f>
        <v>126182.72900000001</v>
      </c>
      <c r="T36" s="274"/>
      <c r="U36" s="275">
        <f t="shared" ref="U36:U41" si="2">S36-Q36</f>
        <v>126177.72900000001</v>
      </c>
      <c r="V36" s="275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25236.5458</v>
      </c>
      <c r="T37" s="279"/>
      <c r="U37" s="280">
        <f t="shared" si="2"/>
        <v>25235.5458</v>
      </c>
      <c r="V37" s="280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30" t="s">
        <v>107</v>
      </c>
      <c r="P38" s="231"/>
      <c r="Q38" s="281">
        <f>EINSTELLUNG!F10</f>
        <v>5</v>
      </c>
      <c r="R38" s="281"/>
      <c r="S38" s="281">
        <f>EINSTELLUNG!F26</f>
        <v>5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0" t="s">
        <v>111</v>
      </c>
      <c r="P40" s="231"/>
      <c r="Q40" s="274">
        <f>IF(Q12=0, 0, Q35/Q12)</f>
        <v>5.4012595737325947E-4</v>
      </c>
      <c r="R40" s="274"/>
      <c r="S40" s="274">
        <f>IF(Q12=0, 0, S35/Q12)</f>
        <v>5.4012595737325947E-4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0" t="s">
        <v>113</v>
      </c>
      <c r="P41" s="231"/>
      <c r="Q41" s="281">
        <f>IF(Q12=0, 0, Q38/Q12)</f>
        <v>5.4012595737325947E-4</v>
      </c>
      <c r="R41" s="281"/>
      <c r="S41" s="281">
        <f>IF(Q12=0, 0, S38/Q12)</f>
        <v>5.4012595737325947E-4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0" t="s">
        <v>115</v>
      </c>
      <c r="P42" s="231"/>
      <c r="Q42" s="277">
        <f>IFERROR(Q17/Q8, 0)</f>
        <v>13.069070548447284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CahZiOLFzJpPj4b610rEfFKVSLjOHjHUVqwXh1QzsyKIrf/m5Dhnp7eKEDTyPRlrvaFAb63H8mpDRDQJzJm1Og==" saltValue="NBfgSOfT2H7NA3qGNCN0+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9" sqref="E9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46174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46203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</v>
      </c>
      <c r="Q5" s="14">
        <f>P5-O5</f>
        <v>-895.10134341404239</v>
      </c>
      <c r="R5" s="18">
        <f>IFERROR(Q5*Q42, 0)</f>
        <v>-11772.066638794688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120">
        <v>46193</v>
      </c>
      <c r="J6" s="113">
        <v>5</v>
      </c>
      <c r="K6" s="89">
        <f t="shared" si="0"/>
        <v>353.83333333333331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9280.0099999999984</v>
      </c>
      <c r="R8" s="21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13</v>
      </c>
      <c r="F9" s="66">
        <v>173</v>
      </c>
      <c r="G9" s="110">
        <f>IF(OR(E9="",F9=""),"",PID_KVLohnLookup($A$1,E9,F9,LOHNTABELLE!$H$4))</f>
        <v>2328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92"/>
      <c r="N9" s="76"/>
      <c r="O9" s="213" t="s">
        <v>60</v>
      </c>
      <c r="P9" s="214"/>
      <c r="Q9" s="211">
        <f>EINSTELLUNG!L27</f>
        <v>6</v>
      </c>
      <c r="R9" s="211"/>
      <c r="S9" s="19">
        <f>IFERROR(Q9/Q8, 0)</f>
        <v>6.4655102742346192E-4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13" t="s">
        <v>62</v>
      </c>
      <c r="P10" s="214"/>
      <c r="Q10" s="211">
        <f>EINSTELLUNG!I27</f>
        <v>6</v>
      </c>
      <c r="R10" s="21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6</v>
      </c>
      <c r="R11" s="21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66</v>
      </c>
      <c r="P12" s="214"/>
      <c r="Q12" s="256">
        <v>21</v>
      </c>
      <c r="R12" s="25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68</v>
      </c>
      <c r="P13" s="214"/>
      <c r="Q13" s="211">
        <f>Q8-Q9-Q10-Q11-Q12</f>
        <v>9241.0099999999984</v>
      </c>
      <c r="R13" s="21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151.38</v>
      </c>
      <c r="G14" s="110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92"/>
      <c r="N14" s="76"/>
      <c r="O14" s="213" t="s">
        <v>70</v>
      </c>
      <c r="P14" s="214"/>
      <c r="Q14" s="211">
        <f>EINSTELLUNG!L11</f>
        <v>9300</v>
      </c>
      <c r="R14" s="21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13" t="s">
        <v>72</v>
      </c>
      <c r="P15" s="214"/>
      <c r="Q15" s="211">
        <f>Q13-Q14</f>
        <v>-58.990000000001601</v>
      </c>
      <c r="R15" s="21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12" t="str">
        <f>IF(Q15&lt;0, "Schlecht! Zu wenig Stunden für Dienstplan.", IF(Q15&gt;0, "Du hast mehr als genug Stunden für Dienstplan.", ""))</f>
        <v>Schlecht! Zu wenig Stunden für Dienstplan.</v>
      </c>
      <c r="P16" s="212"/>
      <c r="Q16" s="212"/>
      <c r="R16" s="21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57" t="s">
        <v>75</v>
      </c>
      <c r="P17" s="258"/>
      <c r="Q17" s="259">
        <f>SUM(L3:L82)</f>
        <v>122047.51666666666</v>
      </c>
      <c r="R17" s="259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244"/>
      <c r="P19" s="245"/>
      <c r="Q19" s="248"/>
      <c r="R19" s="249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244"/>
      <c r="P20" s="245"/>
      <c r="Q20" s="248"/>
      <c r="R20" s="249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244"/>
      <c r="P22" s="245"/>
      <c r="Q22" s="248"/>
      <c r="R22" s="249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263"/>
      <c r="P25" s="264"/>
      <c r="Q25" s="265"/>
      <c r="R25" s="26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10" t="s">
        <v>90</v>
      </c>
      <c r="P29" s="311"/>
      <c r="Q29" s="312">
        <f>EINSTELLUNG!O11</f>
        <v>6</v>
      </c>
      <c r="R29" s="313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6">
        <v>0</v>
      </c>
      <c r="P31" s="247"/>
      <c r="Q31" s="250">
        <v>1.6393442622950821E-2</v>
      </c>
      <c r="R31" s="25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0" t="s">
        <v>101</v>
      </c>
      <c r="P35" s="231"/>
      <c r="Q35" s="274">
        <f>EINSTELLUNG!C11</f>
        <v>6</v>
      </c>
      <c r="R35" s="274"/>
      <c r="S35" s="274">
        <f>EINSTELLUNG!C27</f>
        <v>6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0" t="s">
        <v>103</v>
      </c>
      <c r="P36" s="231"/>
      <c r="Q36" s="274">
        <f>EINSTELLUNG!D11</f>
        <v>6</v>
      </c>
      <c r="R36" s="274"/>
      <c r="S36" s="274" cm="1">
        <f t="array" ref="S36">SumMergedCells(Q17:R29)</f>
        <v>127053.51669999999</v>
      </c>
      <c r="T36" s="274"/>
      <c r="U36" s="275">
        <f t="shared" ref="U36:U41" si="2">S36-Q36</f>
        <v>127047.51669999999</v>
      </c>
      <c r="V36" s="275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21175.586116666665</v>
      </c>
      <c r="T37" s="279"/>
      <c r="U37" s="280">
        <f t="shared" si="2"/>
        <v>21174.586116666665</v>
      </c>
      <c r="V37" s="280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30" t="s">
        <v>107</v>
      </c>
      <c r="P38" s="231"/>
      <c r="Q38" s="281">
        <f>EINSTELLUNG!F11</f>
        <v>6</v>
      </c>
      <c r="R38" s="281"/>
      <c r="S38" s="281">
        <f>EINSTELLUNG!F27</f>
        <v>6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0" t="s">
        <v>111</v>
      </c>
      <c r="P40" s="231"/>
      <c r="Q40" s="274">
        <f>IF(Q12=0, 0, Q35/Q12)</f>
        <v>0.2857142857142857</v>
      </c>
      <c r="R40" s="274"/>
      <c r="S40" s="274">
        <f>IF(Q12=0, 0, S35/Q12)</f>
        <v>0.2857142857142857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0" t="s">
        <v>113</v>
      </c>
      <c r="P41" s="231"/>
      <c r="Q41" s="281">
        <f>IF(Q12=0, 0, Q38/Q12)</f>
        <v>0.2857142857142857</v>
      </c>
      <c r="R41" s="281"/>
      <c r="S41" s="281">
        <f>IF(Q12=0, 0, S38/Q12)</f>
        <v>0.2857142857142857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0" t="s">
        <v>115</v>
      </c>
      <c r="P42" s="231"/>
      <c r="Q42" s="277">
        <f>IFERROR(Q17/Q8, 0)</f>
        <v>13.151657882552572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ssoY70jSFvsjxZe9vn2An4iTBfFQYOqJwuFNYdjKldsB5s35B7GOVhPaRBh3M2q+0tfBagW5lkefHMeYlsBlxA==" saltValue="urWsGXjdu0fKBzWlz9+VC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46204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46234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-11726.474201073475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9225.3599999999988</v>
      </c>
      <c r="R8" s="21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13" t="s">
        <v>60</v>
      </c>
      <c r="P9" s="214"/>
      <c r="Q9" s="211">
        <f>EINSTELLUNG!L28</f>
        <v>7</v>
      </c>
      <c r="R9" s="211"/>
      <c r="S9" s="19">
        <f>IFERROR(Q9/Q8, 0)</f>
        <v>7.5877797722798904E-4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13" t="s">
        <v>62</v>
      </c>
      <c r="P10" s="214"/>
      <c r="Q10" s="211">
        <f>EINSTELLUNG!I28</f>
        <v>7</v>
      </c>
      <c r="R10" s="21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7</v>
      </c>
      <c r="R11" s="21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66</v>
      </c>
      <c r="P12" s="214"/>
      <c r="Q12" s="256">
        <v>-20</v>
      </c>
      <c r="R12" s="25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68</v>
      </c>
      <c r="P13" s="214"/>
      <c r="Q13" s="211">
        <f>Q8-Q9-Q10-Q11-Q12</f>
        <v>9224.3599999999988</v>
      </c>
      <c r="R13" s="21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70</v>
      </c>
      <c r="P14" s="214"/>
      <c r="Q14" s="211">
        <f>EINSTELLUNG!L12</f>
        <v>9300</v>
      </c>
      <c r="R14" s="21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13" t="s">
        <v>72</v>
      </c>
      <c r="P15" s="214"/>
      <c r="Q15" s="211">
        <f>Q13-Q14</f>
        <v>-75.640000000001237</v>
      </c>
      <c r="R15" s="21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12" t="str">
        <f>IF(Q15&lt;0, "Schlecht! Zu wenig Stunden für Dienstplan.", IF(Q15&gt;0, "Du hast mehr als genug Stunden für Dienstplan.", ""))</f>
        <v>Schlecht! Zu wenig Stunden für Dienstplan.</v>
      </c>
      <c r="P16" s="212"/>
      <c r="Q16" s="212"/>
      <c r="R16" s="21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57" t="s">
        <v>75</v>
      </c>
      <c r="P17" s="258"/>
      <c r="Q17" s="259">
        <f>SUM(L3:L82)</f>
        <v>120712.3741935484</v>
      </c>
      <c r="R17" s="259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0">
        <v>46210</v>
      </c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92"/>
      <c r="N19" s="76" t="s">
        <v>206</v>
      </c>
      <c r="O19" s="244"/>
      <c r="P19" s="245"/>
      <c r="Q19" s="248"/>
      <c r="R19" s="249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244"/>
      <c r="P20" s="245"/>
      <c r="Q20" s="248"/>
      <c r="R20" s="249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244"/>
      <c r="P22" s="245"/>
      <c r="Q22" s="248"/>
      <c r="R22" s="249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263"/>
      <c r="P25" s="264"/>
      <c r="Q25" s="265"/>
      <c r="R25" s="266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43"/>
      <c r="P26" s="267"/>
      <c r="Q26" s="269"/>
      <c r="R26" s="270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10" t="s">
        <v>90</v>
      </c>
      <c r="P29" s="311"/>
      <c r="Q29" s="312">
        <f>EINSTELLUNG!O12</f>
        <v>7</v>
      </c>
      <c r="R29" s="313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6">
        <v>0</v>
      </c>
      <c r="P31" s="247"/>
      <c r="Q31" s="250">
        <v>1.6393442622950821E-2</v>
      </c>
      <c r="R31" s="251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0" t="s">
        <v>101</v>
      </c>
      <c r="P35" s="231"/>
      <c r="Q35" s="274">
        <f>EINSTELLUNG!C12</f>
        <v>7</v>
      </c>
      <c r="R35" s="274"/>
      <c r="S35" s="274">
        <f>EINSTELLUNG!C28</f>
        <v>7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0" t="s">
        <v>103</v>
      </c>
      <c r="P36" s="231"/>
      <c r="Q36" s="274">
        <f>EINSTELLUNG!D12</f>
        <v>7</v>
      </c>
      <c r="R36" s="274"/>
      <c r="S36" s="277" cm="1">
        <f t="array" ref="S36">SumMergedCells(Q17:R29)</f>
        <v>125719.37420000001</v>
      </c>
      <c r="T36" s="278"/>
      <c r="U36" s="275">
        <f t="shared" ref="U36:U41" si="2">S36-Q36</f>
        <v>125712.37420000001</v>
      </c>
      <c r="V36" s="275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17959.910599999999</v>
      </c>
      <c r="T37" s="279"/>
      <c r="U37" s="280">
        <f t="shared" si="2"/>
        <v>17958.910599999999</v>
      </c>
      <c r="V37" s="280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30" t="s">
        <v>107</v>
      </c>
      <c r="P38" s="231"/>
      <c r="Q38" s="281">
        <f>EINSTELLUNG!F12</f>
        <v>7</v>
      </c>
      <c r="R38" s="281"/>
      <c r="S38" s="281">
        <f>EINSTELLUNG!F28</f>
        <v>7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0" t="s">
        <v>111</v>
      </c>
      <c r="P40" s="231"/>
      <c r="Q40" s="274">
        <f>IF(Q13=0, 0, Q35/Q13)</f>
        <v>7.5886023529003646E-4</v>
      </c>
      <c r="R40" s="274"/>
      <c r="S40" s="274">
        <f>IF(Q13=0, 0, S35/Q13)</f>
        <v>7.5886023529003646E-4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0" t="s">
        <v>113</v>
      </c>
      <c r="P41" s="231"/>
      <c r="Q41" s="281">
        <f>IF(Q13=0, 0, Q38/Q13)</f>
        <v>7.5886023529003646E-4</v>
      </c>
      <c r="R41" s="281"/>
      <c r="S41" s="281">
        <f>IF(Q13=0, 0, S38/Q13)</f>
        <v>7.5886023529003646E-4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0" t="s">
        <v>115</v>
      </c>
      <c r="P42" s="231"/>
      <c r="Q42" s="277">
        <f>IFERROR(Q17/Q8, 0)</f>
        <v>13.084841588138394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6IxMfExVOEJ0+Lf/yem6RpJW9MPnNtIQrf/TFi9s5Uo3X/ArqDV6X/gMgxdX1RoMOS2EEqTrPi6ewas+R2PK0Q==" saltValue="xnL/B/Xu5dG2F7Hv4UoxU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46235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46265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138.4</v>
      </c>
      <c r="G3" s="109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-11486.587128956895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9065.1899999999987</v>
      </c>
      <c r="R8" s="21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13" t="s">
        <v>60</v>
      </c>
      <c r="P9" s="214"/>
      <c r="Q9" s="211">
        <f>EINSTELLUNG!L29</f>
        <v>8</v>
      </c>
      <c r="R9" s="211"/>
      <c r="S9" s="19">
        <f>IFERROR(Q9/Q8, 0)</f>
        <v>8.8249667133286796E-4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13" t="s">
        <v>62</v>
      </c>
      <c r="P10" s="214"/>
      <c r="Q10" s="211">
        <f>EINSTELLUNG!I29</f>
        <v>8</v>
      </c>
      <c r="R10" s="21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8</v>
      </c>
      <c r="R11" s="21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68</v>
      </c>
      <c r="P12" s="214"/>
      <c r="Q12" s="211">
        <f>Q8-Q9-Q10-Q11</f>
        <v>9041.1899999999987</v>
      </c>
      <c r="R12" s="211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70</v>
      </c>
      <c r="P13" s="214"/>
      <c r="Q13" s="211">
        <f>EINSTELLUNG!L13</f>
        <v>9300</v>
      </c>
      <c r="R13" s="21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72</v>
      </c>
      <c r="P14" s="214"/>
      <c r="Q14" s="211">
        <f>Q12-Q13</f>
        <v>-258.81000000000131</v>
      </c>
      <c r="R14" s="21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368" t="str">
        <f>IF(Q14&lt;0, "Schlecht! Zu wenig Stunden für Dienstplan.", IF(Q14&gt;0, "Du hast mehr als genug Stunden für Dienstplan.", ""))</f>
        <v>Schlecht! Zu wenig Stunden für Dienstplan.</v>
      </c>
      <c r="P15" s="368"/>
      <c r="Q15" s="368"/>
      <c r="R15" s="368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57" t="s">
        <v>75</v>
      </c>
      <c r="P17" s="258"/>
      <c r="Q17" s="259">
        <f>SUM(L3:L82)</f>
        <v>118982.6</v>
      </c>
      <c r="R17" s="259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244"/>
      <c r="P19" s="245"/>
      <c r="Q19" s="248"/>
      <c r="R19" s="249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244"/>
      <c r="P20" s="245"/>
      <c r="Q20" s="248"/>
      <c r="R20" s="249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244"/>
      <c r="P22" s="245"/>
      <c r="Q22" s="248"/>
      <c r="R22" s="249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263"/>
      <c r="P25" s="264"/>
      <c r="Q25" s="265"/>
      <c r="R25" s="266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10" t="s">
        <v>90</v>
      </c>
      <c r="P29" s="311"/>
      <c r="Q29" s="312">
        <f>EINSTELLUNG!O13</f>
        <v>8</v>
      </c>
      <c r="R29" s="313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6">
        <v>0</v>
      </c>
      <c r="P31" s="247"/>
      <c r="Q31" s="250">
        <v>3.3898305084745763E-2</v>
      </c>
      <c r="R31" s="251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0" t="s">
        <v>101</v>
      </c>
      <c r="P35" s="231"/>
      <c r="Q35" s="274">
        <f>EINSTELLUNG!C13</f>
        <v>8</v>
      </c>
      <c r="R35" s="274"/>
      <c r="S35" s="274">
        <f>EINSTELLUNG!C29</f>
        <v>8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0" t="s">
        <v>103</v>
      </c>
      <c r="P36" s="231"/>
      <c r="Q36" s="274">
        <f>EINSTELLUNG!D13</f>
        <v>8</v>
      </c>
      <c r="R36" s="274"/>
      <c r="S36" s="277" cm="1">
        <f t="array" ref="S36">SumMergedCells(Q17:R29)</f>
        <v>123990.6</v>
      </c>
      <c r="T36" s="278"/>
      <c r="U36" s="275">
        <f t="shared" ref="U36:U41" si="2">S36-Q36</f>
        <v>123982.6</v>
      </c>
      <c r="V36" s="275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331">
        <f>IF(ISERROR(S36/S35), 0, S36/S35)</f>
        <v>15498.825000000001</v>
      </c>
      <c r="T37" s="332"/>
      <c r="U37" s="280">
        <f t="shared" si="2"/>
        <v>15497.825000000001</v>
      </c>
      <c r="V37" s="280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0" t="s">
        <v>107</v>
      </c>
      <c r="P38" s="231"/>
      <c r="Q38" s="281">
        <f>EINSTELLUNG!F13</f>
        <v>8</v>
      </c>
      <c r="R38" s="281"/>
      <c r="S38" s="281">
        <f>EINSTELLUNG!F29</f>
        <v>8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0" t="s">
        <v>111</v>
      </c>
      <c r="P40" s="231"/>
      <c r="Q40" s="274">
        <f>IF(Q12=0, 0, Q35/Q12)</f>
        <v>8.8483927447603706E-4</v>
      </c>
      <c r="R40" s="274"/>
      <c r="S40" s="274">
        <f>IF(Q12=0, 0, S35/Q12)</f>
        <v>8.8483927447603706E-4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0" t="s">
        <v>113</v>
      </c>
      <c r="P41" s="231"/>
      <c r="Q41" s="281">
        <f>IF(Q12=0, 0, Q38/Q12)</f>
        <v>8.8483927447603706E-4</v>
      </c>
      <c r="R41" s="281"/>
      <c r="S41" s="281">
        <f>IF(Q12=0, 0, S38/Q12)</f>
        <v>8.8483927447603706E-4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0" t="s">
        <v>115</v>
      </c>
      <c r="P42" s="231"/>
      <c r="Q42" s="277">
        <f>IFERROR(Q17/Q8, 0)</f>
        <v>13.125218555816263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0">
        <v>46249</v>
      </c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92"/>
      <c r="N48" s="76" t="s">
        <v>205</v>
      </c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0">
        <v>46250</v>
      </c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92"/>
      <c r="N49" s="76" t="s">
        <v>197</v>
      </c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401999</v>
      </c>
      <c r="C53" s="67" t="s">
        <v>319</v>
      </c>
      <c r="D53" s="117">
        <v>46082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402000</v>
      </c>
      <c r="C54" s="69" t="s">
        <v>326</v>
      </c>
      <c r="D54" s="117">
        <v>46143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502000</v>
      </c>
      <c r="C58" s="67" t="s">
        <v>329</v>
      </c>
      <c r="D58" s="117">
        <v>46147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503000</v>
      </c>
      <c r="C59" s="67" t="s">
        <v>332</v>
      </c>
      <c r="D59" s="117">
        <v>42401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504000</v>
      </c>
      <c r="C60" s="67" t="s">
        <v>333</v>
      </c>
      <c r="D60" s="117">
        <v>46054</v>
      </c>
      <c r="E60" s="65" t="s">
        <v>3</v>
      </c>
      <c r="F60" s="66">
        <v>138.4</v>
      </c>
      <c r="G60" s="110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92"/>
      <c r="N60" s="76"/>
    </row>
    <row r="61" spans="1:14" ht="16" customHeight="1" thickBot="1">
      <c r="A61" s="62" t="s">
        <v>135</v>
      </c>
      <c r="B61" s="98">
        <v>505000</v>
      </c>
      <c r="C61" s="67" t="s">
        <v>334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92"/>
      <c r="N61" s="76"/>
    </row>
    <row r="62" spans="1:14" ht="16" customHeight="1" thickBot="1">
      <c r="A62" s="61" t="s">
        <v>136</v>
      </c>
      <c r="B62" s="98">
        <v>700000</v>
      </c>
      <c r="C62" s="67" t="s">
        <v>347</v>
      </c>
      <c r="D62" s="117">
        <v>46054</v>
      </c>
      <c r="E62" s="65" t="s">
        <v>2</v>
      </c>
      <c r="F62" s="66">
        <v>173</v>
      </c>
      <c r="G62" s="110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92"/>
      <c r="N62" s="76"/>
    </row>
    <row r="63" spans="1:14" ht="16" customHeight="1" thickBot="1">
      <c r="A63" s="61" t="s">
        <v>137</v>
      </c>
      <c r="B63" s="98">
        <v>800000</v>
      </c>
      <c r="C63" s="67" t="s">
        <v>348</v>
      </c>
      <c r="D63" s="117">
        <v>46082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J2y1y63Q+iTFq9rYlu2t8BLLtcBQB9wz4cyjrKKI3xvkGqb86Quj1H62pO3t9SbKAQh6tPyS/nc1bhFi8C+bbA==" saltValue="OniToCxEIv0S5sZmBG0ZM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46266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46295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-11258.364211427945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8897.9599999999991</v>
      </c>
      <c r="R8" s="211"/>
    </row>
    <row r="9" spans="1:28" ht="16" customHeight="1" thickBot="1">
      <c r="A9" s="61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13" t="s">
        <v>60</v>
      </c>
      <c r="P9" s="214"/>
      <c r="Q9" s="211">
        <f>EINSTELLUNG!L30</f>
        <v>9</v>
      </c>
      <c r="R9" s="211"/>
      <c r="S9" s="19">
        <f>IFERROR(Q9/Q8, 0)</f>
        <v>1.0114677971130462E-3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13" t="s">
        <v>62</v>
      </c>
      <c r="P10" s="214"/>
      <c r="Q10" s="211">
        <f>EINSTELLUNG!I30</f>
        <v>9</v>
      </c>
      <c r="R10" s="211"/>
    </row>
    <row r="11" spans="1:28" ht="16" customHeight="1" thickBot="1">
      <c r="A11" s="62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9</v>
      </c>
      <c r="R11" s="21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66</v>
      </c>
      <c r="P12" s="214"/>
      <c r="Q12" s="256">
        <v>167</v>
      </c>
      <c r="R12" s="256"/>
    </row>
    <row r="13" spans="1:28" ht="16" customHeight="1" thickBot="1">
      <c r="A13" s="61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68</v>
      </c>
      <c r="P13" s="214"/>
      <c r="Q13" s="211">
        <f>Q8-Q9-Q10-Q11-Q12</f>
        <v>8703.9599999999991</v>
      </c>
      <c r="R13" s="211"/>
    </row>
    <row r="14" spans="1:28" ht="16" customHeight="1" thickBot="1">
      <c r="A14" s="62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70</v>
      </c>
      <c r="P14" s="214"/>
      <c r="Q14" s="211">
        <f>EINSTELLUNG!L14</f>
        <v>9300</v>
      </c>
      <c r="R14" s="21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13" t="s">
        <v>72</v>
      </c>
      <c r="P15" s="214"/>
      <c r="Q15" s="211">
        <f>Q13-Q14</f>
        <v>-596.04000000000087</v>
      </c>
      <c r="R15" s="21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12" t="str">
        <f>IF(Q15&lt;0, "Schlecht! Zu wenig Stunden für Dienstplan.", IF(Q15&gt;0, "Du hast mehr als genug Stunden für Dienstplan.", ""))</f>
        <v>Schlecht! Zu wenig Stunden für Dienstplan.</v>
      </c>
      <c r="P16" s="212"/>
      <c r="Q16" s="212"/>
      <c r="R16" s="21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57" t="s">
        <v>75</v>
      </c>
      <c r="P17" s="258"/>
      <c r="Q17" s="259">
        <f>SUM(L3:L82)</f>
        <v>116376.26666666666</v>
      </c>
      <c r="R17" s="259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244"/>
      <c r="P19" s="245"/>
      <c r="Q19" s="248"/>
      <c r="R19" s="249"/>
    </row>
    <row r="20" spans="1:29" ht="16" customHeight="1" thickBot="1">
      <c r="A20" s="62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244"/>
      <c r="P20" s="245"/>
      <c r="Q20" s="248"/>
      <c r="R20" s="249"/>
    </row>
    <row r="21" spans="1:29" ht="16" customHeight="1" thickBot="1">
      <c r="A21" s="61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0">
        <v>46275</v>
      </c>
      <c r="J21" s="113">
        <v>4</v>
      </c>
      <c r="K21" s="89">
        <f t="shared" si="0"/>
        <v>293.33333333333331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92"/>
      <c r="N21" s="76" t="s">
        <v>197</v>
      </c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244"/>
      <c r="P22" s="245"/>
      <c r="Q22" s="248"/>
      <c r="R22" s="249"/>
    </row>
    <row r="23" spans="1:29" ht="16" customHeight="1" thickBot="1">
      <c r="A23" s="62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401589</v>
      </c>
      <c r="C24" s="96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263"/>
      <c r="P25" s="264"/>
      <c r="Q25" s="265"/>
      <c r="R25" s="266"/>
    </row>
    <row r="26" spans="1:29" ht="16" customHeight="1" thickBot="1">
      <c r="A26" s="62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10" t="s">
        <v>90</v>
      </c>
      <c r="P29" s="311"/>
      <c r="Q29" s="312">
        <f>EINSTELLUNG!O14</f>
        <v>9</v>
      </c>
      <c r="R29" s="313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6">
        <v>0</v>
      </c>
      <c r="P31" s="247"/>
      <c r="Q31" s="250">
        <v>1.7241379310344827E-2</v>
      </c>
      <c r="R31" s="251"/>
    </row>
    <row r="32" spans="1:29" ht="16" customHeight="1" thickBot="1">
      <c r="A32" s="62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2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0" t="s">
        <v>101</v>
      </c>
      <c r="P35" s="231"/>
      <c r="Q35" s="274">
        <f>EINSTELLUNG!C14</f>
        <v>9</v>
      </c>
      <c r="R35" s="274"/>
      <c r="S35" s="274">
        <f>EINSTELLUNG!C30</f>
        <v>9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0" t="s">
        <v>103</v>
      </c>
      <c r="P36" s="231"/>
      <c r="Q36" s="274">
        <f>EINSTELLUNG!D14</f>
        <v>9</v>
      </c>
      <c r="R36" s="274"/>
      <c r="S36" s="277" cm="1">
        <f t="array" ref="S36">SumMergedCells(Q17:R29)</f>
        <v>121385.26669999999</v>
      </c>
      <c r="T36" s="278"/>
      <c r="U36" s="275">
        <f t="shared" ref="U36:U41" si="2">S36-Q36</f>
        <v>121376.26669999999</v>
      </c>
      <c r="V36" s="275"/>
    </row>
    <row r="37" spans="1:24" ht="16" customHeight="1" thickBot="1">
      <c r="A37" s="61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13487.251855555554</v>
      </c>
      <c r="T37" s="279"/>
      <c r="U37" s="280">
        <f t="shared" si="2"/>
        <v>13486.251855555554</v>
      </c>
      <c r="V37" s="280"/>
    </row>
    <row r="38" spans="1:24" ht="16" customHeight="1" thickBot="1">
      <c r="A38" s="62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0" t="s">
        <v>107</v>
      </c>
      <c r="P38" s="231"/>
      <c r="Q38" s="281">
        <f>EINSTELLUNG!F14</f>
        <v>9</v>
      </c>
      <c r="R38" s="281"/>
      <c r="S38" s="281">
        <f>EINSTELLUNG!F30</f>
        <v>9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0" t="s">
        <v>111</v>
      </c>
      <c r="P40" s="231"/>
      <c r="Q40" s="274">
        <f>IF(Q13=0, 0, Q35/Q13)</f>
        <v>1.0340121048350408E-3</v>
      </c>
      <c r="R40" s="274"/>
      <c r="S40" s="274">
        <f>IF(Q13=0, 0, S35/Q13)</f>
        <v>1.0340121048350408E-3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0" t="s">
        <v>113</v>
      </c>
      <c r="P41" s="231"/>
      <c r="Q41" s="281">
        <f>IF(Q13=0, 0, Q38/Q13)</f>
        <v>1.0340121048350408E-3</v>
      </c>
      <c r="R41" s="281"/>
      <c r="S41" s="281">
        <f>IF(Q13=0, 0, S38/Q13)</f>
        <v>1.0340121048350408E-3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0" t="s">
        <v>115</v>
      </c>
      <c r="P42" s="231"/>
      <c r="Q42" s="277">
        <f>IFERROR(Q17/Q8, 0)</f>
        <v>13.07898289795264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401734</v>
      </c>
      <c r="C43" s="69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401748</v>
      </c>
      <c r="C48" s="67" t="s">
        <v>281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401751</v>
      </c>
      <c r="C49" s="67" t="s">
        <v>284</v>
      </c>
      <c r="D49" s="117">
        <v>45961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2" t="s">
        <v>124</v>
      </c>
      <c r="B50" s="98">
        <v>401752</v>
      </c>
      <c r="C50" s="67" t="s">
        <v>285</v>
      </c>
      <c r="D50" s="117">
        <v>45986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401999</v>
      </c>
      <c r="C51" s="67" t="s">
        <v>319</v>
      </c>
      <c r="D51" s="117">
        <v>46082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402000</v>
      </c>
      <c r="C52" s="67" t="s">
        <v>326</v>
      </c>
      <c r="D52" s="117">
        <v>46143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402004</v>
      </c>
      <c r="C53" s="67" t="s">
        <v>328</v>
      </c>
      <c r="D53" s="117">
        <v>46122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500600</v>
      </c>
      <c r="C55" s="67" t="s">
        <v>335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502000</v>
      </c>
      <c r="C56" s="67" t="s">
        <v>329</v>
      </c>
      <c r="D56" s="117">
        <v>46147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1" t="s">
        <v>131</v>
      </c>
      <c r="B57" s="98">
        <v>503000</v>
      </c>
      <c r="C57" s="67" t="s">
        <v>332</v>
      </c>
      <c r="D57" s="117">
        <v>42401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504000</v>
      </c>
      <c r="C58" s="67" t="s">
        <v>333</v>
      </c>
      <c r="D58" s="117">
        <v>46054</v>
      </c>
      <c r="E58" s="65" t="s">
        <v>3</v>
      </c>
      <c r="F58" s="66">
        <v>138.4</v>
      </c>
      <c r="G58" s="110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92"/>
      <c r="N58" s="76"/>
    </row>
    <row r="59" spans="1:14" ht="16" customHeight="1" thickBot="1">
      <c r="A59" s="62" t="s">
        <v>133</v>
      </c>
      <c r="B59" s="98">
        <v>505000</v>
      </c>
      <c r="C59" s="67" t="s">
        <v>334</v>
      </c>
      <c r="D59" s="117">
        <v>46054</v>
      </c>
      <c r="E59" s="65" t="s">
        <v>2</v>
      </c>
      <c r="F59" s="66">
        <v>138.4</v>
      </c>
      <c r="G59" s="110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92"/>
      <c r="N59" s="76"/>
    </row>
    <row r="60" spans="1:14" ht="16" customHeight="1" thickBot="1">
      <c r="A60" s="61" t="s">
        <v>134</v>
      </c>
      <c r="B60" s="98">
        <v>700000</v>
      </c>
      <c r="C60" s="67" t="s">
        <v>347</v>
      </c>
      <c r="D60" s="117">
        <v>46054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1" t="s">
        <v>135</v>
      </c>
      <c r="B61" s="98">
        <v>800000</v>
      </c>
      <c r="C61" s="67" t="s">
        <v>348</v>
      </c>
      <c r="D61" s="117">
        <v>46082</v>
      </c>
      <c r="E61" s="65" t="s">
        <v>2</v>
      </c>
      <c r="F61" s="66">
        <v>173</v>
      </c>
      <c r="G61" s="110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eL3ZWVckcywjyXGH+IDh50QrATMorDmxsfNxMIiyj7Wtu67KCeydiNaspVoOhpRSm8XL6RnC4uEf1TVhghWl4Q==" saltValue="YIZeBFT4GlKFMnEvjQxZs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46296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46326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-11009.746191858196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0">
        <v>46305</v>
      </c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92"/>
      <c r="N6" s="76" t="s">
        <v>205</v>
      </c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13" t="s">
        <v>58</v>
      </c>
      <c r="P8" s="214"/>
      <c r="Q8" s="211">
        <f>SUM(H3:H82)</f>
        <v>8723.1</v>
      </c>
      <c r="R8" s="211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13" t="s">
        <v>60</v>
      </c>
      <c r="P9" s="214"/>
      <c r="Q9" s="211">
        <f>EINSTELLUNG!L31</f>
        <v>10</v>
      </c>
      <c r="R9" s="211"/>
      <c r="S9" s="19">
        <f>IFERROR(Q9/Q8, 0)</f>
        <v>1.1463814469626623E-3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13" t="s">
        <v>62</v>
      </c>
      <c r="P10" s="214"/>
      <c r="Q10" s="211">
        <f>EINSTELLUNG!I31</f>
        <v>10</v>
      </c>
      <c r="R10" s="211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10</v>
      </c>
      <c r="R11" s="211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66</v>
      </c>
      <c r="P12" s="214"/>
      <c r="Q12" s="256">
        <v>-121</v>
      </c>
      <c r="R12" s="25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68</v>
      </c>
      <c r="P13" s="214"/>
      <c r="Q13" s="211">
        <f>Q8-Q9-Q10-Q11-Q12</f>
        <v>8814.1</v>
      </c>
      <c r="R13" s="211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70</v>
      </c>
      <c r="P14" s="214"/>
      <c r="Q14" s="211">
        <f>EINSTELLUNG!L15</f>
        <v>9300</v>
      </c>
      <c r="R14" s="211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13" t="s">
        <v>72</v>
      </c>
      <c r="P15" s="214"/>
      <c r="Q15" s="211">
        <f>Q13-Q14</f>
        <v>-485.89999999999964</v>
      </c>
      <c r="R15" s="211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12" t="str">
        <f>IF(Q15&lt;0, "Schlecht! Zu wenig Stunden für Dienstplan.", IF(Q15&gt;0, "Du hast mehr als genug Stunden für Dienstplan.", ""))</f>
        <v>Schlecht! Zu wenig Stunden für Dienstplan.</v>
      </c>
      <c r="P16" s="212"/>
      <c r="Q16" s="212"/>
      <c r="R16" s="212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57" t="s">
        <v>75</v>
      </c>
      <c r="P17" s="258"/>
      <c r="Q17" s="259">
        <f>SUM(L3:L82)</f>
        <v>113911.43870967743</v>
      </c>
      <c r="R17" s="259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244"/>
      <c r="P19" s="245"/>
      <c r="Q19" s="248"/>
      <c r="R19" s="249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244"/>
      <c r="P20" s="245"/>
      <c r="Q20" s="248"/>
      <c r="R20" s="249"/>
    </row>
    <row r="21" spans="1:29" ht="16" customHeight="1" thickBot="1">
      <c r="A21" s="62" t="s">
        <v>80</v>
      </c>
      <c r="B21" s="98">
        <v>401564</v>
      </c>
      <c r="C21" s="67" t="s">
        <v>252</v>
      </c>
      <c r="D21" s="117">
        <v>44824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401583</v>
      </c>
      <c r="C22" s="67" t="s">
        <v>254</v>
      </c>
      <c r="D22" s="117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244"/>
      <c r="P22" s="245"/>
      <c r="Q22" s="248"/>
      <c r="R22" s="249"/>
    </row>
    <row r="23" spans="1:29" ht="16" customHeight="1" thickBot="1">
      <c r="A23" s="61" t="s">
        <v>82</v>
      </c>
      <c r="B23" s="98">
        <v>401589</v>
      </c>
      <c r="C23" s="67" t="s">
        <v>255</v>
      </c>
      <c r="D23" s="117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401602</v>
      </c>
      <c r="C24" s="67" t="s">
        <v>256</v>
      </c>
      <c r="D24" s="117">
        <v>45975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17">
        <v>44986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263"/>
      <c r="P25" s="264"/>
      <c r="Q25" s="265"/>
      <c r="R25" s="266"/>
    </row>
    <row r="26" spans="1:29" ht="16" customHeight="1" thickBot="1">
      <c r="A26" s="61" t="s">
        <v>85</v>
      </c>
      <c r="B26" s="98">
        <v>401626</v>
      </c>
      <c r="C26" s="67" t="s">
        <v>258</v>
      </c>
      <c r="D26" s="117">
        <v>45063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401633</v>
      </c>
      <c r="C27" s="67" t="s">
        <v>259</v>
      </c>
      <c r="D27" s="117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17">
        <v>45182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17">
        <v>45261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10" t="s">
        <v>90</v>
      </c>
      <c r="P29" s="311"/>
      <c r="Q29" s="312">
        <f>EINSTELLUNG!O15</f>
        <v>10</v>
      </c>
      <c r="R29" s="313"/>
    </row>
    <row r="30" spans="1:29" ht="16" customHeight="1" thickBot="1">
      <c r="A30" s="61" t="s">
        <v>91</v>
      </c>
      <c r="B30" s="98">
        <v>401670</v>
      </c>
      <c r="C30" s="67" t="s">
        <v>262</v>
      </c>
      <c r="D30" s="117">
        <v>45358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9" t="s">
        <v>263</v>
      </c>
      <c r="D31" s="117">
        <v>45414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6">
        <v>0</v>
      </c>
      <c r="P31" s="247"/>
      <c r="Q31" s="250">
        <v>1.7543859649122806E-2</v>
      </c>
      <c r="R31" s="251"/>
    </row>
    <row r="32" spans="1:29" ht="16" customHeight="1" thickBot="1">
      <c r="A32" s="61" t="s">
        <v>94</v>
      </c>
      <c r="B32" s="98">
        <v>401690</v>
      </c>
      <c r="C32" s="67" t="s">
        <v>265</v>
      </c>
      <c r="D32" s="117">
        <v>45536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401703</v>
      </c>
      <c r="C33" s="67" t="s">
        <v>266</v>
      </c>
      <c r="D33" s="117">
        <v>45616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401715</v>
      </c>
      <c r="C34" s="67" t="s">
        <v>268</v>
      </c>
      <c r="D34" s="117">
        <v>45755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1" t="s">
        <v>100</v>
      </c>
      <c r="B35" s="98">
        <v>401716</v>
      </c>
      <c r="C35" s="67" t="s">
        <v>269</v>
      </c>
      <c r="D35" s="117">
        <v>45800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0" t="s">
        <v>101</v>
      </c>
      <c r="P35" s="231"/>
      <c r="Q35" s="274">
        <f>EINSTELLUNG!C15</f>
        <v>10</v>
      </c>
      <c r="R35" s="274"/>
      <c r="S35" s="274">
        <f>EINSTELLUNG!C31</f>
        <v>10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401717</v>
      </c>
      <c r="C36" s="67" t="s">
        <v>270</v>
      </c>
      <c r="D36" s="117">
        <v>45814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30" t="s">
        <v>103</v>
      </c>
      <c r="P36" s="231"/>
      <c r="Q36" s="274">
        <f>EINSTELLUNG!D15</f>
        <v>10</v>
      </c>
      <c r="R36" s="274"/>
      <c r="S36" s="277" cm="1">
        <f t="array" ref="S36">SumMergedCells(Q17:R29)</f>
        <v>118921.4387</v>
      </c>
      <c r="T36" s="278"/>
      <c r="U36" s="275">
        <f t="shared" ref="U36:U41" si="2">S36-Q36</f>
        <v>118911.4387</v>
      </c>
      <c r="V36" s="275"/>
    </row>
    <row r="37" spans="1:24" ht="16" customHeight="1" thickBot="1">
      <c r="A37" s="62" t="s">
        <v>104</v>
      </c>
      <c r="B37" s="98">
        <v>401722</v>
      </c>
      <c r="C37" s="67" t="s">
        <v>271</v>
      </c>
      <c r="D37" s="117">
        <v>45848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11892.14387</v>
      </c>
      <c r="T37" s="279"/>
      <c r="U37" s="280">
        <f t="shared" si="2"/>
        <v>11891.14387</v>
      </c>
      <c r="V37" s="280"/>
    </row>
    <row r="38" spans="1:24" ht="16" customHeight="1" thickBot="1">
      <c r="A38" s="61" t="s">
        <v>106</v>
      </c>
      <c r="B38" s="98">
        <v>401723</v>
      </c>
      <c r="C38" s="67" t="s">
        <v>272</v>
      </c>
      <c r="D38" s="117">
        <v>45852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0" t="s">
        <v>107</v>
      </c>
      <c r="P38" s="231"/>
      <c r="Q38" s="281">
        <f>EINSTELLUNG!F15</f>
        <v>10</v>
      </c>
      <c r="R38" s="281"/>
      <c r="S38" s="281">
        <f>EINSTELLUNG!F31</f>
        <v>10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401726</v>
      </c>
      <c r="C39" s="67" t="s">
        <v>273</v>
      </c>
      <c r="D39" s="117">
        <v>45870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401730</v>
      </c>
      <c r="C40" s="67" t="s">
        <v>275</v>
      </c>
      <c r="D40" s="117">
        <v>45895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0" t="s">
        <v>111</v>
      </c>
      <c r="P40" s="231"/>
      <c r="Q40" s="274">
        <f>IF(Q13=0, 0, Q35/Q13)</f>
        <v>1.1345457845951374E-3</v>
      </c>
      <c r="R40" s="274"/>
      <c r="S40" s="274">
        <f>IF(Q13=0, 0, S35/Q13)</f>
        <v>1.1345457845951374E-3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401731</v>
      </c>
      <c r="C41" s="67" t="s">
        <v>274</v>
      </c>
      <c r="D41" s="117">
        <v>45899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0" t="s">
        <v>113</v>
      </c>
      <c r="P41" s="231"/>
      <c r="Q41" s="281">
        <f>IF(Q13=0, 0, Q38/Q13)</f>
        <v>1.1345457845951374E-3</v>
      </c>
      <c r="R41" s="281"/>
      <c r="S41" s="281">
        <f>IF(Q13=0, 0, S38/Q13)</f>
        <v>1.1345457845951374E-3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401734</v>
      </c>
      <c r="C42" s="67" t="s">
        <v>276</v>
      </c>
      <c r="D42" s="117">
        <v>45904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0" t="s">
        <v>115</v>
      </c>
      <c r="P42" s="231"/>
      <c r="Q42" s="277">
        <f>IFERROR(Q17/Q8, 0)</f>
        <v>13.058595993359864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401736</v>
      </c>
      <c r="C43" s="69" t="s">
        <v>277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401737</v>
      </c>
      <c r="C44" s="67" t="s">
        <v>278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401738</v>
      </c>
      <c r="C45" s="67" t="s">
        <v>279</v>
      </c>
      <c r="D45" s="117">
        <v>45909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401745</v>
      </c>
      <c r="C46" s="67" t="s">
        <v>283</v>
      </c>
      <c r="D46" s="117">
        <v>45934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401748</v>
      </c>
      <c r="C47" s="67" t="s">
        <v>281</v>
      </c>
      <c r="D47" s="117">
        <v>45941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401751</v>
      </c>
      <c r="C48" s="67" t="s">
        <v>284</v>
      </c>
      <c r="D48" s="117">
        <v>45961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401752</v>
      </c>
      <c r="C49" s="67" t="s">
        <v>285</v>
      </c>
      <c r="D49" s="117">
        <v>45986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401999</v>
      </c>
      <c r="C50" s="67" t="s">
        <v>319</v>
      </c>
      <c r="D50" s="117">
        <v>46082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402000</v>
      </c>
      <c r="C51" s="67" t="s">
        <v>326</v>
      </c>
      <c r="D51" s="117">
        <v>46143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402004</v>
      </c>
      <c r="C52" s="67" t="s">
        <v>328</v>
      </c>
      <c r="D52" s="117">
        <v>46122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402405</v>
      </c>
      <c r="C53" s="67" t="s">
        <v>330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500600</v>
      </c>
      <c r="C54" s="67" t="s">
        <v>335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502000</v>
      </c>
      <c r="C55" s="67" t="s">
        <v>329</v>
      </c>
      <c r="D55" s="117">
        <v>46147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92"/>
      <c r="N58" s="76"/>
    </row>
    <row r="59" spans="1:14" ht="16" customHeight="1" thickBot="1">
      <c r="A59" s="61" t="s">
        <v>133</v>
      </c>
      <c r="B59" s="98">
        <v>700000</v>
      </c>
      <c r="C59" s="67" t="s">
        <v>347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800000</v>
      </c>
      <c r="C60" s="67" t="s">
        <v>348</v>
      </c>
      <c r="D60" s="117">
        <v>46082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lD/zEPpTHvkcAtTc7bZ5bXpNqFzutsi3v9d9Utwyhzd60mJdqboviZ52Pp+RAIn69yGf4BvxPOp3v1BJf+MtXg==" saltValue="OawpXYVZbaP9hEfNfOGdf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46327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46356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-10786.721164172744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13" t="s">
        <v>58</v>
      </c>
      <c r="P8" s="214"/>
      <c r="Q8" s="211">
        <f>SUM(H3:H82)</f>
        <v>8551.9599999999991</v>
      </c>
      <c r="R8" s="211"/>
    </row>
    <row r="9" spans="1:28" ht="16" customHeight="1" thickBot="1">
      <c r="A9" s="61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13" t="s">
        <v>60</v>
      </c>
      <c r="P9" s="214"/>
      <c r="Q9" s="211">
        <f>EINSTELLUNG!L32</f>
        <v>11</v>
      </c>
      <c r="R9" s="211"/>
      <c r="S9" s="19">
        <f>IFERROR(Q9/Q8, 0)</f>
        <v>1.2862548468421276E-3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13" t="s">
        <v>62</v>
      </c>
      <c r="P10" s="214"/>
      <c r="Q10" s="211">
        <f>EINSTELLUNG!I32</f>
        <v>11</v>
      </c>
      <c r="R10" s="211"/>
    </row>
    <row r="11" spans="1:28" ht="16" customHeight="1" thickBot="1">
      <c r="A11" s="62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11</v>
      </c>
      <c r="R11" s="211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68</v>
      </c>
      <c r="P12" s="214"/>
      <c r="Q12" s="211">
        <f>Q8-Q9-Q10-Q11</f>
        <v>8518.9599999999991</v>
      </c>
      <c r="R12" s="211"/>
    </row>
    <row r="13" spans="1:28" ht="16" customHeight="1" thickBot="1">
      <c r="A13" s="61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70</v>
      </c>
      <c r="P13" s="214"/>
      <c r="Q13" s="211">
        <f>EINSTELLUNG!L16</f>
        <v>9300</v>
      </c>
      <c r="R13" s="211"/>
    </row>
    <row r="14" spans="1:28" ht="16" customHeight="1" thickBot="1">
      <c r="A14" s="62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72</v>
      </c>
      <c r="P14" s="214"/>
      <c r="Q14" s="211">
        <f>Q12-Q13</f>
        <v>-781.04000000000087</v>
      </c>
      <c r="R14" s="211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68" t="str">
        <f>IF(Q14&lt;0, "Schlecht! Zu wenig Stunden für Dienstplan.", IF(Q14&gt;0, "Du hast mehr als genug Stunden für Dienstplan.", ""))</f>
        <v>Schlecht! Zu wenig Stunden für Dienstplan.</v>
      </c>
      <c r="P15" s="368"/>
      <c r="Q15" s="368"/>
      <c r="R15" s="368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57" t="s">
        <v>75</v>
      </c>
      <c r="P17" s="258"/>
      <c r="Q17" s="259">
        <f>SUM(L3:L82)</f>
        <v>111759.93333333333</v>
      </c>
      <c r="R17" s="259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244"/>
      <c r="P19" s="245"/>
      <c r="Q19" s="248"/>
      <c r="R19" s="249"/>
    </row>
    <row r="20" spans="1:29" ht="16" customHeight="1" thickBot="1">
      <c r="A20" s="62" t="s">
        <v>78</v>
      </c>
      <c r="B20" s="98">
        <v>401564</v>
      </c>
      <c r="C20" s="67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244"/>
      <c r="P20" s="245"/>
      <c r="Q20" s="248"/>
      <c r="R20" s="249"/>
    </row>
    <row r="21" spans="1:29" ht="16" customHeight="1" thickBot="1">
      <c r="A21" s="61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244"/>
      <c r="P22" s="245"/>
      <c r="Q22" s="248"/>
      <c r="R22" s="249"/>
    </row>
    <row r="23" spans="1:29" ht="16" customHeight="1" thickBot="1">
      <c r="A23" s="62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263"/>
      <c r="P25" s="264"/>
      <c r="Q25" s="265"/>
      <c r="R25" s="266"/>
    </row>
    <row r="26" spans="1:29" ht="16" customHeight="1" thickBot="1">
      <c r="A26" s="62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1"/>
      <c r="P27" s="272"/>
      <c r="Q27" s="249"/>
      <c r="R27" s="273"/>
      <c r="S27" s="328" t="s">
        <v>87</v>
      </c>
      <c r="T27" s="329"/>
      <c r="U27" s="329"/>
      <c r="V27" s="329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14"/>
      <c r="P28" s="315"/>
      <c r="Q28" s="316"/>
      <c r="R28" s="317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10" t="s">
        <v>90</v>
      </c>
      <c r="P29" s="311"/>
      <c r="Q29" s="312">
        <f>EINSTELLUNG!O16</f>
        <v>11</v>
      </c>
      <c r="R29" s="313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6">
        <v>0</v>
      </c>
      <c r="P31" s="247"/>
      <c r="Q31" s="250">
        <v>1.7857142857142856E-2</v>
      </c>
      <c r="R31" s="251"/>
    </row>
    <row r="32" spans="1:29" ht="16" customHeight="1" thickBot="1">
      <c r="A32" s="62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2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0" t="s">
        <v>101</v>
      </c>
      <c r="P35" s="231"/>
      <c r="Q35" s="274">
        <f>EINSTELLUNG!C16</f>
        <v>11</v>
      </c>
      <c r="R35" s="274"/>
      <c r="S35" s="274">
        <f>EINSTELLUNG!C32</f>
        <v>11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30" t="s">
        <v>103</v>
      </c>
      <c r="P36" s="231"/>
      <c r="Q36" s="274">
        <f>EINSTELLUNG!D16</f>
        <v>11</v>
      </c>
      <c r="R36" s="274"/>
      <c r="S36" s="277" cm="1">
        <f t="array" ref="S36">SumMergedCells(Q17:R29)</f>
        <v>116770.9333</v>
      </c>
      <c r="T36" s="278"/>
      <c r="U36" s="275">
        <f t="shared" ref="U36:U41" si="2">S36-Q36</f>
        <v>116759.9333</v>
      </c>
      <c r="V36" s="275"/>
    </row>
    <row r="37" spans="1:24" ht="16" customHeight="1" thickBot="1">
      <c r="A37" s="61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10615.539390909091</v>
      </c>
      <c r="T37" s="279"/>
      <c r="U37" s="280">
        <f t="shared" si="2"/>
        <v>10614.539390909091</v>
      </c>
      <c r="V37" s="280"/>
    </row>
    <row r="38" spans="1:24" ht="16" customHeight="1" thickBot="1">
      <c r="A38" s="62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0" t="s">
        <v>107</v>
      </c>
      <c r="P38" s="231"/>
      <c r="Q38" s="281">
        <f>EINSTELLUNG!F16</f>
        <v>11</v>
      </c>
      <c r="R38" s="281"/>
      <c r="S38" s="281">
        <f>EINSTELLUNG!F32</f>
        <v>11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0" t="s">
        <v>111</v>
      </c>
      <c r="P40" s="231"/>
      <c r="Q40" s="274">
        <f>IF(Q12=0, 0, Q35/Q12)</f>
        <v>1.2912374280428598E-3</v>
      </c>
      <c r="R40" s="274"/>
      <c r="S40" s="274">
        <f>IF(Q12=0, 0, S35/Q12)</f>
        <v>1.2912374280428598E-3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0" t="s">
        <v>113</v>
      </c>
      <c r="P41" s="231"/>
      <c r="Q41" s="281">
        <f>IF(Q12=0, 0, Q38/Q12)</f>
        <v>1.2912374280428598E-3</v>
      </c>
      <c r="R41" s="281"/>
      <c r="S41" s="281">
        <f>IF(Q12=0, 0, S38/Q12)</f>
        <v>1.2912374280428598E-3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0" t="s">
        <v>115</v>
      </c>
      <c r="P42" s="231"/>
      <c r="Q42" s="277">
        <f>IFERROR(Q17/Q8, 0)</f>
        <v>13.068341448432095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401737</v>
      </c>
      <c r="C43" s="69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2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1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700000</v>
      </c>
      <c r="C58" s="67" t="s">
        <v>347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0">
        <v>46336</v>
      </c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92"/>
      <c r="N58" s="76" t="s">
        <v>205</v>
      </c>
    </row>
    <row r="59" spans="1:14" ht="16" customHeight="1" thickBot="1">
      <c r="A59" s="62" t="s">
        <v>133</v>
      </c>
      <c r="B59" s="98">
        <v>800000</v>
      </c>
      <c r="C59" s="67" t="s">
        <v>348</v>
      </c>
      <c r="D59" s="117">
        <v>46082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1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PblwoWP1oDk2Uio2YVlJzgj9xKIJFk5q5MpZ70X1jI3TaZEAUmPay/2UwaIwNY7UKimYp8MGKcKckne25m13eQ==" saltValue="/Z082/m+LXDrRwA21/zx9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09" t="s">
        <v>191</v>
      </c>
      <c r="C1" s="217" t="s">
        <v>40</v>
      </c>
      <c r="D1" s="219" t="s">
        <v>192</v>
      </c>
      <c r="E1" s="219" t="s">
        <v>0</v>
      </c>
      <c r="F1" s="219" t="s">
        <v>41</v>
      </c>
      <c r="G1" s="221" t="s">
        <v>42</v>
      </c>
      <c r="H1" s="215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40" t="s">
        <v>47</v>
      </c>
      <c r="N1" s="210" t="s">
        <v>194</v>
      </c>
      <c r="AB1" s="8">
        <f>DATE(EINSTELLUNG!$C$35,$A$1,1)</f>
        <v>46357</v>
      </c>
    </row>
    <row r="2" spans="1:28" ht="16" customHeight="1" thickBot="1">
      <c r="A2" s="60"/>
      <c r="B2" s="209"/>
      <c r="C2" s="218"/>
      <c r="D2" s="220"/>
      <c r="E2" s="220"/>
      <c r="F2" s="220"/>
      <c r="G2" s="222"/>
      <c r="H2" s="216"/>
      <c r="I2" s="233"/>
      <c r="J2" s="235"/>
      <c r="K2" s="237"/>
      <c r="L2" s="239"/>
      <c r="M2" s="241"/>
      <c r="N2" s="210"/>
      <c r="AB2" s="8">
        <f>EOMONTH(DATE(EINSTELLUNG!$C$35,$A$1,1),0)</f>
        <v>46387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1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42" t="s">
        <v>49</v>
      </c>
      <c r="P3" s="242" t="s">
        <v>50</v>
      </c>
      <c r="Q3" s="223" t="s">
        <v>51</v>
      </c>
      <c r="R3" s="225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43"/>
      <c r="P4" s="243"/>
      <c r="Q4" s="224"/>
      <c r="R4" s="226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-10557.399292845879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27" t="str">
        <f>IF(Q5&lt;0, "Schlecht! Zu wenig Urlaub abgebaut.", IF(Q5&gt;0, "Gut! Mehr Urlaub abgebaut als aufgebaut.", ""))</f>
        <v>Schlecht! Zu wenig Urlaub abgebaut.</v>
      </c>
      <c r="P6" s="228"/>
      <c r="Q6" s="228"/>
      <c r="R6" s="229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13" t="s">
        <v>58</v>
      </c>
      <c r="P8" s="214"/>
      <c r="Q8" s="211">
        <f>SUM(H3:H82)</f>
        <v>8494.2999999999993</v>
      </c>
      <c r="R8" s="211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13" t="s">
        <v>60</v>
      </c>
      <c r="P9" s="214"/>
      <c r="Q9" s="211">
        <f>EINSTELLUNG!L33</f>
        <v>12</v>
      </c>
      <c r="R9" s="211"/>
      <c r="S9" s="19">
        <f>IFERROR(Q9/Q8, 0)</f>
        <v>1.4127120539656006E-3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13" t="s">
        <v>62</v>
      </c>
      <c r="P10" s="214"/>
      <c r="Q10" s="211">
        <f>EINSTELLUNG!I33</f>
        <v>12</v>
      </c>
      <c r="R10" s="211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13" t="s">
        <v>64</v>
      </c>
      <c r="P11" s="214"/>
      <c r="Q11" s="211">
        <f>P5</f>
        <v>12</v>
      </c>
      <c r="R11" s="211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13" t="s">
        <v>66</v>
      </c>
      <c r="P12" s="214"/>
      <c r="Q12" s="256">
        <v>-303</v>
      </c>
      <c r="R12" s="256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13" t="s">
        <v>68</v>
      </c>
      <c r="P13" s="214"/>
      <c r="Q13" s="211">
        <f>Q8-Q9-Q10-Q11-Q12</f>
        <v>8761.2999999999993</v>
      </c>
      <c r="R13" s="211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13" t="s">
        <v>70</v>
      </c>
      <c r="P14" s="214"/>
      <c r="Q14" s="211">
        <f>EINSTELLUNG!L17</f>
        <v>9300</v>
      </c>
      <c r="R14" s="211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213" t="s">
        <v>72</v>
      </c>
      <c r="P15" s="214"/>
      <c r="Q15" s="211">
        <f>Q13-Q14</f>
        <v>-538.70000000000073</v>
      </c>
      <c r="R15" s="211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O16" s="212" t="str">
        <f>IF(Q15&lt;0, "Schlecht! Zu wenig Stunden für Dienstplan.", IF(Q15&gt;0, "Du hast mehr als genug Stunden für Dienstplan.", ""))</f>
        <v>Schlecht! Zu wenig Stunden für Dienstplan.</v>
      </c>
      <c r="P16" s="212"/>
      <c r="Q16" s="212"/>
      <c r="R16" s="212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57" t="s">
        <v>75</v>
      </c>
      <c r="P17" s="258"/>
      <c r="Q17" s="259">
        <f>SUM(L3:L82)</f>
        <v>111026.6</v>
      </c>
      <c r="R17" s="259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44"/>
      <c r="P18" s="245"/>
      <c r="Q18" s="248"/>
      <c r="R18" s="249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244"/>
      <c r="P19" s="245"/>
      <c r="Q19" s="248"/>
      <c r="R19" s="249"/>
    </row>
    <row r="20" spans="1:29" ht="16" customHeight="1" thickBot="1">
      <c r="A20" s="61" t="s">
        <v>78</v>
      </c>
      <c r="B20" s="98">
        <v>401564</v>
      </c>
      <c r="C20" s="69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244"/>
      <c r="P20" s="245"/>
      <c r="Q20" s="248"/>
      <c r="R20" s="249"/>
    </row>
    <row r="21" spans="1:29" ht="16" customHeight="1" thickBot="1">
      <c r="A21" s="62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244" t="s">
        <v>320</v>
      </c>
      <c r="P21" s="245"/>
      <c r="Q21" s="248">
        <v>5000</v>
      </c>
      <c r="R21" s="249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244"/>
      <c r="P22" s="245"/>
      <c r="Q22" s="248"/>
      <c r="R22" s="249"/>
    </row>
    <row r="23" spans="1:29" ht="16" customHeight="1" thickBot="1">
      <c r="A23" s="61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244"/>
      <c r="P23" s="245"/>
      <c r="Q23" s="248"/>
      <c r="R23" s="249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244"/>
      <c r="P24" s="245"/>
      <c r="Q24" s="248"/>
      <c r="R24" s="249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263"/>
      <c r="P25" s="264"/>
      <c r="Q25" s="265"/>
      <c r="R25" s="266"/>
    </row>
    <row r="26" spans="1:29" ht="16" customHeight="1" thickBot="1">
      <c r="A26" s="61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67"/>
      <c r="P26" s="268"/>
      <c r="Q26" s="269"/>
      <c r="R26" s="270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71"/>
      <c r="P27" s="272"/>
      <c r="Q27" s="249"/>
      <c r="R27" s="273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71"/>
      <c r="P28" s="272"/>
      <c r="Q28" s="249"/>
      <c r="R28" s="273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52" t="s">
        <v>90</v>
      </c>
      <c r="P29" s="253"/>
      <c r="Q29" s="254">
        <f>EINSTELLUNG!O17</f>
        <v>12</v>
      </c>
      <c r="R29" s="255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6">
        <v>0</v>
      </c>
      <c r="P31" s="247"/>
      <c r="Q31" s="250">
        <v>0</v>
      </c>
      <c r="R31" s="251"/>
    </row>
    <row r="32" spans="1:29" ht="16" customHeight="1" thickBot="1">
      <c r="A32" s="61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60"/>
      <c r="P33" s="261"/>
      <c r="Q33" s="262" t="str">
        <f>EINSTELLUNG!B3</f>
        <v>Budget Zahlen</v>
      </c>
      <c r="R33" s="262"/>
      <c r="S33" s="276" t="str">
        <f>EINSTELLUNG!B19</f>
        <v>Projection/Aktuell Zahlen</v>
      </c>
      <c r="T33" s="276"/>
      <c r="U33" s="276" t="s">
        <v>98</v>
      </c>
      <c r="V33" s="276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60"/>
      <c r="P34" s="261"/>
      <c r="Q34" s="262"/>
      <c r="R34" s="262"/>
      <c r="S34" s="276"/>
      <c r="T34" s="276"/>
      <c r="U34" s="276"/>
      <c r="V34" s="276"/>
    </row>
    <row r="35" spans="1:24" ht="16" customHeight="1" thickBot="1">
      <c r="A35" s="61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30" t="s">
        <v>101</v>
      </c>
      <c r="P35" s="231"/>
      <c r="Q35" s="274">
        <f>EINSTELLUNG!C17</f>
        <v>12</v>
      </c>
      <c r="R35" s="274"/>
      <c r="S35" s="274">
        <f>EINSTELLUNG!C33</f>
        <v>12</v>
      </c>
      <c r="T35" s="274"/>
      <c r="U35" s="275">
        <f>S35-Q35</f>
        <v>0</v>
      </c>
      <c r="V35" s="275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30" t="s">
        <v>103</v>
      </c>
      <c r="P36" s="231"/>
      <c r="Q36" s="274">
        <f>EINSTELLUNG!D17</f>
        <v>12</v>
      </c>
      <c r="R36" s="274"/>
      <c r="S36" s="277" cm="1">
        <f t="array" ref="S36">SumMergedCells(Q17:R29)</f>
        <v>116038.6</v>
      </c>
      <c r="T36" s="278"/>
      <c r="U36" s="275">
        <f t="shared" ref="U36:U41" si="2">S36-Q36</f>
        <v>116026.6</v>
      </c>
      <c r="V36" s="275"/>
    </row>
    <row r="37" spans="1:24" ht="16" customHeight="1" thickBot="1">
      <c r="A37" s="62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30" t="s">
        <v>105</v>
      </c>
      <c r="P37" s="231"/>
      <c r="Q37" s="279">
        <f>IF(ISERROR(Q36/Q35), 0, Q36/Q35)</f>
        <v>1</v>
      </c>
      <c r="R37" s="279"/>
      <c r="S37" s="279">
        <f>IF(ISERROR(S36/S35), 0, S36/S35)</f>
        <v>9669.8833333333332</v>
      </c>
      <c r="T37" s="279"/>
      <c r="U37" s="280">
        <f t="shared" si="2"/>
        <v>9668.8833333333332</v>
      </c>
      <c r="V37" s="280"/>
    </row>
    <row r="38" spans="1:24" ht="16" customHeight="1" thickBot="1">
      <c r="A38" s="61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30" t="s">
        <v>107</v>
      </c>
      <c r="P38" s="231"/>
      <c r="Q38" s="281">
        <f>EINSTELLUNG!F17</f>
        <v>12</v>
      </c>
      <c r="R38" s="281"/>
      <c r="S38" s="281">
        <f>EINSTELLUNG!F33</f>
        <v>12</v>
      </c>
      <c r="T38" s="281"/>
      <c r="U38" s="282">
        <f t="shared" si="2"/>
        <v>0</v>
      </c>
      <c r="V38" s="282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30" t="s">
        <v>109</v>
      </c>
      <c r="P39" s="231"/>
      <c r="Q39" s="274">
        <f>IF(Q38=0, 0, Q35/Q38)</f>
        <v>1</v>
      </c>
      <c r="R39" s="274"/>
      <c r="S39" s="274">
        <f>IF(S38=0, 0, S35/S38)</f>
        <v>1</v>
      </c>
      <c r="T39" s="274"/>
      <c r="U39" s="275">
        <f t="shared" si="2"/>
        <v>0</v>
      </c>
      <c r="V39" s="275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30" t="s">
        <v>111</v>
      </c>
      <c r="P40" s="231"/>
      <c r="Q40" s="274">
        <f>IF(Q13=0, 0, Q35/Q13)</f>
        <v>1.369659753689521E-3</v>
      </c>
      <c r="R40" s="274"/>
      <c r="S40" s="274">
        <f>IF(Q13=0, 0, S35/Q13)</f>
        <v>1.369659753689521E-3</v>
      </c>
      <c r="T40" s="274"/>
      <c r="U40" s="275">
        <f t="shared" si="2"/>
        <v>0</v>
      </c>
      <c r="V40" s="275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30" t="s">
        <v>113</v>
      </c>
      <c r="P41" s="231"/>
      <c r="Q41" s="281">
        <f>IF(Q13=0, 0, Q38/Q13)</f>
        <v>1.369659753689521E-3</v>
      </c>
      <c r="R41" s="281"/>
      <c r="S41" s="281">
        <f>IF(Q13=0, 0, S38/Q13)</f>
        <v>1.369659753689521E-3</v>
      </c>
      <c r="T41" s="281"/>
      <c r="U41" s="282">
        <f t="shared" si="2"/>
        <v>0</v>
      </c>
      <c r="V41" s="282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30" t="s">
        <v>115</v>
      </c>
      <c r="P42" s="231"/>
      <c r="Q42" s="277">
        <f>IFERROR(Q17/Q8, 0)</f>
        <v>13.07071801090143</v>
      </c>
      <c r="R42" s="283"/>
      <c r="S42" s="283"/>
      <c r="T42" s="283"/>
      <c r="U42" s="283"/>
      <c r="V42" s="278"/>
    </row>
    <row r="43" spans="1:24" ht="16" customHeight="1" thickBot="1">
      <c r="A43" s="61" t="s">
        <v>116</v>
      </c>
      <c r="B43" s="98">
        <v>401737</v>
      </c>
      <c r="C43" s="67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1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2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800000</v>
      </c>
      <c r="C58" s="67" t="s">
        <v>348</v>
      </c>
      <c r="D58" s="117">
        <v>46082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117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0"/>
      <c r="J59" s="113"/>
      <c r="K59" s="89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201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sI5AId5yCxnQRsDb/zqpzsXGd1HHmFHAxB1OLQajMIsOUqRF33o7t+6dtFdRJVM4JWF1OcKr3c65stLASreVVg==" saltValue="yKyWqkM+yd/gzYf2Vy11Z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abSelected="1" topLeftCell="A13" zoomScaleNormal="100" workbookViewId="0">
      <selection activeCell="L28" sqref="L28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72" t="e">
        <f>"FINANZIELL ÜBERSICHT "&amp;#REF!</f>
        <v>#REF!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2"/>
    </row>
    <row r="3" spans="2:18" ht="15.75" customHeight="1"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2"/>
    </row>
    <row r="4" spans="2:18" ht="30" customHeight="1">
      <c r="B4" s="374"/>
      <c r="C4" s="373" t="s">
        <v>18</v>
      </c>
      <c r="D4" s="373"/>
      <c r="E4" s="373"/>
      <c r="F4" s="373" t="s">
        <v>164</v>
      </c>
      <c r="G4" s="373"/>
      <c r="H4" s="373"/>
      <c r="I4" s="373" t="s">
        <v>165</v>
      </c>
      <c r="J4" s="373"/>
      <c r="K4" s="373"/>
      <c r="L4" s="373" t="s">
        <v>166</v>
      </c>
      <c r="M4" s="373" t="s">
        <v>167</v>
      </c>
      <c r="N4" s="375" t="s">
        <v>168</v>
      </c>
      <c r="O4" s="375"/>
      <c r="P4" s="375"/>
      <c r="Q4" s="375" t="s">
        <v>93</v>
      </c>
    </row>
    <row r="5" spans="2:18" ht="30" customHeight="1">
      <c r="B5" s="374"/>
      <c r="C5" s="373"/>
      <c r="D5" s="373"/>
      <c r="E5" s="373"/>
      <c r="F5" s="373"/>
      <c r="G5" s="373"/>
      <c r="H5" s="373"/>
      <c r="I5" s="373"/>
      <c r="J5" s="373"/>
      <c r="K5" s="373"/>
      <c r="L5" s="373"/>
      <c r="M5" s="373"/>
      <c r="N5" s="375"/>
      <c r="O5" s="375"/>
      <c r="P5" s="375"/>
      <c r="Q5" s="375"/>
    </row>
    <row r="6" spans="2:18" ht="30" customHeight="1">
      <c r="B6" s="374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73"/>
      <c r="M6" s="373"/>
      <c r="N6" s="25" t="s">
        <v>172</v>
      </c>
      <c r="O6" s="25" t="s">
        <v>173</v>
      </c>
      <c r="P6" s="26" t="s">
        <v>171</v>
      </c>
      <c r="Q6" s="375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95005.828800000003</v>
      </c>
      <c r="H7" s="48">
        <f>G7-F7</f>
        <v>95004.828800000003</v>
      </c>
      <c r="I7" s="31">
        <f>EINSTELLUNG!E6</f>
        <v>1</v>
      </c>
      <c r="J7" s="31">
        <f>EINSTELLUNG!E22</f>
        <v>95005.828800000003</v>
      </c>
      <c r="K7" s="32">
        <f>J7-I7</f>
        <v>95004.828800000003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108523.0129</v>
      </c>
      <c r="H8" s="48">
        <f>G8-F8</f>
        <v>108521.0129</v>
      </c>
      <c r="I8" s="31">
        <f>EINSTELLUNG!E7</f>
        <v>1</v>
      </c>
      <c r="J8" s="31">
        <f>EINSTELLUNG!E23</f>
        <v>54261.506450000001</v>
      </c>
      <c r="K8" s="32">
        <f t="shared" ref="K8:K22" si="0">J8-I8</f>
        <v>54260.506450000001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112024.0961</v>
      </c>
      <c r="H9" s="48">
        <f>G9-F9</f>
        <v>112021.0961</v>
      </c>
      <c r="I9" s="31">
        <f>EINSTELLUNG!E8</f>
        <v>1</v>
      </c>
      <c r="J9" s="31">
        <f>EINSTELLUNG!E24</f>
        <v>37341.365366666665</v>
      </c>
      <c r="K9" s="32">
        <f>J9-I9</f>
        <v>37340.365366666665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315552.93779999996</v>
      </c>
      <c r="H10" s="49">
        <f>G10-F10</f>
        <v>315546.93779999996</v>
      </c>
      <c r="I10" s="35">
        <f>AVERAGE(I7:I9)</f>
        <v>1</v>
      </c>
      <c r="J10" s="35">
        <f>AVERAGE(J7:J9)</f>
        <v>62202.900205555554</v>
      </c>
      <c r="K10" s="36">
        <f>J10-I10</f>
        <v>62201.900205555554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110604.4</v>
      </c>
      <c r="H11" s="48">
        <f>G11-F11</f>
        <v>110600.4</v>
      </c>
      <c r="I11" s="31">
        <f>EINSTELLUNG!E9</f>
        <v>1</v>
      </c>
      <c r="J11" s="31">
        <f>EINSTELLUNG!E25</f>
        <v>27651.1</v>
      </c>
      <c r="K11" s="32">
        <f t="shared" si="0"/>
        <v>27650.1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126182.72900000001</v>
      </c>
      <c r="H12" s="48">
        <f t="shared" ref="H12:H23" si="3">G12-F12</f>
        <v>126177.72900000001</v>
      </c>
      <c r="I12" s="31">
        <f>EINSTELLUNG!E10</f>
        <v>1</v>
      </c>
      <c r="J12" s="31">
        <f>EINSTELLUNG!E26</f>
        <v>25236.5458</v>
      </c>
      <c r="K12" s="32">
        <f t="shared" si="0"/>
        <v>25235.5458</v>
      </c>
      <c r="L12" s="30">
        <f>Mai!S40</f>
        <v>5.4012595737325947E-4</v>
      </c>
      <c r="M12" s="27">
        <f>Mai!S41</f>
        <v>5.4012595737325947E-4</v>
      </c>
      <c r="N12" s="27">
        <f>Mai!O5</f>
        <v>896.92764790266722</v>
      </c>
      <c r="O12" s="27">
        <f>Mai!P5</f>
        <v>5</v>
      </c>
      <c r="P12" s="50">
        <f t="shared" si="1"/>
        <v>-891.92764790266722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127053.51669999999</v>
      </c>
      <c r="H13" s="48">
        <f t="shared" si="3"/>
        <v>127047.51669999999</v>
      </c>
      <c r="I13" s="31">
        <f>EINSTELLUNG!E11</f>
        <v>1</v>
      </c>
      <c r="J13" s="31">
        <f>EINSTELLUNG!E27</f>
        <v>21175.586116666665</v>
      </c>
      <c r="K13" s="32">
        <f t="shared" si="0"/>
        <v>21174.586116666665</v>
      </c>
      <c r="L13" s="30">
        <f>Juni!S40</f>
        <v>0.2857142857142857</v>
      </c>
      <c r="M13" s="27">
        <f>Juni!S41</f>
        <v>0.2857142857142857</v>
      </c>
      <c r="N13" s="27">
        <f>Juni!O5</f>
        <v>901.10134341404239</v>
      </c>
      <c r="O13" s="27">
        <f>Juni!P5</f>
        <v>6</v>
      </c>
      <c r="P13" s="50">
        <f t="shared" si="1"/>
        <v>-895.10134341404239</v>
      </c>
      <c r="Q13" s="31">
        <f>Juni!Q31</f>
        <v>1.6393442622950821E-2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363840.64569999999</v>
      </c>
      <c r="H14" s="49">
        <f t="shared" si="3"/>
        <v>363825.64569999999</v>
      </c>
      <c r="I14" s="35">
        <f>AVERAGE(I11:I13)</f>
        <v>1</v>
      </c>
      <c r="J14" s="35">
        <f>AVERAGE(J11:J13)</f>
        <v>24687.743972222223</v>
      </c>
      <c r="K14" s="36">
        <f t="shared" si="0"/>
        <v>24686.743972222223</v>
      </c>
      <c r="L14" s="34">
        <f>AVERAGE(L11:L13)</f>
        <v>9.5565643229224562E-2</v>
      </c>
      <c r="M14" s="29">
        <f>AVERAGE(M11:M13)</f>
        <v>9.5565643229224562E-2</v>
      </c>
      <c r="N14" s="29">
        <f>SUM(N11:N13)</f>
        <v>2651.8831365256819</v>
      </c>
      <c r="O14" s="29">
        <f>SUM(O11:O13)</f>
        <v>15</v>
      </c>
      <c r="P14" s="51">
        <f t="shared" si="1"/>
        <v>-2636.8831365256819</v>
      </c>
      <c r="Q14" s="35">
        <f>AVERAGE(Q11:Q13)</f>
        <v>5.4644808743169399E-3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125719.37420000001</v>
      </c>
      <c r="H15" s="48">
        <f t="shared" si="3"/>
        <v>125712.37420000001</v>
      </c>
      <c r="I15" s="31">
        <f>EINSTELLUNG!E12</f>
        <v>1</v>
      </c>
      <c r="J15" s="31">
        <f>EINSTELLUNG!E28</f>
        <v>17959.910599999999</v>
      </c>
      <c r="K15" s="32">
        <f t="shared" si="0"/>
        <v>17958.910599999999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123990.6</v>
      </c>
      <c r="H16" s="48">
        <f t="shared" si="3"/>
        <v>123982.6</v>
      </c>
      <c r="I16" s="31">
        <f>EINSTELLUNG!E13</f>
        <v>1</v>
      </c>
      <c r="J16" s="31">
        <f>EINSTELLUNG!E29</f>
        <v>15498.825000000001</v>
      </c>
      <c r="K16" s="32">
        <f t="shared" si="0"/>
        <v>15497.825000000001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121385.26669999999</v>
      </c>
      <c r="H17" s="48">
        <f t="shared" si="3"/>
        <v>121376.26669999999</v>
      </c>
      <c r="I17" s="31">
        <f>EINSTELLUNG!E14</f>
        <v>1</v>
      </c>
      <c r="J17" s="31">
        <f>EINSTELLUNG!E30</f>
        <v>13487.251855555554</v>
      </c>
      <c r="K17" s="32">
        <f t="shared" si="0"/>
        <v>13486.251855555554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371095.24089999998</v>
      </c>
      <c r="H18" s="49">
        <f t="shared" si="3"/>
        <v>371071.24089999998</v>
      </c>
      <c r="I18" s="35">
        <f>AVERAGE(I15:I17)</f>
        <v>1</v>
      </c>
      <c r="J18" s="35">
        <f>AVERAGE(J15:J17)</f>
        <v>15648.662485185187</v>
      </c>
      <c r="K18" s="36">
        <f t="shared" si="0"/>
        <v>15647.662485185187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118921.4387</v>
      </c>
      <c r="H19" s="48">
        <f t="shared" si="3"/>
        <v>118911.4387</v>
      </c>
      <c r="I19" s="31">
        <f>EINSTELLUNG!E15</f>
        <v>1</v>
      </c>
      <c r="J19" s="31">
        <f>EINSTELLUNG!E31</f>
        <v>11892.14387</v>
      </c>
      <c r="K19" s="32">
        <f t="shared" si="0"/>
        <v>11891.14387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116770.9333</v>
      </c>
      <c r="H20" s="48">
        <f t="shared" si="3"/>
        <v>116759.9333</v>
      </c>
      <c r="I20" s="31">
        <f>EINSTELLUNG!E16</f>
        <v>1</v>
      </c>
      <c r="J20" s="31">
        <f>EINSTELLUNG!E32</f>
        <v>10615.539390909091</v>
      </c>
      <c r="K20" s="32">
        <f t="shared" si="0"/>
        <v>10614.539390909091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116038.6</v>
      </c>
      <c r="H21" s="48">
        <f t="shared" si="3"/>
        <v>116026.6</v>
      </c>
      <c r="I21" s="31">
        <f>EINSTELLUNG!E17</f>
        <v>1</v>
      </c>
      <c r="J21" s="31">
        <f>EINSTELLUNG!E33</f>
        <v>9669.8833333333332</v>
      </c>
      <c r="K21" s="32">
        <f t="shared" si="0"/>
        <v>9668.8833333333332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351730.97200000001</v>
      </c>
      <c r="H22" s="49">
        <f t="shared" si="3"/>
        <v>351697.97200000001</v>
      </c>
      <c r="I22" s="35">
        <f>AVERAGE(I19:I21)</f>
        <v>1</v>
      </c>
      <c r="J22" s="35">
        <f>AVERAGE(J19:J21)</f>
        <v>10725.855531414141</v>
      </c>
      <c r="K22" s="36">
        <f t="shared" si="0"/>
        <v>10724.855531414141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1402219.7963999999</v>
      </c>
      <c r="H23" s="49">
        <f t="shared" si="3"/>
        <v>1402141.7963999999</v>
      </c>
      <c r="I23" s="40">
        <f>AVERAGE(I10,I14,I18,I22)</f>
        <v>1</v>
      </c>
      <c r="J23" s="40">
        <f>AVERAGE(J10,J14,J18,J22)</f>
        <v>28316.290548594276</v>
      </c>
      <c r="K23" s="36">
        <f>J23-I23</f>
        <v>28315.290548594276</v>
      </c>
      <c r="L23" s="39">
        <f>AVERAGE(L22,L18,L14,L10)</f>
        <v>2.4487977848890168E-2</v>
      </c>
      <c r="M23" s="41">
        <f>AVERAGE(M10,M14,M18,M22)</f>
        <v>2.4487977848890164E-2</v>
      </c>
      <c r="N23" s="41">
        <f>SUM(N10,N14,N18,N22)</f>
        <v>10262.200496983398</v>
      </c>
      <c r="O23" s="41">
        <f>SUM(O10,O14,O18,O22)</f>
        <v>78</v>
      </c>
      <c r="P23" s="51">
        <f t="shared" si="1"/>
        <v>-10184.200496983398</v>
      </c>
      <c r="Q23" s="40">
        <f>AVERAGE(Q22,Q18,Q14,Q10)</f>
        <v>1.4427162261435875E-2</v>
      </c>
    </row>
    <row r="24" spans="2:17" ht="15">
      <c r="O24" s="4"/>
    </row>
    <row r="25" spans="2:17">
      <c r="B25" s="371" t="s">
        <v>190</v>
      </c>
      <c r="C25" s="371"/>
      <c r="D25" s="371"/>
      <c r="E25" s="371"/>
    </row>
    <row r="26" spans="2:17">
      <c r="B26" s="371"/>
      <c r="C26" s="371"/>
      <c r="D26" s="371"/>
      <c r="E26" s="371"/>
    </row>
    <row r="27" spans="2:17">
      <c r="B27" s="371"/>
      <c r="C27" s="371"/>
      <c r="D27" s="371"/>
      <c r="E27" s="371"/>
    </row>
    <row r="28" spans="2:17" ht="20" customHeight="1">
      <c r="B28" s="376" t="str">
        <f xml:space="preserve"> "DURCHRECHNUNGSSTUNDEN - " &amp; EINSTELLUNG!C35</f>
        <v>DURCHRECHNUNGSSTUNDEN - 2026</v>
      </c>
      <c r="C28" s="377"/>
      <c r="D28" s="377"/>
      <c r="E28" s="377"/>
      <c r="F28" s="377"/>
      <c r="G28" s="377"/>
      <c r="H28" s="377"/>
      <c r="I28" s="377"/>
      <c r="J28" s="377"/>
    </row>
    <row r="29" spans="2:17" ht="36" customHeight="1">
      <c r="B29" s="370" t="s">
        <v>499</v>
      </c>
      <c r="C29" s="370"/>
      <c r="D29" s="370"/>
      <c r="E29" s="370"/>
      <c r="F29" s="370"/>
      <c r="G29" s="370"/>
      <c r="H29" s="370"/>
      <c r="I29" s="370"/>
      <c r="J29" s="370"/>
    </row>
    <row r="30" spans="2:17" ht="20" customHeight="1">
      <c r="B30" s="369" t="s">
        <v>500</v>
      </c>
      <c r="C30" s="369"/>
      <c r="D30" s="369"/>
      <c r="E30" s="203">
        <v>9000</v>
      </c>
      <c r="F30" s="369" t="s">
        <v>501</v>
      </c>
      <c r="G30" s="369"/>
      <c r="H30" s="204"/>
      <c r="I30" s="204"/>
      <c r="J30" s="204"/>
    </row>
    <row r="31" spans="2:17" s="149" customFormat="1" ht="30" customHeight="1">
      <c r="B31" s="207" t="s">
        <v>458</v>
      </c>
      <c r="C31" s="207" t="s">
        <v>459</v>
      </c>
      <c r="D31" s="207" t="s">
        <v>460</v>
      </c>
      <c r="E31" s="207" t="s">
        <v>461</v>
      </c>
      <c r="F31" s="207" t="s">
        <v>98</v>
      </c>
      <c r="G31" s="207" t="s">
        <v>502</v>
      </c>
      <c r="H31" s="207" t="s">
        <v>462</v>
      </c>
      <c r="I31" s="207" t="s">
        <v>463</v>
      </c>
      <c r="J31" s="208" t="s">
        <v>300</v>
      </c>
    </row>
    <row r="32" spans="2:17" ht="34" customHeight="1">
      <c r="B32" s="205" t="s">
        <v>464</v>
      </c>
      <c r="C32" s="205" t="s">
        <v>178</v>
      </c>
      <c r="D32" s="206">
        <f>Februar!Q12+Marz!Q13+April!Q13</f>
        <v>27033.489999999998</v>
      </c>
      <c r="E32" s="206">
        <f>EINSTELLUNG!L7+EINSTELLUNG!L8+EINSTELLUNG!L9</f>
        <v>27900</v>
      </c>
      <c r="F32" s="206">
        <f>April!Q15</f>
        <v>-260.82000000000153</v>
      </c>
      <c r="G32" s="206">
        <f>April!Q42</f>
        <v>12.005256827395531</v>
      </c>
      <c r="H32" s="206">
        <f>MAX(0,-F32)</f>
        <v>260.82000000000153</v>
      </c>
      <c r="I32" s="205">
        <f>IF(OR(G32=0,H32=0),"",H32*G32*3/2)</f>
        <v>4696.8166285819807</v>
      </c>
      <c r="J32" s="204" t="str">
        <f>IF(F32&lt;0,"ACHTUNG: Ueberstunden-Risiko",IF(F32&gt;0,"Hinweis: Reserve / Minus-Stunden moeglich","OK"))</f>
        <v>ACHTUNG: Ueberstunden-Risiko</v>
      </c>
    </row>
    <row r="33" spans="2:10" ht="34" customHeight="1">
      <c r="B33" s="205" t="s">
        <v>465</v>
      </c>
      <c r="C33" s="205" t="s">
        <v>182</v>
      </c>
      <c r="D33" s="206">
        <f>Mai!Q12+Juni!Q13+Juli!Q13</f>
        <v>27722.47</v>
      </c>
      <c r="E33" s="206">
        <f>EINSTELLUNG!L10+EINSTELLUNG!L11+EINSTELLUNG!L12</f>
        <v>27900</v>
      </c>
      <c r="F33" s="206">
        <f>Juli!Q15</f>
        <v>-75.640000000001237</v>
      </c>
      <c r="G33" s="206">
        <f>Juli!Q42</f>
        <v>13.084841588138394</v>
      </c>
      <c r="H33" s="206">
        <f>MAX(0,-F33)</f>
        <v>75.640000000001237</v>
      </c>
      <c r="I33" s="205">
        <f>IF(OR(G33=0,H33=0),"",H33*G33*3/2)</f>
        <v>1484.6061265902065</v>
      </c>
      <c r="J33" s="204" t="str">
        <f>IF(F33&lt;0,"ACHTUNG: Ueberstunden-Risiko",IF(F33&gt;0,"Hinweis: Reserve / Minus-Stunden moeglich","OK"))</f>
        <v>ACHTUNG: Ueberstunden-Risiko</v>
      </c>
    </row>
    <row r="34" spans="2:10" ht="34" customHeight="1">
      <c r="B34" s="205" t="s">
        <v>466</v>
      </c>
      <c r="C34" s="205" t="s">
        <v>186</v>
      </c>
      <c r="D34" s="206">
        <f>August!Q12+September!Q13+Oktober!Q13</f>
        <v>26559.25</v>
      </c>
      <c r="E34" s="206">
        <f>EINSTELLUNG!L13+EINSTELLUNG!L14+EINSTELLUNG!L15</f>
        <v>27900</v>
      </c>
      <c r="F34" s="206">
        <f>Oktober!Q15</f>
        <v>-485.89999999999964</v>
      </c>
      <c r="G34" s="206">
        <f>Oktober!Q42</f>
        <v>13.058595993359864</v>
      </c>
      <c r="H34" s="206">
        <f>MAX(0,-F34)</f>
        <v>485.89999999999964</v>
      </c>
      <c r="I34" s="205">
        <f>IF(OR(G34=0,H34=0),"",H34*G34*3/2)</f>
        <v>9517.7576897603285</v>
      </c>
      <c r="J34" s="204" t="str">
        <f>IF(F34&lt;0,"ACHTUNG: Ueberstunden-Risiko",IF(F34&gt;0,"Hinweis: Reserve / Minus-Stunden moeglich","OK"))</f>
        <v>ACHTUNG: Ueberstunden-Risiko</v>
      </c>
    </row>
    <row r="35" spans="2:10" ht="34" customHeight="1">
      <c r="B35" s="205" t="s">
        <v>467</v>
      </c>
      <c r="C35" s="205" t="s">
        <v>468</v>
      </c>
      <c r="D35" s="206">
        <f>November!Q12+Dezember!Q13+E30</f>
        <v>26280.26</v>
      </c>
      <c r="E35" s="206">
        <f>EINSTELLUNG!L16+EINSTELLUNG!L17+G30</f>
        <v>18600</v>
      </c>
      <c r="F35" s="206">
        <f>D35-E35</f>
        <v>7680.2599999999984</v>
      </c>
      <c r="G35" s="206">
        <f>Dezember!Q42</f>
        <v>13.07071801090143</v>
      </c>
      <c r="H35" s="206">
        <f>MAX(0,-F35)</f>
        <v>0</v>
      </c>
      <c r="I35" s="205" t="str">
        <f>IF(OR(G35=0,H35=0),"",H35*G35*3/2)</f>
        <v/>
      </c>
      <c r="J35" s="204" t="str">
        <f>IF(F35&lt;0,"ACHTUNG: Ueberstunden-Risiko",IF(F35&gt;0,"Hinweis: Reserve / Minus-Stunden moeglich","OK"))</f>
        <v>Hinweis: Reserve / Minus-Stunden moeglich</v>
      </c>
    </row>
    <row r="36" spans="2:10" ht="14" customHeight="1">
      <c r="B36" s="370" t="s">
        <v>503</v>
      </c>
      <c r="C36" s="370"/>
      <c r="D36" s="370"/>
      <c r="E36" s="370"/>
      <c r="F36" s="370"/>
      <c r="G36" s="370"/>
      <c r="H36" s="370"/>
      <c r="I36" s="370"/>
      <c r="J36" s="370"/>
    </row>
    <row r="37" spans="2:10">
      <c r="B37" s="204"/>
      <c r="C37" s="204"/>
      <c r="D37" s="204"/>
      <c r="E37" s="204"/>
      <c r="F37" s="204"/>
      <c r="G37" s="204"/>
      <c r="H37" s="204"/>
      <c r="I37" s="204"/>
      <c r="J37" s="204"/>
    </row>
    <row r="38" spans="2:10" ht="40" customHeight="1">
      <c r="B38" s="204"/>
      <c r="C38" s="204"/>
      <c r="D38" s="204"/>
      <c r="E38" s="204"/>
      <c r="F38" s="204"/>
      <c r="G38" s="204"/>
      <c r="H38" s="204"/>
      <c r="I38" s="204"/>
      <c r="J38" s="204"/>
    </row>
  </sheetData>
  <sheetProtection selectLockedCells="1" sort="0" autoFilter="0"/>
  <mergeCells count="15">
    <mergeCell ref="F30:G30"/>
    <mergeCell ref="B36:J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J28"/>
    <mergeCell ref="B29:J29"/>
    <mergeCell ref="B30:D3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1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05" bestFit="1" customWidth="1"/>
    <col min="5" max="5" width="12.83203125" style="105" bestFit="1" customWidth="1"/>
    <col min="6" max="6" width="27.6640625" bestFit="1" customWidth="1"/>
    <col min="7" max="7" width="18.5" bestFit="1" customWidth="1"/>
    <col min="8" max="8" width="13" style="107" bestFit="1" customWidth="1"/>
    <col min="9" max="9" width="9.5" style="107" bestFit="1" customWidth="1"/>
    <col min="10" max="10" width="11.6640625" style="107" bestFit="1" customWidth="1"/>
    <col min="11" max="11" width="24.33203125" bestFit="1" customWidth="1"/>
  </cols>
  <sheetData>
    <row r="1" spans="1:11">
      <c r="A1" s="103" t="s">
        <v>217</v>
      </c>
      <c r="B1" s="103" t="s">
        <v>191</v>
      </c>
      <c r="C1" s="103" t="s">
        <v>40</v>
      </c>
      <c r="D1" s="104" t="s">
        <v>218</v>
      </c>
      <c r="E1" s="104" t="s">
        <v>219</v>
      </c>
      <c r="F1" s="103" t="s">
        <v>194</v>
      </c>
      <c r="G1" s="103" t="s">
        <v>224</v>
      </c>
      <c r="H1" s="106" t="s">
        <v>220</v>
      </c>
      <c r="I1" s="106" t="s">
        <v>221</v>
      </c>
      <c r="J1" s="106" t="s">
        <v>225</v>
      </c>
      <c r="K1" s="103" t="s">
        <v>222</v>
      </c>
    </row>
    <row r="2" spans="1:11">
      <c r="A2" t="s">
        <v>289</v>
      </c>
      <c r="B2">
        <v>401691</v>
      </c>
      <c r="C2" t="s">
        <v>264</v>
      </c>
      <c r="D2" s="105">
        <v>45539</v>
      </c>
      <c r="E2" s="105">
        <v>46047</v>
      </c>
      <c r="F2" t="s">
        <v>307</v>
      </c>
      <c r="G2">
        <v>509</v>
      </c>
      <c r="H2" s="107">
        <v>0.5</v>
      </c>
      <c r="I2" s="107">
        <v>1.25</v>
      </c>
      <c r="J2" s="107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5">
        <v>46054</v>
      </c>
      <c r="E3" s="105">
        <v>46055</v>
      </c>
      <c r="F3" t="s">
        <v>354</v>
      </c>
      <c r="G3">
        <v>2</v>
      </c>
      <c r="H3" s="107">
        <v>0.75</v>
      </c>
      <c r="I3" s="107">
        <v>0.3</v>
      </c>
      <c r="J3" s="107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5">
        <v>46014</v>
      </c>
      <c r="E4" s="105">
        <v>46096</v>
      </c>
      <c r="F4" t="s">
        <v>322</v>
      </c>
      <c r="G4">
        <v>83</v>
      </c>
      <c r="H4" s="107">
        <v>1</v>
      </c>
      <c r="I4" s="107">
        <v>0.5</v>
      </c>
      <c r="J4" s="107">
        <v>0.5</v>
      </c>
      <c r="K4" t="s">
        <v>230</v>
      </c>
    </row>
    <row r="5" spans="1:11">
      <c r="A5" t="s">
        <v>180</v>
      </c>
      <c r="B5">
        <v>401047</v>
      </c>
      <c r="C5" t="s">
        <v>238</v>
      </c>
      <c r="D5" s="105">
        <v>41154</v>
      </c>
      <c r="E5" s="105">
        <v>46193</v>
      </c>
      <c r="G5">
        <v>5040</v>
      </c>
      <c r="H5" s="107">
        <v>0</v>
      </c>
      <c r="I5" s="107">
        <v>2</v>
      </c>
      <c r="J5" s="107">
        <v>0</v>
      </c>
      <c r="K5" t="s">
        <v>489</v>
      </c>
    </row>
    <row r="6" spans="1:11">
      <c r="A6" t="s">
        <v>182</v>
      </c>
      <c r="B6">
        <v>401476</v>
      </c>
      <c r="C6" t="s">
        <v>249</v>
      </c>
      <c r="D6" s="105">
        <v>44504</v>
      </c>
      <c r="E6" s="105">
        <v>46210</v>
      </c>
      <c r="F6" t="s">
        <v>206</v>
      </c>
      <c r="G6">
        <v>1707</v>
      </c>
      <c r="H6" s="107">
        <v>1.1000000000000001</v>
      </c>
      <c r="I6" s="107">
        <v>1.5</v>
      </c>
      <c r="J6" s="107">
        <v>1.6500000000000001</v>
      </c>
      <c r="K6" t="s">
        <v>226</v>
      </c>
    </row>
    <row r="7" spans="1:11">
      <c r="A7" t="s">
        <v>183</v>
      </c>
      <c r="B7">
        <v>401746</v>
      </c>
      <c r="C7" t="s">
        <v>282</v>
      </c>
      <c r="D7" s="105">
        <v>45941</v>
      </c>
      <c r="E7" s="105">
        <v>46249</v>
      </c>
      <c r="F7" t="s">
        <v>322</v>
      </c>
      <c r="G7">
        <v>309</v>
      </c>
      <c r="H7" s="107">
        <v>1</v>
      </c>
      <c r="I7" s="107">
        <v>1</v>
      </c>
      <c r="J7" s="107">
        <v>1</v>
      </c>
      <c r="K7" t="s">
        <v>231</v>
      </c>
    </row>
    <row r="8" spans="1:11">
      <c r="A8" t="s">
        <v>183</v>
      </c>
      <c r="B8">
        <v>401747</v>
      </c>
      <c r="C8" t="s">
        <v>280</v>
      </c>
      <c r="D8" s="105">
        <v>45941</v>
      </c>
      <c r="E8" s="105">
        <v>46250</v>
      </c>
      <c r="F8" t="s">
        <v>307</v>
      </c>
      <c r="G8">
        <v>310</v>
      </c>
      <c r="H8" s="107">
        <v>0.5</v>
      </c>
      <c r="I8" s="107">
        <v>1</v>
      </c>
      <c r="J8" s="107">
        <v>0.5</v>
      </c>
      <c r="K8" t="s">
        <v>290</v>
      </c>
    </row>
    <row r="9" spans="1:11">
      <c r="A9" t="s">
        <v>184</v>
      </c>
      <c r="B9">
        <v>401558</v>
      </c>
      <c r="C9" t="s">
        <v>248</v>
      </c>
      <c r="D9" s="105">
        <v>44460</v>
      </c>
      <c r="E9" s="105">
        <v>46275</v>
      </c>
      <c r="F9" t="s">
        <v>307</v>
      </c>
      <c r="G9">
        <v>1816</v>
      </c>
      <c r="H9" s="107">
        <v>0.5</v>
      </c>
      <c r="I9" s="107">
        <v>1.5</v>
      </c>
      <c r="J9" s="107">
        <v>0.75</v>
      </c>
      <c r="K9" t="s">
        <v>290</v>
      </c>
    </row>
    <row r="10" spans="1:11">
      <c r="A10" t="s">
        <v>186</v>
      </c>
      <c r="B10">
        <v>401047</v>
      </c>
      <c r="C10" t="s">
        <v>238</v>
      </c>
      <c r="D10" s="105">
        <v>41154</v>
      </c>
      <c r="E10" s="105">
        <v>46305</v>
      </c>
      <c r="F10" t="s">
        <v>322</v>
      </c>
      <c r="G10">
        <v>5152</v>
      </c>
      <c r="H10" s="107">
        <v>1</v>
      </c>
      <c r="I10" s="107">
        <v>2</v>
      </c>
      <c r="J10" s="107">
        <v>2</v>
      </c>
      <c r="K10" t="s">
        <v>226</v>
      </c>
    </row>
    <row r="11" spans="1:11">
      <c r="A11" t="s">
        <v>187</v>
      </c>
      <c r="B11">
        <v>700000</v>
      </c>
      <c r="C11" t="s">
        <v>347</v>
      </c>
      <c r="D11" s="105">
        <v>46054</v>
      </c>
      <c r="E11" s="105">
        <v>46336</v>
      </c>
      <c r="F11" t="s">
        <v>322</v>
      </c>
      <c r="G11">
        <v>283</v>
      </c>
      <c r="H11" s="107">
        <v>1</v>
      </c>
      <c r="I11" s="107">
        <v>1</v>
      </c>
      <c r="J11" s="107">
        <v>1</v>
      </c>
      <c r="K11" t="s">
        <v>231</v>
      </c>
    </row>
  </sheetData>
  <sheetProtection algorithmName="SHA-512" hashValue="BLyaqm0ZXxifVoUrJ2M4WZl4Jru+FtSnRV/T9sbKtYG3P2XoVGCNVZ8I7ACKFWhFRESZvgielyb1yIqqK5azTA==" saltValue="gwIrraz0S6FQbI8S+9ZhTQ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5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88" customWidth="1"/>
    <col min="2" max="2" width="20.83203125" style="188" customWidth="1"/>
    <col min="3" max="5" width="26.83203125" style="188" customWidth="1"/>
    <col min="6" max="7" width="18.83203125" style="188" customWidth="1"/>
    <col min="8" max="8" width="22.83203125" style="188" customWidth="1"/>
    <col min="9" max="12" width="36.83203125" style="188" customWidth="1"/>
    <col min="13" max="15" width="10.83203125" style="188"/>
    <col min="16" max="19" width="2.83203125" style="188" customWidth="1"/>
    <col min="20" max="16384" width="10.83203125" style="188"/>
  </cols>
  <sheetData>
    <row r="1" spans="1:17" ht="44" customHeight="1">
      <c r="A1" s="385" t="s">
        <v>361</v>
      </c>
      <c r="B1" s="381"/>
      <c r="C1" s="381"/>
      <c r="D1" s="381"/>
      <c r="E1" s="381"/>
      <c r="P1" s="188" t="s">
        <v>217</v>
      </c>
      <c r="Q1" s="188" t="s">
        <v>229</v>
      </c>
    </row>
    <row r="2" spans="1:17" ht="15" customHeight="1">
      <c r="A2" s="189" t="s">
        <v>362</v>
      </c>
      <c r="B2" s="189">
        <v>2026</v>
      </c>
      <c r="C2" s="189" t="s">
        <v>363</v>
      </c>
      <c r="D2" s="190" t="s">
        <v>485</v>
      </c>
      <c r="P2" s="188" t="s">
        <v>289</v>
      </c>
      <c r="Q2" s="188">
        <v>1</v>
      </c>
    </row>
    <row r="3" spans="1:17" ht="15" customHeight="1">
      <c r="P3" s="188" t="s">
        <v>349</v>
      </c>
      <c r="Q3" s="188">
        <v>1</v>
      </c>
    </row>
    <row r="4" spans="1:17" ht="15" customHeight="1" thickBot="1">
      <c r="A4" s="386" t="s">
        <v>365</v>
      </c>
      <c r="B4" s="387"/>
      <c r="C4" s="387"/>
      <c r="D4" s="387"/>
      <c r="E4" s="387"/>
      <c r="P4" s="188" t="s">
        <v>321</v>
      </c>
      <c r="Q4" s="188">
        <v>1</v>
      </c>
    </row>
    <row r="5" spans="1:17" ht="30" customHeight="1">
      <c r="A5" s="394" t="s">
        <v>300</v>
      </c>
      <c r="B5" s="396" t="s">
        <v>490</v>
      </c>
      <c r="C5" s="388" t="s">
        <v>491</v>
      </c>
      <c r="D5" s="389"/>
      <c r="E5" s="390"/>
      <c r="P5" s="188" t="s">
        <v>180</v>
      </c>
      <c r="Q5" s="188">
        <v>1</v>
      </c>
    </row>
    <row r="6" spans="1:17" ht="30" customHeight="1" thickBot="1">
      <c r="A6" s="395"/>
      <c r="B6" s="395"/>
      <c r="C6" s="391"/>
      <c r="D6" s="392"/>
      <c r="E6" s="393"/>
      <c r="P6" s="188" t="s">
        <v>182</v>
      </c>
      <c r="Q6" s="188">
        <v>1</v>
      </c>
    </row>
    <row r="7" spans="1:17" ht="15" customHeight="1">
      <c r="P7" s="188" t="s">
        <v>183</v>
      </c>
      <c r="Q7" s="188">
        <v>2</v>
      </c>
    </row>
    <row r="8" spans="1:17" ht="30" customHeight="1">
      <c r="A8" s="192" t="s">
        <v>223</v>
      </c>
      <c r="B8" s="192" t="s">
        <v>366</v>
      </c>
      <c r="C8" s="192" t="s">
        <v>225</v>
      </c>
      <c r="D8" s="192" t="s">
        <v>367</v>
      </c>
      <c r="E8" s="192" t="s">
        <v>368</v>
      </c>
      <c r="P8" s="188" t="s">
        <v>184</v>
      </c>
      <c r="Q8" s="188">
        <v>1</v>
      </c>
    </row>
    <row r="9" spans="1:17" ht="22" customHeight="1">
      <c r="A9" s="193">
        <v>10</v>
      </c>
      <c r="B9" s="194">
        <v>5.1724137931034482E-2</v>
      </c>
      <c r="C9" s="195">
        <v>8.25</v>
      </c>
      <c r="D9" s="193">
        <v>6</v>
      </c>
      <c r="E9" s="202">
        <v>1</v>
      </c>
      <c r="P9" s="188" t="s">
        <v>186</v>
      </c>
      <c r="Q9" s="188">
        <v>1</v>
      </c>
    </row>
    <row r="10" spans="1:17" ht="15" customHeight="1">
      <c r="P10" s="188" t="s">
        <v>187</v>
      </c>
      <c r="Q10" s="188">
        <v>1</v>
      </c>
    </row>
    <row r="11" spans="1:17" ht="15" customHeight="1">
      <c r="A11" s="196" t="s">
        <v>369</v>
      </c>
    </row>
    <row r="12" spans="1:17" ht="22" customHeight="1">
      <c r="A12" s="191" t="s">
        <v>370</v>
      </c>
      <c r="B12" s="191" t="s">
        <v>371</v>
      </c>
      <c r="C12" s="191" t="s">
        <v>372</v>
      </c>
      <c r="D12" s="397" t="s">
        <v>373</v>
      </c>
      <c r="E12" s="397"/>
    </row>
    <row r="13" spans="1:17" ht="41.5" customHeight="1">
      <c r="A13" s="193">
        <v>1</v>
      </c>
      <c r="B13" s="197" t="s">
        <v>489</v>
      </c>
      <c r="C13" s="197" t="s">
        <v>492</v>
      </c>
      <c r="D13" s="378" t="s">
        <v>493</v>
      </c>
      <c r="E13" s="378"/>
    </row>
    <row r="14" spans="1:17" ht="57.25" customHeight="1">
      <c r="A14" s="193">
        <v>2</v>
      </c>
      <c r="B14" s="197" t="s">
        <v>230</v>
      </c>
      <c r="C14" s="197" t="s">
        <v>386</v>
      </c>
      <c r="D14" s="378" t="s">
        <v>374</v>
      </c>
      <c r="E14" s="378"/>
    </row>
    <row r="15" spans="1:17" ht="73" customHeight="1">
      <c r="A15" s="193">
        <v>3</v>
      </c>
      <c r="B15" s="197" t="s">
        <v>230</v>
      </c>
      <c r="C15" s="197" t="s">
        <v>387</v>
      </c>
      <c r="D15" s="378" t="s">
        <v>374</v>
      </c>
      <c r="E15" s="378"/>
    </row>
    <row r="16" spans="1:17" ht="73" customHeight="1">
      <c r="A16" s="193">
        <v>4</v>
      </c>
      <c r="B16" s="197" t="s">
        <v>375</v>
      </c>
      <c r="C16" s="197" t="s">
        <v>388</v>
      </c>
      <c r="D16" s="378" t="s">
        <v>376</v>
      </c>
      <c r="E16" s="378"/>
    </row>
    <row r="17" spans="1:17" ht="57.25" customHeight="1">
      <c r="A17" s="193">
        <v>5</v>
      </c>
      <c r="B17" s="197" t="s">
        <v>231</v>
      </c>
      <c r="C17" s="197" t="s">
        <v>389</v>
      </c>
      <c r="D17" s="378" t="s">
        <v>377</v>
      </c>
      <c r="E17" s="378"/>
    </row>
    <row r="18" spans="1:17" ht="57.25" customHeight="1">
      <c r="A18" s="193">
        <v>6</v>
      </c>
      <c r="B18" s="197" t="s">
        <v>375</v>
      </c>
      <c r="C18" s="197" t="s">
        <v>390</v>
      </c>
      <c r="D18" s="378" t="s">
        <v>376</v>
      </c>
      <c r="E18" s="378"/>
    </row>
    <row r="19" spans="1:17" ht="57.25" customHeight="1">
      <c r="A19" s="193">
        <v>7</v>
      </c>
      <c r="B19" s="197" t="s">
        <v>231</v>
      </c>
      <c r="C19" s="197" t="s">
        <v>391</v>
      </c>
      <c r="D19" s="378" t="s">
        <v>377</v>
      </c>
      <c r="E19" s="378"/>
    </row>
    <row r="20" spans="1:17" ht="15" customHeight="1">
      <c r="P20" s="188" t="s">
        <v>222</v>
      </c>
      <c r="Q20" s="188" t="s">
        <v>382</v>
      </c>
    </row>
    <row r="21" spans="1:17" ht="15" customHeight="1">
      <c r="P21" s="188" t="s">
        <v>323</v>
      </c>
      <c r="Q21" s="188">
        <v>2</v>
      </c>
    </row>
    <row r="22" spans="1:17" ht="15" customHeight="1">
      <c r="A22" s="196" t="s">
        <v>378</v>
      </c>
      <c r="P22" s="188" t="s">
        <v>350</v>
      </c>
      <c r="Q22" s="188">
        <v>2</v>
      </c>
    </row>
    <row r="23" spans="1:17" ht="57.25" customHeight="1">
      <c r="A23" s="193">
        <v>1</v>
      </c>
      <c r="B23" s="378" t="s">
        <v>494</v>
      </c>
      <c r="C23" s="378"/>
      <c r="D23" s="378"/>
      <c r="E23" s="378"/>
      <c r="P23" s="188" t="s">
        <v>227</v>
      </c>
      <c r="Q23" s="188">
        <v>2</v>
      </c>
    </row>
    <row r="24" spans="1:17" ht="41.5" customHeight="1">
      <c r="A24" s="193">
        <v>2</v>
      </c>
      <c r="B24" s="378" t="s">
        <v>379</v>
      </c>
      <c r="C24" s="378"/>
      <c r="D24" s="378"/>
      <c r="E24" s="378"/>
      <c r="P24" s="188" t="s">
        <v>383</v>
      </c>
      <c r="Q24" s="188">
        <v>3</v>
      </c>
    </row>
    <row r="25" spans="1:17" ht="41.5" customHeight="1">
      <c r="A25" s="193">
        <v>3</v>
      </c>
      <c r="B25" s="378" t="s">
        <v>380</v>
      </c>
      <c r="C25" s="378"/>
      <c r="D25" s="378"/>
      <c r="E25" s="378"/>
      <c r="P25" s="188" t="s">
        <v>368</v>
      </c>
      <c r="Q25" s="188">
        <v>1</v>
      </c>
    </row>
    <row r="26" spans="1:17" ht="41.5" customHeight="1">
      <c r="A26" s="193">
        <v>4</v>
      </c>
      <c r="B26" s="378" t="s">
        <v>381</v>
      </c>
      <c r="C26" s="378"/>
      <c r="D26" s="378"/>
      <c r="E26" s="378"/>
    </row>
    <row r="28" spans="1:17" ht="15" customHeight="1">
      <c r="A28" s="384" t="s">
        <v>384</v>
      </c>
      <c r="B28" s="384"/>
      <c r="C28" s="384"/>
      <c r="D28" s="384"/>
      <c r="E28" s="384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8" t="s">
        <v>194</v>
      </c>
      <c r="S40" s="188" t="s">
        <v>382</v>
      </c>
    </row>
    <row r="41" spans="18:19" ht="18" customHeight="1">
      <c r="R41" s="188" t="s">
        <v>307</v>
      </c>
      <c r="S41" s="188">
        <v>3</v>
      </c>
    </row>
    <row r="42" spans="18:19" ht="18" customHeight="1">
      <c r="R42" s="188" t="s">
        <v>354</v>
      </c>
      <c r="S42" s="188">
        <v>1</v>
      </c>
    </row>
    <row r="43" spans="18:19" ht="18" customHeight="1">
      <c r="R43" s="188" t="s">
        <v>322</v>
      </c>
      <c r="S43" s="188">
        <v>4</v>
      </c>
    </row>
    <row r="44" spans="18:19" ht="18" customHeight="1">
      <c r="R44" s="188" t="s">
        <v>498</v>
      </c>
      <c r="S44" s="188">
        <v>1</v>
      </c>
    </row>
    <row r="45" spans="18:19" ht="18" customHeight="1">
      <c r="R45" s="188" t="s">
        <v>206</v>
      </c>
      <c r="S45" s="188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380" t="s">
        <v>385</v>
      </c>
      <c r="B62" s="381"/>
      <c r="C62" s="381"/>
      <c r="D62" s="381"/>
      <c r="E62" s="381"/>
      <c r="F62" s="381"/>
      <c r="G62" s="381"/>
      <c r="H62" s="381"/>
      <c r="I62" s="381"/>
      <c r="J62" s="381"/>
      <c r="K62" s="381"/>
      <c r="L62" s="381"/>
      <c r="M62" s="381"/>
    </row>
    <row r="64" spans="1:13" ht="15" customHeight="1">
      <c r="A64" s="193" t="s">
        <v>217</v>
      </c>
      <c r="B64" s="193" t="s">
        <v>229</v>
      </c>
      <c r="C64" s="193" t="s">
        <v>233</v>
      </c>
      <c r="D64" s="193" t="s">
        <v>225</v>
      </c>
      <c r="E64" s="193" t="s">
        <v>288</v>
      </c>
      <c r="F64" s="193" t="s">
        <v>323</v>
      </c>
      <c r="G64" s="193" t="s">
        <v>350</v>
      </c>
      <c r="H64" s="193" t="s">
        <v>227</v>
      </c>
      <c r="I64" s="193" t="s">
        <v>495</v>
      </c>
      <c r="J64" s="193" t="s">
        <v>308</v>
      </c>
      <c r="K64" s="193" t="s">
        <v>306</v>
      </c>
      <c r="L64" s="193"/>
      <c r="M64" s="193"/>
    </row>
    <row r="65" spans="1:13" ht="42" customHeight="1">
      <c r="A65" s="198" t="s">
        <v>289</v>
      </c>
      <c r="B65" s="198">
        <v>1</v>
      </c>
      <c r="C65" s="199">
        <v>1.9607843137254902E-2</v>
      </c>
      <c r="D65" s="200">
        <v>0.625</v>
      </c>
      <c r="E65" s="200">
        <v>0.625</v>
      </c>
      <c r="F65" s="198">
        <v>0</v>
      </c>
      <c r="G65" s="198">
        <v>0</v>
      </c>
      <c r="H65" s="198">
        <v>0</v>
      </c>
      <c r="I65" s="198">
        <v>0</v>
      </c>
      <c r="J65" s="197" t="s">
        <v>309</v>
      </c>
      <c r="K65" s="378" t="s">
        <v>291</v>
      </c>
      <c r="L65" s="378"/>
      <c r="M65" s="378"/>
    </row>
    <row r="66" spans="1:13" ht="42" customHeight="1">
      <c r="A66" s="198" t="s">
        <v>349</v>
      </c>
      <c r="B66" s="198">
        <v>1</v>
      </c>
      <c r="C66" s="199">
        <v>1.7241379310344827E-2</v>
      </c>
      <c r="D66" s="200">
        <v>0.22499999999999998</v>
      </c>
      <c r="E66" s="200">
        <v>0.22499999999999998</v>
      </c>
      <c r="F66" s="198">
        <v>1</v>
      </c>
      <c r="G66" s="198">
        <v>0</v>
      </c>
      <c r="H66" s="198">
        <v>0</v>
      </c>
      <c r="I66" s="198">
        <v>0</v>
      </c>
      <c r="J66" s="197" t="s">
        <v>360</v>
      </c>
      <c r="K66" s="378" t="s">
        <v>325</v>
      </c>
      <c r="L66" s="378"/>
      <c r="M66" s="378"/>
    </row>
    <row r="67" spans="1:13" ht="42" customHeight="1">
      <c r="A67" s="198" t="s">
        <v>321</v>
      </c>
      <c r="B67" s="198">
        <v>1</v>
      </c>
      <c r="C67" s="199">
        <v>1.6949152542372881E-2</v>
      </c>
      <c r="D67" s="200">
        <v>0.5</v>
      </c>
      <c r="E67" s="200">
        <v>0.5</v>
      </c>
      <c r="F67" s="198">
        <v>1</v>
      </c>
      <c r="G67" s="198">
        <v>0</v>
      </c>
      <c r="H67" s="198">
        <v>0</v>
      </c>
      <c r="I67" s="198">
        <v>0</v>
      </c>
      <c r="J67" s="197" t="s">
        <v>324</v>
      </c>
      <c r="K67" s="378" t="s">
        <v>325</v>
      </c>
      <c r="L67" s="378"/>
      <c r="M67" s="378"/>
    </row>
    <row r="68" spans="1:13" ht="42" customHeight="1">
      <c r="A68" s="198" t="s">
        <v>180</v>
      </c>
      <c r="B68" s="198">
        <v>1</v>
      </c>
      <c r="C68" s="199">
        <v>1.6393442622950821E-2</v>
      </c>
      <c r="D68" s="200">
        <v>0</v>
      </c>
      <c r="E68" s="200">
        <v>0</v>
      </c>
      <c r="F68" s="198">
        <v>0</v>
      </c>
      <c r="G68" s="198">
        <v>0</v>
      </c>
      <c r="H68" s="198">
        <v>0</v>
      </c>
      <c r="I68" s="198">
        <v>1</v>
      </c>
      <c r="J68" s="197" t="s">
        <v>496</v>
      </c>
      <c r="K68" s="378" t="s">
        <v>497</v>
      </c>
      <c r="L68" s="378"/>
      <c r="M68" s="378"/>
    </row>
    <row r="69" spans="1:13" ht="42" customHeight="1">
      <c r="A69" s="198" t="s">
        <v>182</v>
      </c>
      <c r="B69" s="198">
        <v>1</v>
      </c>
      <c r="C69" s="199">
        <v>1.6393442622950821E-2</v>
      </c>
      <c r="D69" s="200">
        <v>1.6500000000000001</v>
      </c>
      <c r="E69" s="200">
        <v>1.6500000000000001</v>
      </c>
      <c r="F69" s="198">
        <v>0</v>
      </c>
      <c r="G69" s="198">
        <v>1</v>
      </c>
      <c r="H69" s="198">
        <v>0</v>
      </c>
      <c r="I69" s="198">
        <v>0</v>
      </c>
      <c r="J69" s="197" t="s">
        <v>359</v>
      </c>
      <c r="K69" s="378" t="s">
        <v>351</v>
      </c>
      <c r="L69" s="378"/>
      <c r="M69" s="378"/>
    </row>
    <row r="70" spans="1:13" ht="42" customHeight="1">
      <c r="A70" s="198" t="s">
        <v>183</v>
      </c>
      <c r="B70" s="198">
        <v>2</v>
      </c>
      <c r="C70" s="199">
        <v>3.3898305084745763E-2</v>
      </c>
      <c r="D70" s="200">
        <v>1.5</v>
      </c>
      <c r="E70" s="200">
        <v>0.75</v>
      </c>
      <c r="F70" s="198">
        <v>0</v>
      </c>
      <c r="G70" s="198">
        <v>0</v>
      </c>
      <c r="H70" s="198">
        <v>1</v>
      </c>
      <c r="I70" s="198">
        <v>0</v>
      </c>
      <c r="J70" s="197" t="s">
        <v>355</v>
      </c>
      <c r="K70" s="378" t="s">
        <v>327</v>
      </c>
      <c r="L70" s="378"/>
      <c r="M70" s="378"/>
    </row>
    <row r="71" spans="1:13" ht="42" customHeight="1">
      <c r="A71" s="198" t="s">
        <v>184</v>
      </c>
      <c r="B71" s="198">
        <v>1</v>
      </c>
      <c r="C71" s="199">
        <v>1.7241379310344827E-2</v>
      </c>
      <c r="D71" s="200">
        <v>0.75</v>
      </c>
      <c r="E71" s="200">
        <v>0.75</v>
      </c>
      <c r="F71" s="198">
        <v>0</v>
      </c>
      <c r="G71" s="198">
        <v>0</v>
      </c>
      <c r="H71" s="198">
        <v>0</v>
      </c>
      <c r="I71" s="198">
        <v>0</v>
      </c>
      <c r="J71" s="197" t="s">
        <v>309</v>
      </c>
      <c r="K71" s="378" t="s">
        <v>291</v>
      </c>
      <c r="L71" s="378"/>
      <c r="M71" s="378"/>
    </row>
    <row r="72" spans="1:13" ht="42" customHeight="1">
      <c r="A72" s="198" t="s">
        <v>186</v>
      </c>
      <c r="B72" s="198">
        <v>1</v>
      </c>
      <c r="C72" s="199">
        <v>1.7543859649122806E-2</v>
      </c>
      <c r="D72" s="200">
        <v>2</v>
      </c>
      <c r="E72" s="200">
        <v>2</v>
      </c>
      <c r="F72" s="198">
        <v>0</v>
      </c>
      <c r="G72" s="198">
        <v>1</v>
      </c>
      <c r="H72" s="198">
        <v>0</v>
      </c>
      <c r="I72" s="198">
        <v>0</v>
      </c>
      <c r="J72" s="197" t="s">
        <v>324</v>
      </c>
      <c r="K72" s="378" t="s">
        <v>351</v>
      </c>
      <c r="L72" s="378"/>
      <c r="M72" s="378"/>
    </row>
    <row r="73" spans="1:13" ht="42" customHeight="1">
      <c r="A73" s="198" t="s">
        <v>187</v>
      </c>
      <c r="B73" s="198">
        <v>1</v>
      </c>
      <c r="C73" s="199">
        <v>1.7857142857142856E-2</v>
      </c>
      <c r="D73" s="200">
        <v>1</v>
      </c>
      <c r="E73" s="200">
        <v>1</v>
      </c>
      <c r="F73" s="198">
        <v>0</v>
      </c>
      <c r="G73" s="198">
        <v>0</v>
      </c>
      <c r="H73" s="198">
        <v>1</v>
      </c>
      <c r="I73" s="198">
        <v>0</v>
      </c>
      <c r="J73" s="197" t="s">
        <v>324</v>
      </c>
      <c r="K73" s="378" t="s">
        <v>327</v>
      </c>
      <c r="L73" s="378"/>
      <c r="M73" s="378"/>
    </row>
    <row r="77" spans="1:13" ht="15" customHeight="1">
      <c r="A77" s="382" t="s">
        <v>310</v>
      </c>
      <c r="B77" s="383"/>
      <c r="C77" s="383"/>
      <c r="D77" s="383"/>
      <c r="E77" s="383"/>
    </row>
    <row r="78" spans="1:13" ht="41.5" customHeight="1">
      <c r="A78" s="191" t="s">
        <v>232</v>
      </c>
      <c r="B78" s="379" t="s">
        <v>234</v>
      </c>
      <c r="C78" s="379"/>
      <c r="D78" s="379"/>
      <c r="E78" s="379"/>
    </row>
    <row r="79" spans="1:13" ht="41.5" customHeight="1">
      <c r="A79" s="191" t="s">
        <v>225</v>
      </c>
      <c r="B79" s="379" t="s">
        <v>311</v>
      </c>
      <c r="C79" s="379"/>
      <c r="D79" s="379"/>
      <c r="E79" s="379"/>
    </row>
    <row r="80" spans="1:13" ht="41.5" customHeight="1">
      <c r="A80" s="191" t="s">
        <v>287</v>
      </c>
      <c r="B80" s="379" t="s">
        <v>312</v>
      </c>
      <c r="C80" s="379"/>
      <c r="D80" s="379"/>
      <c r="E80" s="379"/>
    </row>
    <row r="81" spans="1:5" ht="41.5" customHeight="1">
      <c r="A81" s="191" t="s">
        <v>230</v>
      </c>
      <c r="B81" s="379" t="s">
        <v>313</v>
      </c>
      <c r="C81" s="379"/>
      <c r="D81" s="379"/>
      <c r="E81" s="379"/>
    </row>
    <row r="82" spans="1:5" ht="41.5" customHeight="1">
      <c r="A82" s="191" t="s">
        <v>226</v>
      </c>
      <c r="B82" s="379" t="s">
        <v>314</v>
      </c>
      <c r="C82" s="379"/>
      <c r="D82" s="379"/>
      <c r="E82" s="379"/>
    </row>
    <row r="83" spans="1:5" ht="41.5" customHeight="1">
      <c r="A83" s="191" t="s">
        <v>231</v>
      </c>
      <c r="B83" s="379" t="s">
        <v>315</v>
      </c>
      <c r="C83" s="379"/>
      <c r="D83" s="379"/>
      <c r="E83" s="379"/>
    </row>
    <row r="84" spans="1:5" ht="28" customHeight="1">
      <c r="A84" s="191" t="s">
        <v>228</v>
      </c>
      <c r="B84" s="379" t="s">
        <v>316</v>
      </c>
      <c r="C84" s="379"/>
      <c r="D84" s="379"/>
      <c r="E84" s="379"/>
    </row>
    <row r="85" spans="1:5" ht="28" customHeight="1">
      <c r="A85" s="191" t="s">
        <v>317</v>
      </c>
      <c r="B85" s="379" t="s">
        <v>318</v>
      </c>
      <c r="C85" s="379"/>
      <c r="D85" s="379"/>
      <c r="E85" s="379"/>
    </row>
  </sheetData>
  <sheetProtection algorithmName="SHA-512" hashValue="hGMVpSUMp+Ity54dC2EreMYg6oSwQN/cWhp/C3QHGV8Uc9rRWm48hiqnnEUwTsaP3Pgu3SvlrjPUI8O5jfKcPQ==" saltValue="ocM22umQKQM8QVVBNY1YFg==" spinCount="100000" sheet="1" objects="1" scenarios="1" sort="0" autoFilter="0"/>
  <mergeCells count="37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B26:E26"/>
    <mergeCell ref="K65:M65"/>
    <mergeCell ref="K66:M66"/>
    <mergeCell ref="K67:M67"/>
    <mergeCell ref="A28:E28"/>
    <mergeCell ref="D18:E18"/>
    <mergeCell ref="B23:E23"/>
    <mergeCell ref="B24:E24"/>
    <mergeCell ref="B25:E25"/>
    <mergeCell ref="D19:E19"/>
    <mergeCell ref="K73:M73"/>
    <mergeCell ref="B84:E84"/>
    <mergeCell ref="B85:E85"/>
    <mergeCell ref="A62:M62"/>
    <mergeCell ref="A77:E77"/>
    <mergeCell ref="K68:M68"/>
    <mergeCell ref="K69:M69"/>
    <mergeCell ref="K70:M70"/>
    <mergeCell ref="K71:M71"/>
    <mergeCell ref="K72:M72"/>
    <mergeCell ref="B82:E82"/>
    <mergeCell ref="B83:E83"/>
    <mergeCell ref="B78:E78"/>
    <mergeCell ref="B79:E79"/>
    <mergeCell ref="B80:E80"/>
    <mergeCell ref="B81:E81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qPJQ92cjAO/6VSH3nWXtTkrzJMfJLecf3aGmBukdV21RU2cHD5VQtqyivAD1tFDBUSNB+OWINidGu8gB0a4Nkg==" saltValue="KULg4MKeyZq3iNTU/ck82w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07">
        <v>173</v>
      </c>
      <c r="B1" s="107">
        <v>173</v>
      </c>
      <c r="C1" s="107">
        <v>173</v>
      </c>
      <c r="D1" s="107">
        <v>173</v>
      </c>
      <c r="E1" s="107">
        <v>173</v>
      </c>
      <c r="F1" s="107">
        <v>173</v>
      </c>
      <c r="G1" s="107">
        <v>173</v>
      </c>
      <c r="H1" s="107">
        <v>173</v>
      </c>
      <c r="I1" s="107">
        <v>173</v>
      </c>
      <c r="J1" s="107">
        <v>173</v>
      </c>
      <c r="K1" s="107">
        <v>173</v>
      </c>
      <c r="L1" s="107">
        <v>173</v>
      </c>
      <c r="M1" s="107">
        <v>173</v>
      </c>
      <c r="N1" s="107">
        <v>173</v>
      </c>
      <c r="O1" s="107">
        <v>173</v>
      </c>
      <c r="P1" s="107">
        <v>173</v>
      </c>
      <c r="Q1" s="107">
        <v>173</v>
      </c>
      <c r="R1" s="107">
        <v>173</v>
      </c>
      <c r="S1" s="107">
        <v>173</v>
      </c>
      <c r="T1" s="107">
        <v>173</v>
      </c>
      <c r="U1" s="107">
        <v>173</v>
      </c>
      <c r="V1" s="107">
        <v>173</v>
      </c>
      <c r="W1" s="107">
        <v>173</v>
      </c>
      <c r="X1" s="107">
        <v>173</v>
      </c>
      <c r="Y1" s="107">
        <v>173</v>
      </c>
      <c r="Z1" s="107">
        <v>173</v>
      </c>
      <c r="AA1" s="107">
        <v>173</v>
      </c>
      <c r="AB1" s="107">
        <v>173</v>
      </c>
      <c r="AC1" s="107">
        <v>173</v>
      </c>
      <c r="AD1" s="107">
        <v>173</v>
      </c>
      <c r="AE1" s="107">
        <v>173</v>
      </c>
      <c r="AF1" s="107">
        <v>173</v>
      </c>
      <c r="AG1" s="107">
        <v>173</v>
      </c>
      <c r="AH1" s="107">
        <v>173</v>
      </c>
      <c r="AI1" s="107">
        <v>173</v>
      </c>
      <c r="AJ1" s="107">
        <v>173</v>
      </c>
      <c r="AK1" s="107">
        <v>173</v>
      </c>
      <c r="AL1" s="107">
        <v>173</v>
      </c>
      <c r="AM1" s="107">
        <v>173</v>
      </c>
      <c r="AN1" s="107">
        <v>173</v>
      </c>
      <c r="AO1" s="107">
        <v>173</v>
      </c>
      <c r="AP1" s="107">
        <v>173</v>
      </c>
      <c r="AQ1" s="107">
        <v>173</v>
      </c>
      <c r="AR1" s="107">
        <v>173</v>
      </c>
      <c r="AS1" s="107">
        <v>173</v>
      </c>
      <c r="AT1" s="107">
        <v>173</v>
      </c>
      <c r="AU1" s="107">
        <v>173</v>
      </c>
      <c r="AV1" s="107">
        <v>173</v>
      </c>
      <c r="AW1" s="107">
        <v>173</v>
      </c>
      <c r="AX1" s="107">
        <v>173</v>
      </c>
      <c r="AY1" s="107">
        <v>173</v>
      </c>
      <c r="AZ1" s="107">
        <v>173</v>
      </c>
      <c r="CC1" s="107">
        <v>173</v>
      </c>
      <c r="CD1" s="107">
        <v>173</v>
      </c>
      <c r="CE1" s="107">
        <v>173</v>
      </c>
      <c r="CF1" s="107">
        <v>173</v>
      </c>
      <c r="CG1" s="107">
        <v>173</v>
      </c>
      <c r="CH1" s="107">
        <v>173</v>
      </c>
      <c r="CI1" s="107">
        <v>173</v>
      </c>
      <c r="CJ1" s="107">
        <v>173</v>
      </c>
      <c r="CK1" s="107">
        <v>173</v>
      </c>
      <c r="CL1" s="107">
        <v>173</v>
      </c>
      <c r="CM1" s="107">
        <v>173</v>
      </c>
      <c r="CN1" s="107">
        <v>173</v>
      </c>
      <c r="CO1" s="107">
        <v>173</v>
      </c>
      <c r="CP1" s="107">
        <v>173</v>
      </c>
      <c r="CQ1" s="107">
        <v>173</v>
      </c>
      <c r="CR1" s="107">
        <v>173</v>
      </c>
      <c r="CS1" s="107">
        <v>173</v>
      </c>
      <c r="CT1" s="107">
        <v>173</v>
      </c>
      <c r="CU1" s="107">
        <v>173</v>
      </c>
      <c r="CV1" s="107">
        <v>173</v>
      </c>
      <c r="CW1" s="107">
        <v>173</v>
      </c>
      <c r="CX1" s="107">
        <v>173</v>
      </c>
      <c r="CY1" s="107">
        <v>173</v>
      </c>
      <c r="CZ1" s="107">
        <v>173</v>
      </c>
      <c r="DA1" s="107">
        <v>173</v>
      </c>
      <c r="DB1" s="107">
        <v>173</v>
      </c>
      <c r="DC1" s="107">
        <v>173</v>
      </c>
      <c r="DD1" s="107">
        <v>173</v>
      </c>
      <c r="DE1" s="107">
        <v>173</v>
      </c>
      <c r="DF1" s="107">
        <v>173</v>
      </c>
      <c r="DG1" s="107">
        <v>173</v>
      </c>
      <c r="DH1" s="107">
        <v>173</v>
      </c>
      <c r="DI1" s="107">
        <v>173</v>
      </c>
      <c r="DJ1" s="107">
        <v>173</v>
      </c>
      <c r="DK1" s="107">
        <v>173</v>
      </c>
      <c r="DL1" s="107">
        <v>173</v>
      </c>
      <c r="DM1" s="107">
        <v>173</v>
      </c>
      <c r="DN1" s="107">
        <v>173</v>
      </c>
      <c r="DO1" s="107">
        <v>173</v>
      </c>
      <c r="DP1" s="107">
        <v>173</v>
      </c>
      <c r="DQ1" s="107">
        <v>173</v>
      </c>
      <c r="DR1" s="107">
        <v>173</v>
      </c>
      <c r="DS1" s="107">
        <v>173</v>
      </c>
      <c r="DT1" s="107">
        <v>173</v>
      </c>
      <c r="DU1" s="107">
        <v>173</v>
      </c>
      <c r="DV1" s="107">
        <v>173</v>
      </c>
      <c r="DW1" s="107">
        <v>173</v>
      </c>
      <c r="DX1" s="107">
        <v>173</v>
      </c>
      <c r="DY1" s="107">
        <v>173</v>
      </c>
      <c r="DZ1" s="107">
        <v>173</v>
      </c>
      <c r="EA1" s="107">
        <v>173</v>
      </c>
      <c r="EB1" s="107">
        <v>173</v>
      </c>
      <c r="EC1" s="107">
        <v>173</v>
      </c>
      <c r="ED1" s="107">
        <v>173</v>
      </c>
      <c r="EE1" s="107">
        <v>173</v>
      </c>
      <c r="EF1" s="107">
        <v>173</v>
      </c>
      <c r="EG1" s="107">
        <v>173</v>
      </c>
      <c r="EH1" s="107">
        <v>173</v>
      </c>
      <c r="EI1" s="107">
        <v>173</v>
      </c>
      <c r="FE1" s="107">
        <v>173</v>
      </c>
      <c r="FF1" s="107">
        <v>173</v>
      </c>
      <c r="FG1" s="107">
        <v>173</v>
      </c>
      <c r="FH1" s="107">
        <v>173</v>
      </c>
      <c r="FI1" s="107">
        <v>173</v>
      </c>
      <c r="FJ1" s="107">
        <v>173</v>
      </c>
      <c r="FK1" s="107">
        <v>173</v>
      </c>
      <c r="FL1" s="107">
        <v>173</v>
      </c>
      <c r="FM1" s="107">
        <v>173</v>
      </c>
      <c r="FN1" s="107">
        <v>173</v>
      </c>
      <c r="FO1" s="107">
        <v>173</v>
      </c>
      <c r="FP1" s="107">
        <v>173</v>
      </c>
      <c r="FQ1" s="107">
        <v>173</v>
      </c>
      <c r="FR1" s="107">
        <v>173</v>
      </c>
      <c r="FS1" s="107">
        <v>173</v>
      </c>
      <c r="FT1" s="107">
        <v>173</v>
      </c>
      <c r="FU1" s="107">
        <v>173</v>
      </c>
      <c r="FV1" s="107">
        <v>173</v>
      </c>
      <c r="FW1" s="107">
        <v>173</v>
      </c>
      <c r="FX1" s="107">
        <v>173</v>
      </c>
      <c r="FY1" s="107">
        <v>173</v>
      </c>
      <c r="FZ1" s="107">
        <v>173</v>
      </c>
      <c r="GA1" s="107">
        <v>173</v>
      </c>
      <c r="GB1" s="107">
        <v>173</v>
      </c>
      <c r="GC1" s="107">
        <v>173</v>
      </c>
      <c r="GD1" s="107">
        <v>173</v>
      </c>
      <c r="GE1" s="107">
        <v>173</v>
      </c>
      <c r="GF1" s="107">
        <v>173</v>
      </c>
      <c r="GG1" s="107">
        <v>173</v>
      </c>
      <c r="GH1" s="107">
        <v>173</v>
      </c>
      <c r="GI1" s="107">
        <v>173</v>
      </c>
      <c r="GJ1" s="107">
        <v>173</v>
      </c>
      <c r="GK1" s="107">
        <v>173</v>
      </c>
      <c r="GL1" s="107">
        <v>173</v>
      </c>
      <c r="GM1" s="107">
        <v>173</v>
      </c>
      <c r="GN1" s="107">
        <v>173</v>
      </c>
      <c r="GO1" s="107">
        <v>173</v>
      </c>
      <c r="GP1" s="107">
        <v>173</v>
      </c>
      <c r="GQ1" s="107">
        <v>173</v>
      </c>
      <c r="GR1" s="107">
        <v>173</v>
      </c>
      <c r="GS1" s="107">
        <v>173</v>
      </c>
      <c r="GT1" s="107">
        <v>173</v>
      </c>
      <c r="GU1" s="107">
        <v>173</v>
      </c>
      <c r="GV1" s="107">
        <v>173</v>
      </c>
      <c r="GW1" s="107">
        <v>173</v>
      </c>
      <c r="GX1" s="107">
        <v>173</v>
      </c>
      <c r="GY1" s="107">
        <v>173</v>
      </c>
      <c r="GZ1" s="107">
        <v>173</v>
      </c>
      <c r="HA1" s="107">
        <v>173</v>
      </c>
      <c r="HB1" s="107">
        <v>173</v>
      </c>
      <c r="HC1" s="107">
        <v>173</v>
      </c>
      <c r="HD1" s="107">
        <v>173</v>
      </c>
      <c r="HE1" s="107">
        <v>173</v>
      </c>
      <c r="HF1" s="107">
        <v>173</v>
      </c>
      <c r="HG1" s="107">
        <v>173</v>
      </c>
      <c r="HH1" s="107">
        <v>173</v>
      </c>
      <c r="HI1" s="107">
        <v>173</v>
      </c>
      <c r="HJ1" s="107">
        <v>173</v>
      </c>
      <c r="HK1" s="107">
        <v>173</v>
      </c>
      <c r="HL1" s="107">
        <v>173</v>
      </c>
      <c r="IG1" s="107">
        <v>173</v>
      </c>
      <c r="IH1" s="107">
        <v>173</v>
      </c>
      <c r="II1" s="107">
        <v>173</v>
      </c>
      <c r="IJ1" s="107">
        <v>173</v>
      </c>
      <c r="IK1" s="107">
        <v>173</v>
      </c>
      <c r="IL1" s="107">
        <v>173</v>
      </c>
      <c r="IM1" s="107">
        <v>173</v>
      </c>
      <c r="IN1" s="107">
        <v>173</v>
      </c>
      <c r="IO1" s="107">
        <v>173</v>
      </c>
      <c r="IP1" s="107">
        <v>173</v>
      </c>
      <c r="IQ1" s="107">
        <v>173</v>
      </c>
      <c r="IR1" s="107">
        <v>173</v>
      </c>
      <c r="IS1" s="107">
        <v>173</v>
      </c>
      <c r="IT1" s="107">
        <v>173</v>
      </c>
      <c r="IU1" s="107">
        <v>173</v>
      </c>
      <c r="IV1" s="107">
        <v>173</v>
      </c>
      <c r="IW1" s="107">
        <v>173</v>
      </c>
      <c r="IX1" s="107">
        <v>173</v>
      </c>
      <c r="IY1" s="107">
        <v>173</v>
      </c>
      <c r="IZ1" s="107">
        <v>173</v>
      </c>
      <c r="JA1" s="107">
        <v>173</v>
      </c>
      <c r="JB1" s="107">
        <v>173</v>
      </c>
      <c r="JC1" s="107">
        <v>173</v>
      </c>
      <c r="JD1" s="107">
        <v>173</v>
      </c>
      <c r="JE1" s="107">
        <v>173</v>
      </c>
      <c r="JF1" s="107">
        <v>173</v>
      </c>
      <c r="JG1" s="107">
        <v>173</v>
      </c>
      <c r="JH1" s="107">
        <v>173</v>
      </c>
      <c r="JI1" s="107">
        <v>173</v>
      </c>
      <c r="JJ1" s="107">
        <v>173</v>
      </c>
      <c r="JK1" s="107">
        <v>173</v>
      </c>
      <c r="JL1" s="107">
        <v>173</v>
      </c>
      <c r="JM1" s="107">
        <v>173</v>
      </c>
      <c r="JN1" s="107">
        <v>173</v>
      </c>
      <c r="JO1" s="107">
        <v>173</v>
      </c>
      <c r="JP1" s="107">
        <v>173</v>
      </c>
      <c r="JQ1" s="107">
        <v>173</v>
      </c>
      <c r="JR1" s="107">
        <v>173</v>
      </c>
      <c r="JS1" s="107">
        <v>173</v>
      </c>
      <c r="JT1" s="107">
        <v>173</v>
      </c>
      <c r="JU1" s="107">
        <v>173</v>
      </c>
      <c r="JV1" s="107">
        <v>173</v>
      </c>
      <c r="JW1" s="107">
        <v>173</v>
      </c>
      <c r="JX1" s="107">
        <v>173</v>
      </c>
      <c r="JY1" s="107">
        <v>173</v>
      </c>
      <c r="JZ1" s="107">
        <v>173</v>
      </c>
      <c r="KA1" s="107">
        <v>173</v>
      </c>
      <c r="KB1" s="107">
        <v>173</v>
      </c>
      <c r="KC1" s="107">
        <v>173</v>
      </c>
      <c r="KD1" s="107">
        <v>173</v>
      </c>
      <c r="KE1" s="107">
        <v>173</v>
      </c>
      <c r="KF1" s="107">
        <v>173</v>
      </c>
      <c r="KG1" s="107">
        <v>173</v>
      </c>
      <c r="KH1" s="107">
        <v>173</v>
      </c>
      <c r="KI1" s="107">
        <v>173</v>
      </c>
      <c r="KJ1" s="107">
        <v>173</v>
      </c>
      <c r="KK1" s="107">
        <v>173</v>
      </c>
      <c r="KL1" s="107">
        <v>173</v>
      </c>
      <c r="KM1" s="107">
        <v>173</v>
      </c>
      <c r="KN1" s="107">
        <v>173</v>
      </c>
      <c r="LI1" s="107">
        <v>173</v>
      </c>
      <c r="LJ1" s="107">
        <v>173</v>
      </c>
      <c r="LK1" s="107">
        <v>173</v>
      </c>
      <c r="LL1" s="107">
        <v>173</v>
      </c>
      <c r="LM1" s="107">
        <v>173</v>
      </c>
      <c r="LN1" s="107">
        <v>173</v>
      </c>
      <c r="LO1" s="107">
        <v>173</v>
      </c>
      <c r="LP1" s="107">
        <v>173</v>
      </c>
      <c r="LQ1" s="107">
        <v>173</v>
      </c>
      <c r="LR1" s="107">
        <v>173</v>
      </c>
      <c r="LS1" s="107">
        <v>173</v>
      </c>
      <c r="LT1" s="107">
        <v>173</v>
      </c>
      <c r="LU1" s="107">
        <v>173</v>
      </c>
      <c r="LV1" s="107">
        <v>173</v>
      </c>
      <c r="LW1" s="107">
        <v>173</v>
      </c>
      <c r="LX1" s="107">
        <v>173</v>
      </c>
      <c r="LY1" s="107">
        <v>173</v>
      </c>
      <c r="LZ1" s="107">
        <v>173</v>
      </c>
      <c r="MA1" s="107">
        <v>173</v>
      </c>
      <c r="MB1" s="107">
        <v>173</v>
      </c>
      <c r="MC1" s="107">
        <v>173</v>
      </c>
      <c r="MD1" s="107">
        <v>173</v>
      </c>
      <c r="ME1" s="107">
        <v>173</v>
      </c>
      <c r="MF1" s="107">
        <v>173</v>
      </c>
      <c r="MG1" s="107">
        <v>173</v>
      </c>
      <c r="MH1" s="107">
        <v>173</v>
      </c>
      <c r="MI1" s="107">
        <v>173</v>
      </c>
      <c r="MJ1" s="107">
        <v>173</v>
      </c>
      <c r="MK1" s="107">
        <v>173</v>
      </c>
      <c r="ML1" s="107">
        <v>173</v>
      </c>
      <c r="MM1" s="107">
        <v>173</v>
      </c>
      <c r="MN1" s="107">
        <v>173</v>
      </c>
      <c r="MO1" s="107">
        <v>173</v>
      </c>
      <c r="MP1" s="107">
        <v>173</v>
      </c>
      <c r="MQ1" s="107">
        <v>173</v>
      </c>
      <c r="MR1" s="107">
        <v>173</v>
      </c>
      <c r="MS1" s="107">
        <v>173</v>
      </c>
      <c r="MT1" s="107">
        <v>173</v>
      </c>
      <c r="MU1" s="107">
        <v>173</v>
      </c>
      <c r="MV1" s="107">
        <v>173</v>
      </c>
      <c r="MW1" s="107">
        <v>173</v>
      </c>
      <c r="MX1" s="107">
        <v>173</v>
      </c>
      <c r="MY1" s="107">
        <v>173</v>
      </c>
      <c r="MZ1" s="107">
        <v>173</v>
      </c>
      <c r="NA1" s="107">
        <v>173</v>
      </c>
      <c r="NB1" s="107">
        <v>173</v>
      </c>
      <c r="NC1" s="107">
        <v>173</v>
      </c>
      <c r="ND1" s="107">
        <v>173</v>
      </c>
      <c r="NE1" s="107">
        <v>173</v>
      </c>
      <c r="NF1" s="107">
        <v>173</v>
      </c>
      <c r="NG1" s="107">
        <v>173</v>
      </c>
      <c r="NH1" s="107">
        <v>173</v>
      </c>
      <c r="NI1" s="107">
        <v>173</v>
      </c>
      <c r="NJ1" s="107">
        <v>173</v>
      </c>
      <c r="NK1" s="107">
        <v>173</v>
      </c>
      <c r="NL1" s="107">
        <v>173</v>
      </c>
      <c r="NM1" s="107">
        <v>173</v>
      </c>
      <c r="NN1" s="107">
        <v>173</v>
      </c>
      <c r="NO1" s="107">
        <v>173</v>
      </c>
      <c r="NP1" s="107">
        <v>173</v>
      </c>
      <c r="NQ1" s="107">
        <v>173</v>
      </c>
      <c r="NR1" s="107">
        <v>173</v>
      </c>
      <c r="OK1" s="107">
        <v>173</v>
      </c>
      <c r="OL1" s="107">
        <v>173</v>
      </c>
      <c r="OM1" s="107">
        <v>173</v>
      </c>
      <c r="ON1" s="107">
        <v>173</v>
      </c>
      <c r="OO1" s="107">
        <v>173</v>
      </c>
      <c r="OP1" s="107">
        <v>173</v>
      </c>
      <c r="OQ1" s="107">
        <v>173</v>
      </c>
      <c r="OR1" s="107">
        <v>173</v>
      </c>
      <c r="OS1" s="107">
        <v>173</v>
      </c>
      <c r="OT1" s="107">
        <v>173</v>
      </c>
      <c r="OU1" s="107">
        <v>173</v>
      </c>
      <c r="OV1" s="107">
        <v>173</v>
      </c>
      <c r="OW1" s="107">
        <v>173</v>
      </c>
      <c r="OX1" s="107">
        <v>173</v>
      </c>
      <c r="OY1" s="107">
        <v>173</v>
      </c>
      <c r="OZ1" s="107">
        <v>173</v>
      </c>
      <c r="PA1" s="107">
        <v>173</v>
      </c>
      <c r="PB1" s="107">
        <v>173</v>
      </c>
      <c r="PC1" s="107">
        <v>173</v>
      </c>
      <c r="PD1" s="107">
        <v>173</v>
      </c>
      <c r="PE1" s="107">
        <v>173</v>
      </c>
      <c r="PF1" s="107">
        <v>173</v>
      </c>
      <c r="PG1" s="107">
        <v>173</v>
      </c>
      <c r="PH1" s="107">
        <v>173</v>
      </c>
      <c r="PI1" s="107">
        <v>173</v>
      </c>
      <c r="PJ1" s="107">
        <v>173</v>
      </c>
      <c r="PK1" s="107">
        <v>173</v>
      </c>
      <c r="PL1" s="107">
        <v>173</v>
      </c>
      <c r="PM1" s="107">
        <v>173</v>
      </c>
      <c r="PN1" s="107">
        <v>173</v>
      </c>
      <c r="PO1" s="107">
        <v>173</v>
      </c>
      <c r="PP1" s="107">
        <v>173</v>
      </c>
      <c r="PQ1" s="107">
        <v>173</v>
      </c>
      <c r="PR1" s="107">
        <v>173</v>
      </c>
      <c r="PS1" s="107">
        <v>173</v>
      </c>
      <c r="PT1" s="107">
        <v>173</v>
      </c>
      <c r="PU1" s="107">
        <v>173</v>
      </c>
      <c r="PV1" s="107">
        <v>173</v>
      </c>
      <c r="PW1" s="107">
        <v>173</v>
      </c>
      <c r="PX1" s="107">
        <v>173</v>
      </c>
      <c r="PY1" s="107">
        <v>173</v>
      </c>
      <c r="PZ1" s="107">
        <v>173</v>
      </c>
      <c r="QA1" s="107">
        <v>173</v>
      </c>
      <c r="QB1" s="107">
        <v>173</v>
      </c>
      <c r="QC1" s="107">
        <v>173</v>
      </c>
      <c r="QD1" s="107">
        <v>173</v>
      </c>
      <c r="QE1" s="107">
        <v>173</v>
      </c>
      <c r="QF1" s="107">
        <v>173</v>
      </c>
      <c r="QG1" s="107">
        <v>173</v>
      </c>
      <c r="QH1" s="107">
        <v>173</v>
      </c>
      <c r="QI1" s="107">
        <v>173</v>
      </c>
      <c r="QJ1" s="107">
        <v>173</v>
      </c>
      <c r="QK1" s="107">
        <v>173</v>
      </c>
      <c r="QL1" s="107">
        <v>173</v>
      </c>
      <c r="QM1" s="107">
        <v>173</v>
      </c>
      <c r="QN1" s="107">
        <v>173</v>
      </c>
      <c r="QO1" s="107">
        <v>173</v>
      </c>
      <c r="QP1" s="107">
        <v>173</v>
      </c>
      <c r="QQ1" s="107">
        <v>173</v>
      </c>
      <c r="QR1" s="107">
        <v>173</v>
      </c>
      <c r="QS1" s="107">
        <v>173</v>
      </c>
      <c r="QT1" s="107">
        <v>173</v>
      </c>
      <c r="RM1" s="107">
        <v>173</v>
      </c>
      <c r="RN1" s="107">
        <v>173</v>
      </c>
      <c r="RO1" s="107">
        <v>173</v>
      </c>
      <c r="RP1" s="107">
        <v>173</v>
      </c>
      <c r="RQ1" s="107">
        <v>173</v>
      </c>
      <c r="RR1" s="107">
        <v>173</v>
      </c>
      <c r="RS1" s="107">
        <v>173</v>
      </c>
      <c r="RT1" s="107">
        <v>173</v>
      </c>
      <c r="RU1" s="107">
        <v>173</v>
      </c>
      <c r="RV1" s="107">
        <v>173</v>
      </c>
      <c r="RW1" s="107">
        <v>173</v>
      </c>
      <c r="RX1" s="107">
        <v>173</v>
      </c>
      <c r="RY1" s="107">
        <v>173</v>
      </c>
      <c r="RZ1" s="107">
        <v>173</v>
      </c>
      <c r="SA1" s="107">
        <v>173</v>
      </c>
      <c r="SB1" s="107">
        <v>173</v>
      </c>
      <c r="SC1" s="107">
        <v>173</v>
      </c>
      <c r="SD1" s="107">
        <v>173</v>
      </c>
      <c r="SE1" s="107">
        <v>173</v>
      </c>
      <c r="SF1" s="107">
        <v>173</v>
      </c>
      <c r="SG1" s="107">
        <v>173</v>
      </c>
      <c r="SH1" s="107">
        <v>173</v>
      </c>
      <c r="SI1" s="107">
        <v>173</v>
      </c>
      <c r="SJ1" s="107">
        <v>173</v>
      </c>
      <c r="SK1" s="107">
        <v>173</v>
      </c>
      <c r="SL1" s="107">
        <v>173</v>
      </c>
      <c r="SM1" s="107">
        <v>173</v>
      </c>
      <c r="SN1" s="107">
        <v>173</v>
      </c>
      <c r="SO1" s="107">
        <v>173</v>
      </c>
      <c r="SP1" s="107">
        <v>173</v>
      </c>
      <c r="SQ1" s="107">
        <v>173</v>
      </c>
      <c r="SR1" s="107">
        <v>173</v>
      </c>
      <c r="SS1" s="107">
        <v>173</v>
      </c>
      <c r="ST1" s="107">
        <v>173</v>
      </c>
      <c r="SU1" s="107">
        <v>173</v>
      </c>
      <c r="SV1" s="107">
        <v>173</v>
      </c>
      <c r="SW1" s="107">
        <v>173</v>
      </c>
      <c r="SX1" s="107">
        <v>173</v>
      </c>
      <c r="SY1" s="107">
        <v>173</v>
      </c>
      <c r="SZ1" s="107">
        <v>173</v>
      </c>
      <c r="TA1" s="107">
        <v>173</v>
      </c>
      <c r="TB1" s="107">
        <v>173</v>
      </c>
      <c r="TC1" s="107">
        <v>173</v>
      </c>
      <c r="TD1" s="107">
        <v>173</v>
      </c>
      <c r="TE1" s="107">
        <v>173</v>
      </c>
      <c r="TF1" s="107">
        <v>173</v>
      </c>
      <c r="TG1" s="107">
        <v>173</v>
      </c>
      <c r="TH1" s="107">
        <v>173</v>
      </c>
      <c r="TI1" s="107">
        <v>173</v>
      </c>
      <c r="TJ1" s="107">
        <v>173</v>
      </c>
      <c r="TK1" s="107">
        <v>173</v>
      </c>
      <c r="TL1" s="107">
        <v>173</v>
      </c>
      <c r="TM1" s="107">
        <v>173</v>
      </c>
      <c r="TN1" s="107">
        <v>173</v>
      </c>
      <c r="TO1" s="107">
        <v>173</v>
      </c>
      <c r="TP1" s="107">
        <v>173</v>
      </c>
      <c r="TQ1" s="107">
        <v>173</v>
      </c>
      <c r="TR1" s="107">
        <v>173</v>
      </c>
      <c r="TS1" s="107">
        <v>173</v>
      </c>
      <c r="TT1" s="107">
        <v>173</v>
      </c>
      <c r="TU1" s="107">
        <v>173</v>
      </c>
      <c r="TV1" s="107">
        <v>173</v>
      </c>
      <c r="UO1" s="107">
        <v>173</v>
      </c>
      <c r="UP1" s="107">
        <v>173</v>
      </c>
      <c r="UQ1" s="107">
        <v>173</v>
      </c>
      <c r="UR1" s="107">
        <v>173</v>
      </c>
      <c r="US1" s="107">
        <v>173</v>
      </c>
      <c r="UT1" s="107">
        <v>173</v>
      </c>
      <c r="UU1" s="107">
        <v>173</v>
      </c>
      <c r="UV1" s="107">
        <v>173</v>
      </c>
      <c r="UW1" s="107">
        <v>173</v>
      </c>
      <c r="UX1" s="107">
        <v>173</v>
      </c>
      <c r="UY1" s="107">
        <v>173</v>
      </c>
      <c r="UZ1" s="107">
        <v>173</v>
      </c>
      <c r="VA1" s="107">
        <v>173</v>
      </c>
      <c r="VB1" s="107">
        <v>173</v>
      </c>
      <c r="VC1" s="107">
        <v>173</v>
      </c>
      <c r="VD1" s="107">
        <v>173</v>
      </c>
      <c r="VE1" s="107">
        <v>173</v>
      </c>
      <c r="VF1" s="107">
        <v>173</v>
      </c>
      <c r="VG1" s="107">
        <v>173</v>
      </c>
      <c r="VH1" s="107">
        <v>173</v>
      </c>
      <c r="VI1" s="107">
        <v>173</v>
      </c>
      <c r="VJ1" s="107">
        <v>173</v>
      </c>
      <c r="VK1" s="107">
        <v>173</v>
      </c>
      <c r="VL1" s="107">
        <v>173</v>
      </c>
      <c r="VM1" s="107">
        <v>173</v>
      </c>
      <c r="VN1" s="107">
        <v>173</v>
      </c>
      <c r="VO1" s="107">
        <v>173</v>
      </c>
      <c r="VP1" s="107">
        <v>173</v>
      </c>
      <c r="VQ1" s="107">
        <v>173</v>
      </c>
      <c r="VR1" s="107">
        <v>173</v>
      </c>
      <c r="VS1" s="107">
        <v>173</v>
      </c>
      <c r="VT1" s="107">
        <v>173</v>
      </c>
      <c r="VU1" s="107">
        <v>173</v>
      </c>
      <c r="VV1" s="107">
        <v>173</v>
      </c>
      <c r="VW1" s="107">
        <v>173</v>
      </c>
      <c r="VX1" s="107">
        <v>173</v>
      </c>
      <c r="VY1" s="107">
        <v>173</v>
      </c>
      <c r="VZ1" s="107">
        <v>173</v>
      </c>
      <c r="WA1" s="107">
        <v>173</v>
      </c>
      <c r="WB1" s="107">
        <v>173</v>
      </c>
      <c r="WC1" s="107">
        <v>173</v>
      </c>
      <c r="WD1" s="107">
        <v>173</v>
      </c>
      <c r="WE1" s="107">
        <v>173</v>
      </c>
      <c r="WF1" s="107">
        <v>173</v>
      </c>
      <c r="WG1" s="107">
        <v>173</v>
      </c>
      <c r="WH1" s="107">
        <v>173</v>
      </c>
      <c r="WI1" s="107">
        <v>173</v>
      </c>
      <c r="WJ1" s="107">
        <v>173</v>
      </c>
      <c r="WK1" s="107">
        <v>173</v>
      </c>
      <c r="WL1" s="107">
        <v>173</v>
      </c>
      <c r="WM1" s="107">
        <v>173</v>
      </c>
      <c r="WN1" s="107">
        <v>173</v>
      </c>
      <c r="WO1" s="107">
        <v>173</v>
      </c>
      <c r="WP1" s="107">
        <v>173</v>
      </c>
      <c r="WQ1" s="107">
        <v>173</v>
      </c>
      <c r="WR1" s="107">
        <v>173</v>
      </c>
      <c r="WS1" s="107">
        <v>173</v>
      </c>
      <c r="WT1" s="107">
        <v>173</v>
      </c>
      <c r="WU1" s="107">
        <v>173</v>
      </c>
      <c r="WV1" s="107">
        <v>173</v>
      </c>
      <c r="WW1" s="107">
        <v>173</v>
      </c>
      <c r="XQ1" s="107">
        <v>173</v>
      </c>
      <c r="XR1" s="107">
        <v>173</v>
      </c>
      <c r="XS1" s="107">
        <v>173</v>
      </c>
      <c r="XT1" s="107">
        <v>173</v>
      </c>
      <c r="XU1" s="107">
        <v>173</v>
      </c>
      <c r="XV1" s="107">
        <v>173</v>
      </c>
      <c r="XW1" s="107">
        <v>173</v>
      </c>
      <c r="XX1" s="107">
        <v>173</v>
      </c>
      <c r="XY1" s="107">
        <v>173</v>
      </c>
      <c r="XZ1" s="107">
        <v>173</v>
      </c>
      <c r="YA1" s="107">
        <v>173</v>
      </c>
      <c r="YB1" s="107">
        <v>173</v>
      </c>
      <c r="YC1" s="107">
        <v>173</v>
      </c>
      <c r="YD1" s="107">
        <v>173</v>
      </c>
      <c r="YE1" s="107">
        <v>173</v>
      </c>
      <c r="YF1" s="107">
        <v>173</v>
      </c>
      <c r="YG1" s="107">
        <v>173</v>
      </c>
      <c r="YH1" s="107">
        <v>173</v>
      </c>
      <c r="YI1" s="107">
        <v>173</v>
      </c>
      <c r="YJ1" s="107">
        <v>173</v>
      </c>
      <c r="YK1" s="107">
        <v>173</v>
      </c>
      <c r="YL1" s="107">
        <v>173</v>
      </c>
      <c r="YM1" s="107">
        <v>173</v>
      </c>
      <c r="YN1" s="107">
        <v>173</v>
      </c>
      <c r="YO1" s="107">
        <v>173</v>
      </c>
      <c r="YP1" s="107">
        <v>173</v>
      </c>
      <c r="YQ1" s="107">
        <v>173</v>
      </c>
      <c r="YR1" s="107">
        <v>173</v>
      </c>
      <c r="YS1" s="107">
        <v>173</v>
      </c>
      <c r="YT1" s="107">
        <v>173</v>
      </c>
      <c r="YU1" s="107">
        <v>173</v>
      </c>
      <c r="YV1" s="107">
        <v>173</v>
      </c>
      <c r="YW1" s="107">
        <v>173</v>
      </c>
      <c r="YX1" s="107">
        <v>173</v>
      </c>
      <c r="YY1" s="107">
        <v>173</v>
      </c>
      <c r="YZ1" s="107">
        <v>173</v>
      </c>
      <c r="ZA1" s="107">
        <v>173</v>
      </c>
      <c r="ZB1" s="107">
        <v>173</v>
      </c>
      <c r="ZC1" s="107">
        <v>173</v>
      </c>
      <c r="ZD1" s="107">
        <v>173</v>
      </c>
      <c r="ZE1" s="107">
        <v>173</v>
      </c>
      <c r="ZF1" s="107">
        <v>173</v>
      </c>
      <c r="ZG1" s="107">
        <v>173</v>
      </c>
      <c r="ZH1" s="107">
        <v>173</v>
      </c>
      <c r="ZI1" s="107">
        <v>173</v>
      </c>
      <c r="ZJ1" s="107">
        <v>173</v>
      </c>
      <c r="ZK1" s="107">
        <v>173</v>
      </c>
      <c r="ZL1" s="107">
        <v>173</v>
      </c>
      <c r="ZM1" s="107">
        <v>173</v>
      </c>
      <c r="ZN1" s="107">
        <v>173</v>
      </c>
      <c r="ZO1" s="107">
        <v>173</v>
      </c>
      <c r="ZP1" s="107">
        <v>173</v>
      </c>
      <c r="ZQ1" s="107">
        <v>173</v>
      </c>
      <c r="ZR1" s="107">
        <v>173</v>
      </c>
      <c r="ZS1" s="107">
        <v>173</v>
      </c>
      <c r="ZT1" s="107">
        <v>173</v>
      </c>
      <c r="ZU1" s="107">
        <v>173</v>
      </c>
      <c r="ZV1" s="107">
        <v>173</v>
      </c>
      <c r="ZW1" s="107">
        <v>173</v>
      </c>
      <c r="AAS1" s="107">
        <v>173</v>
      </c>
      <c r="AAT1" s="107">
        <v>173</v>
      </c>
      <c r="AAU1" s="107">
        <v>173</v>
      </c>
      <c r="AAV1" s="107">
        <v>173</v>
      </c>
      <c r="AAW1" s="107">
        <v>173</v>
      </c>
      <c r="AAX1" s="107">
        <v>173</v>
      </c>
      <c r="AAY1" s="107">
        <v>173</v>
      </c>
      <c r="AAZ1" s="107">
        <v>173</v>
      </c>
      <c r="ABA1" s="107">
        <v>173</v>
      </c>
      <c r="ABB1" s="107">
        <v>173</v>
      </c>
      <c r="ABC1" s="107">
        <v>173</v>
      </c>
      <c r="ABD1" s="107">
        <v>173</v>
      </c>
      <c r="ABE1" s="107">
        <v>173</v>
      </c>
      <c r="ABF1" s="107">
        <v>173</v>
      </c>
      <c r="ABG1" s="107">
        <v>173</v>
      </c>
      <c r="ABH1" s="107">
        <v>173</v>
      </c>
      <c r="ABI1" s="107">
        <v>173</v>
      </c>
      <c r="ABJ1" s="107">
        <v>173</v>
      </c>
      <c r="ABK1" s="107">
        <v>173</v>
      </c>
      <c r="ABL1" s="107">
        <v>173</v>
      </c>
      <c r="ABM1" s="107">
        <v>173</v>
      </c>
      <c r="ABN1" s="107">
        <v>173</v>
      </c>
      <c r="ABO1" s="107">
        <v>173</v>
      </c>
      <c r="ABP1" s="107">
        <v>173</v>
      </c>
      <c r="ABQ1" s="107">
        <v>173</v>
      </c>
      <c r="ABR1" s="107">
        <v>173</v>
      </c>
      <c r="ABS1" s="107">
        <v>173</v>
      </c>
      <c r="ABT1" s="107">
        <v>173</v>
      </c>
      <c r="ABU1" s="107">
        <v>173</v>
      </c>
      <c r="ABV1" s="107">
        <v>173</v>
      </c>
      <c r="ABW1" s="107">
        <v>173</v>
      </c>
      <c r="ABX1" s="107">
        <v>173</v>
      </c>
      <c r="ABY1" s="107">
        <v>173</v>
      </c>
      <c r="ABZ1" s="107">
        <v>173</v>
      </c>
      <c r="ACA1" s="107">
        <v>173</v>
      </c>
      <c r="ACB1" s="107">
        <v>173</v>
      </c>
      <c r="ACC1" s="107">
        <v>173</v>
      </c>
      <c r="ACD1" s="107">
        <v>173</v>
      </c>
      <c r="ACE1" s="107">
        <v>173</v>
      </c>
      <c r="ACF1" s="107">
        <v>173</v>
      </c>
      <c r="ACG1" s="107">
        <v>173</v>
      </c>
      <c r="ACH1" s="107">
        <v>173</v>
      </c>
      <c r="ACI1" s="107">
        <v>173</v>
      </c>
      <c r="ACJ1" s="107">
        <v>173</v>
      </c>
      <c r="ACK1" s="107">
        <v>173</v>
      </c>
      <c r="ACL1" s="107">
        <v>173</v>
      </c>
      <c r="ACM1" s="107">
        <v>173</v>
      </c>
      <c r="ACN1" s="107">
        <v>173</v>
      </c>
      <c r="ACO1" s="107">
        <v>173</v>
      </c>
      <c r="ACP1" s="107">
        <v>173</v>
      </c>
      <c r="ACQ1" s="107">
        <v>173</v>
      </c>
      <c r="ACR1" s="107">
        <v>173</v>
      </c>
      <c r="ACS1" s="107">
        <v>173</v>
      </c>
      <c r="ACT1" s="107">
        <v>173</v>
      </c>
      <c r="ACU1" s="107">
        <v>173</v>
      </c>
      <c r="ACV1" s="107">
        <v>173</v>
      </c>
      <c r="ACW1" s="107">
        <v>173</v>
      </c>
      <c r="ACX1" s="107">
        <v>173</v>
      </c>
      <c r="ADU1" s="107">
        <v>173</v>
      </c>
      <c r="ADV1" s="107">
        <v>173</v>
      </c>
      <c r="ADW1" s="107">
        <v>173</v>
      </c>
      <c r="ADX1" s="107">
        <v>173</v>
      </c>
      <c r="ADY1" s="107">
        <v>173</v>
      </c>
      <c r="ADZ1" s="107">
        <v>173</v>
      </c>
      <c r="AEA1" s="107">
        <v>173</v>
      </c>
      <c r="AEB1" s="107">
        <v>173</v>
      </c>
      <c r="AEC1" s="107">
        <v>173</v>
      </c>
      <c r="AED1" s="107">
        <v>173</v>
      </c>
      <c r="AEE1" s="107">
        <v>173</v>
      </c>
      <c r="AEF1" s="107">
        <v>173</v>
      </c>
      <c r="AEG1" s="107">
        <v>173</v>
      </c>
      <c r="AEH1" s="107">
        <v>173</v>
      </c>
      <c r="AEI1" s="107">
        <v>173</v>
      </c>
      <c r="AEJ1" s="107">
        <v>173</v>
      </c>
      <c r="AEK1" s="107">
        <v>173</v>
      </c>
      <c r="AEL1" s="107">
        <v>173</v>
      </c>
      <c r="AEM1" s="107">
        <v>173</v>
      </c>
      <c r="AEN1" s="107">
        <v>173</v>
      </c>
      <c r="AEO1" s="107">
        <v>173</v>
      </c>
      <c r="AEP1" s="107">
        <v>173</v>
      </c>
      <c r="AEQ1" s="107">
        <v>173</v>
      </c>
      <c r="AER1" s="107">
        <v>173</v>
      </c>
      <c r="AES1" s="107">
        <v>173</v>
      </c>
      <c r="AET1" s="107">
        <v>173</v>
      </c>
      <c r="AEU1" s="107">
        <v>173</v>
      </c>
      <c r="AEV1" s="107">
        <v>173</v>
      </c>
      <c r="AEW1" s="107">
        <v>173</v>
      </c>
      <c r="AEX1" s="107">
        <v>173</v>
      </c>
      <c r="AEY1" s="107">
        <v>173</v>
      </c>
      <c r="AEZ1" s="107">
        <v>173</v>
      </c>
      <c r="AFA1" s="107">
        <v>173</v>
      </c>
      <c r="AFB1" s="107">
        <v>173</v>
      </c>
      <c r="AFC1" s="107">
        <v>173</v>
      </c>
      <c r="AFD1" s="107">
        <v>173</v>
      </c>
      <c r="AFE1" s="107">
        <v>173</v>
      </c>
      <c r="AFF1" s="107">
        <v>173</v>
      </c>
      <c r="AFG1" s="107">
        <v>173</v>
      </c>
      <c r="AFH1" s="107">
        <v>173</v>
      </c>
      <c r="AFI1" s="107">
        <v>173</v>
      </c>
      <c r="AFJ1" s="107">
        <v>173</v>
      </c>
      <c r="AFK1" s="107">
        <v>173</v>
      </c>
      <c r="AFL1" s="107">
        <v>173</v>
      </c>
      <c r="AFM1" s="107">
        <v>173</v>
      </c>
      <c r="AFN1" s="107">
        <v>173</v>
      </c>
      <c r="AFO1" s="107">
        <v>173</v>
      </c>
      <c r="AFP1" s="107">
        <v>173</v>
      </c>
      <c r="AFQ1" s="107">
        <v>173</v>
      </c>
      <c r="AFR1" s="107">
        <v>173</v>
      </c>
      <c r="AFS1" s="107">
        <v>173</v>
      </c>
      <c r="AFT1" s="107">
        <v>173</v>
      </c>
      <c r="AFU1" s="107">
        <v>173</v>
      </c>
      <c r="AFV1" s="107">
        <v>173</v>
      </c>
      <c r="AFW1" s="107">
        <v>173</v>
      </c>
      <c r="AFX1" s="107">
        <v>173</v>
      </c>
      <c r="AFY1" s="107">
        <v>173</v>
      </c>
      <c r="AGW1" s="107">
        <v>173</v>
      </c>
      <c r="AGX1" s="107">
        <v>173</v>
      </c>
      <c r="AGY1" s="107">
        <v>173</v>
      </c>
      <c r="AGZ1" s="107">
        <v>173</v>
      </c>
      <c r="AHA1" s="107">
        <v>173</v>
      </c>
      <c r="AHB1" s="107">
        <v>173</v>
      </c>
      <c r="AHC1" s="107">
        <v>173</v>
      </c>
      <c r="AHD1" s="107">
        <v>173</v>
      </c>
      <c r="AHE1" s="107">
        <v>173</v>
      </c>
      <c r="AHF1" s="107">
        <v>173</v>
      </c>
      <c r="AHG1" s="107">
        <v>173</v>
      </c>
      <c r="AHH1" s="107">
        <v>173</v>
      </c>
      <c r="AHI1" s="107">
        <v>173</v>
      </c>
      <c r="AHJ1" s="107">
        <v>173</v>
      </c>
      <c r="AHK1" s="107">
        <v>173</v>
      </c>
      <c r="AHL1" s="107">
        <v>173</v>
      </c>
      <c r="AHM1" s="107">
        <v>173</v>
      </c>
      <c r="AHN1" s="107">
        <v>173</v>
      </c>
      <c r="AHO1" s="107">
        <v>173</v>
      </c>
      <c r="AHP1" s="107">
        <v>173</v>
      </c>
      <c r="AHQ1" s="107">
        <v>173</v>
      </c>
      <c r="AHR1" s="107">
        <v>173</v>
      </c>
      <c r="AHS1" s="107">
        <v>173</v>
      </c>
      <c r="AHT1" s="107">
        <v>173</v>
      </c>
      <c r="AHU1" s="107">
        <v>173</v>
      </c>
      <c r="AHV1" s="107">
        <v>173</v>
      </c>
      <c r="AHW1" s="107">
        <v>173</v>
      </c>
      <c r="AHX1" s="107">
        <v>173</v>
      </c>
      <c r="AHY1" s="107">
        <v>173</v>
      </c>
      <c r="AHZ1" s="107">
        <v>173</v>
      </c>
      <c r="AIA1" s="107">
        <v>173</v>
      </c>
      <c r="AIB1" s="107">
        <v>173</v>
      </c>
      <c r="AIC1" s="107">
        <v>173</v>
      </c>
      <c r="AID1" s="107">
        <v>173</v>
      </c>
      <c r="AIE1" s="107">
        <v>173</v>
      </c>
      <c r="AIF1" s="107">
        <v>173</v>
      </c>
      <c r="AIG1" s="107">
        <v>173</v>
      </c>
      <c r="AIH1" s="107">
        <v>173</v>
      </c>
      <c r="AII1" s="107">
        <v>173</v>
      </c>
      <c r="AIJ1" s="107">
        <v>173</v>
      </c>
      <c r="AIK1" s="107">
        <v>173</v>
      </c>
      <c r="AIL1" s="107">
        <v>173</v>
      </c>
      <c r="AIM1" s="107">
        <v>173</v>
      </c>
      <c r="AIN1" s="107">
        <v>173</v>
      </c>
      <c r="AIO1" s="107">
        <v>173</v>
      </c>
      <c r="AIP1" s="107">
        <v>173</v>
      </c>
      <c r="AIQ1" s="107">
        <v>173</v>
      </c>
      <c r="AIR1" s="107">
        <v>173</v>
      </c>
      <c r="AIS1" s="107">
        <v>173</v>
      </c>
      <c r="AIT1" s="107">
        <v>173</v>
      </c>
      <c r="AIU1" s="107">
        <v>173</v>
      </c>
      <c r="AIV1" s="107">
        <v>173</v>
      </c>
      <c r="AIW1" s="107">
        <v>173</v>
      </c>
      <c r="AIX1" s="107">
        <v>173</v>
      </c>
      <c r="AIY1" s="107">
        <v>173</v>
      </c>
      <c r="AIZ1" s="107">
        <v>173</v>
      </c>
      <c r="AJY1" t="s">
        <v>2</v>
      </c>
    </row>
    <row r="2" spans="1:961">
      <c r="A2" s="107">
        <v>151.38</v>
      </c>
      <c r="B2" s="107">
        <v>151.38</v>
      </c>
      <c r="C2" s="107">
        <v>151.38</v>
      </c>
      <c r="D2" s="107">
        <v>151.38</v>
      </c>
      <c r="E2" s="107">
        <v>151.38</v>
      </c>
      <c r="F2" s="107">
        <v>151.38</v>
      </c>
      <c r="G2" s="107">
        <v>151.38</v>
      </c>
      <c r="H2" s="107">
        <v>151.38</v>
      </c>
      <c r="I2" s="107">
        <v>151.38</v>
      </c>
      <c r="J2" s="107">
        <v>151.38</v>
      </c>
      <c r="K2" s="107">
        <v>151.38</v>
      </c>
      <c r="L2" s="107">
        <v>151.38</v>
      </c>
      <c r="M2" s="107">
        <v>151.38</v>
      </c>
      <c r="N2" s="107">
        <v>151.38</v>
      </c>
      <c r="O2" s="107">
        <v>151.38</v>
      </c>
      <c r="P2" s="107">
        <v>151.38</v>
      </c>
      <c r="Q2" s="107">
        <v>151.38</v>
      </c>
      <c r="R2" s="107">
        <v>151.38</v>
      </c>
      <c r="S2" s="107">
        <v>151.38</v>
      </c>
      <c r="T2" s="107">
        <v>151.38</v>
      </c>
      <c r="U2" s="107">
        <v>151.38</v>
      </c>
      <c r="V2" s="107">
        <v>151.38</v>
      </c>
      <c r="W2" s="107">
        <v>151.38</v>
      </c>
      <c r="X2" s="107">
        <v>151.38</v>
      </c>
      <c r="Y2" s="107">
        <v>151.38</v>
      </c>
      <c r="Z2" s="107">
        <v>151.38</v>
      </c>
      <c r="AA2" s="107">
        <v>151.38</v>
      </c>
      <c r="AB2" s="107">
        <v>151.38</v>
      </c>
      <c r="AC2" s="107">
        <v>151.38</v>
      </c>
      <c r="AD2" s="107">
        <v>151.38</v>
      </c>
      <c r="AE2" s="107">
        <v>151.38</v>
      </c>
      <c r="AF2" s="107">
        <v>151.38</v>
      </c>
      <c r="AG2" s="107">
        <v>151.38</v>
      </c>
      <c r="AH2" s="107">
        <v>151.38</v>
      </c>
      <c r="AI2" s="107">
        <v>151.38</v>
      </c>
      <c r="AJ2" s="107">
        <v>151.38</v>
      </c>
      <c r="AK2" s="107">
        <v>151.38</v>
      </c>
      <c r="AL2" s="107">
        <v>151.38</v>
      </c>
      <c r="AM2" s="107">
        <v>151.38</v>
      </c>
      <c r="AN2" s="107">
        <v>151.38</v>
      </c>
      <c r="AO2" s="107">
        <v>151.38</v>
      </c>
      <c r="AP2" s="107">
        <v>151.38</v>
      </c>
      <c r="AQ2" s="107">
        <v>151.38</v>
      </c>
      <c r="AR2" s="107">
        <v>151.38</v>
      </c>
      <c r="AS2" s="107">
        <v>151.38</v>
      </c>
      <c r="AT2" s="107">
        <v>151.38</v>
      </c>
      <c r="AU2" s="107">
        <v>151.38</v>
      </c>
      <c r="AV2" s="107">
        <v>151.38</v>
      </c>
      <c r="AW2" s="107">
        <v>151.38</v>
      </c>
      <c r="AX2" s="107">
        <v>151.38</v>
      </c>
      <c r="AY2" s="107">
        <v>151.38</v>
      </c>
      <c r="AZ2" s="107">
        <v>151.38</v>
      </c>
      <c r="CC2" s="107">
        <v>151.38</v>
      </c>
      <c r="CD2" s="107">
        <v>151.38</v>
      </c>
      <c r="CE2" s="107">
        <v>151.38</v>
      </c>
      <c r="CF2" s="107">
        <v>151.38</v>
      </c>
      <c r="CG2" s="107">
        <v>151.38</v>
      </c>
      <c r="CH2" s="107">
        <v>151.38</v>
      </c>
      <c r="CI2" s="107">
        <v>151.38</v>
      </c>
      <c r="CJ2" s="107">
        <v>151.38</v>
      </c>
      <c r="CK2" s="107">
        <v>151.38</v>
      </c>
      <c r="CL2" s="107">
        <v>151.38</v>
      </c>
      <c r="CM2" s="107">
        <v>151.38</v>
      </c>
      <c r="CN2" s="107">
        <v>151.38</v>
      </c>
      <c r="CO2" s="107">
        <v>151.38</v>
      </c>
      <c r="CP2" s="107">
        <v>151.38</v>
      </c>
      <c r="CQ2" s="107">
        <v>151.38</v>
      </c>
      <c r="CR2" s="107">
        <v>151.38</v>
      </c>
      <c r="CS2" s="107">
        <v>151.38</v>
      </c>
      <c r="CT2" s="107">
        <v>151.38</v>
      </c>
      <c r="CU2" s="107">
        <v>151.38</v>
      </c>
      <c r="CV2" s="107">
        <v>151.38</v>
      </c>
      <c r="CW2" s="107">
        <v>151.38</v>
      </c>
      <c r="CX2" s="107">
        <v>151.38</v>
      </c>
      <c r="CY2" s="107">
        <v>151.38</v>
      </c>
      <c r="CZ2" s="107">
        <v>151.38</v>
      </c>
      <c r="DA2" s="107">
        <v>151.38</v>
      </c>
      <c r="DB2" s="107">
        <v>151.38</v>
      </c>
      <c r="DC2" s="107">
        <v>151.38</v>
      </c>
      <c r="DD2" s="107">
        <v>151.38</v>
      </c>
      <c r="DE2" s="107">
        <v>151.38</v>
      </c>
      <c r="DF2" s="107">
        <v>151.38</v>
      </c>
      <c r="DG2" s="107">
        <v>151.38</v>
      </c>
      <c r="DH2" s="107">
        <v>151.38</v>
      </c>
      <c r="DI2" s="107">
        <v>151.38</v>
      </c>
      <c r="DJ2" s="107">
        <v>151.38</v>
      </c>
      <c r="DK2" s="107">
        <v>151.38</v>
      </c>
      <c r="DL2" s="107">
        <v>151.38</v>
      </c>
      <c r="DM2" s="107">
        <v>151.38</v>
      </c>
      <c r="DN2" s="107">
        <v>151.38</v>
      </c>
      <c r="DO2" s="107">
        <v>151.38</v>
      </c>
      <c r="DP2" s="107">
        <v>151.38</v>
      </c>
      <c r="DQ2" s="107">
        <v>151.38</v>
      </c>
      <c r="DR2" s="107">
        <v>151.38</v>
      </c>
      <c r="DS2" s="107">
        <v>151.38</v>
      </c>
      <c r="DT2" s="107">
        <v>151.38</v>
      </c>
      <c r="DU2" s="107">
        <v>151.38</v>
      </c>
      <c r="DV2" s="107">
        <v>151.38</v>
      </c>
      <c r="DW2" s="107">
        <v>151.38</v>
      </c>
      <c r="DX2" s="107">
        <v>151.38</v>
      </c>
      <c r="DY2" s="107">
        <v>151.38</v>
      </c>
      <c r="DZ2" s="107">
        <v>151.38</v>
      </c>
      <c r="EA2" s="107">
        <v>151.38</v>
      </c>
      <c r="EB2" s="107">
        <v>151.38</v>
      </c>
      <c r="EC2" s="107">
        <v>151.38</v>
      </c>
      <c r="ED2" s="107">
        <v>151.38</v>
      </c>
      <c r="EE2" s="107">
        <v>151.38</v>
      </c>
      <c r="EF2" s="107">
        <v>151.38</v>
      </c>
      <c r="EG2" s="107">
        <v>151.38</v>
      </c>
      <c r="EH2" s="107">
        <v>151.38</v>
      </c>
      <c r="EI2" s="107">
        <v>151.38</v>
      </c>
      <c r="FE2" s="107">
        <v>151.38</v>
      </c>
      <c r="FF2" s="107">
        <v>151.38</v>
      </c>
      <c r="FG2" s="107">
        <v>151.38</v>
      </c>
      <c r="FH2" s="107">
        <v>151.38</v>
      </c>
      <c r="FI2" s="107">
        <v>151.38</v>
      </c>
      <c r="FJ2" s="107">
        <v>151.38</v>
      </c>
      <c r="FK2" s="107">
        <v>151.38</v>
      </c>
      <c r="FL2" s="107">
        <v>151.38</v>
      </c>
      <c r="FM2" s="107">
        <v>151.38</v>
      </c>
      <c r="FN2" s="107">
        <v>151.38</v>
      </c>
      <c r="FO2" s="107">
        <v>151.38</v>
      </c>
      <c r="FP2" s="107">
        <v>151.38</v>
      </c>
      <c r="FQ2" s="107">
        <v>151.38</v>
      </c>
      <c r="FR2" s="107">
        <v>151.38</v>
      </c>
      <c r="FS2" s="107">
        <v>151.38</v>
      </c>
      <c r="FT2" s="107">
        <v>151.38</v>
      </c>
      <c r="FU2" s="107">
        <v>151.38</v>
      </c>
      <c r="FV2" s="107">
        <v>151.38</v>
      </c>
      <c r="FW2" s="107">
        <v>151.38</v>
      </c>
      <c r="FX2" s="107">
        <v>151.38</v>
      </c>
      <c r="FY2" s="107">
        <v>151.38</v>
      </c>
      <c r="FZ2" s="107">
        <v>151.38</v>
      </c>
      <c r="GA2" s="107">
        <v>151.38</v>
      </c>
      <c r="GB2" s="107">
        <v>151.38</v>
      </c>
      <c r="GC2" s="107">
        <v>151.38</v>
      </c>
      <c r="GD2" s="107">
        <v>151.38</v>
      </c>
      <c r="GE2" s="107">
        <v>151.38</v>
      </c>
      <c r="GF2" s="107">
        <v>151.38</v>
      </c>
      <c r="GG2" s="107">
        <v>151.38</v>
      </c>
      <c r="GH2" s="107">
        <v>151.38</v>
      </c>
      <c r="GI2" s="107">
        <v>151.38</v>
      </c>
      <c r="GJ2" s="107">
        <v>151.38</v>
      </c>
      <c r="GK2" s="107">
        <v>151.38</v>
      </c>
      <c r="GL2" s="107">
        <v>151.38</v>
      </c>
      <c r="GM2" s="107">
        <v>151.38</v>
      </c>
      <c r="GN2" s="107">
        <v>151.38</v>
      </c>
      <c r="GO2" s="107">
        <v>151.38</v>
      </c>
      <c r="GP2" s="107">
        <v>151.38</v>
      </c>
      <c r="GQ2" s="107">
        <v>151.38</v>
      </c>
      <c r="GR2" s="107">
        <v>151.38</v>
      </c>
      <c r="GS2" s="107">
        <v>151.38</v>
      </c>
      <c r="GT2" s="107">
        <v>151.38</v>
      </c>
      <c r="GU2" s="107">
        <v>151.38</v>
      </c>
      <c r="GV2" s="107">
        <v>151.38</v>
      </c>
      <c r="GW2" s="107">
        <v>151.38</v>
      </c>
      <c r="GX2" s="107">
        <v>151.38</v>
      </c>
      <c r="GY2" s="107">
        <v>151.38</v>
      </c>
      <c r="GZ2" s="107">
        <v>151.38</v>
      </c>
      <c r="HA2" s="107">
        <v>151.38</v>
      </c>
      <c r="HB2" s="107">
        <v>151.38</v>
      </c>
      <c r="HC2" s="107">
        <v>151.38</v>
      </c>
      <c r="HD2" s="107">
        <v>151.38</v>
      </c>
      <c r="HE2" s="107">
        <v>151.38</v>
      </c>
      <c r="HF2" s="107">
        <v>151.38</v>
      </c>
      <c r="HG2" s="107">
        <v>151.38</v>
      </c>
      <c r="HH2" s="107">
        <v>151.38</v>
      </c>
      <c r="HI2" s="107">
        <v>151.38</v>
      </c>
      <c r="HJ2" s="107">
        <v>151.38</v>
      </c>
      <c r="HK2" s="107">
        <v>151.38</v>
      </c>
      <c r="HL2" s="107">
        <v>151.38</v>
      </c>
      <c r="IG2" s="107">
        <v>151.38</v>
      </c>
      <c r="IH2" s="107">
        <v>151.38</v>
      </c>
      <c r="II2" s="107">
        <v>151.38</v>
      </c>
      <c r="IJ2" s="107">
        <v>151.38</v>
      </c>
      <c r="IK2" s="107">
        <v>151.38</v>
      </c>
      <c r="IL2" s="107">
        <v>151.38</v>
      </c>
      <c r="IM2" s="107">
        <v>151.38</v>
      </c>
      <c r="IN2" s="107">
        <v>151.38</v>
      </c>
      <c r="IO2" s="107">
        <v>151.38</v>
      </c>
      <c r="IP2" s="107">
        <v>151.38</v>
      </c>
      <c r="IQ2" s="107">
        <v>151.38</v>
      </c>
      <c r="IR2" s="107">
        <v>151.38</v>
      </c>
      <c r="IS2" s="107">
        <v>151.38</v>
      </c>
      <c r="IT2" s="107">
        <v>151.38</v>
      </c>
      <c r="IU2" s="107">
        <v>151.38</v>
      </c>
      <c r="IV2" s="107">
        <v>151.38</v>
      </c>
      <c r="IW2" s="107">
        <v>151.38</v>
      </c>
      <c r="IX2" s="107">
        <v>151.38</v>
      </c>
      <c r="IY2" s="107">
        <v>151.38</v>
      </c>
      <c r="IZ2" s="107">
        <v>151.38</v>
      </c>
      <c r="JA2" s="107">
        <v>151.38</v>
      </c>
      <c r="JB2" s="107">
        <v>151.38</v>
      </c>
      <c r="JC2" s="107">
        <v>151.38</v>
      </c>
      <c r="JD2" s="107">
        <v>151.38</v>
      </c>
      <c r="JE2" s="107">
        <v>151.38</v>
      </c>
      <c r="JF2" s="107">
        <v>151.38</v>
      </c>
      <c r="JG2" s="107">
        <v>151.38</v>
      </c>
      <c r="JH2" s="107">
        <v>151.38</v>
      </c>
      <c r="JI2" s="107">
        <v>151.38</v>
      </c>
      <c r="JJ2" s="107">
        <v>151.38</v>
      </c>
      <c r="JK2" s="107">
        <v>151.38</v>
      </c>
      <c r="JL2" s="107">
        <v>151.38</v>
      </c>
      <c r="JM2" s="107">
        <v>151.38</v>
      </c>
      <c r="JN2" s="107">
        <v>151.38</v>
      </c>
      <c r="JO2" s="107">
        <v>151.38</v>
      </c>
      <c r="JP2" s="107">
        <v>151.38</v>
      </c>
      <c r="JQ2" s="107">
        <v>151.38</v>
      </c>
      <c r="JR2" s="107">
        <v>151.38</v>
      </c>
      <c r="JS2" s="107">
        <v>151.38</v>
      </c>
      <c r="JT2" s="107">
        <v>151.38</v>
      </c>
      <c r="JU2" s="107">
        <v>151.38</v>
      </c>
      <c r="JV2" s="107">
        <v>151.38</v>
      </c>
      <c r="JW2" s="107">
        <v>151.38</v>
      </c>
      <c r="JX2" s="107">
        <v>151.38</v>
      </c>
      <c r="JY2" s="107">
        <v>151.38</v>
      </c>
      <c r="JZ2" s="107">
        <v>151.38</v>
      </c>
      <c r="KA2" s="107">
        <v>151.38</v>
      </c>
      <c r="KB2" s="107">
        <v>151.38</v>
      </c>
      <c r="KC2" s="107">
        <v>151.38</v>
      </c>
      <c r="KD2" s="107">
        <v>151.38</v>
      </c>
      <c r="KE2" s="107">
        <v>151.38</v>
      </c>
      <c r="KF2" s="107">
        <v>151.38</v>
      </c>
      <c r="KG2" s="107">
        <v>151.38</v>
      </c>
      <c r="KH2" s="107">
        <v>151.38</v>
      </c>
      <c r="KI2" s="107">
        <v>151.38</v>
      </c>
      <c r="KJ2" s="107">
        <v>151.38</v>
      </c>
      <c r="KK2" s="107">
        <v>151.38</v>
      </c>
      <c r="KL2" s="107">
        <v>151.38</v>
      </c>
      <c r="KM2" s="107">
        <v>151.38</v>
      </c>
      <c r="KN2" s="107">
        <v>151.38</v>
      </c>
      <c r="LI2" s="107">
        <v>151.38</v>
      </c>
      <c r="LJ2" s="107">
        <v>151.38</v>
      </c>
      <c r="LK2" s="107">
        <v>151.38</v>
      </c>
      <c r="LL2" s="107">
        <v>151.38</v>
      </c>
      <c r="LM2" s="107">
        <v>151.38</v>
      </c>
      <c r="LN2" s="107">
        <v>151.38</v>
      </c>
      <c r="LO2" s="107">
        <v>151.38</v>
      </c>
      <c r="LP2" s="107">
        <v>151.38</v>
      </c>
      <c r="LQ2" s="107">
        <v>151.38</v>
      </c>
      <c r="LR2" s="107">
        <v>151.38</v>
      </c>
      <c r="LS2" s="107">
        <v>151.38</v>
      </c>
      <c r="LT2" s="107">
        <v>151.38</v>
      </c>
      <c r="LU2" s="107">
        <v>151.38</v>
      </c>
      <c r="LV2" s="107">
        <v>151.38</v>
      </c>
      <c r="LW2" s="107">
        <v>151.38</v>
      </c>
      <c r="LX2" s="107">
        <v>151.38</v>
      </c>
      <c r="LY2" s="107">
        <v>151.38</v>
      </c>
      <c r="LZ2" s="107">
        <v>151.38</v>
      </c>
      <c r="MA2" s="107">
        <v>151.38</v>
      </c>
      <c r="MB2" s="107">
        <v>151.38</v>
      </c>
      <c r="MC2" s="107">
        <v>151.38</v>
      </c>
      <c r="MD2" s="107">
        <v>151.38</v>
      </c>
      <c r="ME2" s="107">
        <v>151.38</v>
      </c>
      <c r="MF2" s="107">
        <v>151.38</v>
      </c>
      <c r="MG2" s="107">
        <v>151.38</v>
      </c>
      <c r="MH2" s="107">
        <v>151.38</v>
      </c>
      <c r="MI2" s="107">
        <v>151.38</v>
      </c>
      <c r="MJ2" s="107">
        <v>151.38</v>
      </c>
      <c r="MK2" s="107">
        <v>151.38</v>
      </c>
      <c r="ML2" s="107">
        <v>151.38</v>
      </c>
      <c r="MM2" s="107">
        <v>151.38</v>
      </c>
      <c r="MN2" s="107">
        <v>151.38</v>
      </c>
      <c r="MO2" s="107">
        <v>151.38</v>
      </c>
      <c r="MP2" s="107">
        <v>151.38</v>
      </c>
      <c r="MQ2" s="107">
        <v>151.38</v>
      </c>
      <c r="MR2" s="107">
        <v>151.38</v>
      </c>
      <c r="MS2" s="107">
        <v>151.38</v>
      </c>
      <c r="MT2" s="107">
        <v>151.38</v>
      </c>
      <c r="MU2" s="107">
        <v>151.38</v>
      </c>
      <c r="MV2" s="107">
        <v>151.38</v>
      </c>
      <c r="MW2" s="107">
        <v>151.38</v>
      </c>
      <c r="MX2" s="107">
        <v>151.38</v>
      </c>
      <c r="MY2" s="107">
        <v>151.38</v>
      </c>
      <c r="MZ2" s="107">
        <v>151.38</v>
      </c>
      <c r="NA2" s="107">
        <v>151.38</v>
      </c>
      <c r="NB2" s="107">
        <v>151.38</v>
      </c>
      <c r="NC2" s="107">
        <v>151.38</v>
      </c>
      <c r="ND2" s="107">
        <v>151.38</v>
      </c>
      <c r="NE2" s="107">
        <v>151.38</v>
      </c>
      <c r="NF2" s="107">
        <v>151.38</v>
      </c>
      <c r="NG2" s="107">
        <v>151.38</v>
      </c>
      <c r="NH2" s="107">
        <v>151.38</v>
      </c>
      <c r="NI2" s="107">
        <v>151.38</v>
      </c>
      <c r="NJ2" s="107">
        <v>151.38</v>
      </c>
      <c r="NK2" s="107">
        <v>151.38</v>
      </c>
      <c r="NL2" s="107">
        <v>151.38</v>
      </c>
      <c r="NM2" s="107">
        <v>151.38</v>
      </c>
      <c r="NN2" s="107">
        <v>151.38</v>
      </c>
      <c r="NO2" s="107">
        <v>151.38</v>
      </c>
      <c r="NP2" s="107">
        <v>151.38</v>
      </c>
      <c r="NQ2" s="107">
        <v>151.38</v>
      </c>
      <c r="NR2" s="107">
        <v>151.38</v>
      </c>
      <c r="OK2" s="107">
        <v>151.38</v>
      </c>
      <c r="OL2" s="107">
        <v>151.38</v>
      </c>
      <c r="OM2" s="107">
        <v>151.38</v>
      </c>
      <c r="ON2" s="107">
        <v>151.38</v>
      </c>
      <c r="OO2" s="107">
        <v>151.38</v>
      </c>
      <c r="OP2" s="107">
        <v>151.38</v>
      </c>
      <c r="OQ2" s="107">
        <v>151.38</v>
      </c>
      <c r="OR2" s="107">
        <v>151.38</v>
      </c>
      <c r="OS2" s="107">
        <v>151.38</v>
      </c>
      <c r="OT2" s="107">
        <v>151.38</v>
      </c>
      <c r="OU2" s="107">
        <v>151.38</v>
      </c>
      <c r="OV2" s="107">
        <v>151.38</v>
      </c>
      <c r="OW2" s="107">
        <v>151.38</v>
      </c>
      <c r="OX2" s="107">
        <v>151.38</v>
      </c>
      <c r="OY2" s="107">
        <v>151.38</v>
      </c>
      <c r="OZ2" s="107">
        <v>151.38</v>
      </c>
      <c r="PA2" s="107">
        <v>151.38</v>
      </c>
      <c r="PB2" s="107">
        <v>151.38</v>
      </c>
      <c r="PC2" s="107">
        <v>151.38</v>
      </c>
      <c r="PD2" s="107">
        <v>151.38</v>
      </c>
      <c r="PE2" s="107">
        <v>151.38</v>
      </c>
      <c r="PF2" s="107">
        <v>151.38</v>
      </c>
      <c r="PG2" s="107">
        <v>151.38</v>
      </c>
      <c r="PH2" s="107">
        <v>151.38</v>
      </c>
      <c r="PI2" s="107">
        <v>151.38</v>
      </c>
      <c r="PJ2" s="107">
        <v>151.38</v>
      </c>
      <c r="PK2" s="107">
        <v>151.38</v>
      </c>
      <c r="PL2" s="107">
        <v>151.38</v>
      </c>
      <c r="PM2" s="107">
        <v>151.38</v>
      </c>
      <c r="PN2" s="107">
        <v>151.38</v>
      </c>
      <c r="PO2" s="107">
        <v>151.38</v>
      </c>
      <c r="PP2" s="107">
        <v>151.38</v>
      </c>
      <c r="PQ2" s="107">
        <v>151.38</v>
      </c>
      <c r="PR2" s="107">
        <v>151.38</v>
      </c>
      <c r="PS2" s="107">
        <v>151.38</v>
      </c>
      <c r="PT2" s="107">
        <v>151.38</v>
      </c>
      <c r="PU2" s="107">
        <v>151.38</v>
      </c>
      <c r="PV2" s="107">
        <v>151.38</v>
      </c>
      <c r="PW2" s="107">
        <v>151.38</v>
      </c>
      <c r="PX2" s="107">
        <v>151.38</v>
      </c>
      <c r="PY2" s="107">
        <v>151.38</v>
      </c>
      <c r="PZ2" s="107">
        <v>151.38</v>
      </c>
      <c r="QA2" s="107">
        <v>151.38</v>
      </c>
      <c r="QB2" s="107">
        <v>151.38</v>
      </c>
      <c r="QC2" s="107">
        <v>151.38</v>
      </c>
      <c r="QD2" s="107">
        <v>151.38</v>
      </c>
      <c r="QE2" s="107">
        <v>151.38</v>
      </c>
      <c r="QF2" s="107">
        <v>151.38</v>
      </c>
      <c r="QG2" s="107">
        <v>151.38</v>
      </c>
      <c r="QH2" s="107">
        <v>151.38</v>
      </c>
      <c r="QI2" s="107">
        <v>151.38</v>
      </c>
      <c r="QJ2" s="107">
        <v>151.38</v>
      </c>
      <c r="QK2" s="107">
        <v>151.38</v>
      </c>
      <c r="QL2" s="107">
        <v>151.38</v>
      </c>
      <c r="QM2" s="107">
        <v>151.38</v>
      </c>
      <c r="QN2" s="107">
        <v>151.38</v>
      </c>
      <c r="QO2" s="107">
        <v>151.38</v>
      </c>
      <c r="QP2" s="107">
        <v>151.38</v>
      </c>
      <c r="QQ2" s="107">
        <v>151.38</v>
      </c>
      <c r="QR2" s="107">
        <v>151.38</v>
      </c>
      <c r="QS2" s="107">
        <v>151.38</v>
      </c>
      <c r="QT2" s="107">
        <v>151.38</v>
      </c>
      <c r="RM2" s="107">
        <v>151.38</v>
      </c>
      <c r="RN2" s="107">
        <v>151.38</v>
      </c>
      <c r="RO2" s="107">
        <v>151.38</v>
      </c>
      <c r="RP2" s="107">
        <v>151.38</v>
      </c>
      <c r="RQ2" s="107">
        <v>151.38</v>
      </c>
      <c r="RR2" s="107">
        <v>151.38</v>
      </c>
      <c r="RS2" s="107">
        <v>151.38</v>
      </c>
      <c r="RT2" s="107">
        <v>151.38</v>
      </c>
      <c r="RU2" s="107">
        <v>151.38</v>
      </c>
      <c r="RV2" s="107">
        <v>151.38</v>
      </c>
      <c r="RW2" s="107">
        <v>151.38</v>
      </c>
      <c r="RX2" s="107">
        <v>151.38</v>
      </c>
      <c r="RY2" s="107">
        <v>151.38</v>
      </c>
      <c r="RZ2" s="107">
        <v>151.38</v>
      </c>
      <c r="SA2" s="107">
        <v>151.38</v>
      </c>
      <c r="SB2" s="107">
        <v>151.38</v>
      </c>
      <c r="SC2" s="107">
        <v>151.38</v>
      </c>
      <c r="SD2" s="107">
        <v>151.38</v>
      </c>
      <c r="SE2" s="107">
        <v>151.38</v>
      </c>
      <c r="SF2" s="107">
        <v>151.38</v>
      </c>
      <c r="SG2" s="107">
        <v>151.38</v>
      </c>
      <c r="SH2" s="107">
        <v>151.38</v>
      </c>
      <c r="SI2" s="107">
        <v>151.38</v>
      </c>
      <c r="SJ2" s="107">
        <v>151.38</v>
      </c>
      <c r="SK2" s="107">
        <v>151.38</v>
      </c>
      <c r="SL2" s="107">
        <v>151.38</v>
      </c>
      <c r="SM2" s="107">
        <v>151.38</v>
      </c>
      <c r="SN2" s="107">
        <v>151.38</v>
      </c>
      <c r="SO2" s="107">
        <v>151.38</v>
      </c>
      <c r="SP2" s="107">
        <v>151.38</v>
      </c>
      <c r="SQ2" s="107">
        <v>151.38</v>
      </c>
      <c r="SR2" s="107">
        <v>151.38</v>
      </c>
      <c r="SS2" s="107">
        <v>151.38</v>
      </c>
      <c r="ST2" s="107">
        <v>151.38</v>
      </c>
      <c r="SU2" s="107">
        <v>151.38</v>
      </c>
      <c r="SV2" s="107">
        <v>151.38</v>
      </c>
      <c r="SW2" s="107">
        <v>151.38</v>
      </c>
      <c r="SX2" s="107">
        <v>151.38</v>
      </c>
      <c r="SY2" s="107">
        <v>151.38</v>
      </c>
      <c r="SZ2" s="107">
        <v>151.38</v>
      </c>
      <c r="TA2" s="107">
        <v>151.38</v>
      </c>
      <c r="TB2" s="107">
        <v>151.38</v>
      </c>
      <c r="TC2" s="107">
        <v>151.38</v>
      </c>
      <c r="TD2" s="107">
        <v>151.38</v>
      </c>
      <c r="TE2" s="107">
        <v>151.38</v>
      </c>
      <c r="TF2" s="107">
        <v>151.38</v>
      </c>
      <c r="TG2" s="107">
        <v>151.38</v>
      </c>
      <c r="TH2" s="107">
        <v>151.38</v>
      </c>
      <c r="TI2" s="107">
        <v>151.38</v>
      </c>
      <c r="TJ2" s="107">
        <v>151.38</v>
      </c>
      <c r="TK2" s="107">
        <v>151.38</v>
      </c>
      <c r="TL2" s="107">
        <v>151.38</v>
      </c>
      <c r="TM2" s="107">
        <v>151.38</v>
      </c>
      <c r="TN2" s="107">
        <v>151.38</v>
      </c>
      <c r="TO2" s="107">
        <v>151.38</v>
      </c>
      <c r="TP2" s="107">
        <v>151.38</v>
      </c>
      <c r="TQ2" s="107">
        <v>151.38</v>
      </c>
      <c r="TR2" s="107">
        <v>151.38</v>
      </c>
      <c r="TS2" s="107">
        <v>151.38</v>
      </c>
      <c r="TT2" s="107">
        <v>151.38</v>
      </c>
      <c r="TU2" s="107">
        <v>151.38</v>
      </c>
      <c r="TV2" s="107">
        <v>151.38</v>
      </c>
      <c r="UO2" s="107">
        <v>151.38</v>
      </c>
      <c r="UP2" s="107">
        <v>151.38</v>
      </c>
      <c r="UQ2" s="107">
        <v>151.38</v>
      </c>
      <c r="UR2" s="107">
        <v>151.38</v>
      </c>
      <c r="US2" s="107">
        <v>151.38</v>
      </c>
      <c r="UT2" s="107">
        <v>151.38</v>
      </c>
      <c r="UU2" s="107">
        <v>151.38</v>
      </c>
      <c r="UV2" s="107">
        <v>151.38</v>
      </c>
      <c r="UW2" s="107">
        <v>151.38</v>
      </c>
      <c r="UX2" s="107">
        <v>151.38</v>
      </c>
      <c r="UY2" s="107">
        <v>151.38</v>
      </c>
      <c r="UZ2" s="107">
        <v>151.38</v>
      </c>
      <c r="VA2" s="107">
        <v>151.38</v>
      </c>
      <c r="VB2" s="107">
        <v>151.38</v>
      </c>
      <c r="VC2" s="107">
        <v>151.38</v>
      </c>
      <c r="VD2" s="107">
        <v>151.38</v>
      </c>
      <c r="VE2" s="107">
        <v>151.38</v>
      </c>
      <c r="VF2" s="107">
        <v>151.38</v>
      </c>
      <c r="VG2" s="107">
        <v>151.38</v>
      </c>
      <c r="VH2" s="107">
        <v>151.38</v>
      </c>
      <c r="VI2" s="107">
        <v>151.38</v>
      </c>
      <c r="VJ2" s="107">
        <v>151.38</v>
      </c>
      <c r="VK2" s="107">
        <v>151.38</v>
      </c>
      <c r="VL2" s="107">
        <v>151.38</v>
      </c>
      <c r="VM2" s="107">
        <v>151.38</v>
      </c>
      <c r="VN2" s="107">
        <v>151.38</v>
      </c>
      <c r="VO2" s="107">
        <v>151.38</v>
      </c>
      <c r="VP2" s="107">
        <v>151.38</v>
      </c>
      <c r="VQ2" s="107">
        <v>151.38</v>
      </c>
      <c r="VR2" s="107">
        <v>151.38</v>
      </c>
      <c r="VS2" s="107">
        <v>151.38</v>
      </c>
      <c r="VT2" s="107">
        <v>151.38</v>
      </c>
      <c r="VU2" s="107">
        <v>151.38</v>
      </c>
      <c r="VV2" s="107">
        <v>151.38</v>
      </c>
      <c r="VW2" s="107">
        <v>151.38</v>
      </c>
      <c r="VX2" s="107">
        <v>151.38</v>
      </c>
      <c r="VY2" s="107">
        <v>151.38</v>
      </c>
      <c r="VZ2" s="107">
        <v>151.38</v>
      </c>
      <c r="WA2" s="107">
        <v>151.38</v>
      </c>
      <c r="WB2" s="107">
        <v>151.38</v>
      </c>
      <c r="WC2" s="107">
        <v>151.38</v>
      </c>
      <c r="WD2" s="107">
        <v>151.38</v>
      </c>
      <c r="WE2" s="107">
        <v>151.38</v>
      </c>
      <c r="WF2" s="107">
        <v>151.38</v>
      </c>
      <c r="WG2" s="107">
        <v>151.38</v>
      </c>
      <c r="WH2" s="107">
        <v>151.38</v>
      </c>
      <c r="WI2" s="107">
        <v>151.38</v>
      </c>
      <c r="WJ2" s="107">
        <v>151.38</v>
      </c>
      <c r="WK2" s="107">
        <v>151.38</v>
      </c>
      <c r="WL2" s="107">
        <v>151.38</v>
      </c>
      <c r="WM2" s="107">
        <v>151.38</v>
      </c>
      <c r="WN2" s="107">
        <v>151.38</v>
      </c>
      <c r="WO2" s="107">
        <v>151.38</v>
      </c>
      <c r="WP2" s="107">
        <v>151.38</v>
      </c>
      <c r="WQ2" s="107">
        <v>151.38</v>
      </c>
      <c r="WR2" s="107">
        <v>151.38</v>
      </c>
      <c r="WS2" s="107">
        <v>151.38</v>
      </c>
      <c r="WT2" s="107">
        <v>151.38</v>
      </c>
      <c r="WU2" s="107">
        <v>151.38</v>
      </c>
      <c r="WV2" s="107">
        <v>151.38</v>
      </c>
      <c r="WW2" s="107">
        <v>151.38</v>
      </c>
      <c r="XQ2" s="107">
        <v>151.38</v>
      </c>
      <c r="XR2" s="107">
        <v>151.38</v>
      </c>
      <c r="XS2" s="107">
        <v>151.38</v>
      </c>
      <c r="XT2" s="107">
        <v>151.38</v>
      </c>
      <c r="XU2" s="107">
        <v>151.38</v>
      </c>
      <c r="XV2" s="107">
        <v>151.38</v>
      </c>
      <c r="XW2" s="107">
        <v>151.38</v>
      </c>
      <c r="XX2" s="107">
        <v>151.38</v>
      </c>
      <c r="XY2" s="107">
        <v>151.38</v>
      </c>
      <c r="XZ2" s="107">
        <v>151.38</v>
      </c>
      <c r="YA2" s="107">
        <v>151.38</v>
      </c>
      <c r="YB2" s="107">
        <v>151.38</v>
      </c>
      <c r="YC2" s="107">
        <v>151.38</v>
      </c>
      <c r="YD2" s="107">
        <v>151.38</v>
      </c>
      <c r="YE2" s="107">
        <v>151.38</v>
      </c>
      <c r="YF2" s="107">
        <v>151.38</v>
      </c>
      <c r="YG2" s="107">
        <v>151.38</v>
      </c>
      <c r="YH2" s="107">
        <v>151.38</v>
      </c>
      <c r="YI2" s="107">
        <v>151.38</v>
      </c>
      <c r="YJ2" s="107">
        <v>151.38</v>
      </c>
      <c r="YK2" s="107">
        <v>151.38</v>
      </c>
      <c r="YL2" s="107">
        <v>151.38</v>
      </c>
      <c r="YM2" s="107">
        <v>151.38</v>
      </c>
      <c r="YN2" s="107">
        <v>151.38</v>
      </c>
      <c r="YO2" s="107">
        <v>151.38</v>
      </c>
      <c r="YP2" s="107">
        <v>151.38</v>
      </c>
      <c r="YQ2" s="107">
        <v>151.38</v>
      </c>
      <c r="YR2" s="107">
        <v>151.38</v>
      </c>
      <c r="YS2" s="107">
        <v>151.38</v>
      </c>
      <c r="YT2" s="107">
        <v>151.38</v>
      </c>
      <c r="YU2" s="107">
        <v>151.38</v>
      </c>
      <c r="YV2" s="107">
        <v>151.38</v>
      </c>
      <c r="YW2" s="107">
        <v>151.38</v>
      </c>
      <c r="YX2" s="107">
        <v>151.38</v>
      </c>
      <c r="YY2" s="107">
        <v>151.38</v>
      </c>
      <c r="YZ2" s="107">
        <v>151.38</v>
      </c>
      <c r="ZA2" s="107">
        <v>151.38</v>
      </c>
      <c r="ZB2" s="107">
        <v>151.38</v>
      </c>
      <c r="ZC2" s="107">
        <v>151.38</v>
      </c>
      <c r="ZD2" s="107">
        <v>151.38</v>
      </c>
      <c r="ZE2" s="107">
        <v>151.38</v>
      </c>
      <c r="ZF2" s="107">
        <v>151.38</v>
      </c>
      <c r="ZG2" s="107">
        <v>151.38</v>
      </c>
      <c r="ZH2" s="107">
        <v>151.38</v>
      </c>
      <c r="ZI2" s="107">
        <v>151.38</v>
      </c>
      <c r="ZJ2" s="107">
        <v>151.38</v>
      </c>
      <c r="ZK2" s="107">
        <v>151.38</v>
      </c>
      <c r="ZL2" s="107">
        <v>151.38</v>
      </c>
      <c r="ZM2" s="107">
        <v>151.38</v>
      </c>
      <c r="ZN2" s="107">
        <v>151.38</v>
      </c>
      <c r="ZO2" s="107">
        <v>151.38</v>
      </c>
      <c r="ZP2" s="107">
        <v>151.38</v>
      </c>
      <c r="ZQ2" s="107">
        <v>151.38</v>
      </c>
      <c r="ZR2" s="107">
        <v>151.38</v>
      </c>
      <c r="ZS2" s="107">
        <v>151.38</v>
      </c>
      <c r="ZT2" s="107">
        <v>151.38</v>
      </c>
      <c r="ZU2" s="107">
        <v>151.38</v>
      </c>
      <c r="ZV2" s="107">
        <v>151.38</v>
      </c>
      <c r="ZW2" s="107">
        <v>151.38</v>
      </c>
      <c r="AAS2" s="107">
        <v>151.38</v>
      </c>
      <c r="AAT2" s="107">
        <v>151.38</v>
      </c>
      <c r="AAU2" s="107">
        <v>151.38</v>
      </c>
      <c r="AAV2" s="107">
        <v>151.38</v>
      </c>
      <c r="AAW2" s="107">
        <v>151.38</v>
      </c>
      <c r="AAX2" s="107">
        <v>151.38</v>
      </c>
      <c r="AAY2" s="107">
        <v>151.38</v>
      </c>
      <c r="AAZ2" s="107">
        <v>151.38</v>
      </c>
      <c r="ABA2" s="107">
        <v>151.38</v>
      </c>
      <c r="ABB2" s="107">
        <v>151.38</v>
      </c>
      <c r="ABC2" s="107">
        <v>151.38</v>
      </c>
      <c r="ABD2" s="107">
        <v>151.38</v>
      </c>
      <c r="ABE2" s="107">
        <v>151.38</v>
      </c>
      <c r="ABF2" s="107">
        <v>151.38</v>
      </c>
      <c r="ABG2" s="107">
        <v>151.38</v>
      </c>
      <c r="ABH2" s="107">
        <v>151.38</v>
      </c>
      <c r="ABI2" s="107">
        <v>151.38</v>
      </c>
      <c r="ABJ2" s="107">
        <v>151.38</v>
      </c>
      <c r="ABK2" s="107">
        <v>151.38</v>
      </c>
      <c r="ABL2" s="107">
        <v>151.38</v>
      </c>
      <c r="ABM2" s="107">
        <v>151.38</v>
      </c>
      <c r="ABN2" s="107">
        <v>151.38</v>
      </c>
      <c r="ABO2" s="107">
        <v>151.38</v>
      </c>
      <c r="ABP2" s="107">
        <v>151.38</v>
      </c>
      <c r="ABQ2" s="107">
        <v>151.38</v>
      </c>
      <c r="ABR2" s="107">
        <v>151.38</v>
      </c>
      <c r="ABS2" s="107">
        <v>151.38</v>
      </c>
      <c r="ABT2" s="107">
        <v>151.38</v>
      </c>
      <c r="ABU2" s="107">
        <v>151.38</v>
      </c>
      <c r="ABV2" s="107">
        <v>151.38</v>
      </c>
      <c r="ABW2" s="107">
        <v>151.38</v>
      </c>
      <c r="ABX2" s="107">
        <v>151.38</v>
      </c>
      <c r="ABY2" s="107">
        <v>151.38</v>
      </c>
      <c r="ABZ2" s="107">
        <v>151.38</v>
      </c>
      <c r="ACA2" s="107">
        <v>151.38</v>
      </c>
      <c r="ACB2" s="107">
        <v>151.38</v>
      </c>
      <c r="ACC2" s="107">
        <v>151.38</v>
      </c>
      <c r="ACD2" s="107">
        <v>151.38</v>
      </c>
      <c r="ACE2" s="107">
        <v>151.38</v>
      </c>
      <c r="ACF2" s="107">
        <v>151.38</v>
      </c>
      <c r="ACG2" s="107">
        <v>151.38</v>
      </c>
      <c r="ACH2" s="107">
        <v>151.38</v>
      </c>
      <c r="ACI2" s="107">
        <v>151.38</v>
      </c>
      <c r="ACJ2" s="107">
        <v>151.38</v>
      </c>
      <c r="ACK2" s="107">
        <v>151.38</v>
      </c>
      <c r="ACL2" s="107">
        <v>151.38</v>
      </c>
      <c r="ACM2" s="107">
        <v>151.38</v>
      </c>
      <c r="ACN2" s="107">
        <v>151.38</v>
      </c>
      <c r="ACO2" s="107">
        <v>151.38</v>
      </c>
      <c r="ACP2" s="107">
        <v>151.38</v>
      </c>
      <c r="ACQ2" s="107">
        <v>151.38</v>
      </c>
      <c r="ACR2" s="107">
        <v>151.38</v>
      </c>
      <c r="ACS2" s="107">
        <v>151.38</v>
      </c>
      <c r="ACT2" s="107">
        <v>151.38</v>
      </c>
      <c r="ACU2" s="107">
        <v>151.38</v>
      </c>
      <c r="ACV2" s="107">
        <v>151.38</v>
      </c>
      <c r="ACW2" s="107">
        <v>151.38</v>
      </c>
      <c r="ACX2" s="107">
        <v>151.38</v>
      </c>
      <c r="ADU2" s="107">
        <v>151.38</v>
      </c>
      <c r="ADV2" s="107">
        <v>151.38</v>
      </c>
      <c r="ADW2" s="107">
        <v>151.38</v>
      </c>
      <c r="ADX2" s="107">
        <v>151.38</v>
      </c>
      <c r="ADY2" s="107">
        <v>151.38</v>
      </c>
      <c r="ADZ2" s="107">
        <v>151.38</v>
      </c>
      <c r="AEA2" s="107">
        <v>151.38</v>
      </c>
      <c r="AEB2" s="107">
        <v>151.38</v>
      </c>
      <c r="AEC2" s="107">
        <v>151.38</v>
      </c>
      <c r="AED2" s="107">
        <v>151.38</v>
      </c>
      <c r="AEE2" s="107">
        <v>151.38</v>
      </c>
      <c r="AEF2" s="107">
        <v>151.38</v>
      </c>
      <c r="AEG2" s="107">
        <v>151.38</v>
      </c>
      <c r="AEH2" s="107">
        <v>151.38</v>
      </c>
      <c r="AEI2" s="107">
        <v>151.38</v>
      </c>
      <c r="AEJ2" s="107">
        <v>151.38</v>
      </c>
      <c r="AEK2" s="107">
        <v>151.38</v>
      </c>
      <c r="AEL2" s="107">
        <v>151.38</v>
      </c>
      <c r="AEM2" s="107">
        <v>151.38</v>
      </c>
      <c r="AEN2" s="107">
        <v>151.38</v>
      </c>
      <c r="AEO2" s="107">
        <v>151.38</v>
      </c>
      <c r="AEP2" s="107">
        <v>151.38</v>
      </c>
      <c r="AEQ2" s="107">
        <v>151.38</v>
      </c>
      <c r="AER2" s="107">
        <v>151.38</v>
      </c>
      <c r="AES2" s="107">
        <v>151.38</v>
      </c>
      <c r="AET2" s="107">
        <v>151.38</v>
      </c>
      <c r="AEU2" s="107">
        <v>151.38</v>
      </c>
      <c r="AEV2" s="107">
        <v>151.38</v>
      </c>
      <c r="AEW2" s="107">
        <v>151.38</v>
      </c>
      <c r="AEX2" s="107">
        <v>151.38</v>
      </c>
      <c r="AEY2" s="107">
        <v>151.38</v>
      </c>
      <c r="AEZ2" s="107">
        <v>151.38</v>
      </c>
      <c r="AFA2" s="107">
        <v>151.38</v>
      </c>
      <c r="AFB2" s="107">
        <v>151.38</v>
      </c>
      <c r="AFC2" s="107">
        <v>151.38</v>
      </c>
      <c r="AFD2" s="107">
        <v>151.38</v>
      </c>
      <c r="AFE2" s="107">
        <v>151.38</v>
      </c>
      <c r="AFF2" s="107">
        <v>151.38</v>
      </c>
      <c r="AFG2" s="107">
        <v>151.38</v>
      </c>
      <c r="AFH2" s="107">
        <v>151.38</v>
      </c>
      <c r="AFI2" s="107">
        <v>151.38</v>
      </c>
      <c r="AFJ2" s="107">
        <v>151.38</v>
      </c>
      <c r="AFK2" s="107">
        <v>151.38</v>
      </c>
      <c r="AFL2" s="107">
        <v>151.38</v>
      </c>
      <c r="AFM2" s="107">
        <v>151.38</v>
      </c>
      <c r="AFN2" s="107">
        <v>151.38</v>
      </c>
      <c r="AFO2" s="107">
        <v>151.38</v>
      </c>
      <c r="AFP2" s="107">
        <v>151.38</v>
      </c>
      <c r="AFQ2" s="107">
        <v>151.38</v>
      </c>
      <c r="AFR2" s="107">
        <v>151.38</v>
      </c>
      <c r="AFS2" s="107">
        <v>151.38</v>
      </c>
      <c r="AFT2" s="107">
        <v>151.38</v>
      </c>
      <c r="AFU2" s="107">
        <v>151.38</v>
      </c>
      <c r="AFV2" s="107">
        <v>151.38</v>
      </c>
      <c r="AFW2" s="107">
        <v>151.38</v>
      </c>
      <c r="AFX2" s="107">
        <v>151.38</v>
      </c>
      <c r="AFY2" s="107">
        <v>151.38</v>
      </c>
      <c r="AGW2" s="107">
        <v>151.38</v>
      </c>
      <c r="AGX2" s="107">
        <v>151.38</v>
      </c>
      <c r="AGY2" s="107">
        <v>151.38</v>
      </c>
      <c r="AGZ2" s="107">
        <v>151.38</v>
      </c>
      <c r="AHA2" s="107">
        <v>151.38</v>
      </c>
      <c r="AHB2" s="107">
        <v>151.38</v>
      </c>
      <c r="AHC2" s="107">
        <v>151.38</v>
      </c>
      <c r="AHD2" s="107">
        <v>151.38</v>
      </c>
      <c r="AHE2" s="107">
        <v>151.38</v>
      </c>
      <c r="AHF2" s="107">
        <v>151.38</v>
      </c>
      <c r="AHG2" s="107">
        <v>151.38</v>
      </c>
      <c r="AHH2" s="107">
        <v>151.38</v>
      </c>
      <c r="AHI2" s="107">
        <v>151.38</v>
      </c>
      <c r="AHJ2" s="107">
        <v>151.38</v>
      </c>
      <c r="AHK2" s="107">
        <v>151.38</v>
      </c>
      <c r="AHL2" s="107">
        <v>151.38</v>
      </c>
      <c r="AHM2" s="107">
        <v>151.38</v>
      </c>
      <c r="AHN2" s="107">
        <v>151.38</v>
      </c>
      <c r="AHO2" s="107">
        <v>151.38</v>
      </c>
      <c r="AHP2" s="107">
        <v>151.38</v>
      </c>
      <c r="AHQ2" s="107">
        <v>151.38</v>
      </c>
      <c r="AHR2" s="107">
        <v>151.38</v>
      </c>
      <c r="AHS2" s="107">
        <v>151.38</v>
      </c>
      <c r="AHT2" s="107">
        <v>151.38</v>
      </c>
      <c r="AHU2" s="107">
        <v>151.38</v>
      </c>
      <c r="AHV2" s="107">
        <v>151.38</v>
      </c>
      <c r="AHW2" s="107">
        <v>151.38</v>
      </c>
      <c r="AHX2" s="107">
        <v>151.38</v>
      </c>
      <c r="AHY2" s="107">
        <v>151.38</v>
      </c>
      <c r="AHZ2" s="107">
        <v>151.38</v>
      </c>
      <c r="AIA2" s="107">
        <v>151.38</v>
      </c>
      <c r="AIB2" s="107">
        <v>151.38</v>
      </c>
      <c r="AIC2" s="107">
        <v>151.38</v>
      </c>
      <c r="AID2" s="107">
        <v>151.38</v>
      </c>
      <c r="AIE2" s="107">
        <v>151.38</v>
      </c>
      <c r="AIF2" s="107">
        <v>151.38</v>
      </c>
      <c r="AIG2" s="107">
        <v>151.38</v>
      </c>
      <c r="AIH2" s="107">
        <v>151.38</v>
      </c>
      <c r="AII2" s="107">
        <v>151.38</v>
      </c>
      <c r="AIJ2" s="107">
        <v>151.38</v>
      </c>
      <c r="AIK2" s="107">
        <v>151.38</v>
      </c>
      <c r="AIL2" s="107">
        <v>151.38</v>
      </c>
      <c r="AIM2" s="107">
        <v>151.38</v>
      </c>
      <c r="AIN2" s="107">
        <v>151.38</v>
      </c>
      <c r="AIO2" s="107">
        <v>151.38</v>
      </c>
      <c r="AIP2" s="107">
        <v>151.38</v>
      </c>
      <c r="AIQ2" s="107">
        <v>151.38</v>
      </c>
      <c r="AIR2" s="107">
        <v>151.38</v>
      </c>
      <c r="AIS2" s="107">
        <v>151.38</v>
      </c>
      <c r="AIT2" s="107">
        <v>151.38</v>
      </c>
      <c r="AIU2" s="107">
        <v>151.38</v>
      </c>
      <c r="AIV2" s="107">
        <v>151.38</v>
      </c>
      <c r="AIW2" s="107">
        <v>151.38</v>
      </c>
      <c r="AIX2" s="107">
        <v>151.38</v>
      </c>
      <c r="AIY2" s="107">
        <v>151.38</v>
      </c>
      <c r="AIZ2" s="107">
        <v>151.38</v>
      </c>
      <c r="AJY2" t="s">
        <v>3</v>
      </c>
    </row>
    <row r="3" spans="1:961">
      <c r="A3" s="107">
        <v>138.4</v>
      </c>
      <c r="B3" s="107">
        <v>138.4</v>
      </c>
      <c r="C3" s="107">
        <v>138.4</v>
      </c>
      <c r="D3" s="107">
        <v>138.4</v>
      </c>
      <c r="E3" s="107">
        <v>138.4</v>
      </c>
      <c r="F3" s="107">
        <v>138.4</v>
      </c>
      <c r="G3" s="107">
        <v>138.4</v>
      </c>
      <c r="H3" s="107">
        <v>138.4</v>
      </c>
      <c r="I3" s="107">
        <v>138.4</v>
      </c>
      <c r="J3" s="107">
        <v>138.4</v>
      </c>
      <c r="K3" s="107">
        <v>138.4</v>
      </c>
      <c r="L3" s="107">
        <v>138.4</v>
      </c>
      <c r="M3" s="107">
        <v>138.4</v>
      </c>
      <c r="N3" s="107">
        <v>138.4</v>
      </c>
      <c r="O3" s="107">
        <v>138.4</v>
      </c>
      <c r="P3" s="107">
        <v>138.4</v>
      </c>
      <c r="Q3" s="107">
        <v>138.4</v>
      </c>
      <c r="R3" s="107">
        <v>138.4</v>
      </c>
      <c r="S3" s="107">
        <v>138.4</v>
      </c>
      <c r="T3" s="107">
        <v>138.4</v>
      </c>
      <c r="U3" s="107">
        <v>138.4</v>
      </c>
      <c r="V3" s="107">
        <v>138.4</v>
      </c>
      <c r="W3" s="107">
        <v>138.4</v>
      </c>
      <c r="X3" s="107">
        <v>138.4</v>
      </c>
      <c r="Y3" s="107">
        <v>138.4</v>
      </c>
      <c r="Z3" s="107">
        <v>138.4</v>
      </c>
      <c r="AA3" s="107">
        <v>138.4</v>
      </c>
      <c r="AB3" s="107">
        <v>138.4</v>
      </c>
      <c r="AC3" s="107">
        <v>138.4</v>
      </c>
      <c r="AD3" s="107">
        <v>138.4</v>
      </c>
      <c r="AE3" s="107">
        <v>138.4</v>
      </c>
      <c r="AF3" s="107">
        <v>138.4</v>
      </c>
      <c r="AG3" s="107">
        <v>138.4</v>
      </c>
      <c r="AH3" s="107">
        <v>138.4</v>
      </c>
      <c r="AI3" s="107">
        <v>138.4</v>
      </c>
      <c r="AJ3" s="107">
        <v>138.4</v>
      </c>
      <c r="AK3" s="107">
        <v>138.4</v>
      </c>
      <c r="AL3" s="107">
        <v>138.4</v>
      </c>
      <c r="AM3" s="107">
        <v>138.4</v>
      </c>
      <c r="AN3" s="107">
        <v>138.4</v>
      </c>
      <c r="AO3" s="107">
        <v>138.4</v>
      </c>
      <c r="AP3" s="107">
        <v>138.4</v>
      </c>
      <c r="AQ3" s="107">
        <v>138.4</v>
      </c>
      <c r="AR3" s="107">
        <v>138.4</v>
      </c>
      <c r="AS3" s="107">
        <v>138.4</v>
      </c>
      <c r="AT3" s="107">
        <v>138.4</v>
      </c>
      <c r="AU3" s="107">
        <v>138.4</v>
      </c>
      <c r="AV3" s="107">
        <v>138.4</v>
      </c>
      <c r="AW3" s="107">
        <v>138.4</v>
      </c>
      <c r="AX3" s="107">
        <v>138.4</v>
      </c>
      <c r="AY3" s="107">
        <v>138.4</v>
      </c>
      <c r="AZ3" s="107">
        <v>138.4</v>
      </c>
      <c r="CC3" s="107">
        <v>138.4</v>
      </c>
      <c r="CD3" s="107">
        <v>138.4</v>
      </c>
      <c r="CE3" s="107">
        <v>138.4</v>
      </c>
      <c r="CF3" s="107">
        <v>138.4</v>
      </c>
      <c r="CG3" s="107">
        <v>138.4</v>
      </c>
      <c r="CH3" s="107">
        <v>138.4</v>
      </c>
      <c r="CI3" s="107">
        <v>138.4</v>
      </c>
      <c r="CJ3" s="107">
        <v>138.4</v>
      </c>
      <c r="CK3" s="107">
        <v>138.4</v>
      </c>
      <c r="CL3" s="107">
        <v>138.4</v>
      </c>
      <c r="CM3" s="107">
        <v>138.4</v>
      </c>
      <c r="CN3" s="107">
        <v>138.4</v>
      </c>
      <c r="CO3" s="107">
        <v>138.4</v>
      </c>
      <c r="CP3" s="107">
        <v>138.4</v>
      </c>
      <c r="CQ3" s="107">
        <v>138.4</v>
      </c>
      <c r="CR3" s="107">
        <v>138.4</v>
      </c>
      <c r="CS3" s="107">
        <v>138.4</v>
      </c>
      <c r="CT3" s="107">
        <v>138.4</v>
      </c>
      <c r="CU3" s="107">
        <v>138.4</v>
      </c>
      <c r="CV3" s="107">
        <v>138.4</v>
      </c>
      <c r="CW3" s="107">
        <v>138.4</v>
      </c>
      <c r="CX3" s="107">
        <v>138.4</v>
      </c>
      <c r="CY3" s="107">
        <v>138.4</v>
      </c>
      <c r="CZ3" s="107">
        <v>138.4</v>
      </c>
      <c r="DA3" s="107">
        <v>138.4</v>
      </c>
      <c r="DB3" s="107">
        <v>138.4</v>
      </c>
      <c r="DC3" s="107">
        <v>138.4</v>
      </c>
      <c r="DD3" s="107">
        <v>138.4</v>
      </c>
      <c r="DE3" s="107">
        <v>138.4</v>
      </c>
      <c r="DF3" s="107">
        <v>138.4</v>
      </c>
      <c r="DG3" s="107">
        <v>138.4</v>
      </c>
      <c r="DH3" s="107">
        <v>138.4</v>
      </c>
      <c r="DI3" s="107">
        <v>138.4</v>
      </c>
      <c r="DJ3" s="107">
        <v>138.4</v>
      </c>
      <c r="DK3" s="107">
        <v>138.4</v>
      </c>
      <c r="DL3" s="107">
        <v>138.4</v>
      </c>
      <c r="DM3" s="107">
        <v>138.4</v>
      </c>
      <c r="DN3" s="107">
        <v>138.4</v>
      </c>
      <c r="DO3" s="107">
        <v>138.4</v>
      </c>
      <c r="DP3" s="107">
        <v>138.4</v>
      </c>
      <c r="DQ3" s="107">
        <v>138.4</v>
      </c>
      <c r="DR3" s="107">
        <v>138.4</v>
      </c>
      <c r="DS3" s="107">
        <v>138.4</v>
      </c>
      <c r="DT3" s="107">
        <v>138.4</v>
      </c>
      <c r="DU3" s="107">
        <v>138.4</v>
      </c>
      <c r="DV3" s="107">
        <v>138.4</v>
      </c>
      <c r="DW3" s="107">
        <v>138.4</v>
      </c>
      <c r="DX3" s="107">
        <v>138.4</v>
      </c>
      <c r="DY3" s="107">
        <v>138.4</v>
      </c>
      <c r="DZ3" s="107">
        <v>138.4</v>
      </c>
      <c r="EA3" s="107">
        <v>138.4</v>
      </c>
      <c r="EB3" s="107">
        <v>138.4</v>
      </c>
      <c r="EC3" s="107">
        <v>138.4</v>
      </c>
      <c r="ED3" s="107">
        <v>138.4</v>
      </c>
      <c r="EE3" s="107">
        <v>138.4</v>
      </c>
      <c r="EF3" s="107">
        <v>138.4</v>
      </c>
      <c r="EG3" s="107">
        <v>138.4</v>
      </c>
      <c r="EH3" s="107">
        <v>138.4</v>
      </c>
      <c r="EI3" s="107">
        <v>138.4</v>
      </c>
      <c r="FE3" s="107">
        <v>138.4</v>
      </c>
      <c r="FF3" s="107">
        <v>138.4</v>
      </c>
      <c r="FG3" s="107">
        <v>138.4</v>
      </c>
      <c r="FH3" s="107">
        <v>138.4</v>
      </c>
      <c r="FI3" s="107">
        <v>138.4</v>
      </c>
      <c r="FJ3" s="107">
        <v>138.4</v>
      </c>
      <c r="FK3" s="107">
        <v>138.4</v>
      </c>
      <c r="FL3" s="107">
        <v>138.4</v>
      </c>
      <c r="FM3" s="107">
        <v>138.4</v>
      </c>
      <c r="FN3" s="107">
        <v>138.4</v>
      </c>
      <c r="FO3" s="107">
        <v>138.4</v>
      </c>
      <c r="FP3" s="107">
        <v>138.4</v>
      </c>
      <c r="FQ3" s="107">
        <v>138.4</v>
      </c>
      <c r="FR3" s="107">
        <v>138.4</v>
      </c>
      <c r="FS3" s="107">
        <v>138.4</v>
      </c>
      <c r="FT3" s="107">
        <v>138.4</v>
      </c>
      <c r="FU3" s="107">
        <v>138.4</v>
      </c>
      <c r="FV3" s="107">
        <v>138.4</v>
      </c>
      <c r="FW3" s="107">
        <v>138.4</v>
      </c>
      <c r="FX3" s="107">
        <v>138.4</v>
      </c>
      <c r="FY3" s="107">
        <v>138.4</v>
      </c>
      <c r="FZ3" s="107">
        <v>138.4</v>
      </c>
      <c r="GA3" s="107">
        <v>138.4</v>
      </c>
      <c r="GB3" s="107">
        <v>138.4</v>
      </c>
      <c r="GC3" s="107">
        <v>138.4</v>
      </c>
      <c r="GD3" s="107">
        <v>138.4</v>
      </c>
      <c r="GE3" s="107">
        <v>138.4</v>
      </c>
      <c r="GF3" s="107">
        <v>138.4</v>
      </c>
      <c r="GG3" s="107">
        <v>138.4</v>
      </c>
      <c r="GH3" s="107">
        <v>138.4</v>
      </c>
      <c r="GI3" s="107">
        <v>138.4</v>
      </c>
      <c r="GJ3" s="107">
        <v>138.4</v>
      </c>
      <c r="GK3" s="107">
        <v>138.4</v>
      </c>
      <c r="GL3" s="107">
        <v>138.4</v>
      </c>
      <c r="GM3" s="107">
        <v>138.4</v>
      </c>
      <c r="GN3" s="107">
        <v>138.4</v>
      </c>
      <c r="GO3" s="107">
        <v>138.4</v>
      </c>
      <c r="GP3" s="107">
        <v>138.4</v>
      </c>
      <c r="GQ3" s="107">
        <v>138.4</v>
      </c>
      <c r="GR3" s="107">
        <v>138.4</v>
      </c>
      <c r="GS3" s="107">
        <v>138.4</v>
      </c>
      <c r="GT3" s="107">
        <v>138.4</v>
      </c>
      <c r="GU3" s="107">
        <v>138.4</v>
      </c>
      <c r="GV3" s="107">
        <v>138.4</v>
      </c>
      <c r="GW3" s="107">
        <v>138.4</v>
      </c>
      <c r="GX3" s="107">
        <v>138.4</v>
      </c>
      <c r="GY3" s="107">
        <v>138.4</v>
      </c>
      <c r="GZ3" s="107">
        <v>138.4</v>
      </c>
      <c r="HA3" s="107">
        <v>138.4</v>
      </c>
      <c r="HB3" s="107">
        <v>138.4</v>
      </c>
      <c r="HC3" s="107">
        <v>138.4</v>
      </c>
      <c r="HD3" s="107">
        <v>138.4</v>
      </c>
      <c r="HE3" s="107">
        <v>138.4</v>
      </c>
      <c r="HF3" s="107">
        <v>138.4</v>
      </c>
      <c r="HG3" s="107">
        <v>138.4</v>
      </c>
      <c r="HH3" s="107">
        <v>138.4</v>
      </c>
      <c r="HI3" s="107">
        <v>138.4</v>
      </c>
      <c r="HJ3" s="107">
        <v>138.4</v>
      </c>
      <c r="HK3" s="107">
        <v>138.4</v>
      </c>
      <c r="HL3" s="107">
        <v>138.4</v>
      </c>
      <c r="IG3" s="107">
        <v>138.4</v>
      </c>
      <c r="IH3" s="107">
        <v>138.4</v>
      </c>
      <c r="II3" s="107">
        <v>138.4</v>
      </c>
      <c r="IJ3" s="107">
        <v>138.4</v>
      </c>
      <c r="IK3" s="107">
        <v>138.4</v>
      </c>
      <c r="IL3" s="107">
        <v>138.4</v>
      </c>
      <c r="IM3" s="107">
        <v>138.4</v>
      </c>
      <c r="IN3" s="107">
        <v>138.4</v>
      </c>
      <c r="IO3" s="107">
        <v>138.4</v>
      </c>
      <c r="IP3" s="107">
        <v>138.4</v>
      </c>
      <c r="IQ3" s="107">
        <v>138.4</v>
      </c>
      <c r="IR3" s="107">
        <v>138.4</v>
      </c>
      <c r="IS3" s="107">
        <v>138.4</v>
      </c>
      <c r="IT3" s="107">
        <v>138.4</v>
      </c>
      <c r="IU3" s="107">
        <v>138.4</v>
      </c>
      <c r="IV3" s="107">
        <v>138.4</v>
      </c>
      <c r="IW3" s="107">
        <v>138.4</v>
      </c>
      <c r="IX3" s="107">
        <v>138.4</v>
      </c>
      <c r="IY3" s="107">
        <v>138.4</v>
      </c>
      <c r="IZ3" s="107">
        <v>138.4</v>
      </c>
      <c r="JA3" s="107">
        <v>138.4</v>
      </c>
      <c r="JB3" s="107">
        <v>138.4</v>
      </c>
      <c r="JC3" s="107">
        <v>138.4</v>
      </c>
      <c r="JD3" s="107">
        <v>138.4</v>
      </c>
      <c r="JE3" s="107">
        <v>138.4</v>
      </c>
      <c r="JF3" s="107">
        <v>138.4</v>
      </c>
      <c r="JG3" s="107">
        <v>138.4</v>
      </c>
      <c r="JH3" s="107">
        <v>138.4</v>
      </c>
      <c r="JI3" s="107">
        <v>138.4</v>
      </c>
      <c r="JJ3" s="107">
        <v>138.4</v>
      </c>
      <c r="JK3" s="107">
        <v>138.4</v>
      </c>
      <c r="JL3" s="107">
        <v>138.4</v>
      </c>
      <c r="JM3" s="107">
        <v>138.4</v>
      </c>
      <c r="JN3" s="107">
        <v>138.4</v>
      </c>
      <c r="JO3" s="107">
        <v>138.4</v>
      </c>
      <c r="JP3" s="107">
        <v>138.4</v>
      </c>
      <c r="JQ3" s="107">
        <v>138.4</v>
      </c>
      <c r="JR3" s="107">
        <v>138.4</v>
      </c>
      <c r="JS3" s="107">
        <v>138.4</v>
      </c>
      <c r="JT3" s="107">
        <v>138.4</v>
      </c>
      <c r="JU3" s="107">
        <v>138.4</v>
      </c>
      <c r="JV3" s="107">
        <v>138.4</v>
      </c>
      <c r="JW3" s="107">
        <v>138.4</v>
      </c>
      <c r="JX3" s="107">
        <v>138.4</v>
      </c>
      <c r="JY3" s="107">
        <v>138.4</v>
      </c>
      <c r="JZ3" s="107">
        <v>138.4</v>
      </c>
      <c r="KA3" s="107">
        <v>138.4</v>
      </c>
      <c r="KB3" s="107">
        <v>138.4</v>
      </c>
      <c r="KC3" s="107">
        <v>138.4</v>
      </c>
      <c r="KD3" s="107">
        <v>138.4</v>
      </c>
      <c r="KE3" s="107">
        <v>138.4</v>
      </c>
      <c r="KF3" s="107">
        <v>138.4</v>
      </c>
      <c r="KG3" s="107">
        <v>138.4</v>
      </c>
      <c r="KH3" s="107">
        <v>138.4</v>
      </c>
      <c r="KI3" s="107">
        <v>138.4</v>
      </c>
      <c r="KJ3" s="107">
        <v>138.4</v>
      </c>
      <c r="KK3" s="107">
        <v>138.4</v>
      </c>
      <c r="KL3" s="107">
        <v>138.4</v>
      </c>
      <c r="KM3" s="107">
        <v>138.4</v>
      </c>
      <c r="KN3" s="107">
        <v>138.4</v>
      </c>
      <c r="LI3" s="107">
        <v>138.4</v>
      </c>
      <c r="LJ3" s="107">
        <v>138.4</v>
      </c>
      <c r="LK3" s="107">
        <v>138.4</v>
      </c>
      <c r="LL3" s="107">
        <v>138.4</v>
      </c>
      <c r="LM3" s="107">
        <v>138.4</v>
      </c>
      <c r="LN3" s="107">
        <v>138.4</v>
      </c>
      <c r="LO3" s="107">
        <v>138.4</v>
      </c>
      <c r="LP3" s="107">
        <v>138.4</v>
      </c>
      <c r="LQ3" s="107">
        <v>138.4</v>
      </c>
      <c r="LR3" s="107">
        <v>138.4</v>
      </c>
      <c r="LS3" s="107">
        <v>138.4</v>
      </c>
      <c r="LT3" s="107">
        <v>138.4</v>
      </c>
      <c r="LU3" s="107">
        <v>138.4</v>
      </c>
      <c r="LV3" s="107">
        <v>138.4</v>
      </c>
      <c r="LW3" s="107">
        <v>138.4</v>
      </c>
      <c r="LX3" s="107">
        <v>138.4</v>
      </c>
      <c r="LY3" s="107">
        <v>138.4</v>
      </c>
      <c r="LZ3" s="107">
        <v>138.4</v>
      </c>
      <c r="MA3" s="107">
        <v>138.4</v>
      </c>
      <c r="MB3" s="107">
        <v>138.4</v>
      </c>
      <c r="MC3" s="107">
        <v>138.4</v>
      </c>
      <c r="MD3" s="107">
        <v>138.4</v>
      </c>
      <c r="ME3" s="107">
        <v>138.4</v>
      </c>
      <c r="MF3" s="107">
        <v>138.4</v>
      </c>
      <c r="MG3" s="107">
        <v>138.4</v>
      </c>
      <c r="MH3" s="107">
        <v>138.4</v>
      </c>
      <c r="MI3" s="107">
        <v>138.4</v>
      </c>
      <c r="MJ3" s="107">
        <v>138.4</v>
      </c>
      <c r="MK3" s="107">
        <v>138.4</v>
      </c>
      <c r="ML3" s="107">
        <v>138.4</v>
      </c>
      <c r="MM3" s="107">
        <v>138.4</v>
      </c>
      <c r="MN3" s="107">
        <v>138.4</v>
      </c>
      <c r="MO3" s="107">
        <v>138.4</v>
      </c>
      <c r="MP3" s="107">
        <v>138.4</v>
      </c>
      <c r="MQ3" s="107">
        <v>138.4</v>
      </c>
      <c r="MR3" s="107">
        <v>138.4</v>
      </c>
      <c r="MS3" s="107">
        <v>138.4</v>
      </c>
      <c r="MT3" s="107">
        <v>138.4</v>
      </c>
      <c r="MU3" s="107">
        <v>138.4</v>
      </c>
      <c r="MV3" s="107">
        <v>138.4</v>
      </c>
      <c r="MW3" s="107">
        <v>138.4</v>
      </c>
      <c r="MX3" s="107">
        <v>138.4</v>
      </c>
      <c r="MY3" s="107">
        <v>138.4</v>
      </c>
      <c r="MZ3" s="107">
        <v>138.4</v>
      </c>
      <c r="NA3" s="107">
        <v>138.4</v>
      </c>
      <c r="NB3" s="107">
        <v>138.4</v>
      </c>
      <c r="NC3" s="107">
        <v>138.4</v>
      </c>
      <c r="ND3" s="107">
        <v>138.4</v>
      </c>
      <c r="NE3" s="107">
        <v>138.4</v>
      </c>
      <c r="NF3" s="107">
        <v>138.4</v>
      </c>
      <c r="NG3" s="107">
        <v>138.4</v>
      </c>
      <c r="NH3" s="107">
        <v>138.4</v>
      </c>
      <c r="NI3" s="107">
        <v>138.4</v>
      </c>
      <c r="NJ3" s="107">
        <v>138.4</v>
      </c>
      <c r="NK3" s="107">
        <v>138.4</v>
      </c>
      <c r="NL3" s="107">
        <v>138.4</v>
      </c>
      <c r="NM3" s="107">
        <v>138.4</v>
      </c>
      <c r="NN3" s="107">
        <v>138.4</v>
      </c>
      <c r="NO3" s="107">
        <v>138.4</v>
      </c>
      <c r="NP3" s="107">
        <v>138.4</v>
      </c>
      <c r="NQ3" s="107">
        <v>138.4</v>
      </c>
      <c r="NR3" s="107">
        <v>138.4</v>
      </c>
      <c r="OK3" s="107">
        <v>138.4</v>
      </c>
      <c r="OL3" s="107">
        <v>138.4</v>
      </c>
      <c r="OM3" s="107">
        <v>138.4</v>
      </c>
      <c r="ON3" s="107">
        <v>138.4</v>
      </c>
      <c r="OO3" s="107">
        <v>138.4</v>
      </c>
      <c r="OP3" s="107">
        <v>138.4</v>
      </c>
      <c r="OQ3" s="107">
        <v>138.4</v>
      </c>
      <c r="OR3" s="107">
        <v>138.4</v>
      </c>
      <c r="OS3" s="107">
        <v>138.4</v>
      </c>
      <c r="OT3" s="107">
        <v>138.4</v>
      </c>
      <c r="OU3" s="107">
        <v>138.4</v>
      </c>
      <c r="OV3" s="107">
        <v>138.4</v>
      </c>
      <c r="OW3" s="107">
        <v>138.4</v>
      </c>
      <c r="OX3" s="107">
        <v>138.4</v>
      </c>
      <c r="OY3" s="107">
        <v>138.4</v>
      </c>
      <c r="OZ3" s="107">
        <v>138.4</v>
      </c>
      <c r="PA3" s="107">
        <v>138.4</v>
      </c>
      <c r="PB3" s="107">
        <v>138.4</v>
      </c>
      <c r="PC3" s="107">
        <v>138.4</v>
      </c>
      <c r="PD3" s="107">
        <v>138.4</v>
      </c>
      <c r="PE3" s="107">
        <v>138.4</v>
      </c>
      <c r="PF3" s="107">
        <v>138.4</v>
      </c>
      <c r="PG3" s="107">
        <v>138.4</v>
      </c>
      <c r="PH3" s="107">
        <v>138.4</v>
      </c>
      <c r="PI3" s="107">
        <v>138.4</v>
      </c>
      <c r="PJ3" s="107">
        <v>138.4</v>
      </c>
      <c r="PK3" s="107">
        <v>138.4</v>
      </c>
      <c r="PL3" s="107">
        <v>138.4</v>
      </c>
      <c r="PM3" s="107">
        <v>138.4</v>
      </c>
      <c r="PN3" s="107">
        <v>138.4</v>
      </c>
      <c r="PO3" s="107">
        <v>138.4</v>
      </c>
      <c r="PP3" s="107">
        <v>138.4</v>
      </c>
      <c r="PQ3" s="107">
        <v>138.4</v>
      </c>
      <c r="PR3" s="107">
        <v>138.4</v>
      </c>
      <c r="PS3" s="107">
        <v>138.4</v>
      </c>
      <c r="PT3" s="107">
        <v>138.4</v>
      </c>
      <c r="PU3" s="107">
        <v>138.4</v>
      </c>
      <c r="PV3" s="107">
        <v>138.4</v>
      </c>
      <c r="PW3" s="107">
        <v>138.4</v>
      </c>
      <c r="PX3" s="107">
        <v>138.4</v>
      </c>
      <c r="PY3" s="107">
        <v>138.4</v>
      </c>
      <c r="PZ3" s="107">
        <v>138.4</v>
      </c>
      <c r="QA3" s="107">
        <v>138.4</v>
      </c>
      <c r="QB3" s="107">
        <v>138.4</v>
      </c>
      <c r="QC3" s="107">
        <v>138.4</v>
      </c>
      <c r="QD3" s="107">
        <v>138.4</v>
      </c>
      <c r="QE3" s="107">
        <v>138.4</v>
      </c>
      <c r="QF3" s="107">
        <v>138.4</v>
      </c>
      <c r="QG3" s="107">
        <v>138.4</v>
      </c>
      <c r="QH3" s="107">
        <v>138.4</v>
      </c>
      <c r="QI3" s="107">
        <v>138.4</v>
      </c>
      <c r="QJ3" s="107">
        <v>138.4</v>
      </c>
      <c r="QK3" s="107">
        <v>138.4</v>
      </c>
      <c r="QL3" s="107">
        <v>138.4</v>
      </c>
      <c r="QM3" s="107">
        <v>138.4</v>
      </c>
      <c r="QN3" s="107">
        <v>138.4</v>
      </c>
      <c r="QO3" s="107">
        <v>138.4</v>
      </c>
      <c r="QP3" s="107">
        <v>138.4</v>
      </c>
      <c r="QQ3" s="107">
        <v>138.4</v>
      </c>
      <c r="QR3" s="107">
        <v>138.4</v>
      </c>
      <c r="QS3" s="107">
        <v>138.4</v>
      </c>
      <c r="QT3" s="107">
        <v>138.4</v>
      </c>
      <c r="RM3" s="107">
        <v>138.4</v>
      </c>
      <c r="RN3" s="107">
        <v>138.4</v>
      </c>
      <c r="RO3" s="107">
        <v>138.4</v>
      </c>
      <c r="RP3" s="107">
        <v>138.4</v>
      </c>
      <c r="RQ3" s="107">
        <v>138.4</v>
      </c>
      <c r="RR3" s="107">
        <v>138.4</v>
      </c>
      <c r="RS3" s="107">
        <v>138.4</v>
      </c>
      <c r="RT3" s="107">
        <v>138.4</v>
      </c>
      <c r="RU3" s="107">
        <v>138.4</v>
      </c>
      <c r="RV3" s="107">
        <v>138.4</v>
      </c>
      <c r="RW3" s="107">
        <v>138.4</v>
      </c>
      <c r="RX3" s="107">
        <v>138.4</v>
      </c>
      <c r="RY3" s="107">
        <v>138.4</v>
      </c>
      <c r="RZ3" s="107">
        <v>138.4</v>
      </c>
      <c r="SA3" s="107">
        <v>138.4</v>
      </c>
      <c r="SB3" s="107">
        <v>138.4</v>
      </c>
      <c r="SC3" s="107">
        <v>138.4</v>
      </c>
      <c r="SD3" s="107">
        <v>138.4</v>
      </c>
      <c r="SE3" s="107">
        <v>138.4</v>
      </c>
      <c r="SF3" s="107">
        <v>138.4</v>
      </c>
      <c r="SG3" s="107">
        <v>138.4</v>
      </c>
      <c r="SH3" s="107">
        <v>138.4</v>
      </c>
      <c r="SI3" s="107">
        <v>138.4</v>
      </c>
      <c r="SJ3" s="107">
        <v>138.4</v>
      </c>
      <c r="SK3" s="107">
        <v>138.4</v>
      </c>
      <c r="SL3" s="107">
        <v>138.4</v>
      </c>
      <c r="SM3" s="107">
        <v>138.4</v>
      </c>
      <c r="SN3" s="107">
        <v>138.4</v>
      </c>
      <c r="SO3" s="107">
        <v>138.4</v>
      </c>
      <c r="SP3" s="107">
        <v>138.4</v>
      </c>
      <c r="SQ3" s="107">
        <v>138.4</v>
      </c>
      <c r="SR3" s="107">
        <v>138.4</v>
      </c>
      <c r="SS3" s="107">
        <v>138.4</v>
      </c>
      <c r="ST3" s="107">
        <v>138.4</v>
      </c>
      <c r="SU3" s="107">
        <v>138.4</v>
      </c>
      <c r="SV3" s="107">
        <v>138.4</v>
      </c>
      <c r="SW3" s="107">
        <v>138.4</v>
      </c>
      <c r="SX3" s="107">
        <v>138.4</v>
      </c>
      <c r="SY3" s="107">
        <v>138.4</v>
      </c>
      <c r="SZ3" s="107">
        <v>138.4</v>
      </c>
      <c r="TA3" s="107">
        <v>138.4</v>
      </c>
      <c r="TB3" s="107">
        <v>138.4</v>
      </c>
      <c r="TC3" s="107">
        <v>138.4</v>
      </c>
      <c r="TD3" s="107">
        <v>138.4</v>
      </c>
      <c r="TE3" s="107">
        <v>138.4</v>
      </c>
      <c r="TF3" s="107">
        <v>138.4</v>
      </c>
      <c r="TG3" s="107">
        <v>138.4</v>
      </c>
      <c r="TH3" s="107">
        <v>138.4</v>
      </c>
      <c r="TI3" s="107">
        <v>138.4</v>
      </c>
      <c r="TJ3" s="107">
        <v>138.4</v>
      </c>
      <c r="TK3" s="107">
        <v>138.4</v>
      </c>
      <c r="TL3" s="107">
        <v>138.4</v>
      </c>
      <c r="TM3" s="107">
        <v>138.4</v>
      </c>
      <c r="TN3" s="107">
        <v>138.4</v>
      </c>
      <c r="TO3" s="107">
        <v>138.4</v>
      </c>
      <c r="TP3" s="107">
        <v>138.4</v>
      </c>
      <c r="TQ3" s="107">
        <v>138.4</v>
      </c>
      <c r="TR3" s="107">
        <v>138.4</v>
      </c>
      <c r="TS3" s="107">
        <v>138.4</v>
      </c>
      <c r="TT3" s="107">
        <v>138.4</v>
      </c>
      <c r="TU3" s="107">
        <v>138.4</v>
      </c>
      <c r="TV3" s="107">
        <v>138.4</v>
      </c>
      <c r="UO3" s="107">
        <v>138.4</v>
      </c>
      <c r="UP3" s="107">
        <v>138.4</v>
      </c>
      <c r="UQ3" s="107">
        <v>138.4</v>
      </c>
      <c r="UR3" s="107">
        <v>138.4</v>
      </c>
      <c r="US3" s="107">
        <v>138.4</v>
      </c>
      <c r="UT3" s="107">
        <v>138.4</v>
      </c>
      <c r="UU3" s="107">
        <v>138.4</v>
      </c>
      <c r="UV3" s="107">
        <v>138.4</v>
      </c>
      <c r="UW3" s="107">
        <v>138.4</v>
      </c>
      <c r="UX3" s="107">
        <v>138.4</v>
      </c>
      <c r="UY3" s="107">
        <v>138.4</v>
      </c>
      <c r="UZ3" s="107">
        <v>138.4</v>
      </c>
      <c r="VA3" s="107">
        <v>138.4</v>
      </c>
      <c r="VB3" s="107">
        <v>138.4</v>
      </c>
      <c r="VC3" s="107">
        <v>138.4</v>
      </c>
      <c r="VD3" s="107">
        <v>138.4</v>
      </c>
      <c r="VE3" s="107">
        <v>138.4</v>
      </c>
      <c r="VF3" s="107">
        <v>138.4</v>
      </c>
      <c r="VG3" s="107">
        <v>138.4</v>
      </c>
      <c r="VH3" s="107">
        <v>138.4</v>
      </c>
      <c r="VI3" s="107">
        <v>138.4</v>
      </c>
      <c r="VJ3" s="107">
        <v>138.4</v>
      </c>
      <c r="VK3" s="107">
        <v>138.4</v>
      </c>
      <c r="VL3" s="107">
        <v>138.4</v>
      </c>
      <c r="VM3" s="107">
        <v>138.4</v>
      </c>
      <c r="VN3" s="107">
        <v>138.4</v>
      </c>
      <c r="VO3" s="107">
        <v>138.4</v>
      </c>
      <c r="VP3" s="107">
        <v>138.4</v>
      </c>
      <c r="VQ3" s="107">
        <v>138.4</v>
      </c>
      <c r="VR3" s="107">
        <v>138.4</v>
      </c>
      <c r="VS3" s="107">
        <v>138.4</v>
      </c>
      <c r="VT3" s="107">
        <v>138.4</v>
      </c>
      <c r="VU3" s="107">
        <v>138.4</v>
      </c>
      <c r="VV3" s="107">
        <v>138.4</v>
      </c>
      <c r="VW3" s="107">
        <v>138.4</v>
      </c>
      <c r="VX3" s="107">
        <v>138.4</v>
      </c>
      <c r="VY3" s="107">
        <v>138.4</v>
      </c>
      <c r="VZ3" s="107">
        <v>138.4</v>
      </c>
      <c r="WA3" s="107">
        <v>138.4</v>
      </c>
      <c r="WB3" s="107">
        <v>138.4</v>
      </c>
      <c r="WC3" s="107">
        <v>138.4</v>
      </c>
      <c r="WD3" s="107">
        <v>138.4</v>
      </c>
      <c r="WE3" s="107">
        <v>138.4</v>
      </c>
      <c r="WF3" s="107">
        <v>138.4</v>
      </c>
      <c r="WG3" s="107">
        <v>138.4</v>
      </c>
      <c r="WH3" s="107">
        <v>138.4</v>
      </c>
      <c r="WI3" s="107">
        <v>138.4</v>
      </c>
      <c r="WJ3" s="107">
        <v>138.4</v>
      </c>
      <c r="WK3" s="107">
        <v>138.4</v>
      </c>
      <c r="WL3" s="107">
        <v>138.4</v>
      </c>
      <c r="WM3" s="107">
        <v>138.4</v>
      </c>
      <c r="WN3" s="107">
        <v>138.4</v>
      </c>
      <c r="WO3" s="107">
        <v>138.4</v>
      </c>
      <c r="WP3" s="107">
        <v>138.4</v>
      </c>
      <c r="WQ3" s="107">
        <v>138.4</v>
      </c>
      <c r="WR3" s="107">
        <v>138.4</v>
      </c>
      <c r="WS3" s="107">
        <v>138.4</v>
      </c>
      <c r="WT3" s="107">
        <v>138.4</v>
      </c>
      <c r="WU3" s="107">
        <v>138.4</v>
      </c>
      <c r="WV3" s="107">
        <v>138.4</v>
      </c>
      <c r="WW3" s="107">
        <v>138.4</v>
      </c>
      <c r="XQ3" s="107">
        <v>138.4</v>
      </c>
      <c r="XR3" s="107">
        <v>138.4</v>
      </c>
      <c r="XS3" s="107">
        <v>138.4</v>
      </c>
      <c r="XT3" s="107">
        <v>138.4</v>
      </c>
      <c r="XU3" s="107">
        <v>138.4</v>
      </c>
      <c r="XV3" s="107">
        <v>138.4</v>
      </c>
      <c r="XW3" s="107">
        <v>138.4</v>
      </c>
      <c r="XX3" s="107">
        <v>138.4</v>
      </c>
      <c r="XY3" s="107">
        <v>138.4</v>
      </c>
      <c r="XZ3" s="107">
        <v>138.4</v>
      </c>
      <c r="YA3" s="107">
        <v>138.4</v>
      </c>
      <c r="YB3" s="107">
        <v>138.4</v>
      </c>
      <c r="YC3" s="107">
        <v>138.4</v>
      </c>
      <c r="YD3" s="107">
        <v>138.4</v>
      </c>
      <c r="YE3" s="107">
        <v>138.4</v>
      </c>
      <c r="YF3" s="107">
        <v>138.4</v>
      </c>
      <c r="YG3" s="107">
        <v>138.4</v>
      </c>
      <c r="YH3" s="107">
        <v>138.4</v>
      </c>
      <c r="YI3" s="107">
        <v>138.4</v>
      </c>
      <c r="YJ3" s="107">
        <v>138.4</v>
      </c>
      <c r="YK3" s="107">
        <v>138.4</v>
      </c>
      <c r="YL3" s="107">
        <v>138.4</v>
      </c>
      <c r="YM3" s="107">
        <v>138.4</v>
      </c>
      <c r="YN3" s="107">
        <v>138.4</v>
      </c>
      <c r="YO3" s="107">
        <v>138.4</v>
      </c>
      <c r="YP3" s="107">
        <v>138.4</v>
      </c>
      <c r="YQ3" s="107">
        <v>138.4</v>
      </c>
      <c r="YR3" s="107">
        <v>138.4</v>
      </c>
      <c r="YS3" s="107">
        <v>138.4</v>
      </c>
      <c r="YT3" s="107">
        <v>138.4</v>
      </c>
      <c r="YU3" s="107">
        <v>138.4</v>
      </c>
      <c r="YV3" s="107">
        <v>138.4</v>
      </c>
      <c r="YW3" s="107">
        <v>138.4</v>
      </c>
      <c r="YX3" s="107">
        <v>138.4</v>
      </c>
      <c r="YY3" s="107">
        <v>138.4</v>
      </c>
      <c r="YZ3" s="107">
        <v>138.4</v>
      </c>
      <c r="ZA3" s="107">
        <v>138.4</v>
      </c>
      <c r="ZB3" s="107">
        <v>138.4</v>
      </c>
      <c r="ZC3" s="107">
        <v>138.4</v>
      </c>
      <c r="ZD3" s="107">
        <v>138.4</v>
      </c>
      <c r="ZE3" s="107">
        <v>138.4</v>
      </c>
      <c r="ZF3" s="107">
        <v>138.4</v>
      </c>
      <c r="ZG3" s="107">
        <v>138.4</v>
      </c>
      <c r="ZH3" s="107">
        <v>138.4</v>
      </c>
      <c r="ZI3" s="107">
        <v>138.4</v>
      </c>
      <c r="ZJ3" s="107">
        <v>138.4</v>
      </c>
      <c r="ZK3" s="107">
        <v>138.4</v>
      </c>
      <c r="ZL3" s="107">
        <v>138.4</v>
      </c>
      <c r="ZM3" s="107">
        <v>138.4</v>
      </c>
      <c r="ZN3" s="107">
        <v>138.4</v>
      </c>
      <c r="ZO3" s="107">
        <v>138.4</v>
      </c>
      <c r="ZP3" s="107">
        <v>138.4</v>
      </c>
      <c r="ZQ3" s="107">
        <v>138.4</v>
      </c>
      <c r="ZR3" s="107">
        <v>138.4</v>
      </c>
      <c r="ZS3" s="107">
        <v>138.4</v>
      </c>
      <c r="ZT3" s="107">
        <v>138.4</v>
      </c>
      <c r="ZU3" s="107">
        <v>138.4</v>
      </c>
      <c r="ZV3" s="107">
        <v>138.4</v>
      </c>
      <c r="ZW3" s="107">
        <v>138.4</v>
      </c>
      <c r="AAS3" s="107">
        <v>138.4</v>
      </c>
      <c r="AAT3" s="107">
        <v>138.4</v>
      </c>
      <c r="AAU3" s="107">
        <v>138.4</v>
      </c>
      <c r="AAV3" s="107">
        <v>138.4</v>
      </c>
      <c r="AAW3" s="107">
        <v>138.4</v>
      </c>
      <c r="AAX3" s="107">
        <v>138.4</v>
      </c>
      <c r="AAY3" s="107">
        <v>138.4</v>
      </c>
      <c r="AAZ3" s="107">
        <v>138.4</v>
      </c>
      <c r="ABA3" s="107">
        <v>138.4</v>
      </c>
      <c r="ABB3" s="107">
        <v>138.4</v>
      </c>
      <c r="ABC3" s="107">
        <v>138.4</v>
      </c>
      <c r="ABD3" s="107">
        <v>138.4</v>
      </c>
      <c r="ABE3" s="107">
        <v>138.4</v>
      </c>
      <c r="ABF3" s="107">
        <v>138.4</v>
      </c>
      <c r="ABG3" s="107">
        <v>138.4</v>
      </c>
      <c r="ABH3" s="107">
        <v>138.4</v>
      </c>
      <c r="ABI3" s="107">
        <v>138.4</v>
      </c>
      <c r="ABJ3" s="107">
        <v>138.4</v>
      </c>
      <c r="ABK3" s="107">
        <v>138.4</v>
      </c>
      <c r="ABL3" s="107">
        <v>138.4</v>
      </c>
      <c r="ABM3" s="107">
        <v>138.4</v>
      </c>
      <c r="ABN3" s="107">
        <v>138.4</v>
      </c>
      <c r="ABO3" s="107">
        <v>138.4</v>
      </c>
      <c r="ABP3" s="107">
        <v>138.4</v>
      </c>
      <c r="ABQ3" s="107">
        <v>138.4</v>
      </c>
      <c r="ABR3" s="107">
        <v>138.4</v>
      </c>
      <c r="ABS3" s="107">
        <v>138.4</v>
      </c>
      <c r="ABT3" s="107">
        <v>138.4</v>
      </c>
      <c r="ABU3" s="107">
        <v>138.4</v>
      </c>
      <c r="ABV3" s="107">
        <v>138.4</v>
      </c>
      <c r="ABW3" s="107">
        <v>138.4</v>
      </c>
      <c r="ABX3" s="107">
        <v>138.4</v>
      </c>
      <c r="ABY3" s="107">
        <v>138.4</v>
      </c>
      <c r="ABZ3" s="107">
        <v>138.4</v>
      </c>
      <c r="ACA3" s="107">
        <v>138.4</v>
      </c>
      <c r="ACB3" s="107">
        <v>138.4</v>
      </c>
      <c r="ACC3" s="107">
        <v>138.4</v>
      </c>
      <c r="ACD3" s="107">
        <v>138.4</v>
      </c>
      <c r="ACE3" s="107">
        <v>138.4</v>
      </c>
      <c r="ACF3" s="107">
        <v>138.4</v>
      </c>
      <c r="ACG3" s="107">
        <v>138.4</v>
      </c>
      <c r="ACH3" s="107">
        <v>138.4</v>
      </c>
      <c r="ACI3" s="107">
        <v>138.4</v>
      </c>
      <c r="ACJ3" s="107">
        <v>138.4</v>
      </c>
      <c r="ACK3" s="107">
        <v>138.4</v>
      </c>
      <c r="ACL3" s="107">
        <v>138.4</v>
      </c>
      <c r="ACM3" s="107">
        <v>138.4</v>
      </c>
      <c r="ACN3" s="107">
        <v>138.4</v>
      </c>
      <c r="ACO3" s="107">
        <v>138.4</v>
      </c>
      <c r="ACP3" s="107">
        <v>138.4</v>
      </c>
      <c r="ACQ3" s="107">
        <v>138.4</v>
      </c>
      <c r="ACR3" s="107">
        <v>138.4</v>
      </c>
      <c r="ACS3" s="107">
        <v>138.4</v>
      </c>
      <c r="ACT3" s="107">
        <v>138.4</v>
      </c>
      <c r="ACU3" s="107">
        <v>138.4</v>
      </c>
      <c r="ACV3" s="107">
        <v>138.4</v>
      </c>
      <c r="ACW3" s="107">
        <v>138.4</v>
      </c>
      <c r="ACX3" s="107">
        <v>138.4</v>
      </c>
      <c r="ADU3" s="107">
        <v>138.4</v>
      </c>
      <c r="ADV3" s="107">
        <v>138.4</v>
      </c>
      <c r="ADW3" s="107">
        <v>138.4</v>
      </c>
      <c r="ADX3" s="107">
        <v>138.4</v>
      </c>
      <c r="ADY3" s="107">
        <v>138.4</v>
      </c>
      <c r="ADZ3" s="107">
        <v>138.4</v>
      </c>
      <c r="AEA3" s="107">
        <v>138.4</v>
      </c>
      <c r="AEB3" s="107">
        <v>138.4</v>
      </c>
      <c r="AEC3" s="107">
        <v>138.4</v>
      </c>
      <c r="AED3" s="107">
        <v>138.4</v>
      </c>
      <c r="AEE3" s="107">
        <v>138.4</v>
      </c>
      <c r="AEF3" s="107">
        <v>138.4</v>
      </c>
      <c r="AEG3" s="107">
        <v>138.4</v>
      </c>
      <c r="AEH3" s="107">
        <v>138.4</v>
      </c>
      <c r="AEI3" s="107">
        <v>138.4</v>
      </c>
      <c r="AEJ3" s="107">
        <v>138.4</v>
      </c>
      <c r="AEK3" s="107">
        <v>138.4</v>
      </c>
      <c r="AEL3" s="107">
        <v>138.4</v>
      </c>
      <c r="AEM3" s="107">
        <v>138.4</v>
      </c>
      <c r="AEN3" s="107">
        <v>138.4</v>
      </c>
      <c r="AEO3" s="107">
        <v>138.4</v>
      </c>
      <c r="AEP3" s="107">
        <v>138.4</v>
      </c>
      <c r="AEQ3" s="107">
        <v>138.4</v>
      </c>
      <c r="AER3" s="107">
        <v>138.4</v>
      </c>
      <c r="AES3" s="107">
        <v>138.4</v>
      </c>
      <c r="AET3" s="107">
        <v>138.4</v>
      </c>
      <c r="AEU3" s="107">
        <v>138.4</v>
      </c>
      <c r="AEV3" s="107">
        <v>138.4</v>
      </c>
      <c r="AEW3" s="107">
        <v>138.4</v>
      </c>
      <c r="AEX3" s="107">
        <v>138.4</v>
      </c>
      <c r="AEY3" s="107">
        <v>138.4</v>
      </c>
      <c r="AEZ3" s="107">
        <v>138.4</v>
      </c>
      <c r="AFA3" s="107">
        <v>138.4</v>
      </c>
      <c r="AFB3" s="107">
        <v>138.4</v>
      </c>
      <c r="AFC3" s="107">
        <v>138.4</v>
      </c>
      <c r="AFD3" s="107">
        <v>138.4</v>
      </c>
      <c r="AFE3" s="107">
        <v>138.4</v>
      </c>
      <c r="AFF3" s="107">
        <v>138.4</v>
      </c>
      <c r="AFG3" s="107">
        <v>138.4</v>
      </c>
      <c r="AFH3" s="107">
        <v>138.4</v>
      </c>
      <c r="AFI3" s="107">
        <v>138.4</v>
      </c>
      <c r="AFJ3" s="107">
        <v>138.4</v>
      </c>
      <c r="AFK3" s="107">
        <v>138.4</v>
      </c>
      <c r="AFL3" s="107">
        <v>138.4</v>
      </c>
      <c r="AFM3" s="107">
        <v>138.4</v>
      </c>
      <c r="AFN3" s="107">
        <v>138.4</v>
      </c>
      <c r="AFO3" s="107">
        <v>138.4</v>
      </c>
      <c r="AFP3" s="107">
        <v>138.4</v>
      </c>
      <c r="AFQ3" s="107">
        <v>138.4</v>
      </c>
      <c r="AFR3" s="107">
        <v>138.4</v>
      </c>
      <c r="AFS3" s="107">
        <v>138.4</v>
      </c>
      <c r="AFT3" s="107">
        <v>138.4</v>
      </c>
      <c r="AFU3" s="107">
        <v>138.4</v>
      </c>
      <c r="AFV3" s="107">
        <v>138.4</v>
      </c>
      <c r="AFW3" s="107">
        <v>138.4</v>
      </c>
      <c r="AFX3" s="107">
        <v>138.4</v>
      </c>
      <c r="AFY3" s="107">
        <v>138.4</v>
      </c>
      <c r="AGW3" s="107">
        <v>138.4</v>
      </c>
      <c r="AGX3" s="107">
        <v>138.4</v>
      </c>
      <c r="AGY3" s="107">
        <v>138.4</v>
      </c>
      <c r="AGZ3" s="107">
        <v>138.4</v>
      </c>
      <c r="AHA3" s="107">
        <v>138.4</v>
      </c>
      <c r="AHB3" s="107">
        <v>138.4</v>
      </c>
      <c r="AHC3" s="107">
        <v>138.4</v>
      </c>
      <c r="AHD3" s="107">
        <v>138.4</v>
      </c>
      <c r="AHE3" s="107">
        <v>138.4</v>
      </c>
      <c r="AHF3" s="107">
        <v>138.4</v>
      </c>
      <c r="AHG3" s="107">
        <v>138.4</v>
      </c>
      <c r="AHH3" s="107">
        <v>138.4</v>
      </c>
      <c r="AHI3" s="107">
        <v>138.4</v>
      </c>
      <c r="AHJ3" s="107">
        <v>138.4</v>
      </c>
      <c r="AHK3" s="107">
        <v>138.4</v>
      </c>
      <c r="AHL3" s="107">
        <v>138.4</v>
      </c>
      <c r="AHM3" s="107">
        <v>138.4</v>
      </c>
      <c r="AHN3" s="107">
        <v>138.4</v>
      </c>
      <c r="AHO3" s="107">
        <v>138.4</v>
      </c>
      <c r="AHP3" s="107">
        <v>138.4</v>
      </c>
      <c r="AHQ3" s="107">
        <v>138.4</v>
      </c>
      <c r="AHR3" s="107">
        <v>138.4</v>
      </c>
      <c r="AHS3" s="107">
        <v>138.4</v>
      </c>
      <c r="AHT3" s="107">
        <v>138.4</v>
      </c>
      <c r="AHU3" s="107">
        <v>138.4</v>
      </c>
      <c r="AHV3" s="107">
        <v>138.4</v>
      </c>
      <c r="AHW3" s="107">
        <v>138.4</v>
      </c>
      <c r="AHX3" s="107">
        <v>138.4</v>
      </c>
      <c r="AHY3" s="107">
        <v>138.4</v>
      </c>
      <c r="AHZ3" s="107">
        <v>138.4</v>
      </c>
      <c r="AIA3" s="107">
        <v>138.4</v>
      </c>
      <c r="AIB3" s="107">
        <v>138.4</v>
      </c>
      <c r="AIC3" s="107">
        <v>138.4</v>
      </c>
      <c r="AID3" s="107">
        <v>138.4</v>
      </c>
      <c r="AIE3" s="107">
        <v>138.4</v>
      </c>
      <c r="AIF3" s="107">
        <v>138.4</v>
      </c>
      <c r="AIG3" s="107">
        <v>138.4</v>
      </c>
      <c r="AIH3" s="107">
        <v>138.4</v>
      </c>
      <c r="AII3" s="107">
        <v>138.4</v>
      </c>
      <c r="AIJ3" s="107">
        <v>138.4</v>
      </c>
      <c r="AIK3" s="107">
        <v>138.4</v>
      </c>
      <c r="AIL3" s="107">
        <v>138.4</v>
      </c>
      <c r="AIM3" s="107">
        <v>138.4</v>
      </c>
      <c r="AIN3" s="107">
        <v>138.4</v>
      </c>
      <c r="AIO3" s="107">
        <v>138.4</v>
      </c>
      <c r="AIP3" s="107">
        <v>138.4</v>
      </c>
      <c r="AIQ3" s="107">
        <v>138.4</v>
      </c>
      <c r="AIR3" s="107">
        <v>138.4</v>
      </c>
      <c r="AIS3" s="107">
        <v>138.4</v>
      </c>
      <c r="AIT3" s="107">
        <v>138.4</v>
      </c>
      <c r="AIU3" s="107">
        <v>138.4</v>
      </c>
      <c r="AIV3" s="107">
        <v>138.4</v>
      </c>
      <c r="AIW3" s="107">
        <v>138.4</v>
      </c>
      <c r="AIX3" s="107">
        <v>138.4</v>
      </c>
      <c r="AIY3" s="107">
        <v>138.4</v>
      </c>
      <c r="AIZ3" s="107">
        <v>138.4</v>
      </c>
      <c r="AJY3" t="s">
        <v>4</v>
      </c>
    </row>
    <row r="4" spans="1:961">
      <c r="A4" s="107">
        <v>129.75</v>
      </c>
      <c r="B4" s="107">
        <v>129.75</v>
      </c>
      <c r="C4" s="107">
        <v>129.75</v>
      </c>
      <c r="D4" s="107">
        <v>129.75</v>
      </c>
      <c r="E4" s="107">
        <v>129.75</v>
      </c>
      <c r="F4" s="107">
        <v>129.75</v>
      </c>
      <c r="G4" s="107">
        <v>129.75</v>
      </c>
      <c r="H4" s="107">
        <v>129.75</v>
      </c>
      <c r="I4" s="107">
        <v>129.75</v>
      </c>
      <c r="J4" s="107">
        <v>129.75</v>
      </c>
      <c r="K4" s="107">
        <v>129.75</v>
      </c>
      <c r="L4" s="107">
        <v>129.75</v>
      </c>
      <c r="M4" s="107">
        <v>129.75</v>
      </c>
      <c r="N4" s="107">
        <v>129.75</v>
      </c>
      <c r="O4" s="107">
        <v>129.75</v>
      </c>
      <c r="P4" s="107">
        <v>129.75</v>
      </c>
      <c r="Q4" s="107">
        <v>129.75</v>
      </c>
      <c r="R4" s="107">
        <v>129.75</v>
      </c>
      <c r="S4" s="107">
        <v>129.75</v>
      </c>
      <c r="T4" s="107">
        <v>129.75</v>
      </c>
      <c r="U4" s="107">
        <v>129.75</v>
      </c>
      <c r="V4" s="107">
        <v>129.75</v>
      </c>
      <c r="W4" s="107">
        <v>129.75</v>
      </c>
      <c r="X4" s="107">
        <v>129.75</v>
      </c>
      <c r="Y4" s="107">
        <v>129.75</v>
      </c>
      <c r="Z4" s="107">
        <v>129.75</v>
      </c>
      <c r="AA4" s="107">
        <v>129.75</v>
      </c>
      <c r="AB4" s="107">
        <v>129.75</v>
      </c>
      <c r="AC4" s="107">
        <v>129.75</v>
      </c>
      <c r="AD4" s="107">
        <v>129.75</v>
      </c>
      <c r="AE4" s="107">
        <v>129.75</v>
      </c>
      <c r="AF4" s="107">
        <v>129.75</v>
      </c>
      <c r="AG4" s="107">
        <v>129.75</v>
      </c>
      <c r="AH4" s="107">
        <v>129.75</v>
      </c>
      <c r="AI4" s="107">
        <v>129.75</v>
      </c>
      <c r="AJ4" s="107">
        <v>129.75</v>
      </c>
      <c r="AK4" s="107">
        <v>129.75</v>
      </c>
      <c r="AL4" s="107">
        <v>129.75</v>
      </c>
      <c r="AM4" s="107">
        <v>129.75</v>
      </c>
      <c r="AN4" s="107">
        <v>129.75</v>
      </c>
      <c r="AO4" s="107">
        <v>129.75</v>
      </c>
      <c r="AP4" s="107">
        <v>129.75</v>
      </c>
      <c r="AQ4" s="107">
        <v>129.75</v>
      </c>
      <c r="AR4" s="107">
        <v>129.75</v>
      </c>
      <c r="AS4" s="107">
        <v>129.75</v>
      </c>
      <c r="AT4" s="107">
        <v>129.75</v>
      </c>
      <c r="AU4" s="107">
        <v>129.75</v>
      </c>
      <c r="AV4" s="107">
        <v>129.75</v>
      </c>
      <c r="AW4" s="107">
        <v>129.75</v>
      </c>
      <c r="AX4" s="107">
        <v>129.75</v>
      </c>
      <c r="AY4" s="107">
        <v>129.75</v>
      </c>
      <c r="AZ4" s="107">
        <v>129.75</v>
      </c>
      <c r="CC4" s="107">
        <v>129.75</v>
      </c>
      <c r="CD4" s="107">
        <v>129.75</v>
      </c>
      <c r="CE4" s="107">
        <v>129.75</v>
      </c>
      <c r="CF4" s="107">
        <v>129.75</v>
      </c>
      <c r="CG4" s="107">
        <v>129.75</v>
      </c>
      <c r="CH4" s="107">
        <v>129.75</v>
      </c>
      <c r="CI4" s="107">
        <v>129.75</v>
      </c>
      <c r="CJ4" s="107">
        <v>129.75</v>
      </c>
      <c r="CK4" s="107">
        <v>129.75</v>
      </c>
      <c r="CL4" s="107">
        <v>129.75</v>
      </c>
      <c r="CM4" s="107">
        <v>129.75</v>
      </c>
      <c r="CN4" s="107">
        <v>129.75</v>
      </c>
      <c r="CO4" s="107">
        <v>129.75</v>
      </c>
      <c r="CP4" s="107">
        <v>129.75</v>
      </c>
      <c r="CQ4" s="107">
        <v>129.75</v>
      </c>
      <c r="CR4" s="107">
        <v>129.75</v>
      </c>
      <c r="CS4" s="107">
        <v>129.75</v>
      </c>
      <c r="CT4" s="107">
        <v>129.75</v>
      </c>
      <c r="CU4" s="107">
        <v>129.75</v>
      </c>
      <c r="CV4" s="107">
        <v>129.75</v>
      </c>
      <c r="CW4" s="107">
        <v>129.75</v>
      </c>
      <c r="CX4" s="107">
        <v>129.75</v>
      </c>
      <c r="CY4" s="107">
        <v>129.75</v>
      </c>
      <c r="CZ4" s="107">
        <v>129.75</v>
      </c>
      <c r="DA4" s="107">
        <v>129.75</v>
      </c>
      <c r="DB4" s="107">
        <v>129.75</v>
      </c>
      <c r="DC4" s="107">
        <v>129.75</v>
      </c>
      <c r="DD4" s="107">
        <v>129.75</v>
      </c>
      <c r="DE4" s="107">
        <v>129.75</v>
      </c>
      <c r="DF4" s="107">
        <v>129.75</v>
      </c>
      <c r="DG4" s="107">
        <v>129.75</v>
      </c>
      <c r="DH4" s="107">
        <v>129.75</v>
      </c>
      <c r="DI4" s="107">
        <v>129.75</v>
      </c>
      <c r="DJ4" s="107">
        <v>129.75</v>
      </c>
      <c r="DK4" s="107">
        <v>129.75</v>
      </c>
      <c r="DL4" s="107">
        <v>129.75</v>
      </c>
      <c r="DM4" s="107">
        <v>129.75</v>
      </c>
      <c r="DN4" s="107">
        <v>129.75</v>
      </c>
      <c r="DO4" s="107">
        <v>129.75</v>
      </c>
      <c r="DP4" s="107">
        <v>129.75</v>
      </c>
      <c r="DQ4" s="107">
        <v>129.75</v>
      </c>
      <c r="DR4" s="107">
        <v>129.75</v>
      </c>
      <c r="DS4" s="107">
        <v>129.75</v>
      </c>
      <c r="DT4" s="107">
        <v>129.75</v>
      </c>
      <c r="DU4" s="107">
        <v>129.75</v>
      </c>
      <c r="DV4" s="107">
        <v>129.75</v>
      </c>
      <c r="DW4" s="107">
        <v>129.75</v>
      </c>
      <c r="DX4" s="107">
        <v>129.75</v>
      </c>
      <c r="DY4" s="107">
        <v>129.75</v>
      </c>
      <c r="DZ4" s="107">
        <v>129.75</v>
      </c>
      <c r="EA4" s="107">
        <v>129.75</v>
      </c>
      <c r="EB4" s="107">
        <v>129.75</v>
      </c>
      <c r="EC4" s="107">
        <v>129.75</v>
      </c>
      <c r="ED4" s="107">
        <v>129.75</v>
      </c>
      <c r="EE4" s="107">
        <v>129.75</v>
      </c>
      <c r="EF4" s="107">
        <v>129.75</v>
      </c>
      <c r="EG4" s="107">
        <v>129.75</v>
      </c>
      <c r="EH4" s="107">
        <v>129.75</v>
      </c>
      <c r="EI4" s="107">
        <v>129.75</v>
      </c>
      <c r="FE4" s="107">
        <v>129.75</v>
      </c>
      <c r="FF4" s="107">
        <v>129.75</v>
      </c>
      <c r="FG4" s="107">
        <v>129.75</v>
      </c>
      <c r="FH4" s="107">
        <v>129.75</v>
      </c>
      <c r="FI4" s="107">
        <v>129.75</v>
      </c>
      <c r="FJ4" s="107">
        <v>129.75</v>
      </c>
      <c r="FK4" s="107">
        <v>129.75</v>
      </c>
      <c r="FL4" s="107">
        <v>129.75</v>
      </c>
      <c r="FM4" s="107">
        <v>129.75</v>
      </c>
      <c r="FN4" s="107">
        <v>129.75</v>
      </c>
      <c r="FO4" s="107">
        <v>129.75</v>
      </c>
      <c r="FP4" s="107">
        <v>129.75</v>
      </c>
      <c r="FQ4" s="107">
        <v>129.75</v>
      </c>
      <c r="FR4" s="107">
        <v>129.75</v>
      </c>
      <c r="FS4" s="107">
        <v>129.75</v>
      </c>
      <c r="FT4" s="107">
        <v>129.75</v>
      </c>
      <c r="FU4" s="107">
        <v>129.75</v>
      </c>
      <c r="FV4" s="107">
        <v>129.75</v>
      </c>
      <c r="FW4" s="107">
        <v>129.75</v>
      </c>
      <c r="FX4" s="107">
        <v>129.75</v>
      </c>
      <c r="FY4" s="107">
        <v>129.75</v>
      </c>
      <c r="FZ4" s="107">
        <v>129.75</v>
      </c>
      <c r="GA4" s="107">
        <v>129.75</v>
      </c>
      <c r="GB4" s="107">
        <v>129.75</v>
      </c>
      <c r="GC4" s="107">
        <v>129.75</v>
      </c>
      <c r="GD4" s="107">
        <v>129.75</v>
      </c>
      <c r="GE4" s="107">
        <v>129.75</v>
      </c>
      <c r="GF4" s="107">
        <v>129.75</v>
      </c>
      <c r="GG4" s="107">
        <v>129.75</v>
      </c>
      <c r="GH4" s="107">
        <v>129.75</v>
      </c>
      <c r="GI4" s="107">
        <v>129.75</v>
      </c>
      <c r="GJ4" s="107">
        <v>129.75</v>
      </c>
      <c r="GK4" s="107">
        <v>129.75</v>
      </c>
      <c r="GL4" s="107">
        <v>129.75</v>
      </c>
      <c r="GM4" s="107">
        <v>129.75</v>
      </c>
      <c r="GN4" s="107">
        <v>129.75</v>
      </c>
      <c r="GO4" s="107">
        <v>129.75</v>
      </c>
      <c r="GP4" s="107">
        <v>129.75</v>
      </c>
      <c r="GQ4" s="107">
        <v>129.75</v>
      </c>
      <c r="GR4" s="107">
        <v>129.75</v>
      </c>
      <c r="GS4" s="107">
        <v>129.75</v>
      </c>
      <c r="GT4" s="107">
        <v>129.75</v>
      </c>
      <c r="GU4" s="107">
        <v>129.75</v>
      </c>
      <c r="GV4" s="107">
        <v>129.75</v>
      </c>
      <c r="GW4" s="107">
        <v>129.75</v>
      </c>
      <c r="GX4" s="107">
        <v>129.75</v>
      </c>
      <c r="GY4" s="107">
        <v>129.75</v>
      </c>
      <c r="GZ4" s="107">
        <v>129.75</v>
      </c>
      <c r="HA4" s="107">
        <v>129.75</v>
      </c>
      <c r="HB4" s="107">
        <v>129.75</v>
      </c>
      <c r="HC4" s="107">
        <v>129.75</v>
      </c>
      <c r="HD4" s="107">
        <v>129.75</v>
      </c>
      <c r="HE4" s="107">
        <v>129.75</v>
      </c>
      <c r="HF4" s="107">
        <v>129.75</v>
      </c>
      <c r="HG4" s="107">
        <v>129.75</v>
      </c>
      <c r="HH4" s="107">
        <v>129.75</v>
      </c>
      <c r="HI4" s="107">
        <v>129.75</v>
      </c>
      <c r="HJ4" s="107">
        <v>129.75</v>
      </c>
      <c r="HK4" s="107">
        <v>129.75</v>
      </c>
      <c r="HL4" s="107">
        <v>129.75</v>
      </c>
      <c r="IG4" s="107">
        <v>129.75</v>
      </c>
      <c r="IH4" s="107">
        <v>129.75</v>
      </c>
      <c r="II4" s="107">
        <v>129.75</v>
      </c>
      <c r="IJ4" s="107">
        <v>129.75</v>
      </c>
      <c r="IK4" s="107">
        <v>129.75</v>
      </c>
      <c r="IL4" s="107">
        <v>129.75</v>
      </c>
      <c r="IM4" s="107">
        <v>129.75</v>
      </c>
      <c r="IN4" s="107">
        <v>129.75</v>
      </c>
      <c r="IO4" s="107">
        <v>129.75</v>
      </c>
      <c r="IP4" s="107">
        <v>129.75</v>
      </c>
      <c r="IQ4" s="107">
        <v>129.75</v>
      </c>
      <c r="IR4" s="107">
        <v>129.75</v>
      </c>
      <c r="IS4" s="107">
        <v>129.75</v>
      </c>
      <c r="IT4" s="107">
        <v>129.75</v>
      </c>
      <c r="IU4" s="107">
        <v>129.75</v>
      </c>
      <c r="IV4" s="107">
        <v>129.75</v>
      </c>
      <c r="IW4" s="107">
        <v>129.75</v>
      </c>
      <c r="IX4" s="107">
        <v>129.75</v>
      </c>
      <c r="IY4" s="107">
        <v>129.75</v>
      </c>
      <c r="IZ4" s="107">
        <v>129.75</v>
      </c>
      <c r="JA4" s="107">
        <v>129.75</v>
      </c>
      <c r="JB4" s="107">
        <v>129.75</v>
      </c>
      <c r="JC4" s="107">
        <v>129.75</v>
      </c>
      <c r="JD4" s="107">
        <v>129.75</v>
      </c>
      <c r="JE4" s="107">
        <v>129.75</v>
      </c>
      <c r="JF4" s="107">
        <v>129.75</v>
      </c>
      <c r="JG4" s="107">
        <v>129.75</v>
      </c>
      <c r="JH4" s="107">
        <v>129.75</v>
      </c>
      <c r="JI4" s="107">
        <v>129.75</v>
      </c>
      <c r="JJ4" s="107">
        <v>129.75</v>
      </c>
      <c r="JK4" s="107">
        <v>129.75</v>
      </c>
      <c r="JL4" s="107">
        <v>129.75</v>
      </c>
      <c r="JM4" s="107">
        <v>129.75</v>
      </c>
      <c r="JN4" s="107">
        <v>129.75</v>
      </c>
      <c r="JO4" s="107">
        <v>129.75</v>
      </c>
      <c r="JP4" s="107">
        <v>129.75</v>
      </c>
      <c r="JQ4" s="107">
        <v>129.75</v>
      </c>
      <c r="JR4" s="107">
        <v>129.75</v>
      </c>
      <c r="JS4" s="107">
        <v>129.75</v>
      </c>
      <c r="JT4" s="107">
        <v>129.75</v>
      </c>
      <c r="JU4" s="107">
        <v>129.75</v>
      </c>
      <c r="JV4" s="107">
        <v>129.75</v>
      </c>
      <c r="JW4" s="107">
        <v>129.75</v>
      </c>
      <c r="JX4" s="107">
        <v>129.75</v>
      </c>
      <c r="JY4" s="107">
        <v>129.75</v>
      </c>
      <c r="JZ4" s="107">
        <v>129.75</v>
      </c>
      <c r="KA4" s="107">
        <v>129.75</v>
      </c>
      <c r="KB4" s="107">
        <v>129.75</v>
      </c>
      <c r="KC4" s="107">
        <v>129.75</v>
      </c>
      <c r="KD4" s="107">
        <v>129.75</v>
      </c>
      <c r="KE4" s="107">
        <v>129.75</v>
      </c>
      <c r="KF4" s="107">
        <v>129.75</v>
      </c>
      <c r="KG4" s="107">
        <v>129.75</v>
      </c>
      <c r="KH4" s="107">
        <v>129.75</v>
      </c>
      <c r="KI4" s="107">
        <v>129.75</v>
      </c>
      <c r="KJ4" s="107">
        <v>129.75</v>
      </c>
      <c r="KK4" s="107">
        <v>129.75</v>
      </c>
      <c r="KL4" s="107">
        <v>129.75</v>
      </c>
      <c r="KM4" s="107">
        <v>129.75</v>
      </c>
      <c r="KN4" s="107">
        <v>129.75</v>
      </c>
      <c r="LI4" s="107">
        <v>129.75</v>
      </c>
      <c r="LJ4" s="107">
        <v>129.75</v>
      </c>
      <c r="LK4" s="107">
        <v>129.75</v>
      </c>
      <c r="LL4" s="107">
        <v>129.75</v>
      </c>
      <c r="LM4" s="107">
        <v>129.75</v>
      </c>
      <c r="LN4" s="107">
        <v>129.75</v>
      </c>
      <c r="LO4" s="107">
        <v>129.75</v>
      </c>
      <c r="LP4" s="107">
        <v>129.75</v>
      </c>
      <c r="LQ4" s="107">
        <v>129.75</v>
      </c>
      <c r="LR4" s="107">
        <v>129.75</v>
      </c>
      <c r="LS4" s="107">
        <v>129.75</v>
      </c>
      <c r="LT4" s="107">
        <v>129.75</v>
      </c>
      <c r="LU4" s="107">
        <v>129.75</v>
      </c>
      <c r="LV4" s="107">
        <v>129.75</v>
      </c>
      <c r="LW4" s="107">
        <v>129.75</v>
      </c>
      <c r="LX4" s="107">
        <v>129.75</v>
      </c>
      <c r="LY4" s="107">
        <v>129.75</v>
      </c>
      <c r="LZ4" s="107">
        <v>129.75</v>
      </c>
      <c r="MA4" s="107">
        <v>129.75</v>
      </c>
      <c r="MB4" s="107">
        <v>129.75</v>
      </c>
      <c r="MC4" s="107">
        <v>129.75</v>
      </c>
      <c r="MD4" s="107">
        <v>129.75</v>
      </c>
      <c r="ME4" s="107">
        <v>129.75</v>
      </c>
      <c r="MF4" s="107">
        <v>129.75</v>
      </c>
      <c r="MG4" s="107">
        <v>129.75</v>
      </c>
      <c r="MH4" s="107">
        <v>129.75</v>
      </c>
      <c r="MI4" s="107">
        <v>129.75</v>
      </c>
      <c r="MJ4" s="107">
        <v>129.75</v>
      </c>
      <c r="MK4" s="107">
        <v>129.75</v>
      </c>
      <c r="ML4" s="107">
        <v>129.75</v>
      </c>
      <c r="MM4" s="107">
        <v>129.75</v>
      </c>
      <c r="MN4" s="107">
        <v>129.75</v>
      </c>
      <c r="MO4" s="107">
        <v>129.75</v>
      </c>
      <c r="MP4" s="107">
        <v>129.75</v>
      </c>
      <c r="MQ4" s="107">
        <v>129.75</v>
      </c>
      <c r="MR4" s="107">
        <v>129.75</v>
      </c>
      <c r="MS4" s="107">
        <v>129.75</v>
      </c>
      <c r="MT4" s="107">
        <v>129.75</v>
      </c>
      <c r="MU4" s="107">
        <v>129.75</v>
      </c>
      <c r="MV4" s="107">
        <v>129.75</v>
      </c>
      <c r="MW4" s="107">
        <v>129.75</v>
      </c>
      <c r="MX4" s="107">
        <v>129.75</v>
      </c>
      <c r="MY4" s="107">
        <v>129.75</v>
      </c>
      <c r="MZ4" s="107">
        <v>129.75</v>
      </c>
      <c r="NA4" s="107">
        <v>129.75</v>
      </c>
      <c r="NB4" s="107">
        <v>129.75</v>
      </c>
      <c r="NC4" s="107">
        <v>129.75</v>
      </c>
      <c r="ND4" s="107">
        <v>129.75</v>
      </c>
      <c r="NE4" s="107">
        <v>129.75</v>
      </c>
      <c r="NF4" s="107">
        <v>129.75</v>
      </c>
      <c r="NG4" s="107">
        <v>129.75</v>
      </c>
      <c r="NH4" s="107">
        <v>129.75</v>
      </c>
      <c r="NI4" s="107">
        <v>129.75</v>
      </c>
      <c r="NJ4" s="107">
        <v>129.75</v>
      </c>
      <c r="NK4" s="107">
        <v>129.75</v>
      </c>
      <c r="NL4" s="107">
        <v>129.75</v>
      </c>
      <c r="NM4" s="107">
        <v>129.75</v>
      </c>
      <c r="NN4" s="107">
        <v>129.75</v>
      </c>
      <c r="NO4" s="107">
        <v>129.75</v>
      </c>
      <c r="NP4" s="107">
        <v>129.75</v>
      </c>
      <c r="NQ4" s="107">
        <v>129.75</v>
      </c>
      <c r="NR4" s="107">
        <v>129.75</v>
      </c>
      <c r="OK4" s="107">
        <v>129.75</v>
      </c>
      <c r="OL4" s="107">
        <v>129.75</v>
      </c>
      <c r="OM4" s="107">
        <v>129.75</v>
      </c>
      <c r="ON4" s="107">
        <v>129.75</v>
      </c>
      <c r="OO4" s="107">
        <v>129.75</v>
      </c>
      <c r="OP4" s="107">
        <v>129.75</v>
      </c>
      <c r="OQ4" s="107">
        <v>129.75</v>
      </c>
      <c r="OR4" s="107">
        <v>129.75</v>
      </c>
      <c r="OS4" s="107">
        <v>129.75</v>
      </c>
      <c r="OT4" s="107">
        <v>129.75</v>
      </c>
      <c r="OU4" s="107">
        <v>129.75</v>
      </c>
      <c r="OV4" s="107">
        <v>129.75</v>
      </c>
      <c r="OW4" s="107">
        <v>129.75</v>
      </c>
      <c r="OX4" s="107">
        <v>129.75</v>
      </c>
      <c r="OY4" s="107">
        <v>129.75</v>
      </c>
      <c r="OZ4" s="107">
        <v>129.75</v>
      </c>
      <c r="PA4" s="107">
        <v>129.75</v>
      </c>
      <c r="PB4" s="107">
        <v>129.75</v>
      </c>
      <c r="PC4" s="107">
        <v>129.75</v>
      </c>
      <c r="PD4" s="107">
        <v>129.75</v>
      </c>
      <c r="PE4" s="107">
        <v>129.75</v>
      </c>
      <c r="PF4" s="107">
        <v>129.75</v>
      </c>
      <c r="PG4" s="107">
        <v>129.75</v>
      </c>
      <c r="PH4" s="107">
        <v>129.75</v>
      </c>
      <c r="PI4" s="107">
        <v>129.75</v>
      </c>
      <c r="PJ4" s="107">
        <v>129.75</v>
      </c>
      <c r="PK4" s="107">
        <v>129.75</v>
      </c>
      <c r="PL4" s="107">
        <v>129.75</v>
      </c>
      <c r="PM4" s="107">
        <v>129.75</v>
      </c>
      <c r="PN4" s="107">
        <v>129.75</v>
      </c>
      <c r="PO4" s="107">
        <v>129.75</v>
      </c>
      <c r="PP4" s="107">
        <v>129.75</v>
      </c>
      <c r="PQ4" s="107">
        <v>129.75</v>
      </c>
      <c r="PR4" s="107">
        <v>129.75</v>
      </c>
      <c r="PS4" s="107">
        <v>129.75</v>
      </c>
      <c r="PT4" s="107">
        <v>129.75</v>
      </c>
      <c r="PU4" s="107">
        <v>129.75</v>
      </c>
      <c r="PV4" s="107">
        <v>129.75</v>
      </c>
      <c r="PW4" s="107">
        <v>129.75</v>
      </c>
      <c r="PX4" s="107">
        <v>129.75</v>
      </c>
      <c r="PY4" s="107">
        <v>129.75</v>
      </c>
      <c r="PZ4" s="107">
        <v>129.75</v>
      </c>
      <c r="QA4" s="107">
        <v>129.75</v>
      </c>
      <c r="QB4" s="107">
        <v>129.75</v>
      </c>
      <c r="QC4" s="107">
        <v>129.75</v>
      </c>
      <c r="QD4" s="107">
        <v>129.75</v>
      </c>
      <c r="QE4" s="107">
        <v>129.75</v>
      </c>
      <c r="QF4" s="107">
        <v>129.75</v>
      </c>
      <c r="QG4" s="107">
        <v>129.75</v>
      </c>
      <c r="QH4" s="107">
        <v>129.75</v>
      </c>
      <c r="QI4" s="107">
        <v>129.75</v>
      </c>
      <c r="QJ4" s="107">
        <v>129.75</v>
      </c>
      <c r="QK4" s="107">
        <v>129.75</v>
      </c>
      <c r="QL4" s="107">
        <v>129.75</v>
      </c>
      <c r="QM4" s="107">
        <v>129.75</v>
      </c>
      <c r="QN4" s="107">
        <v>129.75</v>
      </c>
      <c r="QO4" s="107">
        <v>129.75</v>
      </c>
      <c r="QP4" s="107">
        <v>129.75</v>
      </c>
      <c r="QQ4" s="107">
        <v>129.75</v>
      </c>
      <c r="QR4" s="107">
        <v>129.75</v>
      </c>
      <c r="QS4" s="107">
        <v>129.75</v>
      </c>
      <c r="QT4" s="107">
        <v>129.75</v>
      </c>
      <c r="RM4" s="107">
        <v>129.75</v>
      </c>
      <c r="RN4" s="107">
        <v>129.75</v>
      </c>
      <c r="RO4" s="107">
        <v>129.75</v>
      </c>
      <c r="RP4" s="107">
        <v>129.75</v>
      </c>
      <c r="RQ4" s="107">
        <v>129.75</v>
      </c>
      <c r="RR4" s="107">
        <v>129.75</v>
      </c>
      <c r="RS4" s="107">
        <v>129.75</v>
      </c>
      <c r="RT4" s="107">
        <v>129.75</v>
      </c>
      <c r="RU4" s="107">
        <v>129.75</v>
      </c>
      <c r="RV4" s="107">
        <v>129.75</v>
      </c>
      <c r="RW4" s="107">
        <v>129.75</v>
      </c>
      <c r="RX4" s="107">
        <v>129.75</v>
      </c>
      <c r="RY4" s="107">
        <v>129.75</v>
      </c>
      <c r="RZ4" s="107">
        <v>129.75</v>
      </c>
      <c r="SA4" s="107">
        <v>129.75</v>
      </c>
      <c r="SB4" s="107">
        <v>129.75</v>
      </c>
      <c r="SC4" s="107">
        <v>129.75</v>
      </c>
      <c r="SD4" s="107">
        <v>129.75</v>
      </c>
      <c r="SE4" s="107">
        <v>129.75</v>
      </c>
      <c r="SF4" s="107">
        <v>129.75</v>
      </c>
      <c r="SG4" s="107">
        <v>129.75</v>
      </c>
      <c r="SH4" s="107">
        <v>129.75</v>
      </c>
      <c r="SI4" s="107">
        <v>129.75</v>
      </c>
      <c r="SJ4" s="107">
        <v>129.75</v>
      </c>
      <c r="SK4" s="107">
        <v>129.75</v>
      </c>
      <c r="SL4" s="107">
        <v>129.75</v>
      </c>
      <c r="SM4" s="107">
        <v>129.75</v>
      </c>
      <c r="SN4" s="107">
        <v>129.75</v>
      </c>
      <c r="SO4" s="107">
        <v>129.75</v>
      </c>
      <c r="SP4" s="107">
        <v>129.75</v>
      </c>
      <c r="SQ4" s="107">
        <v>129.75</v>
      </c>
      <c r="SR4" s="107">
        <v>129.75</v>
      </c>
      <c r="SS4" s="107">
        <v>129.75</v>
      </c>
      <c r="ST4" s="107">
        <v>129.75</v>
      </c>
      <c r="SU4" s="107">
        <v>129.75</v>
      </c>
      <c r="SV4" s="107">
        <v>129.75</v>
      </c>
      <c r="SW4" s="107">
        <v>129.75</v>
      </c>
      <c r="SX4" s="107">
        <v>129.75</v>
      </c>
      <c r="SY4" s="107">
        <v>129.75</v>
      </c>
      <c r="SZ4" s="107">
        <v>129.75</v>
      </c>
      <c r="TA4" s="107">
        <v>129.75</v>
      </c>
      <c r="TB4" s="107">
        <v>129.75</v>
      </c>
      <c r="TC4" s="107">
        <v>129.75</v>
      </c>
      <c r="TD4" s="107">
        <v>129.75</v>
      </c>
      <c r="TE4" s="107">
        <v>129.75</v>
      </c>
      <c r="TF4" s="107">
        <v>129.75</v>
      </c>
      <c r="TG4" s="107">
        <v>129.75</v>
      </c>
      <c r="TH4" s="107">
        <v>129.75</v>
      </c>
      <c r="TI4" s="107">
        <v>129.75</v>
      </c>
      <c r="TJ4" s="107">
        <v>129.75</v>
      </c>
      <c r="TK4" s="107">
        <v>129.75</v>
      </c>
      <c r="TL4" s="107">
        <v>129.75</v>
      </c>
      <c r="TM4" s="107">
        <v>129.75</v>
      </c>
      <c r="TN4" s="107">
        <v>129.75</v>
      </c>
      <c r="TO4" s="107">
        <v>129.75</v>
      </c>
      <c r="TP4" s="107">
        <v>129.75</v>
      </c>
      <c r="TQ4" s="107">
        <v>129.75</v>
      </c>
      <c r="TR4" s="107">
        <v>129.75</v>
      </c>
      <c r="TS4" s="107">
        <v>129.75</v>
      </c>
      <c r="TT4" s="107">
        <v>129.75</v>
      </c>
      <c r="TU4" s="107">
        <v>129.75</v>
      </c>
      <c r="TV4" s="107">
        <v>129.75</v>
      </c>
      <c r="UO4" s="107">
        <v>129.75</v>
      </c>
      <c r="UP4" s="107">
        <v>129.75</v>
      </c>
      <c r="UQ4" s="107">
        <v>129.75</v>
      </c>
      <c r="UR4" s="107">
        <v>129.75</v>
      </c>
      <c r="US4" s="107">
        <v>129.75</v>
      </c>
      <c r="UT4" s="107">
        <v>129.75</v>
      </c>
      <c r="UU4" s="107">
        <v>129.75</v>
      </c>
      <c r="UV4" s="107">
        <v>129.75</v>
      </c>
      <c r="UW4" s="107">
        <v>129.75</v>
      </c>
      <c r="UX4" s="107">
        <v>129.75</v>
      </c>
      <c r="UY4" s="107">
        <v>129.75</v>
      </c>
      <c r="UZ4" s="107">
        <v>129.75</v>
      </c>
      <c r="VA4" s="107">
        <v>129.75</v>
      </c>
      <c r="VB4" s="107">
        <v>129.75</v>
      </c>
      <c r="VC4" s="107">
        <v>129.75</v>
      </c>
      <c r="VD4" s="107">
        <v>129.75</v>
      </c>
      <c r="VE4" s="107">
        <v>129.75</v>
      </c>
      <c r="VF4" s="107">
        <v>129.75</v>
      </c>
      <c r="VG4" s="107">
        <v>129.75</v>
      </c>
      <c r="VH4" s="107">
        <v>129.75</v>
      </c>
      <c r="VI4" s="107">
        <v>129.75</v>
      </c>
      <c r="VJ4" s="107">
        <v>129.75</v>
      </c>
      <c r="VK4" s="107">
        <v>129.75</v>
      </c>
      <c r="VL4" s="107">
        <v>129.75</v>
      </c>
      <c r="VM4" s="107">
        <v>129.75</v>
      </c>
      <c r="VN4" s="107">
        <v>129.75</v>
      </c>
      <c r="VO4" s="107">
        <v>129.75</v>
      </c>
      <c r="VP4" s="107">
        <v>129.75</v>
      </c>
      <c r="VQ4" s="107">
        <v>129.75</v>
      </c>
      <c r="VR4" s="107">
        <v>129.75</v>
      </c>
      <c r="VS4" s="107">
        <v>129.75</v>
      </c>
      <c r="VT4" s="107">
        <v>129.75</v>
      </c>
      <c r="VU4" s="107">
        <v>129.75</v>
      </c>
      <c r="VV4" s="107">
        <v>129.75</v>
      </c>
      <c r="VW4" s="107">
        <v>129.75</v>
      </c>
      <c r="VX4" s="107">
        <v>129.75</v>
      </c>
      <c r="VY4" s="107">
        <v>129.75</v>
      </c>
      <c r="VZ4" s="107">
        <v>129.75</v>
      </c>
      <c r="WA4" s="107">
        <v>129.75</v>
      </c>
      <c r="WB4" s="107">
        <v>129.75</v>
      </c>
      <c r="WC4" s="107">
        <v>129.75</v>
      </c>
      <c r="WD4" s="107">
        <v>129.75</v>
      </c>
      <c r="WE4" s="107">
        <v>129.75</v>
      </c>
      <c r="WF4" s="107">
        <v>129.75</v>
      </c>
      <c r="WG4" s="107">
        <v>129.75</v>
      </c>
      <c r="WH4" s="107">
        <v>129.75</v>
      </c>
      <c r="WI4" s="107">
        <v>129.75</v>
      </c>
      <c r="WJ4" s="107">
        <v>129.75</v>
      </c>
      <c r="WK4" s="107">
        <v>129.75</v>
      </c>
      <c r="WL4" s="107">
        <v>129.75</v>
      </c>
      <c r="WM4" s="107">
        <v>129.75</v>
      </c>
      <c r="WN4" s="107">
        <v>129.75</v>
      </c>
      <c r="WO4" s="107">
        <v>129.75</v>
      </c>
      <c r="WP4" s="107">
        <v>129.75</v>
      </c>
      <c r="WQ4" s="107">
        <v>129.75</v>
      </c>
      <c r="WR4" s="107">
        <v>129.75</v>
      </c>
      <c r="WS4" s="107">
        <v>129.75</v>
      </c>
      <c r="WT4" s="107">
        <v>129.75</v>
      </c>
      <c r="WU4" s="107">
        <v>129.75</v>
      </c>
      <c r="WV4" s="107">
        <v>129.75</v>
      </c>
      <c r="WW4" s="107">
        <v>129.75</v>
      </c>
      <c r="XQ4" s="107">
        <v>129.75</v>
      </c>
      <c r="XR4" s="107">
        <v>129.75</v>
      </c>
      <c r="XS4" s="107">
        <v>129.75</v>
      </c>
      <c r="XT4" s="107">
        <v>129.75</v>
      </c>
      <c r="XU4" s="107">
        <v>129.75</v>
      </c>
      <c r="XV4" s="107">
        <v>129.75</v>
      </c>
      <c r="XW4" s="107">
        <v>129.75</v>
      </c>
      <c r="XX4" s="107">
        <v>129.75</v>
      </c>
      <c r="XY4" s="107">
        <v>129.75</v>
      </c>
      <c r="XZ4" s="107">
        <v>129.75</v>
      </c>
      <c r="YA4" s="107">
        <v>129.75</v>
      </c>
      <c r="YB4" s="107">
        <v>129.75</v>
      </c>
      <c r="YC4" s="107">
        <v>129.75</v>
      </c>
      <c r="YD4" s="107">
        <v>129.75</v>
      </c>
      <c r="YE4" s="107">
        <v>129.75</v>
      </c>
      <c r="YF4" s="107">
        <v>129.75</v>
      </c>
      <c r="YG4" s="107">
        <v>129.75</v>
      </c>
      <c r="YH4" s="107">
        <v>129.75</v>
      </c>
      <c r="YI4" s="107">
        <v>129.75</v>
      </c>
      <c r="YJ4" s="107">
        <v>129.75</v>
      </c>
      <c r="YK4" s="107">
        <v>129.75</v>
      </c>
      <c r="YL4" s="107">
        <v>129.75</v>
      </c>
      <c r="YM4" s="107">
        <v>129.75</v>
      </c>
      <c r="YN4" s="107">
        <v>129.75</v>
      </c>
      <c r="YO4" s="107">
        <v>129.75</v>
      </c>
      <c r="YP4" s="107">
        <v>129.75</v>
      </c>
      <c r="YQ4" s="107">
        <v>129.75</v>
      </c>
      <c r="YR4" s="107">
        <v>129.75</v>
      </c>
      <c r="YS4" s="107">
        <v>129.75</v>
      </c>
      <c r="YT4" s="107">
        <v>129.75</v>
      </c>
      <c r="YU4" s="107">
        <v>129.75</v>
      </c>
      <c r="YV4" s="107">
        <v>129.75</v>
      </c>
      <c r="YW4" s="107">
        <v>129.75</v>
      </c>
      <c r="YX4" s="107">
        <v>129.75</v>
      </c>
      <c r="YY4" s="107">
        <v>129.75</v>
      </c>
      <c r="YZ4" s="107">
        <v>129.75</v>
      </c>
      <c r="ZA4" s="107">
        <v>129.75</v>
      </c>
      <c r="ZB4" s="107">
        <v>129.75</v>
      </c>
      <c r="ZC4" s="107">
        <v>129.75</v>
      </c>
      <c r="ZD4" s="107">
        <v>129.75</v>
      </c>
      <c r="ZE4" s="107">
        <v>129.75</v>
      </c>
      <c r="ZF4" s="107">
        <v>129.75</v>
      </c>
      <c r="ZG4" s="107">
        <v>129.75</v>
      </c>
      <c r="ZH4" s="107">
        <v>129.75</v>
      </c>
      <c r="ZI4" s="107">
        <v>129.75</v>
      </c>
      <c r="ZJ4" s="107">
        <v>129.75</v>
      </c>
      <c r="ZK4" s="107">
        <v>129.75</v>
      </c>
      <c r="ZL4" s="107">
        <v>129.75</v>
      </c>
      <c r="ZM4" s="107">
        <v>129.75</v>
      </c>
      <c r="ZN4" s="107">
        <v>129.75</v>
      </c>
      <c r="ZO4" s="107">
        <v>129.75</v>
      </c>
      <c r="ZP4" s="107">
        <v>129.75</v>
      </c>
      <c r="ZQ4" s="107">
        <v>129.75</v>
      </c>
      <c r="ZR4" s="107">
        <v>129.75</v>
      </c>
      <c r="ZS4" s="107">
        <v>129.75</v>
      </c>
      <c r="ZT4" s="107">
        <v>129.75</v>
      </c>
      <c r="ZU4" s="107">
        <v>129.75</v>
      </c>
      <c r="ZV4" s="107">
        <v>129.75</v>
      </c>
      <c r="ZW4" s="107">
        <v>129.75</v>
      </c>
      <c r="AAS4" s="107">
        <v>129.75</v>
      </c>
      <c r="AAT4" s="107">
        <v>129.75</v>
      </c>
      <c r="AAU4" s="107">
        <v>129.75</v>
      </c>
      <c r="AAV4" s="107">
        <v>129.75</v>
      </c>
      <c r="AAW4" s="107">
        <v>129.75</v>
      </c>
      <c r="AAX4" s="107">
        <v>129.75</v>
      </c>
      <c r="AAY4" s="107">
        <v>129.75</v>
      </c>
      <c r="AAZ4" s="107">
        <v>129.75</v>
      </c>
      <c r="ABA4" s="107">
        <v>129.75</v>
      </c>
      <c r="ABB4" s="107">
        <v>129.75</v>
      </c>
      <c r="ABC4" s="107">
        <v>129.75</v>
      </c>
      <c r="ABD4" s="107">
        <v>129.75</v>
      </c>
      <c r="ABE4" s="107">
        <v>129.75</v>
      </c>
      <c r="ABF4" s="107">
        <v>129.75</v>
      </c>
      <c r="ABG4" s="107">
        <v>129.75</v>
      </c>
      <c r="ABH4" s="107">
        <v>129.75</v>
      </c>
      <c r="ABI4" s="107">
        <v>129.75</v>
      </c>
      <c r="ABJ4" s="107">
        <v>129.75</v>
      </c>
      <c r="ABK4" s="107">
        <v>129.75</v>
      </c>
      <c r="ABL4" s="107">
        <v>129.75</v>
      </c>
      <c r="ABM4" s="107">
        <v>129.75</v>
      </c>
      <c r="ABN4" s="107">
        <v>129.75</v>
      </c>
      <c r="ABO4" s="107">
        <v>129.75</v>
      </c>
      <c r="ABP4" s="107">
        <v>129.75</v>
      </c>
      <c r="ABQ4" s="107">
        <v>129.75</v>
      </c>
      <c r="ABR4" s="107">
        <v>129.75</v>
      </c>
      <c r="ABS4" s="107">
        <v>129.75</v>
      </c>
      <c r="ABT4" s="107">
        <v>129.75</v>
      </c>
      <c r="ABU4" s="107">
        <v>129.75</v>
      </c>
      <c r="ABV4" s="107">
        <v>129.75</v>
      </c>
      <c r="ABW4" s="107">
        <v>129.75</v>
      </c>
      <c r="ABX4" s="107">
        <v>129.75</v>
      </c>
      <c r="ABY4" s="107">
        <v>129.75</v>
      </c>
      <c r="ABZ4" s="107">
        <v>129.75</v>
      </c>
      <c r="ACA4" s="107">
        <v>129.75</v>
      </c>
      <c r="ACB4" s="107">
        <v>129.75</v>
      </c>
      <c r="ACC4" s="107">
        <v>129.75</v>
      </c>
      <c r="ACD4" s="107">
        <v>129.75</v>
      </c>
      <c r="ACE4" s="107">
        <v>129.75</v>
      </c>
      <c r="ACF4" s="107">
        <v>129.75</v>
      </c>
      <c r="ACG4" s="107">
        <v>129.75</v>
      </c>
      <c r="ACH4" s="107">
        <v>129.75</v>
      </c>
      <c r="ACI4" s="107">
        <v>129.75</v>
      </c>
      <c r="ACJ4" s="107">
        <v>129.75</v>
      </c>
      <c r="ACK4" s="107">
        <v>129.75</v>
      </c>
      <c r="ACL4" s="107">
        <v>129.75</v>
      </c>
      <c r="ACM4" s="107">
        <v>129.75</v>
      </c>
      <c r="ACN4" s="107">
        <v>129.75</v>
      </c>
      <c r="ACO4" s="107">
        <v>129.75</v>
      </c>
      <c r="ACP4" s="107">
        <v>129.75</v>
      </c>
      <c r="ACQ4" s="107">
        <v>129.75</v>
      </c>
      <c r="ACR4" s="107">
        <v>129.75</v>
      </c>
      <c r="ACS4" s="107">
        <v>129.75</v>
      </c>
      <c r="ACT4" s="107">
        <v>129.75</v>
      </c>
      <c r="ACU4" s="107">
        <v>129.75</v>
      </c>
      <c r="ACV4" s="107">
        <v>129.75</v>
      </c>
      <c r="ACW4" s="107">
        <v>129.75</v>
      </c>
      <c r="ACX4" s="107">
        <v>129.75</v>
      </c>
      <c r="ADU4" s="107">
        <v>129.75</v>
      </c>
      <c r="ADV4" s="107">
        <v>129.75</v>
      </c>
      <c r="ADW4" s="107">
        <v>129.75</v>
      </c>
      <c r="ADX4" s="107">
        <v>129.75</v>
      </c>
      <c r="ADY4" s="107">
        <v>129.75</v>
      </c>
      <c r="ADZ4" s="107">
        <v>129.75</v>
      </c>
      <c r="AEA4" s="107">
        <v>129.75</v>
      </c>
      <c r="AEB4" s="107">
        <v>129.75</v>
      </c>
      <c r="AEC4" s="107">
        <v>129.75</v>
      </c>
      <c r="AED4" s="107">
        <v>129.75</v>
      </c>
      <c r="AEE4" s="107">
        <v>129.75</v>
      </c>
      <c r="AEF4" s="107">
        <v>129.75</v>
      </c>
      <c r="AEG4" s="107">
        <v>129.75</v>
      </c>
      <c r="AEH4" s="107">
        <v>129.75</v>
      </c>
      <c r="AEI4" s="107">
        <v>129.75</v>
      </c>
      <c r="AEJ4" s="107">
        <v>129.75</v>
      </c>
      <c r="AEK4" s="107">
        <v>129.75</v>
      </c>
      <c r="AEL4" s="107">
        <v>129.75</v>
      </c>
      <c r="AEM4" s="107">
        <v>129.75</v>
      </c>
      <c r="AEN4" s="107">
        <v>129.75</v>
      </c>
      <c r="AEO4" s="107">
        <v>129.75</v>
      </c>
      <c r="AEP4" s="107">
        <v>129.75</v>
      </c>
      <c r="AEQ4" s="107">
        <v>129.75</v>
      </c>
      <c r="AER4" s="107">
        <v>129.75</v>
      </c>
      <c r="AES4" s="107">
        <v>129.75</v>
      </c>
      <c r="AET4" s="107">
        <v>129.75</v>
      </c>
      <c r="AEU4" s="107">
        <v>129.75</v>
      </c>
      <c r="AEV4" s="107">
        <v>129.75</v>
      </c>
      <c r="AEW4" s="107">
        <v>129.75</v>
      </c>
      <c r="AEX4" s="107">
        <v>129.75</v>
      </c>
      <c r="AEY4" s="107">
        <v>129.75</v>
      </c>
      <c r="AEZ4" s="107">
        <v>129.75</v>
      </c>
      <c r="AFA4" s="107">
        <v>129.75</v>
      </c>
      <c r="AFB4" s="107">
        <v>129.75</v>
      </c>
      <c r="AFC4" s="107">
        <v>129.75</v>
      </c>
      <c r="AFD4" s="107">
        <v>129.75</v>
      </c>
      <c r="AFE4" s="107">
        <v>129.75</v>
      </c>
      <c r="AFF4" s="107">
        <v>129.75</v>
      </c>
      <c r="AFG4" s="107">
        <v>129.75</v>
      </c>
      <c r="AFH4" s="107">
        <v>129.75</v>
      </c>
      <c r="AFI4" s="107">
        <v>129.75</v>
      </c>
      <c r="AFJ4" s="107">
        <v>129.75</v>
      </c>
      <c r="AFK4" s="107">
        <v>129.75</v>
      </c>
      <c r="AFL4" s="107">
        <v>129.75</v>
      </c>
      <c r="AFM4" s="107">
        <v>129.75</v>
      </c>
      <c r="AFN4" s="107">
        <v>129.75</v>
      </c>
      <c r="AFO4" s="107">
        <v>129.75</v>
      </c>
      <c r="AFP4" s="107">
        <v>129.75</v>
      </c>
      <c r="AFQ4" s="107">
        <v>129.75</v>
      </c>
      <c r="AFR4" s="107">
        <v>129.75</v>
      </c>
      <c r="AFS4" s="107">
        <v>129.75</v>
      </c>
      <c r="AFT4" s="107">
        <v>129.75</v>
      </c>
      <c r="AFU4" s="107">
        <v>129.75</v>
      </c>
      <c r="AFV4" s="107">
        <v>129.75</v>
      </c>
      <c r="AFW4" s="107">
        <v>129.75</v>
      </c>
      <c r="AFX4" s="107">
        <v>129.75</v>
      </c>
      <c r="AFY4" s="107">
        <v>129.75</v>
      </c>
      <c r="AGW4" s="107">
        <v>129.75</v>
      </c>
      <c r="AGX4" s="107">
        <v>129.75</v>
      </c>
      <c r="AGY4" s="107">
        <v>129.75</v>
      </c>
      <c r="AGZ4" s="107">
        <v>129.75</v>
      </c>
      <c r="AHA4" s="107">
        <v>129.75</v>
      </c>
      <c r="AHB4" s="107">
        <v>129.75</v>
      </c>
      <c r="AHC4" s="107">
        <v>129.75</v>
      </c>
      <c r="AHD4" s="107">
        <v>129.75</v>
      </c>
      <c r="AHE4" s="107">
        <v>129.75</v>
      </c>
      <c r="AHF4" s="107">
        <v>129.75</v>
      </c>
      <c r="AHG4" s="107">
        <v>129.75</v>
      </c>
      <c r="AHH4" s="107">
        <v>129.75</v>
      </c>
      <c r="AHI4" s="107">
        <v>129.75</v>
      </c>
      <c r="AHJ4" s="107">
        <v>129.75</v>
      </c>
      <c r="AHK4" s="107">
        <v>129.75</v>
      </c>
      <c r="AHL4" s="107">
        <v>129.75</v>
      </c>
      <c r="AHM4" s="107">
        <v>129.75</v>
      </c>
      <c r="AHN4" s="107">
        <v>129.75</v>
      </c>
      <c r="AHO4" s="107">
        <v>129.75</v>
      </c>
      <c r="AHP4" s="107">
        <v>129.75</v>
      </c>
      <c r="AHQ4" s="107">
        <v>129.75</v>
      </c>
      <c r="AHR4" s="107">
        <v>129.75</v>
      </c>
      <c r="AHS4" s="107">
        <v>129.75</v>
      </c>
      <c r="AHT4" s="107">
        <v>129.75</v>
      </c>
      <c r="AHU4" s="107">
        <v>129.75</v>
      </c>
      <c r="AHV4" s="107">
        <v>129.75</v>
      </c>
      <c r="AHW4" s="107">
        <v>129.75</v>
      </c>
      <c r="AHX4" s="107">
        <v>129.75</v>
      </c>
      <c r="AHY4" s="107">
        <v>129.75</v>
      </c>
      <c r="AHZ4" s="107">
        <v>129.75</v>
      </c>
      <c r="AIA4" s="107">
        <v>129.75</v>
      </c>
      <c r="AIB4" s="107">
        <v>129.75</v>
      </c>
      <c r="AIC4" s="107">
        <v>129.75</v>
      </c>
      <c r="AID4" s="107">
        <v>129.75</v>
      </c>
      <c r="AIE4" s="107">
        <v>129.75</v>
      </c>
      <c r="AIF4" s="107">
        <v>129.75</v>
      </c>
      <c r="AIG4" s="107">
        <v>129.75</v>
      </c>
      <c r="AIH4" s="107">
        <v>129.75</v>
      </c>
      <c r="AII4" s="107">
        <v>129.75</v>
      </c>
      <c r="AIJ4" s="107">
        <v>129.75</v>
      </c>
      <c r="AIK4" s="107">
        <v>129.75</v>
      </c>
      <c r="AIL4" s="107">
        <v>129.75</v>
      </c>
      <c r="AIM4" s="107">
        <v>129.75</v>
      </c>
      <c r="AIN4" s="107">
        <v>129.75</v>
      </c>
      <c r="AIO4" s="107">
        <v>129.75</v>
      </c>
      <c r="AIP4" s="107">
        <v>129.75</v>
      </c>
      <c r="AIQ4" s="107">
        <v>129.75</v>
      </c>
      <c r="AIR4" s="107">
        <v>129.75</v>
      </c>
      <c r="AIS4" s="107">
        <v>129.75</v>
      </c>
      <c r="AIT4" s="107">
        <v>129.75</v>
      </c>
      <c r="AIU4" s="107">
        <v>129.75</v>
      </c>
      <c r="AIV4" s="107">
        <v>129.75</v>
      </c>
      <c r="AIW4" s="107">
        <v>129.75</v>
      </c>
      <c r="AIX4" s="107">
        <v>129.75</v>
      </c>
      <c r="AIY4" s="107">
        <v>129.75</v>
      </c>
      <c r="AIZ4" s="107">
        <v>129.75</v>
      </c>
      <c r="AJY4" t="s">
        <v>5</v>
      </c>
    </row>
    <row r="5" spans="1:961">
      <c r="A5" s="107">
        <v>108.13</v>
      </c>
      <c r="B5" s="107">
        <v>108.13</v>
      </c>
      <c r="C5" s="107">
        <v>108.13</v>
      </c>
      <c r="D5" s="107">
        <v>108.13</v>
      </c>
      <c r="E5" s="107">
        <v>108.13</v>
      </c>
      <c r="F5" s="107">
        <v>108.13</v>
      </c>
      <c r="G5" s="107">
        <v>108.13</v>
      </c>
      <c r="H5" s="107">
        <v>108.13</v>
      </c>
      <c r="I5" s="107">
        <v>108.13</v>
      </c>
      <c r="J5" s="107">
        <v>108.13</v>
      </c>
      <c r="K5" s="107">
        <v>108.13</v>
      </c>
      <c r="L5" s="107">
        <v>108.13</v>
      </c>
      <c r="M5" s="107">
        <v>108.13</v>
      </c>
      <c r="N5" s="107">
        <v>108.13</v>
      </c>
      <c r="O5" s="107">
        <v>108.13</v>
      </c>
      <c r="P5" s="107">
        <v>108.13</v>
      </c>
      <c r="Q5" s="107">
        <v>108.13</v>
      </c>
      <c r="R5" s="107">
        <v>108.13</v>
      </c>
      <c r="S5" s="107">
        <v>108.13</v>
      </c>
      <c r="T5" s="107">
        <v>108.13</v>
      </c>
      <c r="U5" s="107">
        <v>108.13</v>
      </c>
      <c r="V5" s="107">
        <v>108.13</v>
      </c>
      <c r="W5" s="107">
        <v>108.13</v>
      </c>
      <c r="X5" s="107">
        <v>108.13</v>
      </c>
      <c r="Y5" s="107">
        <v>108.13</v>
      </c>
      <c r="Z5" s="107">
        <v>108.13</v>
      </c>
      <c r="AA5" s="107">
        <v>108.13</v>
      </c>
      <c r="AB5" s="107">
        <v>108.13</v>
      </c>
      <c r="AC5" s="107">
        <v>108.13</v>
      </c>
      <c r="AD5" s="107">
        <v>108.13</v>
      </c>
      <c r="AE5" s="107">
        <v>108.13</v>
      </c>
      <c r="AF5" s="107">
        <v>108.13</v>
      </c>
      <c r="AG5" s="107">
        <v>108.13</v>
      </c>
      <c r="AH5" s="107">
        <v>108.13</v>
      </c>
      <c r="AI5" s="107">
        <v>108.13</v>
      </c>
      <c r="AJ5" s="107">
        <v>108.13</v>
      </c>
      <c r="AK5" s="107">
        <v>108.13</v>
      </c>
      <c r="AL5" s="107">
        <v>108.13</v>
      </c>
      <c r="AM5" s="107">
        <v>108.13</v>
      </c>
      <c r="AN5" s="107">
        <v>108.13</v>
      </c>
      <c r="AO5" s="107">
        <v>108.13</v>
      </c>
      <c r="AP5" s="107">
        <v>108.13</v>
      </c>
      <c r="AQ5" s="107">
        <v>108.13</v>
      </c>
      <c r="AR5" s="107">
        <v>108.13</v>
      </c>
      <c r="AS5" s="107">
        <v>108.13</v>
      </c>
      <c r="AT5" s="107">
        <v>108.13</v>
      </c>
      <c r="AU5" s="107">
        <v>108.13</v>
      </c>
      <c r="AV5" s="107">
        <v>108.13</v>
      </c>
      <c r="AW5" s="107">
        <v>108.13</v>
      </c>
      <c r="AX5" s="107">
        <v>108.13</v>
      </c>
      <c r="AY5" s="107">
        <v>108.13</v>
      </c>
      <c r="AZ5" s="107">
        <v>108.13</v>
      </c>
      <c r="CC5" s="107">
        <v>108.13</v>
      </c>
      <c r="CD5" s="107">
        <v>108.13</v>
      </c>
      <c r="CE5" s="107">
        <v>108.13</v>
      </c>
      <c r="CF5" s="107">
        <v>108.13</v>
      </c>
      <c r="CG5" s="107">
        <v>108.13</v>
      </c>
      <c r="CH5" s="107">
        <v>108.13</v>
      </c>
      <c r="CI5" s="107">
        <v>108.13</v>
      </c>
      <c r="CJ5" s="107">
        <v>108.13</v>
      </c>
      <c r="CK5" s="107">
        <v>108.13</v>
      </c>
      <c r="CL5" s="107">
        <v>108.13</v>
      </c>
      <c r="CM5" s="107">
        <v>108.13</v>
      </c>
      <c r="CN5" s="107">
        <v>108.13</v>
      </c>
      <c r="CO5" s="107">
        <v>108.13</v>
      </c>
      <c r="CP5" s="107">
        <v>108.13</v>
      </c>
      <c r="CQ5" s="107">
        <v>108.13</v>
      </c>
      <c r="CR5" s="107">
        <v>108.13</v>
      </c>
      <c r="CS5" s="107">
        <v>108.13</v>
      </c>
      <c r="CT5" s="107">
        <v>108.13</v>
      </c>
      <c r="CU5" s="107">
        <v>108.13</v>
      </c>
      <c r="CV5" s="107">
        <v>108.13</v>
      </c>
      <c r="CW5" s="107">
        <v>108.13</v>
      </c>
      <c r="CX5" s="107">
        <v>108.13</v>
      </c>
      <c r="CY5" s="107">
        <v>108.13</v>
      </c>
      <c r="CZ5" s="107">
        <v>108.13</v>
      </c>
      <c r="DA5" s="107">
        <v>108.13</v>
      </c>
      <c r="DB5" s="107">
        <v>108.13</v>
      </c>
      <c r="DC5" s="107">
        <v>108.13</v>
      </c>
      <c r="DD5" s="107">
        <v>108.13</v>
      </c>
      <c r="DE5" s="107">
        <v>108.13</v>
      </c>
      <c r="DF5" s="107">
        <v>108.13</v>
      </c>
      <c r="DG5" s="107">
        <v>108.13</v>
      </c>
      <c r="DH5" s="107">
        <v>108.13</v>
      </c>
      <c r="DI5" s="107">
        <v>108.13</v>
      </c>
      <c r="DJ5" s="107">
        <v>108.13</v>
      </c>
      <c r="DK5" s="107">
        <v>108.13</v>
      </c>
      <c r="DL5" s="107">
        <v>108.13</v>
      </c>
      <c r="DM5" s="107">
        <v>108.13</v>
      </c>
      <c r="DN5" s="107">
        <v>108.13</v>
      </c>
      <c r="DO5" s="107">
        <v>108.13</v>
      </c>
      <c r="DP5" s="107">
        <v>108.13</v>
      </c>
      <c r="DQ5" s="107">
        <v>108.13</v>
      </c>
      <c r="DR5" s="107">
        <v>108.13</v>
      </c>
      <c r="DS5" s="107">
        <v>108.13</v>
      </c>
      <c r="DT5" s="107">
        <v>108.13</v>
      </c>
      <c r="DU5" s="107">
        <v>108.13</v>
      </c>
      <c r="DV5" s="107">
        <v>108.13</v>
      </c>
      <c r="DW5" s="107">
        <v>108.13</v>
      </c>
      <c r="DX5" s="107">
        <v>108.13</v>
      </c>
      <c r="DY5" s="107">
        <v>108.13</v>
      </c>
      <c r="DZ5" s="107">
        <v>108.13</v>
      </c>
      <c r="EA5" s="107">
        <v>108.13</v>
      </c>
      <c r="EB5" s="107">
        <v>108.13</v>
      </c>
      <c r="EC5" s="107">
        <v>108.13</v>
      </c>
      <c r="ED5" s="107">
        <v>108.13</v>
      </c>
      <c r="EE5" s="107">
        <v>108.13</v>
      </c>
      <c r="EF5" s="107">
        <v>108.13</v>
      </c>
      <c r="EG5" s="107">
        <v>108.13</v>
      </c>
      <c r="EH5" s="107">
        <v>108.13</v>
      </c>
      <c r="EI5" s="107">
        <v>108.13</v>
      </c>
      <c r="FE5" s="107">
        <v>108.13</v>
      </c>
      <c r="FF5" s="107">
        <v>108.13</v>
      </c>
      <c r="FG5" s="107">
        <v>108.13</v>
      </c>
      <c r="FH5" s="107">
        <v>108.13</v>
      </c>
      <c r="FI5" s="107">
        <v>108.13</v>
      </c>
      <c r="FJ5" s="107">
        <v>108.13</v>
      </c>
      <c r="FK5" s="107">
        <v>108.13</v>
      </c>
      <c r="FL5" s="107">
        <v>108.13</v>
      </c>
      <c r="FM5" s="107">
        <v>108.13</v>
      </c>
      <c r="FN5" s="107">
        <v>108.13</v>
      </c>
      <c r="FO5" s="107">
        <v>108.13</v>
      </c>
      <c r="FP5" s="107">
        <v>108.13</v>
      </c>
      <c r="FQ5" s="107">
        <v>108.13</v>
      </c>
      <c r="FR5" s="107">
        <v>108.13</v>
      </c>
      <c r="FS5" s="107">
        <v>108.13</v>
      </c>
      <c r="FT5" s="107">
        <v>108.13</v>
      </c>
      <c r="FU5" s="107">
        <v>108.13</v>
      </c>
      <c r="FV5" s="107">
        <v>108.13</v>
      </c>
      <c r="FW5" s="107">
        <v>108.13</v>
      </c>
      <c r="FX5" s="107">
        <v>108.13</v>
      </c>
      <c r="FY5" s="107">
        <v>108.13</v>
      </c>
      <c r="FZ5" s="107">
        <v>108.13</v>
      </c>
      <c r="GA5" s="107">
        <v>108.13</v>
      </c>
      <c r="GB5" s="107">
        <v>108.13</v>
      </c>
      <c r="GC5" s="107">
        <v>108.13</v>
      </c>
      <c r="GD5" s="107">
        <v>108.13</v>
      </c>
      <c r="GE5" s="107">
        <v>108.13</v>
      </c>
      <c r="GF5" s="107">
        <v>108.13</v>
      </c>
      <c r="GG5" s="107">
        <v>108.13</v>
      </c>
      <c r="GH5" s="107">
        <v>108.13</v>
      </c>
      <c r="GI5" s="107">
        <v>108.13</v>
      </c>
      <c r="GJ5" s="107">
        <v>108.13</v>
      </c>
      <c r="GK5" s="107">
        <v>108.13</v>
      </c>
      <c r="GL5" s="107">
        <v>108.13</v>
      </c>
      <c r="GM5" s="107">
        <v>108.13</v>
      </c>
      <c r="GN5" s="107">
        <v>108.13</v>
      </c>
      <c r="GO5" s="107">
        <v>108.13</v>
      </c>
      <c r="GP5" s="107">
        <v>108.13</v>
      </c>
      <c r="GQ5" s="107">
        <v>108.13</v>
      </c>
      <c r="GR5" s="107">
        <v>108.13</v>
      </c>
      <c r="GS5" s="107">
        <v>108.13</v>
      </c>
      <c r="GT5" s="107">
        <v>108.13</v>
      </c>
      <c r="GU5" s="107">
        <v>108.13</v>
      </c>
      <c r="GV5" s="107">
        <v>108.13</v>
      </c>
      <c r="GW5" s="107">
        <v>108.13</v>
      </c>
      <c r="GX5" s="107">
        <v>108.13</v>
      </c>
      <c r="GY5" s="107">
        <v>108.13</v>
      </c>
      <c r="GZ5" s="107">
        <v>108.13</v>
      </c>
      <c r="HA5" s="107">
        <v>108.13</v>
      </c>
      <c r="HB5" s="107">
        <v>108.13</v>
      </c>
      <c r="HC5" s="107">
        <v>108.13</v>
      </c>
      <c r="HD5" s="107">
        <v>108.13</v>
      </c>
      <c r="HE5" s="107">
        <v>108.13</v>
      </c>
      <c r="HF5" s="107">
        <v>108.13</v>
      </c>
      <c r="HG5" s="107">
        <v>108.13</v>
      </c>
      <c r="HH5" s="107">
        <v>108.13</v>
      </c>
      <c r="HI5" s="107">
        <v>108.13</v>
      </c>
      <c r="HJ5" s="107">
        <v>108.13</v>
      </c>
      <c r="HK5" s="107">
        <v>108.13</v>
      </c>
      <c r="HL5" s="107">
        <v>108.13</v>
      </c>
      <c r="IG5" s="107">
        <v>108.13</v>
      </c>
      <c r="IH5" s="107">
        <v>108.13</v>
      </c>
      <c r="II5" s="107">
        <v>108.13</v>
      </c>
      <c r="IJ5" s="107">
        <v>108.13</v>
      </c>
      <c r="IK5" s="107">
        <v>108.13</v>
      </c>
      <c r="IL5" s="107">
        <v>108.13</v>
      </c>
      <c r="IM5" s="107">
        <v>108.13</v>
      </c>
      <c r="IN5" s="107">
        <v>108.13</v>
      </c>
      <c r="IO5" s="107">
        <v>108.13</v>
      </c>
      <c r="IP5" s="107">
        <v>108.13</v>
      </c>
      <c r="IQ5" s="107">
        <v>108.13</v>
      </c>
      <c r="IR5" s="107">
        <v>108.13</v>
      </c>
      <c r="IS5" s="107">
        <v>108.13</v>
      </c>
      <c r="IT5" s="107">
        <v>108.13</v>
      </c>
      <c r="IU5" s="107">
        <v>108.13</v>
      </c>
      <c r="IV5" s="107">
        <v>108.13</v>
      </c>
      <c r="IW5" s="107">
        <v>108.13</v>
      </c>
      <c r="IX5" s="107">
        <v>108.13</v>
      </c>
      <c r="IY5" s="107">
        <v>108.13</v>
      </c>
      <c r="IZ5" s="107">
        <v>108.13</v>
      </c>
      <c r="JA5" s="107">
        <v>108.13</v>
      </c>
      <c r="JB5" s="107">
        <v>108.13</v>
      </c>
      <c r="JC5" s="107">
        <v>108.13</v>
      </c>
      <c r="JD5" s="107">
        <v>108.13</v>
      </c>
      <c r="JE5" s="107">
        <v>108.13</v>
      </c>
      <c r="JF5" s="107">
        <v>108.13</v>
      </c>
      <c r="JG5" s="107">
        <v>108.13</v>
      </c>
      <c r="JH5" s="107">
        <v>108.13</v>
      </c>
      <c r="JI5" s="107">
        <v>108.13</v>
      </c>
      <c r="JJ5" s="107">
        <v>108.13</v>
      </c>
      <c r="JK5" s="107">
        <v>108.13</v>
      </c>
      <c r="JL5" s="107">
        <v>108.13</v>
      </c>
      <c r="JM5" s="107">
        <v>108.13</v>
      </c>
      <c r="JN5" s="107">
        <v>108.13</v>
      </c>
      <c r="JO5" s="107">
        <v>108.13</v>
      </c>
      <c r="JP5" s="107">
        <v>108.13</v>
      </c>
      <c r="JQ5" s="107">
        <v>108.13</v>
      </c>
      <c r="JR5" s="107">
        <v>108.13</v>
      </c>
      <c r="JS5" s="107">
        <v>108.13</v>
      </c>
      <c r="JT5" s="107">
        <v>108.13</v>
      </c>
      <c r="JU5" s="107">
        <v>108.13</v>
      </c>
      <c r="JV5" s="107">
        <v>108.13</v>
      </c>
      <c r="JW5" s="107">
        <v>108.13</v>
      </c>
      <c r="JX5" s="107">
        <v>108.13</v>
      </c>
      <c r="JY5" s="107">
        <v>108.13</v>
      </c>
      <c r="JZ5" s="107">
        <v>108.13</v>
      </c>
      <c r="KA5" s="107">
        <v>108.13</v>
      </c>
      <c r="KB5" s="107">
        <v>108.13</v>
      </c>
      <c r="KC5" s="107">
        <v>108.13</v>
      </c>
      <c r="KD5" s="107">
        <v>108.13</v>
      </c>
      <c r="KE5" s="107">
        <v>108.13</v>
      </c>
      <c r="KF5" s="107">
        <v>108.13</v>
      </c>
      <c r="KG5" s="107">
        <v>108.13</v>
      </c>
      <c r="KH5" s="107">
        <v>108.13</v>
      </c>
      <c r="KI5" s="107">
        <v>108.13</v>
      </c>
      <c r="KJ5" s="107">
        <v>108.13</v>
      </c>
      <c r="KK5" s="107">
        <v>108.13</v>
      </c>
      <c r="KL5" s="107">
        <v>108.13</v>
      </c>
      <c r="KM5" s="107">
        <v>108.13</v>
      </c>
      <c r="KN5" s="107">
        <v>108.13</v>
      </c>
      <c r="LI5" s="107">
        <v>108.13</v>
      </c>
      <c r="LJ5" s="107">
        <v>108.13</v>
      </c>
      <c r="LK5" s="107">
        <v>108.13</v>
      </c>
      <c r="LL5" s="107">
        <v>108.13</v>
      </c>
      <c r="LM5" s="107">
        <v>108.13</v>
      </c>
      <c r="LN5" s="107">
        <v>108.13</v>
      </c>
      <c r="LO5" s="107">
        <v>108.13</v>
      </c>
      <c r="LP5" s="107">
        <v>108.13</v>
      </c>
      <c r="LQ5" s="107">
        <v>108.13</v>
      </c>
      <c r="LR5" s="107">
        <v>108.13</v>
      </c>
      <c r="LS5" s="107">
        <v>108.13</v>
      </c>
      <c r="LT5" s="107">
        <v>108.13</v>
      </c>
      <c r="LU5" s="107">
        <v>108.13</v>
      </c>
      <c r="LV5" s="107">
        <v>108.13</v>
      </c>
      <c r="LW5" s="107">
        <v>108.13</v>
      </c>
      <c r="LX5" s="107">
        <v>108.13</v>
      </c>
      <c r="LY5" s="107">
        <v>108.13</v>
      </c>
      <c r="LZ5" s="107">
        <v>108.13</v>
      </c>
      <c r="MA5" s="107">
        <v>108.13</v>
      </c>
      <c r="MB5" s="107">
        <v>108.13</v>
      </c>
      <c r="MC5" s="107">
        <v>108.13</v>
      </c>
      <c r="MD5" s="107">
        <v>108.13</v>
      </c>
      <c r="ME5" s="107">
        <v>108.13</v>
      </c>
      <c r="MF5" s="107">
        <v>108.13</v>
      </c>
      <c r="MG5" s="107">
        <v>108.13</v>
      </c>
      <c r="MH5" s="107">
        <v>108.13</v>
      </c>
      <c r="MI5" s="107">
        <v>108.13</v>
      </c>
      <c r="MJ5" s="107">
        <v>108.13</v>
      </c>
      <c r="MK5" s="107">
        <v>108.13</v>
      </c>
      <c r="ML5" s="107">
        <v>108.13</v>
      </c>
      <c r="MM5" s="107">
        <v>108.13</v>
      </c>
      <c r="MN5" s="107">
        <v>108.13</v>
      </c>
      <c r="MO5" s="107">
        <v>108.13</v>
      </c>
      <c r="MP5" s="107">
        <v>108.13</v>
      </c>
      <c r="MQ5" s="107">
        <v>108.13</v>
      </c>
      <c r="MR5" s="107">
        <v>108.13</v>
      </c>
      <c r="MS5" s="107">
        <v>108.13</v>
      </c>
      <c r="MT5" s="107">
        <v>108.13</v>
      </c>
      <c r="MU5" s="107">
        <v>108.13</v>
      </c>
      <c r="MV5" s="107">
        <v>108.13</v>
      </c>
      <c r="MW5" s="107">
        <v>108.13</v>
      </c>
      <c r="MX5" s="107">
        <v>108.13</v>
      </c>
      <c r="MY5" s="107">
        <v>108.13</v>
      </c>
      <c r="MZ5" s="107">
        <v>108.13</v>
      </c>
      <c r="NA5" s="107">
        <v>108.13</v>
      </c>
      <c r="NB5" s="107">
        <v>108.13</v>
      </c>
      <c r="NC5" s="107">
        <v>108.13</v>
      </c>
      <c r="ND5" s="107">
        <v>108.13</v>
      </c>
      <c r="NE5" s="107">
        <v>108.13</v>
      </c>
      <c r="NF5" s="107">
        <v>108.13</v>
      </c>
      <c r="NG5" s="107">
        <v>108.13</v>
      </c>
      <c r="NH5" s="107">
        <v>108.13</v>
      </c>
      <c r="NI5" s="107">
        <v>108.13</v>
      </c>
      <c r="NJ5" s="107">
        <v>108.13</v>
      </c>
      <c r="NK5" s="107">
        <v>108.13</v>
      </c>
      <c r="NL5" s="107">
        <v>108.13</v>
      </c>
      <c r="NM5" s="107">
        <v>108.13</v>
      </c>
      <c r="NN5" s="107">
        <v>108.13</v>
      </c>
      <c r="NO5" s="107">
        <v>108.13</v>
      </c>
      <c r="NP5" s="107">
        <v>108.13</v>
      </c>
      <c r="NQ5" s="107">
        <v>108.13</v>
      </c>
      <c r="NR5" s="107">
        <v>108.13</v>
      </c>
      <c r="OK5" s="107">
        <v>108.13</v>
      </c>
      <c r="OL5" s="107">
        <v>108.13</v>
      </c>
      <c r="OM5" s="107">
        <v>108.13</v>
      </c>
      <c r="ON5" s="107">
        <v>108.13</v>
      </c>
      <c r="OO5" s="107">
        <v>108.13</v>
      </c>
      <c r="OP5" s="107">
        <v>108.13</v>
      </c>
      <c r="OQ5" s="107">
        <v>108.13</v>
      </c>
      <c r="OR5" s="107">
        <v>108.13</v>
      </c>
      <c r="OS5" s="107">
        <v>108.13</v>
      </c>
      <c r="OT5" s="107">
        <v>108.13</v>
      </c>
      <c r="OU5" s="107">
        <v>108.13</v>
      </c>
      <c r="OV5" s="107">
        <v>108.13</v>
      </c>
      <c r="OW5" s="107">
        <v>108.13</v>
      </c>
      <c r="OX5" s="107">
        <v>108.13</v>
      </c>
      <c r="OY5" s="107">
        <v>108.13</v>
      </c>
      <c r="OZ5" s="107">
        <v>108.13</v>
      </c>
      <c r="PA5" s="107">
        <v>108.13</v>
      </c>
      <c r="PB5" s="107">
        <v>108.13</v>
      </c>
      <c r="PC5" s="107">
        <v>108.13</v>
      </c>
      <c r="PD5" s="107">
        <v>108.13</v>
      </c>
      <c r="PE5" s="107">
        <v>108.13</v>
      </c>
      <c r="PF5" s="107">
        <v>108.13</v>
      </c>
      <c r="PG5" s="107">
        <v>108.13</v>
      </c>
      <c r="PH5" s="107">
        <v>108.13</v>
      </c>
      <c r="PI5" s="107">
        <v>108.13</v>
      </c>
      <c r="PJ5" s="107">
        <v>108.13</v>
      </c>
      <c r="PK5" s="107">
        <v>108.13</v>
      </c>
      <c r="PL5" s="107">
        <v>108.13</v>
      </c>
      <c r="PM5" s="107">
        <v>108.13</v>
      </c>
      <c r="PN5" s="107">
        <v>108.13</v>
      </c>
      <c r="PO5" s="107">
        <v>108.13</v>
      </c>
      <c r="PP5" s="107">
        <v>108.13</v>
      </c>
      <c r="PQ5" s="107">
        <v>108.13</v>
      </c>
      <c r="PR5" s="107">
        <v>108.13</v>
      </c>
      <c r="PS5" s="107">
        <v>108.13</v>
      </c>
      <c r="PT5" s="107">
        <v>108.13</v>
      </c>
      <c r="PU5" s="107">
        <v>108.13</v>
      </c>
      <c r="PV5" s="107">
        <v>108.13</v>
      </c>
      <c r="PW5" s="107">
        <v>108.13</v>
      </c>
      <c r="PX5" s="107">
        <v>108.13</v>
      </c>
      <c r="PY5" s="107">
        <v>108.13</v>
      </c>
      <c r="PZ5" s="107">
        <v>108.13</v>
      </c>
      <c r="QA5" s="107">
        <v>108.13</v>
      </c>
      <c r="QB5" s="107">
        <v>108.13</v>
      </c>
      <c r="QC5" s="107">
        <v>108.13</v>
      </c>
      <c r="QD5" s="107">
        <v>108.13</v>
      </c>
      <c r="QE5" s="107">
        <v>108.13</v>
      </c>
      <c r="QF5" s="107">
        <v>108.13</v>
      </c>
      <c r="QG5" s="107">
        <v>108.13</v>
      </c>
      <c r="QH5" s="107">
        <v>108.13</v>
      </c>
      <c r="QI5" s="107">
        <v>108.13</v>
      </c>
      <c r="QJ5" s="107">
        <v>108.13</v>
      </c>
      <c r="QK5" s="107">
        <v>108.13</v>
      </c>
      <c r="QL5" s="107">
        <v>108.13</v>
      </c>
      <c r="QM5" s="107">
        <v>108.13</v>
      </c>
      <c r="QN5" s="107">
        <v>108.13</v>
      </c>
      <c r="QO5" s="107">
        <v>108.13</v>
      </c>
      <c r="QP5" s="107">
        <v>108.13</v>
      </c>
      <c r="QQ5" s="107">
        <v>108.13</v>
      </c>
      <c r="QR5" s="107">
        <v>108.13</v>
      </c>
      <c r="QS5" s="107">
        <v>108.13</v>
      </c>
      <c r="QT5" s="107">
        <v>108.13</v>
      </c>
      <c r="RM5" s="107">
        <v>108.13</v>
      </c>
      <c r="RN5" s="107">
        <v>108.13</v>
      </c>
      <c r="RO5" s="107">
        <v>108.13</v>
      </c>
      <c r="RP5" s="107">
        <v>108.13</v>
      </c>
      <c r="RQ5" s="107">
        <v>108.13</v>
      </c>
      <c r="RR5" s="107">
        <v>108.13</v>
      </c>
      <c r="RS5" s="107">
        <v>108.13</v>
      </c>
      <c r="RT5" s="107">
        <v>108.13</v>
      </c>
      <c r="RU5" s="107">
        <v>108.13</v>
      </c>
      <c r="RV5" s="107">
        <v>108.13</v>
      </c>
      <c r="RW5" s="107">
        <v>108.13</v>
      </c>
      <c r="RX5" s="107">
        <v>108.13</v>
      </c>
      <c r="RY5" s="107">
        <v>108.13</v>
      </c>
      <c r="RZ5" s="107">
        <v>108.13</v>
      </c>
      <c r="SA5" s="107">
        <v>108.13</v>
      </c>
      <c r="SB5" s="107">
        <v>108.13</v>
      </c>
      <c r="SC5" s="107">
        <v>108.13</v>
      </c>
      <c r="SD5" s="107">
        <v>108.13</v>
      </c>
      <c r="SE5" s="107">
        <v>108.13</v>
      </c>
      <c r="SF5" s="107">
        <v>108.13</v>
      </c>
      <c r="SG5" s="107">
        <v>108.13</v>
      </c>
      <c r="SH5" s="107">
        <v>108.13</v>
      </c>
      <c r="SI5" s="107">
        <v>108.13</v>
      </c>
      <c r="SJ5" s="107">
        <v>108.13</v>
      </c>
      <c r="SK5" s="107">
        <v>108.13</v>
      </c>
      <c r="SL5" s="107">
        <v>108.13</v>
      </c>
      <c r="SM5" s="107">
        <v>108.13</v>
      </c>
      <c r="SN5" s="107">
        <v>108.13</v>
      </c>
      <c r="SO5" s="107">
        <v>108.13</v>
      </c>
      <c r="SP5" s="107">
        <v>108.13</v>
      </c>
      <c r="SQ5" s="107">
        <v>108.13</v>
      </c>
      <c r="SR5" s="107">
        <v>108.13</v>
      </c>
      <c r="SS5" s="107">
        <v>108.13</v>
      </c>
      <c r="ST5" s="107">
        <v>108.13</v>
      </c>
      <c r="SU5" s="107">
        <v>108.13</v>
      </c>
      <c r="SV5" s="107">
        <v>108.13</v>
      </c>
      <c r="SW5" s="107">
        <v>108.13</v>
      </c>
      <c r="SX5" s="107">
        <v>108.13</v>
      </c>
      <c r="SY5" s="107">
        <v>108.13</v>
      </c>
      <c r="SZ5" s="107">
        <v>108.13</v>
      </c>
      <c r="TA5" s="107">
        <v>108.13</v>
      </c>
      <c r="TB5" s="107">
        <v>108.13</v>
      </c>
      <c r="TC5" s="107">
        <v>108.13</v>
      </c>
      <c r="TD5" s="107">
        <v>108.13</v>
      </c>
      <c r="TE5" s="107">
        <v>108.13</v>
      </c>
      <c r="TF5" s="107">
        <v>108.13</v>
      </c>
      <c r="TG5" s="107">
        <v>108.13</v>
      </c>
      <c r="TH5" s="107">
        <v>108.13</v>
      </c>
      <c r="TI5" s="107">
        <v>108.13</v>
      </c>
      <c r="TJ5" s="107">
        <v>108.13</v>
      </c>
      <c r="TK5" s="107">
        <v>108.13</v>
      </c>
      <c r="TL5" s="107">
        <v>108.13</v>
      </c>
      <c r="TM5" s="107">
        <v>108.13</v>
      </c>
      <c r="TN5" s="107">
        <v>108.13</v>
      </c>
      <c r="TO5" s="107">
        <v>108.13</v>
      </c>
      <c r="TP5" s="107">
        <v>108.13</v>
      </c>
      <c r="TQ5" s="107">
        <v>108.13</v>
      </c>
      <c r="TR5" s="107">
        <v>108.13</v>
      </c>
      <c r="TS5" s="107">
        <v>108.13</v>
      </c>
      <c r="TT5" s="107">
        <v>108.13</v>
      </c>
      <c r="TU5" s="107">
        <v>108.13</v>
      </c>
      <c r="TV5" s="107">
        <v>108.13</v>
      </c>
      <c r="UO5" s="107">
        <v>108.13</v>
      </c>
      <c r="UP5" s="107">
        <v>108.13</v>
      </c>
      <c r="UQ5" s="107">
        <v>108.13</v>
      </c>
      <c r="UR5" s="107">
        <v>108.13</v>
      </c>
      <c r="US5" s="107">
        <v>108.13</v>
      </c>
      <c r="UT5" s="107">
        <v>108.13</v>
      </c>
      <c r="UU5" s="107">
        <v>108.13</v>
      </c>
      <c r="UV5" s="107">
        <v>108.13</v>
      </c>
      <c r="UW5" s="107">
        <v>108.13</v>
      </c>
      <c r="UX5" s="107">
        <v>108.13</v>
      </c>
      <c r="UY5" s="107">
        <v>108.13</v>
      </c>
      <c r="UZ5" s="107">
        <v>108.13</v>
      </c>
      <c r="VA5" s="107">
        <v>108.13</v>
      </c>
      <c r="VB5" s="107">
        <v>108.13</v>
      </c>
      <c r="VC5" s="107">
        <v>108.13</v>
      </c>
      <c r="VD5" s="107">
        <v>108.13</v>
      </c>
      <c r="VE5" s="107">
        <v>108.13</v>
      </c>
      <c r="VF5" s="107">
        <v>108.13</v>
      </c>
      <c r="VG5" s="107">
        <v>108.13</v>
      </c>
      <c r="VH5" s="107">
        <v>108.13</v>
      </c>
      <c r="VI5" s="107">
        <v>108.13</v>
      </c>
      <c r="VJ5" s="107">
        <v>108.13</v>
      </c>
      <c r="VK5" s="107">
        <v>108.13</v>
      </c>
      <c r="VL5" s="107">
        <v>108.13</v>
      </c>
      <c r="VM5" s="107">
        <v>108.13</v>
      </c>
      <c r="VN5" s="107">
        <v>108.13</v>
      </c>
      <c r="VO5" s="107">
        <v>108.13</v>
      </c>
      <c r="VP5" s="107">
        <v>108.13</v>
      </c>
      <c r="VQ5" s="107">
        <v>108.13</v>
      </c>
      <c r="VR5" s="107">
        <v>108.13</v>
      </c>
      <c r="VS5" s="107">
        <v>108.13</v>
      </c>
      <c r="VT5" s="107">
        <v>108.13</v>
      </c>
      <c r="VU5" s="107">
        <v>108.13</v>
      </c>
      <c r="VV5" s="107">
        <v>108.13</v>
      </c>
      <c r="VW5" s="107">
        <v>108.13</v>
      </c>
      <c r="VX5" s="107">
        <v>108.13</v>
      </c>
      <c r="VY5" s="107">
        <v>108.13</v>
      </c>
      <c r="VZ5" s="107">
        <v>108.13</v>
      </c>
      <c r="WA5" s="107">
        <v>108.13</v>
      </c>
      <c r="WB5" s="107">
        <v>108.13</v>
      </c>
      <c r="WC5" s="107">
        <v>108.13</v>
      </c>
      <c r="WD5" s="107">
        <v>108.13</v>
      </c>
      <c r="WE5" s="107">
        <v>108.13</v>
      </c>
      <c r="WF5" s="107">
        <v>108.13</v>
      </c>
      <c r="WG5" s="107">
        <v>108.13</v>
      </c>
      <c r="WH5" s="107">
        <v>108.13</v>
      </c>
      <c r="WI5" s="107">
        <v>108.13</v>
      </c>
      <c r="WJ5" s="107">
        <v>108.13</v>
      </c>
      <c r="WK5" s="107">
        <v>108.13</v>
      </c>
      <c r="WL5" s="107">
        <v>108.13</v>
      </c>
      <c r="WM5" s="107">
        <v>108.13</v>
      </c>
      <c r="WN5" s="107">
        <v>108.13</v>
      </c>
      <c r="WO5" s="107">
        <v>108.13</v>
      </c>
      <c r="WP5" s="107">
        <v>108.13</v>
      </c>
      <c r="WQ5" s="107">
        <v>108.13</v>
      </c>
      <c r="WR5" s="107">
        <v>108.13</v>
      </c>
      <c r="WS5" s="107">
        <v>108.13</v>
      </c>
      <c r="WT5" s="107">
        <v>108.13</v>
      </c>
      <c r="WU5" s="107">
        <v>108.13</v>
      </c>
      <c r="WV5" s="107">
        <v>108.13</v>
      </c>
      <c r="WW5" s="107">
        <v>108.13</v>
      </c>
      <c r="XQ5" s="107">
        <v>108.13</v>
      </c>
      <c r="XR5" s="107">
        <v>108.13</v>
      </c>
      <c r="XS5" s="107">
        <v>108.13</v>
      </c>
      <c r="XT5" s="107">
        <v>108.13</v>
      </c>
      <c r="XU5" s="107">
        <v>108.13</v>
      </c>
      <c r="XV5" s="107">
        <v>108.13</v>
      </c>
      <c r="XW5" s="107">
        <v>108.13</v>
      </c>
      <c r="XX5" s="107">
        <v>108.13</v>
      </c>
      <c r="XY5" s="107">
        <v>108.13</v>
      </c>
      <c r="XZ5" s="107">
        <v>108.13</v>
      </c>
      <c r="YA5" s="107">
        <v>108.13</v>
      </c>
      <c r="YB5" s="107">
        <v>108.13</v>
      </c>
      <c r="YC5" s="107">
        <v>108.13</v>
      </c>
      <c r="YD5" s="107">
        <v>108.13</v>
      </c>
      <c r="YE5" s="107">
        <v>108.13</v>
      </c>
      <c r="YF5" s="107">
        <v>108.13</v>
      </c>
      <c r="YG5" s="107">
        <v>108.13</v>
      </c>
      <c r="YH5" s="107">
        <v>108.13</v>
      </c>
      <c r="YI5" s="107">
        <v>108.13</v>
      </c>
      <c r="YJ5" s="107">
        <v>108.13</v>
      </c>
      <c r="YK5" s="107">
        <v>108.13</v>
      </c>
      <c r="YL5" s="107">
        <v>108.13</v>
      </c>
      <c r="YM5" s="107">
        <v>108.13</v>
      </c>
      <c r="YN5" s="107">
        <v>108.13</v>
      </c>
      <c r="YO5" s="107">
        <v>108.13</v>
      </c>
      <c r="YP5" s="107">
        <v>108.13</v>
      </c>
      <c r="YQ5" s="107">
        <v>108.13</v>
      </c>
      <c r="YR5" s="107">
        <v>108.13</v>
      </c>
      <c r="YS5" s="107">
        <v>108.13</v>
      </c>
      <c r="YT5" s="107">
        <v>108.13</v>
      </c>
      <c r="YU5" s="107">
        <v>108.13</v>
      </c>
      <c r="YV5" s="107">
        <v>108.13</v>
      </c>
      <c r="YW5" s="107">
        <v>108.13</v>
      </c>
      <c r="YX5" s="107">
        <v>108.13</v>
      </c>
      <c r="YY5" s="107">
        <v>108.13</v>
      </c>
      <c r="YZ5" s="107">
        <v>108.13</v>
      </c>
      <c r="ZA5" s="107">
        <v>108.13</v>
      </c>
      <c r="ZB5" s="107">
        <v>108.13</v>
      </c>
      <c r="ZC5" s="107">
        <v>108.13</v>
      </c>
      <c r="ZD5" s="107">
        <v>108.13</v>
      </c>
      <c r="ZE5" s="107">
        <v>108.13</v>
      </c>
      <c r="ZF5" s="107">
        <v>108.13</v>
      </c>
      <c r="ZG5" s="107">
        <v>108.13</v>
      </c>
      <c r="ZH5" s="107">
        <v>108.13</v>
      </c>
      <c r="ZI5" s="107">
        <v>108.13</v>
      </c>
      <c r="ZJ5" s="107">
        <v>108.13</v>
      </c>
      <c r="ZK5" s="107">
        <v>108.13</v>
      </c>
      <c r="ZL5" s="107">
        <v>108.13</v>
      </c>
      <c r="ZM5" s="107">
        <v>108.13</v>
      </c>
      <c r="ZN5" s="107">
        <v>108.13</v>
      </c>
      <c r="ZO5" s="107">
        <v>108.13</v>
      </c>
      <c r="ZP5" s="107">
        <v>108.13</v>
      </c>
      <c r="ZQ5" s="107">
        <v>108.13</v>
      </c>
      <c r="ZR5" s="107">
        <v>108.13</v>
      </c>
      <c r="ZS5" s="107">
        <v>108.13</v>
      </c>
      <c r="ZT5" s="107">
        <v>108.13</v>
      </c>
      <c r="ZU5" s="107">
        <v>108.13</v>
      </c>
      <c r="ZV5" s="107">
        <v>108.13</v>
      </c>
      <c r="ZW5" s="107">
        <v>108.13</v>
      </c>
      <c r="AAS5" s="107">
        <v>108.13</v>
      </c>
      <c r="AAT5" s="107">
        <v>108.13</v>
      </c>
      <c r="AAU5" s="107">
        <v>108.13</v>
      </c>
      <c r="AAV5" s="107">
        <v>108.13</v>
      </c>
      <c r="AAW5" s="107">
        <v>108.13</v>
      </c>
      <c r="AAX5" s="107">
        <v>108.13</v>
      </c>
      <c r="AAY5" s="107">
        <v>108.13</v>
      </c>
      <c r="AAZ5" s="107">
        <v>108.13</v>
      </c>
      <c r="ABA5" s="107">
        <v>108.13</v>
      </c>
      <c r="ABB5" s="107">
        <v>108.13</v>
      </c>
      <c r="ABC5" s="107">
        <v>108.13</v>
      </c>
      <c r="ABD5" s="107">
        <v>108.13</v>
      </c>
      <c r="ABE5" s="107">
        <v>108.13</v>
      </c>
      <c r="ABF5" s="107">
        <v>108.13</v>
      </c>
      <c r="ABG5" s="107">
        <v>108.13</v>
      </c>
      <c r="ABH5" s="107">
        <v>108.13</v>
      </c>
      <c r="ABI5" s="107">
        <v>108.13</v>
      </c>
      <c r="ABJ5" s="107">
        <v>108.13</v>
      </c>
      <c r="ABK5" s="107">
        <v>108.13</v>
      </c>
      <c r="ABL5" s="107">
        <v>108.13</v>
      </c>
      <c r="ABM5" s="107">
        <v>108.13</v>
      </c>
      <c r="ABN5" s="107">
        <v>108.13</v>
      </c>
      <c r="ABO5" s="107">
        <v>108.13</v>
      </c>
      <c r="ABP5" s="107">
        <v>108.13</v>
      </c>
      <c r="ABQ5" s="107">
        <v>108.13</v>
      </c>
      <c r="ABR5" s="107">
        <v>108.13</v>
      </c>
      <c r="ABS5" s="107">
        <v>108.13</v>
      </c>
      <c r="ABT5" s="107">
        <v>108.13</v>
      </c>
      <c r="ABU5" s="107">
        <v>108.13</v>
      </c>
      <c r="ABV5" s="107">
        <v>108.13</v>
      </c>
      <c r="ABW5" s="107">
        <v>108.13</v>
      </c>
      <c r="ABX5" s="107">
        <v>108.13</v>
      </c>
      <c r="ABY5" s="107">
        <v>108.13</v>
      </c>
      <c r="ABZ5" s="107">
        <v>108.13</v>
      </c>
      <c r="ACA5" s="107">
        <v>108.13</v>
      </c>
      <c r="ACB5" s="107">
        <v>108.13</v>
      </c>
      <c r="ACC5" s="107">
        <v>108.13</v>
      </c>
      <c r="ACD5" s="107">
        <v>108.13</v>
      </c>
      <c r="ACE5" s="107">
        <v>108.13</v>
      </c>
      <c r="ACF5" s="107">
        <v>108.13</v>
      </c>
      <c r="ACG5" s="107">
        <v>108.13</v>
      </c>
      <c r="ACH5" s="107">
        <v>108.13</v>
      </c>
      <c r="ACI5" s="107">
        <v>108.13</v>
      </c>
      <c r="ACJ5" s="107">
        <v>108.13</v>
      </c>
      <c r="ACK5" s="107">
        <v>108.13</v>
      </c>
      <c r="ACL5" s="107">
        <v>108.13</v>
      </c>
      <c r="ACM5" s="107">
        <v>108.13</v>
      </c>
      <c r="ACN5" s="107">
        <v>108.13</v>
      </c>
      <c r="ACO5" s="107">
        <v>108.13</v>
      </c>
      <c r="ACP5" s="107">
        <v>108.13</v>
      </c>
      <c r="ACQ5" s="107">
        <v>108.13</v>
      </c>
      <c r="ACR5" s="107">
        <v>108.13</v>
      </c>
      <c r="ACS5" s="107">
        <v>108.13</v>
      </c>
      <c r="ACT5" s="107">
        <v>108.13</v>
      </c>
      <c r="ACU5" s="107">
        <v>108.13</v>
      </c>
      <c r="ACV5" s="107">
        <v>108.13</v>
      </c>
      <c r="ACW5" s="107">
        <v>108.13</v>
      </c>
      <c r="ACX5" s="107">
        <v>108.13</v>
      </c>
      <c r="ADU5" s="107">
        <v>108.13</v>
      </c>
      <c r="ADV5" s="107">
        <v>108.13</v>
      </c>
      <c r="ADW5" s="107">
        <v>108.13</v>
      </c>
      <c r="ADX5" s="107">
        <v>108.13</v>
      </c>
      <c r="ADY5" s="107">
        <v>108.13</v>
      </c>
      <c r="ADZ5" s="107">
        <v>108.13</v>
      </c>
      <c r="AEA5" s="107">
        <v>108.13</v>
      </c>
      <c r="AEB5" s="107">
        <v>108.13</v>
      </c>
      <c r="AEC5" s="107">
        <v>108.13</v>
      </c>
      <c r="AED5" s="107">
        <v>108.13</v>
      </c>
      <c r="AEE5" s="107">
        <v>108.13</v>
      </c>
      <c r="AEF5" s="107">
        <v>108.13</v>
      </c>
      <c r="AEG5" s="107">
        <v>108.13</v>
      </c>
      <c r="AEH5" s="107">
        <v>108.13</v>
      </c>
      <c r="AEI5" s="107">
        <v>108.13</v>
      </c>
      <c r="AEJ5" s="107">
        <v>108.13</v>
      </c>
      <c r="AEK5" s="107">
        <v>108.13</v>
      </c>
      <c r="AEL5" s="107">
        <v>108.13</v>
      </c>
      <c r="AEM5" s="107">
        <v>108.13</v>
      </c>
      <c r="AEN5" s="107">
        <v>108.13</v>
      </c>
      <c r="AEO5" s="107">
        <v>108.13</v>
      </c>
      <c r="AEP5" s="107">
        <v>108.13</v>
      </c>
      <c r="AEQ5" s="107">
        <v>108.13</v>
      </c>
      <c r="AER5" s="107">
        <v>108.13</v>
      </c>
      <c r="AES5" s="107">
        <v>108.13</v>
      </c>
      <c r="AET5" s="107">
        <v>108.13</v>
      </c>
      <c r="AEU5" s="107">
        <v>108.13</v>
      </c>
      <c r="AEV5" s="107">
        <v>108.13</v>
      </c>
      <c r="AEW5" s="107">
        <v>108.13</v>
      </c>
      <c r="AEX5" s="107">
        <v>108.13</v>
      </c>
      <c r="AEY5" s="107">
        <v>108.13</v>
      </c>
      <c r="AEZ5" s="107">
        <v>108.13</v>
      </c>
      <c r="AFA5" s="107">
        <v>108.13</v>
      </c>
      <c r="AFB5" s="107">
        <v>108.13</v>
      </c>
      <c r="AFC5" s="107">
        <v>108.13</v>
      </c>
      <c r="AFD5" s="107">
        <v>108.13</v>
      </c>
      <c r="AFE5" s="107">
        <v>108.13</v>
      </c>
      <c r="AFF5" s="107">
        <v>108.13</v>
      </c>
      <c r="AFG5" s="107">
        <v>108.13</v>
      </c>
      <c r="AFH5" s="107">
        <v>108.13</v>
      </c>
      <c r="AFI5" s="107">
        <v>108.13</v>
      </c>
      <c r="AFJ5" s="107">
        <v>108.13</v>
      </c>
      <c r="AFK5" s="107">
        <v>108.13</v>
      </c>
      <c r="AFL5" s="107">
        <v>108.13</v>
      </c>
      <c r="AFM5" s="107">
        <v>108.13</v>
      </c>
      <c r="AFN5" s="107">
        <v>108.13</v>
      </c>
      <c r="AFO5" s="107">
        <v>108.13</v>
      </c>
      <c r="AFP5" s="107">
        <v>108.13</v>
      </c>
      <c r="AFQ5" s="107">
        <v>108.13</v>
      </c>
      <c r="AFR5" s="107">
        <v>108.13</v>
      </c>
      <c r="AFS5" s="107">
        <v>108.13</v>
      </c>
      <c r="AFT5" s="107">
        <v>108.13</v>
      </c>
      <c r="AFU5" s="107">
        <v>108.13</v>
      </c>
      <c r="AFV5" s="107">
        <v>108.13</v>
      </c>
      <c r="AFW5" s="107">
        <v>108.13</v>
      </c>
      <c r="AFX5" s="107">
        <v>108.13</v>
      </c>
      <c r="AFY5" s="107">
        <v>108.13</v>
      </c>
      <c r="AGW5" s="107">
        <v>108.13</v>
      </c>
      <c r="AGX5" s="107">
        <v>108.13</v>
      </c>
      <c r="AGY5" s="107">
        <v>108.13</v>
      </c>
      <c r="AGZ5" s="107">
        <v>108.13</v>
      </c>
      <c r="AHA5" s="107">
        <v>108.13</v>
      </c>
      <c r="AHB5" s="107">
        <v>108.13</v>
      </c>
      <c r="AHC5" s="107">
        <v>108.13</v>
      </c>
      <c r="AHD5" s="107">
        <v>108.13</v>
      </c>
      <c r="AHE5" s="107">
        <v>108.13</v>
      </c>
      <c r="AHF5" s="107">
        <v>108.13</v>
      </c>
      <c r="AHG5" s="107">
        <v>108.13</v>
      </c>
      <c r="AHH5" s="107">
        <v>108.13</v>
      </c>
      <c r="AHI5" s="107">
        <v>108.13</v>
      </c>
      <c r="AHJ5" s="107">
        <v>108.13</v>
      </c>
      <c r="AHK5" s="107">
        <v>108.13</v>
      </c>
      <c r="AHL5" s="107">
        <v>108.13</v>
      </c>
      <c r="AHM5" s="107">
        <v>108.13</v>
      </c>
      <c r="AHN5" s="107">
        <v>108.13</v>
      </c>
      <c r="AHO5" s="107">
        <v>108.13</v>
      </c>
      <c r="AHP5" s="107">
        <v>108.13</v>
      </c>
      <c r="AHQ5" s="107">
        <v>108.13</v>
      </c>
      <c r="AHR5" s="107">
        <v>108.13</v>
      </c>
      <c r="AHS5" s="107">
        <v>108.13</v>
      </c>
      <c r="AHT5" s="107">
        <v>108.13</v>
      </c>
      <c r="AHU5" s="107">
        <v>108.13</v>
      </c>
      <c r="AHV5" s="107">
        <v>108.13</v>
      </c>
      <c r="AHW5" s="107">
        <v>108.13</v>
      </c>
      <c r="AHX5" s="107">
        <v>108.13</v>
      </c>
      <c r="AHY5" s="107">
        <v>108.13</v>
      </c>
      <c r="AHZ5" s="107">
        <v>108.13</v>
      </c>
      <c r="AIA5" s="107">
        <v>108.13</v>
      </c>
      <c r="AIB5" s="107">
        <v>108.13</v>
      </c>
      <c r="AIC5" s="107">
        <v>108.13</v>
      </c>
      <c r="AID5" s="107">
        <v>108.13</v>
      </c>
      <c r="AIE5" s="107">
        <v>108.13</v>
      </c>
      <c r="AIF5" s="107">
        <v>108.13</v>
      </c>
      <c r="AIG5" s="107">
        <v>108.13</v>
      </c>
      <c r="AIH5" s="107">
        <v>108.13</v>
      </c>
      <c r="AII5" s="107">
        <v>108.13</v>
      </c>
      <c r="AIJ5" s="107">
        <v>108.13</v>
      </c>
      <c r="AIK5" s="107">
        <v>108.13</v>
      </c>
      <c r="AIL5" s="107">
        <v>108.13</v>
      </c>
      <c r="AIM5" s="107">
        <v>108.13</v>
      </c>
      <c r="AIN5" s="107">
        <v>108.13</v>
      </c>
      <c r="AIO5" s="107">
        <v>108.13</v>
      </c>
      <c r="AIP5" s="107">
        <v>108.13</v>
      </c>
      <c r="AIQ5" s="107">
        <v>108.13</v>
      </c>
      <c r="AIR5" s="107">
        <v>108.13</v>
      </c>
      <c r="AIS5" s="107">
        <v>108.13</v>
      </c>
      <c r="AIT5" s="107">
        <v>108.13</v>
      </c>
      <c r="AIU5" s="107">
        <v>108.13</v>
      </c>
      <c r="AIV5" s="107">
        <v>108.13</v>
      </c>
      <c r="AIW5" s="107">
        <v>108.13</v>
      </c>
      <c r="AIX5" s="107">
        <v>108.13</v>
      </c>
      <c r="AIY5" s="107">
        <v>108.13</v>
      </c>
      <c r="AIZ5" s="107">
        <v>108.13</v>
      </c>
      <c r="AJY5" t="s">
        <v>6</v>
      </c>
    </row>
    <row r="6" spans="1:961">
      <c r="A6" s="107">
        <v>103.8</v>
      </c>
      <c r="B6" s="107">
        <v>103.8</v>
      </c>
      <c r="C6" s="107">
        <v>103.8</v>
      </c>
      <c r="D6" s="107">
        <v>103.8</v>
      </c>
      <c r="E6" s="107">
        <v>103.8</v>
      </c>
      <c r="F6" s="107">
        <v>103.8</v>
      </c>
      <c r="G6" s="107">
        <v>103.8</v>
      </c>
      <c r="H6" s="107">
        <v>103.8</v>
      </c>
      <c r="I6" s="107">
        <v>103.8</v>
      </c>
      <c r="J6" s="107">
        <v>103.8</v>
      </c>
      <c r="K6" s="107">
        <v>103.8</v>
      </c>
      <c r="L6" s="107">
        <v>103.8</v>
      </c>
      <c r="M6" s="107">
        <v>103.8</v>
      </c>
      <c r="N6" s="107">
        <v>103.8</v>
      </c>
      <c r="O6" s="107">
        <v>103.8</v>
      </c>
      <c r="P6" s="107">
        <v>103.8</v>
      </c>
      <c r="Q6" s="107">
        <v>103.8</v>
      </c>
      <c r="R6" s="107">
        <v>103.8</v>
      </c>
      <c r="S6" s="107">
        <v>103.8</v>
      </c>
      <c r="T6" s="107">
        <v>103.8</v>
      </c>
      <c r="U6" s="107">
        <v>103.8</v>
      </c>
      <c r="V6" s="107">
        <v>103.8</v>
      </c>
      <c r="W6" s="107">
        <v>103.8</v>
      </c>
      <c r="X6" s="107">
        <v>103.8</v>
      </c>
      <c r="Y6" s="107">
        <v>103.8</v>
      </c>
      <c r="Z6" s="107">
        <v>103.8</v>
      </c>
      <c r="AA6" s="107">
        <v>103.8</v>
      </c>
      <c r="AB6" s="107">
        <v>103.8</v>
      </c>
      <c r="AC6" s="107">
        <v>103.8</v>
      </c>
      <c r="AD6" s="107">
        <v>103.8</v>
      </c>
      <c r="AE6" s="107">
        <v>103.8</v>
      </c>
      <c r="AF6" s="107">
        <v>103.8</v>
      </c>
      <c r="AG6" s="107">
        <v>103.8</v>
      </c>
      <c r="AH6" s="107">
        <v>103.8</v>
      </c>
      <c r="AI6" s="107">
        <v>103.8</v>
      </c>
      <c r="AJ6" s="107">
        <v>103.8</v>
      </c>
      <c r="AK6" s="107">
        <v>103.8</v>
      </c>
      <c r="AL6" s="107">
        <v>103.8</v>
      </c>
      <c r="AM6" s="107">
        <v>103.8</v>
      </c>
      <c r="AN6" s="107">
        <v>103.8</v>
      </c>
      <c r="AO6" s="107">
        <v>103.8</v>
      </c>
      <c r="AP6" s="107">
        <v>103.8</v>
      </c>
      <c r="AQ6" s="107">
        <v>103.8</v>
      </c>
      <c r="AR6" s="107">
        <v>103.8</v>
      </c>
      <c r="AS6" s="107">
        <v>103.8</v>
      </c>
      <c r="AT6" s="107">
        <v>103.8</v>
      </c>
      <c r="AU6" s="107">
        <v>103.8</v>
      </c>
      <c r="AV6" s="107">
        <v>103.8</v>
      </c>
      <c r="AW6" s="107">
        <v>103.8</v>
      </c>
      <c r="AX6" s="107">
        <v>103.8</v>
      </c>
      <c r="AY6" s="107">
        <v>103.8</v>
      </c>
      <c r="AZ6" s="107">
        <v>103.8</v>
      </c>
      <c r="CC6" s="107">
        <v>103.8</v>
      </c>
      <c r="CD6" s="107">
        <v>103.8</v>
      </c>
      <c r="CE6" s="107">
        <v>103.8</v>
      </c>
      <c r="CF6" s="107">
        <v>103.8</v>
      </c>
      <c r="CG6" s="107">
        <v>103.8</v>
      </c>
      <c r="CH6" s="107">
        <v>103.8</v>
      </c>
      <c r="CI6" s="107">
        <v>103.8</v>
      </c>
      <c r="CJ6" s="107">
        <v>103.8</v>
      </c>
      <c r="CK6" s="107">
        <v>103.8</v>
      </c>
      <c r="CL6" s="107">
        <v>103.8</v>
      </c>
      <c r="CM6" s="107">
        <v>103.8</v>
      </c>
      <c r="CN6" s="107">
        <v>103.8</v>
      </c>
      <c r="CO6" s="107">
        <v>103.8</v>
      </c>
      <c r="CP6" s="107">
        <v>103.8</v>
      </c>
      <c r="CQ6" s="107">
        <v>103.8</v>
      </c>
      <c r="CR6" s="107">
        <v>103.8</v>
      </c>
      <c r="CS6" s="107">
        <v>103.8</v>
      </c>
      <c r="CT6" s="107">
        <v>103.8</v>
      </c>
      <c r="CU6" s="107">
        <v>103.8</v>
      </c>
      <c r="CV6" s="107">
        <v>103.8</v>
      </c>
      <c r="CW6" s="107">
        <v>103.8</v>
      </c>
      <c r="CX6" s="107">
        <v>103.8</v>
      </c>
      <c r="CY6" s="107">
        <v>103.8</v>
      </c>
      <c r="CZ6" s="107">
        <v>103.8</v>
      </c>
      <c r="DA6" s="107">
        <v>103.8</v>
      </c>
      <c r="DB6" s="107">
        <v>103.8</v>
      </c>
      <c r="DC6" s="107">
        <v>103.8</v>
      </c>
      <c r="DD6" s="107">
        <v>103.8</v>
      </c>
      <c r="DE6" s="107">
        <v>103.8</v>
      </c>
      <c r="DF6" s="107">
        <v>103.8</v>
      </c>
      <c r="DG6" s="107">
        <v>103.8</v>
      </c>
      <c r="DH6" s="107">
        <v>103.8</v>
      </c>
      <c r="DI6" s="107">
        <v>103.8</v>
      </c>
      <c r="DJ6" s="107">
        <v>103.8</v>
      </c>
      <c r="DK6" s="107">
        <v>103.8</v>
      </c>
      <c r="DL6" s="107">
        <v>103.8</v>
      </c>
      <c r="DM6" s="107">
        <v>103.8</v>
      </c>
      <c r="DN6" s="107">
        <v>103.8</v>
      </c>
      <c r="DO6" s="107">
        <v>103.8</v>
      </c>
      <c r="DP6" s="107">
        <v>103.8</v>
      </c>
      <c r="DQ6" s="107">
        <v>103.8</v>
      </c>
      <c r="DR6" s="107">
        <v>103.8</v>
      </c>
      <c r="DS6" s="107">
        <v>103.8</v>
      </c>
      <c r="DT6" s="107">
        <v>103.8</v>
      </c>
      <c r="DU6" s="107">
        <v>103.8</v>
      </c>
      <c r="DV6" s="107">
        <v>103.8</v>
      </c>
      <c r="DW6" s="107">
        <v>103.8</v>
      </c>
      <c r="DX6" s="107">
        <v>103.8</v>
      </c>
      <c r="DY6" s="107">
        <v>103.8</v>
      </c>
      <c r="DZ6" s="107">
        <v>103.8</v>
      </c>
      <c r="EA6" s="107">
        <v>103.8</v>
      </c>
      <c r="EB6" s="107">
        <v>103.8</v>
      </c>
      <c r="EC6" s="107">
        <v>103.8</v>
      </c>
      <c r="ED6" s="107">
        <v>103.8</v>
      </c>
      <c r="EE6" s="107">
        <v>103.8</v>
      </c>
      <c r="EF6" s="107">
        <v>103.8</v>
      </c>
      <c r="EG6" s="107">
        <v>103.8</v>
      </c>
      <c r="EH6" s="107">
        <v>103.8</v>
      </c>
      <c r="EI6" s="107">
        <v>103.8</v>
      </c>
      <c r="FE6" s="107">
        <v>103.8</v>
      </c>
      <c r="FF6" s="107">
        <v>103.8</v>
      </c>
      <c r="FG6" s="107">
        <v>103.8</v>
      </c>
      <c r="FH6" s="107">
        <v>103.8</v>
      </c>
      <c r="FI6" s="107">
        <v>103.8</v>
      </c>
      <c r="FJ6" s="107">
        <v>103.8</v>
      </c>
      <c r="FK6" s="107">
        <v>103.8</v>
      </c>
      <c r="FL6" s="107">
        <v>103.8</v>
      </c>
      <c r="FM6" s="107">
        <v>103.8</v>
      </c>
      <c r="FN6" s="107">
        <v>103.8</v>
      </c>
      <c r="FO6" s="107">
        <v>103.8</v>
      </c>
      <c r="FP6" s="107">
        <v>103.8</v>
      </c>
      <c r="FQ6" s="107">
        <v>103.8</v>
      </c>
      <c r="FR6" s="107">
        <v>103.8</v>
      </c>
      <c r="FS6" s="107">
        <v>103.8</v>
      </c>
      <c r="FT6" s="107">
        <v>103.8</v>
      </c>
      <c r="FU6" s="107">
        <v>103.8</v>
      </c>
      <c r="FV6" s="107">
        <v>103.8</v>
      </c>
      <c r="FW6" s="107">
        <v>103.8</v>
      </c>
      <c r="FX6" s="107">
        <v>103.8</v>
      </c>
      <c r="FY6" s="107">
        <v>103.8</v>
      </c>
      <c r="FZ6" s="107">
        <v>103.8</v>
      </c>
      <c r="GA6" s="107">
        <v>103.8</v>
      </c>
      <c r="GB6" s="107">
        <v>103.8</v>
      </c>
      <c r="GC6" s="107">
        <v>103.8</v>
      </c>
      <c r="GD6" s="107">
        <v>103.8</v>
      </c>
      <c r="GE6" s="107">
        <v>103.8</v>
      </c>
      <c r="GF6" s="107">
        <v>103.8</v>
      </c>
      <c r="GG6" s="107">
        <v>103.8</v>
      </c>
      <c r="GH6" s="107">
        <v>103.8</v>
      </c>
      <c r="GI6" s="107">
        <v>103.8</v>
      </c>
      <c r="GJ6" s="107">
        <v>103.8</v>
      </c>
      <c r="GK6" s="107">
        <v>103.8</v>
      </c>
      <c r="GL6" s="107">
        <v>103.8</v>
      </c>
      <c r="GM6" s="107">
        <v>103.8</v>
      </c>
      <c r="GN6" s="107">
        <v>103.8</v>
      </c>
      <c r="GO6" s="107">
        <v>103.8</v>
      </c>
      <c r="GP6" s="107">
        <v>103.8</v>
      </c>
      <c r="GQ6" s="107">
        <v>103.8</v>
      </c>
      <c r="GR6" s="107">
        <v>103.8</v>
      </c>
      <c r="GS6" s="107">
        <v>103.8</v>
      </c>
      <c r="GT6" s="107">
        <v>103.8</v>
      </c>
      <c r="GU6" s="107">
        <v>103.8</v>
      </c>
      <c r="GV6" s="107">
        <v>103.8</v>
      </c>
      <c r="GW6" s="107">
        <v>103.8</v>
      </c>
      <c r="GX6" s="107">
        <v>103.8</v>
      </c>
      <c r="GY6" s="107">
        <v>103.8</v>
      </c>
      <c r="GZ6" s="107">
        <v>103.8</v>
      </c>
      <c r="HA6" s="107">
        <v>103.8</v>
      </c>
      <c r="HB6" s="107">
        <v>103.8</v>
      </c>
      <c r="HC6" s="107">
        <v>103.8</v>
      </c>
      <c r="HD6" s="107">
        <v>103.8</v>
      </c>
      <c r="HE6" s="107">
        <v>103.8</v>
      </c>
      <c r="HF6" s="107">
        <v>103.8</v>
      </c>
      <c r="HG6" s="107">
        <v>103.8</v>
      </c>
      <c r="HH6" s="107">
        <v>103.8</v>
      </c>
      <c r="HI6" s="107">
        <v>103.8</v>
      </c>
      <c r="HJ6" s="107">
        <v>103.8</v>
      </c>
      <c r="HK6" s="107">
        <v>103.8</v>
      </c>
      <c r="HL6" s="107">
        <v>103.8</v>
      </c>
      <c r="IG6" s="107">
        <v>103.8</v>
      </c>
      <c r="IH6" s="107">
        <v>103.8</v>
      </c>
      <c r="II6" s="107">
        <v>103.8</v>
      </c>
      <c r="IJ6" s="107">
        <v>103.8</v>
      </c>
      <c r="IK6" s="107">
        <v>103.8</v>
      </c>
      <c r="IL6" s="107">
        <v>103.8</v>
      </c>
      <c r="IM6" s="107">
        <v>103.8</v>
      </c>
      <c r="IN6" s="107">
        <v>103.8</v>
      </c>
      <c r="IO6" s="107">
        <v>103.8</v>
      </c>
      <c r="IP6" s="107">
        <v>103.8</v>
      </c>
      <c r="IQ6" s="107">
        <v>103.8</v>
      </c>
      <c r="IR6" s="107">
        <v>103.8</v>
      </c>
      <c r="IS6" s="107">
        <v>103.8</v>
      </c>
      <c r="IT6" s="107">
        <v>103.8</v>
      </c>
      <c r="IU6" s="107">
        <v>103.8</v>
      </c>
      <c r="IV6" s="107">
        <v>103.8</v>
      </c>
      <c r="IW6" s="107">
        <v>103.8</v>
      </c>
      <c r="IX6" s="107">
        <v>103.8</v>
      </c>
      <c r="IY6" s="107">
        <v>103.8</v>
      </c>
      <c r="IZ6" s="107">
        <v>103.8</v>
      </c>
      <c r="JA6" s="107">
        <v>103.8</v>
      </c>
      <c r="JB6" s="107">
        <v>103.8</v>
      </c>
      <c r="JC6" s="107">
        <v>103.8</v>
      </c>
      <c r="JD6" s="107">
        <v>103.8</v>
      </c>
      <c r="JE6" s="107">
        <v>103.8</v>
      </c>
      <c r="JF6" s="107">
        <v>103.8</v>
      </c>
      <c r="JG6" s="107">
        <v>103.8</v>
      </c>
      <c r="JH6" s="107">
        <v>103.8</v>
      </c>
      <c r="JI6" s="107">
        <v>103.8</v>
      </c>
      <c r="JJ6" s="107">
        <v>103.8</v>
      </c>
      <c r="JK6" s="107">
        <v>103.8</v>
      </c>
      <c r="JL6" s="107">
        <v>103.8</v>
      </c>
      <c r="JM6" s="107">
        <v>103.8</v>
      </c>
      <c r="JN6" s="107">
        <v>103.8</v>
      </c>
      <c r="JO6" s="107">
        <v>103.8</v>
      </c>
      <c r="JP6" s="107">
        <v>103.8</v>
      </c>
      <c r="JQ6" s="107">
        <v>103.8</v>
      </c>
      <c r="JR6" s="107">
        <v>103.8</v>
      </c>
      <c r="JS6" s="107">
        <v>103.8</v>
      </c>
      <c r="JT6" s="107">
        <v>103.8</v>
      </c>
      <c r="JU6" s="107">
        <v>103.8</v>
      </c>
      <c r="JV6" s="107">
        <v>103.8</v>
      </c>
      <c r="JW6" s="107">
        <v>103.8</v>
      </c>
      <c r="JX6" s="107">
        <v>103.8</v>
      </c>
      <c r="JY6" s="107">
        <v>103.8</v>
      </c>
      <c r="JZ6" s="107">
        <v>103.8</v>
      </c>
      <c r="KA6" s="107">
        <v>103.8</v>
      </c>
      <c r="KB6" s="107">
        <v>103.8</v>
      </c>
      <c r="KC6" s="107">
        <v>103.8</v>
      </c>
      <c r="KD6" s="107">
        <v>103.8</v>
      </c>
      <c r="KE6" s="107">
        <v>103.8</v>
      </c>
      <c r="KF6" s="107">
        <v>103.8</v>
      </c>
      <c r="KG6" s="107">
        <v>103.8</v>
      </c>
      <c r="KH6" s="107">
        <v>103.8</v>
      </c>
      <c r="KI6" s="107">
        <v>103.8</v>
      </c>
      <c r="KJ6" s="107">
        <v>103.8</v>
      </c>
      <c r="KK6" s="107">
        <v>103.8</v>
      </c>
      <c r="KL6" s="107">
        <v>103.8</v>
      </c>
      <c r="KM6" s="107">
        <v>103.8</v>
      </c>
      <c r="KN6" s="107">
        <v>103.8</v>
      </c>
      <c r="LI6" s="107">
        <v>103.8</v>
      </c>
      <c r="LJ6" s="107">
        <v>103.8</v>
      </c>
      <c r="LK6" s="107">
        <v>103.8</v>
      </c>
      <c r="LL6" s="107">
        <v>103.8</v>
      </c>
      <c r="LM6" s="107">
        <v>103.8</v>
      </c>
      <c r="LN6" s="107">
        <v>103.8</v>
      </c>
      <c r="LO6" s="107">
        <v>103.8</v>
      </c>
      <c r="LP6" s="107">
        <v>103.8</v>
      </c>
      <c r="LQ6" s="107">
        <v>103.8</v>
      </c>
      <c r="LR6" s="107">
        <v>103.8</v>
      </c>
      <c r="LS6" s="107">
        <v>103.8</v>
      </c>
      <c r="LT6" s="107">
        <v>103.8</v>
      </c>
      <c r="LU6" s="107">
        <v>103.8</v>
      </c>
      <c r="LV6" s="107">
        <v>103.8</v>
      </c>
      <c r="LW6" s="107">
        <v>103.8</v>
      </c>
      <c r="LX6" s="107">
        <v>103.8</v>
      </c>
      <c r="LY6" s="107">
        <v>103.8</v>
      </c>
      <c r="LZ6" s="107">
        <v>103.8</v>
      </c>
      <c r="MA6" s="107">
        <v>103.8</v>
      </c>
      <c r="MB6" s="107">
        <v>103.8</v>
      </c>
      <c r="MC6" s="107">
        <v>103.8</v>
      </c>
      <c r="MD6" s="107">
        <v>103.8</v>
      </c>
      <c r="ME6" s="107">
        <v>103.8</v>
      </c>
      <c r="MF6" s="107">
        <v>103.8</v>
      </c>
      <c r="MG6" s="107">
        <v>103.8</v>
      </c>
      <c r="MH6" s="107">
        <v>103.8</v>
      </c>
      <c r="MI6" s="107">
        <v>103.8</v>
      </c>
      <c r="MJ6" s="107">
        <v>103.8</v>
      </c>
      <c r="MK6" s="107">
        <v>103.8</v>
      </c>
      <c r="ML6" s="107">
        <v>103.8</v>
      </c>
      <c r="MM6" s="107">
        <v>103.8</v>
      </c>
      <c r="MN6" s="107">
        <v>103.8</v>
      </c>
      <c r="MO6" s="107">
        <v>103.8</v>
      </c>
      <c r="MP6" s="107">
        <v>103.8</v>
      </c>
      <c r="MQ6" s="107">
        <v>103.8</v>
      </c>
      <c r="MR6" s="107">
        <v>103.8</v>
      </c>
      <c r="MS6" s="107">
        <v>103.8</v>
      </c>
      <c r="MT6" s="107">
        <v>103.8</v>
      </c>
      <c r="MU6" s="107">
        <v>103.8</v>
      </c>
      <c r="MV6" s="107">
        <v>103.8</v>
      </c>
      <c r="MW6" s="107">
        <v>103.8</v>
      </c>
      <c r="MX6" s="107">
        <v>103.8</v>
      </c>
      <c r="MY6" s="107">
        <v>103.8</v>
      </c>
      <c r="MZ6" s="107">
        <v>103.8</v>
      </c>
      <c r="NA6" s="107">
        <v>103.8</v>
      </c>
      <c r="NB6" s="107">
        <v>103.8</v>
      </c>
      <c r="NC6" s="107">
        <v>103.8</v>
      </c>
      <c r="ND6" s="107">
        <v>103.8</v>
      </c>
      <c r="NE6" s="107">
        <v>103.8</v>
      </c>
      <c r="NF6" s="107">
        <v>103.8</v>
      </c>
      <c r="NG6" s="107">
        <v>103.8</v>
      </c>
      <c r="NH6" s="107">
        <v>103.8</v>
      </c>
      <c r="NI6" s="107">
        <v>103.8</v>
      </c>
      <c r="NJ6" s="107">
        <v>103.8</v>
      </c>
      <c r="NK6" s="107">
        <v>103.8</v>
      </c>
      <c r="NL6" s="107">
        <v>103.8</v>
      </c>
      <c r="NM6" s="107">
        <v>103.8</v>
      </c>
      <c r="NN6" s="107">
        <v>103.8</v>
      </c>
      <c r="NO6" s="107">
        <v>103.8</v>
      </c>
      <c r="NP6" s="107">
        <v>103.8</v>
      </c>
      <c r="NQ6" s="107">
        <v>103.8</v>
      </c>
      <c r="NR6" s="107">
        <v>103.8</v>
      </c>
      <c r="OK6" s="107">
        <v>103.8</v>
      </c>
      <c r="OL6" s="107">
        <v>103.8</v>
      </c>
      <c r="OM6" s="107">
        <v>103.8</v>
      </c>
      <c r="ON6" s="107">
        <v>103.8</v>
      </c>
      <c r="OO6" s="107">
        <v>103.8</v>
      </c>
      <c r="OP6" s="107">
        <v>103.8</v>
      </c>
      <c r="OQ6" s="107">
        <v>103.8</v>
      </c>
      <c r="OR6" s="107">
        <v>103.8</v>
      </c>
      <c r="OS6" s="107">
        <v>103.8</v>
      </c>
      <c r="OT6" s="107">
        <v>103.8</v>
      </c>
      <c r="OU6" s="107">
        <v>103.8</v>
      </c>
      <c r="OV6" s="107">
        <v>103.8</v>
      </c>
      <c r="OW6" s="107">
        <v>103.8</v>
      </c>
      <c r="OX6" s="107">
        <v>103.8</v>
      </c>
      <c r="OY6" s="107">
        <v>103.8</v>
      </c>
      <c r="OZ6" s="107">
        <v>103.8</v>
      </c>
      <c r="PA6" s="107">
        <v>103.8</v>
      </c>
      <c r="PB6" s="107">
        <v>103.8</v>
      </c>
      <c r="PC6" s="107">
        <v>103.8</v>
      </c>
      <c r="PD6" s="107">
        <v>103.8</v>
      </c>
      <c r="PE6" s="107">
        <v>103.8</v>
      </c>
      <c r="PF6" s="107">
        <v>103.8</v>
      </c>
      <c r="PG6" s="107">
        <v>103.8</v>
      </c>
      <c r="PH6" s="107">
        <v>103.8</v>
      </c>
      <c r="PI6" s="107">
        <v>103.8</v>
      </c>
      <c r="PJ6" s="107">
        <v>103.8</v>
      </c>
      <c r="PK6" s="107">
        <v>103.8</v>
      </c>
      <c r="PL6" s="107">
        <v>103.8</v>
      </c>
      <c r="PM6" s="107">
        <v>103.8</v>
      </c>
      <c r="PN6" s="107">
        <v>103.8</v>
      </c>
      <c r="PO6" s="107">
        <v>103.8</v>
      </c>
      <c r="PP6" s="107">
        <v>103.8</v>
      </c>
      <c r="PQ6" s="107">
        <v>103.8</v>
      </c>
      <c r="PR6" s="107">
        <v>103.8</v>
      </c>
      <c r="PS6" s="107">
        <v>103.8</v>
      </c>
      <c r="PT6" s="107">
        <v>103.8</v>
      </c>
      <c r="PU6" s="107">
        <v>103.8</v>
      </c>
      <c r="PV6" s="107">
        <v>103.8</v>
      </c>
      <c r="PW6" s="107">
        <v>103.8</v>
      </c>
      <c r="PX6" s="107">
        <v>103.8</v>
      </c>
      <c r="PY6" s="107">
        <v>103.8</v>
      </c>
      <c r="PZ6" s="107">
        <v>103.8</v>
      </c>
      <c r="QA6" s="107">
        <v>103.8</v>
      </c>
      <c r="QB6" s="107">
        <v>103.8</v>
      </c>
      <c r="QC6" s="107">
        <v>103.8</v>
      </c>
      <c r="QD6" s="107">
        <v>103.8</v>
      </c>
      <c r="QE6" s="107">
        <v>103.8</v>
      </c>
      <c r="QF6" s="107">
        <v>103.8</v>
      </c>
      <c r="QG6" s="107">
        <v>103.8</v>
      </c>
      <c r="QH6" s="107">
        <v>103.8</v>
      </c>
      <c r="QI6" s="107">
        <v>103.8</v>
      </c>
      <c r="QJ6" s="107">
        <v>103.8</v>
      </c>
      <c r="QK6" s="107">
        <v>103.8</v>
      </c>
      <c r="QL6" s="107">
        <v>103.8</v>
      </c>
      <c r="QM6" s="107">
        <v>103.8</v>
      </c>
      <c r="QN6" s="107">
        <v>103.8</v>
      </c>
      <c r="QO6" s="107">
        <v>103.8</v>
      </c>
      <c r="QP6" s="107">
        <v>103.8</v>
      </c>
      <c r="QQ6" s="107">
        <v>103.8</v>
      </c>
      <c r="QR6" s="107">
        <v>103.8</v>
      </c>
      <c r="QS6" s="107">
        <v>103.8</v>
      </c>
      <c r="QT6" s="107">
        <v>103.8</v>
      </c>
      <c r="RM6" s="107">
        <v>103.8</v>
      </c>
      <c r="RN6" s="107">
        <v>103.8</v>
      </c>
      <c r="RO6" s="107">
        <v>103.8</v>
      </c>
      <c r="RP6" s="107">
        <v>103.8</v>
      </c>
      <c r="RQ6" s="107">
        <v>103.8</v>
      </c>
      <c r="RR6" s="107">
        <v>103.8</v>
      </c>
      <c r="RS6" s="107">
        <v>103.8</v>
      </c>
      <c r="RT6" s="107">
        <v>103.8</v>
      </c>
      <c r="RU6" s="107">
        <v>103.8</v>
      </c>
      <c r="RV6" s="107">
        <v>103.8</v>
      </c>
      <c r="RW6" s="107">
        <v>103.8</v>
      </c>
      <c r="RX6" s="107">
        <v>103.8</v>
      </c>
      <c r="RY6" s="107">
        <v>103.8</v>
      </c>
      <c r="RZ6" s="107">
        <v>103.8</v>
      </c>
      <c r="SA6" s="107">
        <v>103.8</v>
      </c>
      <c r="SB6" s="107">
        <v>103.8</v>
      </c>
      <c r="SC6" s="107">
        <v>103.8</v>
      </c>
      <c r="SD6" s="107">
        <v>103.8</v>
      </c>
      <c r="SE6" s="107">
        <v>103.8</v>
      </c>
      <c r="SF6" s="107">
        <v>103.8</v>
      </c>
      <c r="SG6" s="107">
        <v>103.8</v>
      </c>
      <c r="SH6" s="107">
        <v>103.8</v>
      </c>
      <c r="SI6" s="107">
        <v>103.8</v>
      </c>
      <c r="SJ6" s="107">
        <v>103.8</v>
      </c>
      <c r="SK6" s="107">
        <v>103.8</v>
      </c>
      <c r="SL6" s="107">
        <v>103.8</v>
      </c>
      <c r="SM6" s="107">
        <v>103.8</v>
      </c>
      <c r="SN6" s="107">
        <v>103.8</v>
      </c>
      <c r="SO6" s="107">
        <v>103.8</v>
      </c>
      <c r="SP6" s="107">
        <v>103.8</v>
      </c>
      <c r="SQ6" s="107">
        <v>103.8</v>
      </c>
      <c r="SR6" s="107">
        <v>103.8</v>
      </c>
      <c r="SS6" s="107">
        <v>103.8</v>
      </c>
      <c r="ST6" s="107">
        <v>103.8</v>
      </c>
      <c r="SU6" s="107">
        <v>103.8</v>
      </c>
      <c r="SV6" s="107">
        <v>103.8</v>
      </c>
      <c r="SW6" s="107">
        <v>103.8</v>
      </c>
      <c r="SX6" s="107">
        <v>103.8</v>
      </c>
      <c r="SY6" s="107">
        <v>103.8</v>
      </c>
      <c r="SZ6" s="107">
        <v>103.8</v>
      </c>
      <c r="TA6" s="107">
        <v>103.8</v>
      </c>
      <c r="TB6" s="107">
        <v>103.8</v>
      </c>
      <c r="TC6" s="107">
        <v>103.8</v>
      </c>
      <c r="TD6" s="107">
        <v>103.8</v>
      </c>
      <c r="TE6" s="107">
        <v>103.8</v>
      </c>
      <c r="TF6" s="107">
        <v>103.8</v>
      </c>
      <c r="TG6" s="107">
        <v>103.8</v>
      </c>
      <c r="TH6" s="107">
        <v>103.8</v>
      </c>
      <c r="TI6" s="107">
        <v>103.8</v>
      </c>
      <c r="TJ6" s="107">
        <v>103.8</v>
      </c>
      <c r="TK6" s="107">
        <v>103.8</v>
      </c>
      <c r="TL6" s="107">
        <v>103.8</v>
      </c>
      <c r="TM6" s="107">
        <v>103.8</v>
      </c>
      <c r="TN6" s="107">
        <v>103.8</v>
      </c>
      <c r="TO6" s="107">
        <v>103.8</v>
      </c>
      <c r="TP6" s="107">
        <v>103.8</v>
      </c>
      <c r="TQ6" s="107">
        <v>103.8</v>
      </c>
      <c r="TR6" s="107">
        <v>103.8</v>
      </c>
      <c r="TS6" s="107">
        <v>103.8</v>
      </c>
      <c r="TT6" s="107">
        <v>103.8</v>
      </c>
      <c r="TU6" s="107">
        <v>103.8</v>
      </c>
      <c r="TV6" s="107">
        <v>103.8</v>
      </c>
      <c r="UO6" s="107">
        <v>103.8</v>
      </c>
      <c r="UP6" s="107">
        <v>103.8</v>
      </c>
      <c r="UQ6" s="107">
        <v>103.8</v>
      </c>
      <c r="UR6" s="107">
        <v>103.8</v>
      </c>
      <c r="US6" s="107">
        <v>103.8</v>
      </c>
      <c r="UT6" s="107">
        <v>103.8</v>
      </c>
      <c r="UU6" s="107">
        <v>103.8</v>
      </c>
      <c r="UV6" s="107">
        <v>103.8</v>
      </c>
      <c r="UW6" s="107">
        <v>103.8</v>
      </c>
      <c r="UX6" s="107">
        <v>103.8</v>
      </c>
      <c r="UY6" s="107">
        <v>103.8</v>
      </c>
      <c r="UZ6" s="107">
        <v>103.8</v>
      </c>
      <c r="VA6" s="107">
        <v>103.8</v>
      </c>
      <c r="VB6" s="107">
        <v>103.8</v>
      </c>
      <c r="VC6" s="107">
        <v>103.8</v>
      </c>
      <c r="VD6" s="107">
        <v>103.8</v>
      </c>
      <c r="VE6" s="107">
        <v>103.8</v>
      </c>
      <c r="VF6" s="107">
        <v>103.8</v>
      </c>
      <c r="VG6" s="107">
        <v>103.8</v>
      </c>
      <c r="VH6" s="107">
        <v>103.8</v>
      </c>
      <c r="VI6" s="107">
        <v>103.8</v>
      </c>
      <c r="VJ6" s="107">
        <v>103.8</v>
      </c>
      <c r="VK6" s="107">
        <v>103.8</v>
      </c>
      <c r="VL6" s="107">
        <v>103.8</v>
      </c>
      <c r="VM6" s="107">
        <v>103.8</v>
      </c>
      <c r="VN6" s="107">
        <v>103.8</v>
      </c>
      <c r="VO6" s="107">
        <v>103.8</v>
      </c>
      <c r="VP6" s="107">
        <v>103.8</v>
      </c>
      <c r="VQ6" s="107">
        <v>103.8</v>
      </c>
      <c r="VR6" s="107">
        <v>103.8</v>
      </c>
      <c r="VS6" s="107">
        <v>103.8</v>
      </c>
      <c r="VT6" s="107">
        <v>103.8</v>
      </c>
      <c r="VU6" s="107">
        <v>103.8</v>
      </c>
      <c r="VV6" s="107">
        <v>103.8</v>
      </c>
      <c r="VW6" s="107">
        <v>103.8</v>
      </c>
      <c r="VX6" s="107">
        <v>103.8</v>
      </c>
      <c r="VY6" s="107">
        <v>103.8</v>
      </c>
      <c r="VZ6" s="107">
        <v>103.8</v>
      </c>
      <c r="WA6" s="107">
        <v>103.8</v>
      </c>
      <c r="WB6" s="107">
        <v>103.8</v>
      </c>
      <c r="WC6" s="107">
        <v>103.8</v>
      </c>
      <c r="WD6" s="107">
        <v>103.8</v>
      </c>
      <c r="WE6" s="107">
        <v>103.8</v>
      </c>
      <c r="WF6" s="107">
        <v>103.8</v>
      </c>
      <c r="WG6" s="107">
        <v>103.8</v>
      </c>
      <c r="WH6" s="107">
        <v>103.8</v>
      </c>
      <c r="WI6" s="107">
        <v>103.8</v>
      </c>
      <c r="WJ6" s="107">
        <v>103.8</v>
      </c>
      <c r="WK6" s="107">
        <v>103.8</v>
      </c>
      <c r="WL6" s="107">
        <v>103.8</v>
      </c>
      <c r="WM6" s="107">
        <v>103.8</v>
      </c>
      <c r="WN6" s="107">
        <v>103.8</v>
      </c>
      <c r="WO6" s="107">
        <v>103.8</v>
      </c>
      <c r="WP6" s="107">
        <v>103.8</v>
      </c>
      <c r="WQ6" s="107">
        <v>103.8</v>
      </c>
      <c r="WR6" s="107">
        <v>103.8</v>
      </c>
      <c r="WS6" s="107">
        <v>103.8</v>
      </c>
      <c r="WT6" s="107">
        <v>103.8</v>
      </c>
      <c r="WU6" s="107">
        <v>103.8</v>
      </c>
      <c r="WV6" s="107">
        <v>103.8</v>
      </c>
      <c r="WW6" s="107">
        <v>103.8</v>
      </c>
      <c r="XQ6" s="107">
        <v>103.8</v>
      </c>
      <c r="XR6" s="107">
        <v>103.8</v>
      </c>
      <c r="XS6" s="107">
        <v>103.8</v>
      </c>
      <c r="XT6" s="107">
        <v>103.8</v>
      </c>
      <c r="XU6" s="107">
        <v>103.8</v>
      </c>
      <c r="XV6" s="107">
        <v>103.8</v>
      </c>
      <c r="XW6" s="107">
        <v>103.8</v>
      </c>
      <c r="XX6" s="107">
        <v>103.8</v>
      </c>
      <c r="XY6" s="107">
        <v>103.8</v>
      </c>
      <c r="XZ6" s="107">
        <v>103.8</v>
      </c>
      <c r="YA6" s="107">
        <v>103.8</v>
      </c>
      <c r="YB6" s="107">
        <v>103.8</v>
      </c>
      <c r="YC6" s="107">
        <v>103.8</v>
      </c>
      <c r="YD6" s="107">
        <v>103.8</v>
      </c>
      <c r="YE6" s="107">
        <v>103.8</v>
      </c>
      <c r="YF6" s="107">
        <v>103.8</v>
      </c>
      <c r="YG6" s="107">
        <v>103.8</v>
      </c>
      <c r="YH6" s="107">
        <v>103.8</v>
      </c>
      <c r="YI6" s="107">
        <v>103.8</v>
      </c>
      <c r="YJ6" s="107">
        <v>103.8</v>
      </c>
      <c r="YK6" s="107">
        <v>103.8</v>
      </c>
      <c r="YL6" s="107">
        <v>103.8</v>
      </c>
      <c r="YM6" s="107">
        <v>103.8</v>
      </c>
      <c r="YN6" s="107">
        <v>103.8</v>
      </c>
      <c r="YO6" s="107">
        <v>103.8</v>
      </c>
      <c r="YP6" s="107">
        <v>103.8</v>
      </c>
      <c r="YQ6" s="107">
        <v>103.8</v>
      </c>
      <c r="YR6" s="107">
        <v>103.8</v>
      </c>
      <c r="YS6" s="107">
        <v>103.8</v>
      </c>
      <c r="YT6" s="107">
        <v>103.8</v>
      </c>
      <c r="YU6" s="107">
        <v>103.8</v>
      </c>
      <c r="YV6" s="107">
        <v>103.8</v>
      </c>
      <c r="YW6" s="107">
        <v>103.8</v>
      </c>
      <c r="YX6" s="107">
        <v>103.8</v>
      </c>
      <c r="YY6" s="107">
        <v>103.8</v>
      </c>
      <c r="YZ6" s="107">
        <v>103.8</v>
      </c>
      <c r="ZA6" s="107">
        <v>103.8</v>
      </c>
      <c r="ZB6" s="107">
        <v>103.8</v>
      </c>
      <c r="ZC6" s="107">
        <v>103.8</v>
      </c>
      <c r="ZD6" s="107">
        <v>103.8</v>
      </c>
      <c r="ZE6" s="107">
        <v>103.8</v>
      </c>
      <c r="ZF6" s="107">
        <v>103.8</v>
      </c>
      <c r="ZG6" s="107">
        <v>103.8</v>
      </c>
      <c r="ZH6" s="107">
        <v>103.8</v>
      </c>
      <c r="ZI6" s="107">
        <v>103.8</v>
      </c>
      <c r="ZJ6" s="107">
        <v>103.8</v>
      </c>
      <c r="ZK6" s="107">
        <v>103.8</v>
      </c>
      <c r="ZL6" s="107">
        <v>103.8</v>
      </c>
      <c r="ZM6" s="107">
        <v>103.8</v>
      </c>
      <c r="ZN6" s="107">
        <v>103.8</v>
      </c>
      <c r="ZO6" s="107">
        <v>103.8</v>
      </c>
      <c r="ZP6" s="107">
        <v>103.8</v>
      </c>
      <c r="ZQ6" s="107">
        <v>103.8</v>
      </c>
      <c r="ZR6" s="107">
        <v>103.8</v>
      </c>
      <c r="ZS6" s="107">
        <v>103.8</v>
      </c>
      <c r="ZT6" s="107">
        <v>103.8</v>
      </c>
      <c r="ZU6" s="107">
        <v>103.8</v>
      </c>
      <c r="ZV6" s="107">
        <v>103.8</v>
      </c>
      <c r="ZW6" s="107">
        <v>103.8</v>
      </c>
      <c r="AAS6" s="107">
        <v>103.8</v>
      </c>
      <c r="AAT6" s="107">
        <v>103.8</v>
      </c>
      <c r="AAU6" s="107">
        <v>103.8</v>
      </c>
      <c r="AAV6" s="107">
        <v>103.8</v>
      </c>
      <c r="AAW6" s="107">
        <v>103.8</v>
      </c>
      <c r="AAX6" s="107">
        <v>103.8</v>
      </c>
      <c r="AAY6" s="107">
        <v>103.8</v>
      </c>
      <c r="AAZ6" s="107">
        <v>103.8</v>
      </c>
      <c r="ABA6" s="107">
        <v>103.8</v>
      </c>
      <c r="ABB6" s="107">
        <v>103.8</v>
      </c>
      <c r="ABC6" s="107">
        <v>103.8</v>
      </c>
      <c r="ABD6" s="107">
        <v>103.8</v>
      </c>
      <c r="ABE6" s="107">
        <v>103.8</v>
      </c>
      <c r="ABF6" s="107">
        <v>103.8</v>
      </c>
      <c r="ABG6" s="107">
        <v>103.8</v>
      </c>
      <c r="ABH6" s="107">
        <v>103.8</v>
      </c>
      <c r="ABI6" s="107">
        <v>103.8</v>
      </c>
      <c r="ABJ6" s="107">
        <v>103.8</v>
      </c>
      <c r="ABK6" s="107">
        <v>103.8</v>
      </c>
      <c r="ABL6" s="107">
        <v>103.8</v>
      </c>
      <c r="ABM6" s="107">
        <v>103.8</v>
      </c>
      <c r="ABN6" s="107">
        <v>103.8</v>
      </c>
      <c r="ABO6" s="107">
        <v>103.8</v>
      </c>
      <c r="ABP6" s="107">
        <v>103.8</v>
      </c>
      <c r="ABQ6" s="107">
        <v>103.8</v>
      </c>
      <c r="ABR6" s="107">
        <v>103.8</v>
      </c>
      <c r="ABS6" s="107">
        <v>103.8</v>
      </c>
      <c r="ABT6" s="107">
        <v>103.8</v>
      </c>
      <c r="ABU6" s="107">
        <v>103.8</v>
      </c>
      <c r="ABV6" s="107">
        <v>103.8</v>
      </c>
      <c r="ABW6" s="107">
        <v>103.8</v>
      </c>
      <c r="ABX6" s="107">
        <v>103.8</v>
      </c>
      <c r="ABY6" s="107">
        <v>103.8</v>
      </c>
      <c r="ABZ6" s="107">
        <v>103.8</v>
      </c>
      <c r="ACA6" s="107">
        <v>103.8</v>
      </c>
      <c r="ACB6" s="107">
        <v>103.8</v>
      </c>
      <c r="ACC6" s="107">
        <v>103.8</v>
      </c>
      <c r="ACD6" s="107">
        <v>103.8</v>
      </c>
      <c r="ACE6" s="107">
        <v>103.8</v>
      </c>
      <c r="ACF6" s="107">
        <v>103.8</v>
      </c>
      <c r="ACG6" s="107">
        <v>103.8</v>
      </c>
      <c r="ACH6" s="107">
        <v>103.8</v>
      </c>
      <c r="ACI6" s="107">
        <v>103.8</v>
      </c>
      <c r="ACJ6" s="107">
        <v>103.8</v>
      </c>
      <c r="ACK6" s="107">
        <v>103.8</v>
      </c>
      <c r="ACL6" s="107">
        <v>103.8</v>
      </c>
      <c r="ACM6" s="107">
        <v>103.8</v>
      </c>
      <c r="ACN6" s="107">
        <v>103.8</v>
      </c>
      <c r="ACO6" s="107">
        <v>103.8</v>
      </c>
      <c r="ACP6" s="107">
        <v>103.8</v>
      </c>
      <c r="ACQ6" s="107">
        <v>103.8</v>
      </c>
      <c r="ACR6" s="107">
        <v>103.8</v>
      </c>
      <c r="ACS6" s="107">
        <v>103.8</v>
      </c>
      <c r="ACT6" s="107">
        <v>103.8</v>
      </c>
      <c r="ACU6" s="107">
        <v>103.8</v>
      </c>
      <c r="ACV6" s="107">
        <v>103.8</v>
      </c>
      <c r="ACW6" s="107">
        <v>103.8</v>
      </c>
      <c r="ACX6" s="107">
        <v>103.8</v>
      </c>
      <c r="ADU6" s="107">
        <v>103.8</v>
      </c>
      <c r="ADV6" s="107">
        <v>103.8</v>
      </c>
      <c r="ADW6" s="107">
        <v>103.8</v>
      </c>
      <c r="ADX6" s="107">
        <v>103.8</v>
      </c>
      <c r="ADY6" s="107">
        <v>103.8</v>
      </c>
      <c r="ADZ6" s="107">
        <v>103.8</v>
      </c>
      <c r="AEA6" s="107">
        <v>103.8</v>
      </c>
      <c r="AEB6" s="107">
        <v>103.8</v>
      </c>
      <c r="AEC6" s="107">
        <v>103.8</v>
      </c>
      <c r="AED6" s="107">
        <v>103.8</v>
      </c>
      <c r="AEE6" s="107">
        <v>103.8</v>
      </c>
      <c r="AEF6" s="107">
        <v>103.8</v>
      </c>
      <c r="AEG6" s="107">
        <v>103.8</v>
      </c>
      <c r="AEH6" s="107">
        <v>103.8</v>
      </c>
      <c r="AEI6" s="107">
        <v>103.8</v>
      </c>
      <c r="AEJ6" s="107">
        <v>103.8</v>
      </c>
      <c r="AEK6" s="107">
        <v>103.8</v>
      </c>
      <c r="AEL6" s="107">
        <v>103.8</v>
      </c>
      <c r="AEM6" s="107">
        <v>103.8</v>
      </c>
      <c r="AEN6" s="107">
        <v>103.8</v>
      </c>
      <c r="AEO6" s="107">
        <v>103.8</v>
      </c>
      <c r="AEP6" s="107">
        <v>103.8</v>
      </c>
      <c r="AEQ6" s="107">
        <v>103.8</v>
      </c>
      <c r="AER6" s="107">
        <v>103.8</v>
      </c>
      <c r="AES6" s="107">
        <v>103.8</v>
      </c>
      <c r="AET6" s="107">
        <v>103.8</v>
      </c>
      <c r="AEU6" s="107">
        <v>103.8</v>
      </c>
      <c r="AEV6" s="107">
        <v>103.8</v>
      </c>
      <c r="AEW6" s="107">
        <v>103.8</v>
      </c>
      <c r="AEX6" s="107">
        <v>103.8</v>
      </c>
      <c r="AEY6" s="107">
        <v>103.8</v>
      </c>
      <c r="AEZ6" s="107">
        <v>103.8</v>
      </c>
      <c r="AFA6" s="107">
        <v>103.8</v>
      </c>
      <c r="AFB6" s="107">
        <v>103.8</v>
      </c>
      <c r="AFC6" s="107">
        <v>103.8</v>
      </c>
      <c r="AFD6" s="107">
        <v>103.8</v>
      </c>
      <c r="AFE6" s="107">
        <v>103.8</v>
      </c>
      <c r="AFF6" s="107">
        <v>103.8</v>
      </c>
      <c r="AFG6" s="107">
        <v>103.8</v>
      </c>
      <c r="AFH6" s="107">
        <v>103.8</v>
      </c>
      <c r="AFI6" s="107">
        <v>103.8</v>
      </c>
      <c r="AFJ6" s="107">
        <v>103.8</v>
      </c>
      <c r="AFK6" s="107">
        <v>103.8</v>
      </c>
      <c r="AFL6" s="107">
        <v>103.8</v>
      </c>
      <c r="AFM6" s="107">
        <v>103.8</v>
      </c>
      <c r="AFN6" s="107">
        <v>103.8</v>
      </c>
      <c r="AFO6" s="107">
        <v>103.8</v>
      </c>
      <c r="AFP6" s="107">
        <v>103.8</v>
      </c>
      <c r="AFQ6" s="107">
        <v>103.8</v>
      </c>
      <c r="AFR6" s="107">
        <v>103.8</v>
      </c>
      <c r="AFS6" s="107">
        <v>103.8</v>
      </c>
      <c r="AFT6" s="107">
        <v>103.8</v>
      </c>
      <c r="AFU6" s="107">
        <v>103.8</v>
      </c>
      <c r="AFV6" s="107">
        <v>103.8</v>
      </c>
      <c r="AFW6" s="107">
        <v>103.8</v>
      </c>
      <c r="AFX6" s="107">
        <v>103.8</v>
      </c>
      <c r="AFY6" s="107">
        <v>103.8</v>
      </c>
      <c r="AGW6" s="107">
        <v>103.8</v>
      </c>
      <c r="AGX6" s="107">
        <v>103.8</v>
      </c>
      <c r="AGY6" s="107">
        <v>103.8</v>
      </c>
      <c r="AGZ6" s="107">
        <v>103.8</v>
      </c>
      <c r="AHA6" s="107">
        <v>103.8</v>
      </c>
      <c r="AHB6" s="107">
        <v>103.8</v>
      </c>
      <c r="AHC6" s="107">
        <v>103.8</v>
      </c>
      <c r="AHD6" s="107">
        <v>103.8</v>
      </c>
      <c r="AHE6" s="107">
        <v>103.8</v>
      </c>
      <c r="AHF6" s="107">
        <v>103.8</v>
      </c>
      <c r="AHG6" s="107">
        <v>103.8</v>
      </c>
      <c r="AHH6" s="107">
        <v>103.8</v>
      </c>
      <c r="AHI6" s="107">
        <v>103.8</v>
      </c>
      <c r="AHJ6" s="107">
        <v>103.8</v>
      </c>
      <c r="AHK6" s="107">
        <v>103.8</v>
      </c>
      <c r="AHL6" s="107">
        <v>103.8</v>
      </c>
      <c r="AHM6" s="107">
        <v>103.8</v>
      </c>
      <c r="AHN6" s="107">
        <v>103.8</v>
      </c>
      <c r="AHO6" s="107">
        <v>103.8</v>
      </c>
      <c r="AHP6" s="107">
        <v>103.8</v>
      </c>
      <c r="AHQ6" s="107">
        <v>103.8</v>
      </c>
      <c r="AHR6" s="107">
        <v>103.8</v>
      </c>
      <c r="AHS6" s="107">
        <v>103.8</v>
      </c>
      <c r="AHT6" s="107">
        <v>103.8</v>
      </c>
      <c r="AHU6" s="107">
        <v>103.8</v>
      </c>
      <c r="AHV6" s="107">
        <v>103.8</v>
      </c>
      <c r="AHW6" s="107">
        <v>103.8</v>
      </c>
      <c r="AHX6" s="107">
        <v>103.8</v>
      </c>
      <c r="AHY6" s="107">
        <v>103.8</v>
      </c>
      <c r="AHZ6" s="107">
        <v>103.8</v>
      </c>
      <c r="AIA6" s="107">
        <v>103.8</v>
      </c>
      <c r="AIB6" s="107">
        <v>103.8</v>
      </c>
      <c r="AIC6" s="107">
        <v>103.8</v>
      </c>
      <c r="AID6" s="107">
        <v>103.8</v>
      </c>
      <c r="AIE6" s="107">
        <v>103.8</v>
      </c>
      <c r="AIF6" s="107">
        <v>103.8</v>
      </c>
      <c r="AIG6" s="107">
        <v>103.8</v>
      </c>
      <c r="AIH6" s="107">
        <v>103.8</v>
      </c>
      <c r="AII6" s="107">
        <v>103.8</v>
      </c>
      <c r="AIJ6" s="107">
        <v>103.8</v>
      </c>
      <c r="AIK6" s="107">
        <v>103.8</v>
      </c>
      <c r="AIL6" s="107">
        <v>103.8</v>
      </c>
      <c r="AIM6" s="107">
        <v>103.8</v>
      </c>
      <c r="AIN6" s="107">
        <v>103.8</v>
      </c>
      <c r="AIO6" s="107">
        <v>103.8</v>
      </c>
      <c r="AIP6" s="107">
        <v>103.8</v>
      </c>
      <c r="AIQ6" s="107">
        <v>103.8</v>
      </c>
      <c r="AIR6" s="107">
        <v>103.8</v>
      </c>
      <c r="AIS6" s="107">
        <v>103.8</v>
      </c>
      <c r="AIT6" s="107">
        <v>103.8</v>
      </c>
      <c r="AIU6" s="107">
        <v>103.8</v>
      </c>
      <c r="AIV6" s="107">
        <v>103.8</v>
      </c>
      <c r="AIW6" s="107">
        <v>103.8</v>
      </c>
      <c r="AIX6" s="107">
        <v>103.8</v>
      </c>
      <c r="AIY6" s="107">
        <v>103.8</v>
      </c>
      <c r="AIZ6" s="107">
        <v>103.8</v>
      </c>
      <c r="AJY6" t="s">
        <v>7</v>
      </c>
    </row>
    <row r="7" spans="1:961">
      <c r="A7" s="107">
        <v>86.5</v>
      </c>
      <c r="B7" s="107">
        <v>86.5</v>
      </c>
      <c r="C7" s="107">
        <v>86.5</v>
      </c>
      <c r="D7" s="107">
        <v>86.5</v>
      </c>
      <c r="E7" s="107">
        <v>86.5</v>
      </c>
      <c r="F7" s="107">
        <v>86.5</v>
      </c>
      <c r="G7" s="107">
        <v>100</v>
      </c>
      <c r="H7" s="107">
        <v>100</v>
      </c>
      <c r="I7" s="107">
        <v>100</v>
      </c>
      <c r="J7" s="107">
        <v>100</v>
      </c>
      <c r="K7" s="107">
        <v>86.5</v>
      </c>
      <c r="L7" s="107">
        <v>86.5</v>
      </c>
      <c r="M7" s="107">
        <v>86.5</v>
      </c>
      <c r="N7" s="107">
        <v>86.5</v>
      </c>
      <c r="O7" s="107">
        <v>86.5</v>
      </c>
      <c r="P7" s="107">
        <v>86.5</v>
      </c>
      <c r="Q7" s="107">
        <v>86.5</v>
      </c>
      <c r="R7" s="107">
        <v>86.5</v>
      </c>
      <c r="S7" s="107">
        <v>100</v>
      </c>
      <c r="T7" s="107">
        <v>86.5</v>
      </c>
      <c r="U7" s="107">
        <v>86.5</v>
      </c>
      <c r="V7" s="107">
        <v>86.5</v>
      </c>
      <c r="W7" s="107">
        <v>86.5</v>
      </c>
      <c r="X7" s="107">
        <v>86.5</v>
      </c>
      <c r="Y7" s="107">
        <v>86.5</v>
      </c>
      <c r="Z7" s="107">
        <v>86.5</v>
      </c>
      <c r="AA7" s="107">
        <v>86.5</v>
      </c>
      <c r="AB7" s="107">
        <v>86.5</v>
      </c>
      <c r="AC7" s="107">
        <v>86.5</v>
      </c>
      <c r="AD7" s="107">
        <v>86.5</v>
      </c>
      <c r="AE7" s="107">
        <v>86.5</v>
      </c>
      <c r="AF7" s="107">
        <v>86.5</v>
      </c>
      <c r="AG7" s="107">
        <v>100</v>
      </c>
      <c r="AH7" s="107">
        <v>86.5</v>
      </c>
      <c r="AI7" s="107">
        <v>86.5</v>
      </c>
      <c r="AJ7" s="107">
        <v>86.5</v>
      </c>
      <c r="AK7" s="107">
        <v>86.5</v>
      </c>
      <c r="AL7" s="107">
        <v>86.5</v>
      </c>
      <c r="AM7" s="107">
        <v>86.5</v>
      </c>
      <c r="AN7" s="107">
        <v>86.5</v>
      </c>
      <c r="AO7" s="107">
        <v>86.5</v>
      </c>
      <c r="AP7" s="107">
        <v>86.5</v>
      </c>
      <c r="AQ7" s="107">
        <v>86.5</v>
      </c>
      <c r="AR7" s="107">
        <v>86.5</v>
      </c>
      <c r="AS7" s="107">
        <v>86.5</v>
      </c>
      <c r="AT7" s="107">
        <v>86.5</v>
      </c>
      <c r="AU7" s="107">
        <v>86.5</v>
      </c>
      <c r="AV7" s="107">
        <v>86.5</v>
      </c>
      <c r="AW7" s="107">
        <v>86.5</v>
      </c>
      <c r="AX7" s="107">
        <v>86.5</v>
      </c>
      <c r="AY7" s="107">
        <v>86.5</v>
      </c>
      <c r="AZ7" s="107">
        <v>86.5</v>
      </c>
      <c r="CC7" s="107">
        <v>86.5</v>
      </c>
      <c r="CD7" s="107">
        <v>86.5</v>
      </c>
      <c r="CE7" s="107">
        <v>86.5</v>
      </c>
      <c r="CF7" s="107">
        <v>86.5</v>
      </c>
      <c r="CG7" s="107">
        <v>86.5</v>
      </c>
      <c r="CH7" s="107">
        <v>100</v>
      </c>
      <c r="CI7" s="107">
        <v>86.5</v>
      </c>
      <c r="CJ7" s="107">
        <v>100</v>
      </c>
      <c r="CK7" s="107">
        <v>100</v>
      </c>
      <c r="CL7" s="107">
        <v>100</v>
      </c>
      <c r="CM7" s="107">
        <v>100</v>
      </c>
      <c r="CN7" s="107">
        <v>100</v>
      </c>
      <c r="CO7" s="107">
        <v>86.5</v>
      </c>
      <c r="CP7" s="107">
        <v>86.5</v>
      </c>
      <c r="CQ7" s="107">
        <v>86.5</v>
      </c>
      <c r="CR7" s="107">
        <v>86.5</v>
      </c>
      <c r="CS7" s="107">
        <v>86.5</v>
      </c>
      <c r="CT7" s="107">
        <v>86.5</v>
      </c>
      <c r="CU7" s="107">
        <v>86.5</v>
      </c>
      <c r="CV7" s="107">
        <v>86.5</v>
      </c>
      <c r="CW7" s="107">
        <v>86.5</v>
      </c>
      <c r="CX7" s="107">
        <v>86.5</v>
      </c>
      <c r="CY7" s="107">
        <v>86.5</v>
      </c>
      <c r="CZ7" s="107">
        <v>86.5</v>
      </c>
      <c r="DA7" s="107">
        <v>86.5</v>
      </c>
      <c r="DB7" s="107">
        <v>86.5</v>
      </c>
      <c r="DC7" s="107">
        <v>86.5</v>
      </c>
      <c r="DD7" s="107">
        <v>86.5</v>
      </c>
      <c r="DE7" s="107">
        <v>86.5</v>
      </c>
      <c r="DF7" s="107">
        <v>86.5</v>
      </c>
      <c r="DG7" s="107">
        <v>86.5</v>
      </c>
      <c r="DH7" s="107">
        <v>86.5</v>
      </c>
      <c r="DI7" s="107">
        <v>86.5</v>
      </c>
      <c r="DJ7" s="107">
        <v>86.5</v>
      </c>
      <c r="DK7" s="107">
        <v>86.5</v>
      </c>
      <c r="DL7" s="107">
        <v>86.5</v>
      </c>
      <c r="DM7" s="107">
        <v>86.5</v>
      </c>
      <c r="DN7" s="107">
        <v>86.5</v>
      </c>
      <c r="DO7" s="107">
        <v>86.5</v>
      </c>
      <c r="DP7" s="107">
        <v>86.5</v>
      </c>
      <c r="DQ7" s="107">
        <v>86.5</v>
      </c>
      <c r="DR7" s="107">
        <v>86.5</v>
      </c>
      <c r="DS7" s="107">
        <v>86.5</v>
      </c>
      <c r="DT7" s="107">
        <v>86.5</v>
      </c>
      <c r="DU7" s="107">
        <v>86.5</v>
      </c>
      <c r="DV7" s="107">
        <v>86.5</v>
      </c>
      <c r="DW7" s="107">
        <v>86.5</v>
      </c>
      <c r="DX7" s="107">
        <v>86.5</v>
      </c>
      <c r="DY7" s="107">
        <v>86.5</v>
      </c>
      <c r="DZ7" s="107">
        <v>86.5</v>
      </c>
      <c r="EA7" s="107">
        <v>86.5</v>
      </c>
      <c r="EB7" s="107">
        <v>86.5</v>
      </c>
      <c r="EC7" s="107">
        <v>86.5</v>
      </c>
      <c r="ED7" s="107">
        <v>86.5</v>
      </c>
      <c r="EE7" s="107">
        <v>100</v>
      </c>
      <c r="EF7" s="107">
        <v>86.5</v>
      </c>
      <c r="EG7" s="107">
        <v>86.5</v>
      </c>
      <c r="EH7" s="107">
        <v>86.5</v>
      </c>
      <c r="EI7" s="107">
        <v>86.5</v>
      </c>
      <c r="FE7" s="107">
        <v>86.5</v>
      </c>
      <c r="FF7" s="107">
        <v>86.5</v>
      </c>
      <c r="FG7" s="107">
        <v>86.5</v>
      </c>
      <c r="FH7" s="107">
        <v>86.5</v>
      </c>
      <c r="FI7" s="107">
        <v>86.5</v>
      </c>
      <c r="FJ7" s="107">
        <v>86.5</v>
      </c>
      <c r="FK7" s="107">
        <v>100</v>
      </c>
      <c r="FL7" s="107">
        <v>86.5</v>
      </c>
      <c r="FM7" s="107">
        <v>100</v>
      </c>
      <c r="FN7" s="107">
        <v>100</v>
      </c>
      <c r="FO7" s="107">
        <v>100</v>
      </c>
      <c r="FP7" s="107">
        <v>100</v>
      </c>
      <c r="FQ7" s="107">
        <v>100</v>
      </c>
      <c r="FR7" s="107">
        <v>86.5</v>
      </c>
      <c r="FS7" s="107">
        <v>86.5</v>
      </c>
      <c r="FT7" s="107">
        <v>86.5</v>
      </c>
      <c r="FU7" s="107">
        <v>86.5</v>
      </c>
      <c r="FV7" s="107">
        <v>86.5</v>
      </c>
      <c r="FW7" s="107">
        <v>86.5</v>
      </c>
      <c r="FX7" s="107">
        <v>86.5</v>
      </c>
      <c r="FY7" s="107">
        <v>86.5</v>
      </c>
      <c r="FZ7" s="107">
        <v>86.5</v>
      </c>
      <c r="GA7" s="107">
        <v>86.5</v>
      </c>
      <c r="GB7" s="107">
        <v>86.5</v>
      </c>
      <c r="GC7" s="107">
        <v>86.5</v>
      </c>
      <c r="GD7" s="107">
        <v>86.5</v>
      </c>
      <c r="GE7" s="107">
        <v>86.5</v>
      </c>
      <c r="GF7" s="107">
        <v>86.5</v>
      </c>
      <c r="GG7" s="107">
        <v>86.5</v>
      </c>
      <c r="GH7" s="107">
        <v>86.5</v>
      </c>
      <c r="GI7" s="107">
        <v>86.5</v>
      </c>
      <c r="GJ7" s="107">
        <v>86.5</v>
      </c>
      <c r="GK7" s="107">
        <v>86.5</v>
      </c>
      <c r="GL7" s="107">
        <v>86.5</v>
      </c>
      <c r="GM7" s="107">
        <v>86.5</v>
      </c>
      <c r="GN7" s="107">
        <v>86.5</v>
      </c>
      <c r="GO7" s="107">
        <v>86.5</v>
      </c>
      <c r="GP7" s="107">
        <v>86.5</v>
      </c>
      <c r="GQ7" s="107">
        <v>86.5</v>
      </c>
      <c r="GR7" s="107">
        <v>86.5</v>
      </c>
      <c r="GS7" s="107">
        <v>86.5</v>
      </c>
      <c r="GT7" s="107">
        <v>86.5</v>
      </c>
      <c r="GU7" s="107">
        <v>86.5</v>
      </c>
      <c r="GV7" s="107">
        <v>86.5</v>
      </c>
      <c r="GW7" s="107">
        <v>86.5</v>
      </c>
      <c r="GX7" s="107">
        <v>86.5</v>
      </c>
      <c r="GY7" s="107">
        <v>86.5</v>
      </c>
      <c r="GZ7" s="107">
        <v>86.5</v>
      </c>
      <c r="HA7" s="107">
        <v>86.5</v>
      </c>
      <c r="HB7" s="107">
        <v>86.5</v>
      </c>
      <c r="HC7" s="107">
        <v>86.5</v>
      </c>
      <c r="HD7" s="107">
        <v>86.5</v>
      </c>
      <c r="HE7" s="107">
        <v>86.5</v>
      </c>
      <c r="HF7" s="107">
        <v>86.5</v>
      </c>
      <c r="HG7" s="107">
        <v>86.5</v>
      </c>
      <c r="HH7" s="107">
        <v>86.5</v>
      </c>
      <c r="HI7" s="107">
        <v>100</v>
      </c>
      <c r="HJ7" s="107">
        <v>86.5</v>
      </c>
      <c r="HK7" s="107">
        <v>86.5</v>
      </c>
      <c r="HL7" s="107">
        <v>86.5</v>
      </c>
      <c r="IG7" s="107">
        <v>86.5</v>
      </c>
      <c r="IH7" s="107">
        <v>86.5</v>
      </c>
      <c r="II7" s="107">
        <v>86.5</v>
      </c>
      <c r="IJ7" s="107">
        <v>86.5</v>
      </c>
      <c r="IK7" s="107">
        <v>86.5</v>
      </c>
      <c r="IL7" s="107">
        <v>86.5</v>
      </c>
      <c r="IM7" s="107">
        <v>100</v>
      </c>
      <c r="IN7" s="107">
        <v>86.5</v>
      </c>
      <c r="IO7" s="107">
        <v>100</v>
      </c>
      <c r="IP7" s="107">
        <v>100</v>
      </c>
      <c r="IQ7" s="107">
        <v>100</v>
      </c>
      <c r="IR7" s="107">
        <v>100</v>
      </c>
      <c r="IS7" s="107">
        <v>100</v>
      </c>
      <c r="IT7" s="107">
        <v>86.5</v>
      </c>
      <c r="IU7" s="107">
        <v>86.5</v>
      </c>
      <c r="IV7" s="107">
        <v>86.5</v>
      </c>
      <c r="IW7" s="107">
        <v>86.5</v>
      </c>
      <c r="IX7" s="107">
        <v>86.5</v>
      </c>
      <c r="IY7" s="107">
        <v>100</v>
      </c>
      <c r="IZ7" s="107">
        <v>86.5</v>
      </c>
      <c r="JA7" s="107">
        <v>86.5</v>
      </c>
      <c r="JB7" s="107">
        <v>86.5</v>
      </c>
      <c r="JC7" s="107">
        <v>86.5</v>
      </c>
      <c r="JD7" s="107">
        <v>86.5</v>
      </c>
      <c r="JE7" s="107">
        <v>86.5</v>
      </c>
      <c r="JF7" s="107">
        <v>86.5</v>
      </c>
      <c r="JG7" s="107">
        <v>86.5</v>
      </c>
      <c r="JH7" s="107">
        <v>86.5</v>
      </c>
      <c r="JI7" s="107">
        <v>86.5</v>
      </c>
      <c r="JJ7" s="107">
        <v>86.5</v>
      </c>
      <c r="JK7" s="107">
        <v>86.5</v>
      </c>
      <c r="JL7" s="107">
        <v>86.5</v>
      </c>
      <c r="JM7" s="107">
        <v>86.5</v>
      </c>
      <c r="JN7" s="107">
        <v>86.5</v>
      </c>
      <c r="JO7" s="107">
        <v>86.5</v>
      </c>
      <c r="JP7" s="107">
        <v>86.5</v>
      </c>
      <c r="JQ7" s="107">
        <v>86.5</v>
      </c>
      <c r="JR7" s="107">
        <v>86.5</v>
      </c>
      <c r="JS7" s="107">
        <v>86.5</v>
      </c>
      <c r="JT7" s="107">
        <v>86.5</v>
      </c>
      <c r="JU7" s="107">
        <v>86.5</v>
      </c>
      <c r="JV7" s="107">
        <v>86.5</v>
      </c>
      <c r="JW7" s="107">
        <v>86.5</v>
      </c>
      <c r="JX7" s="107">
        <v>86.5</v>
      </c>
      <c r="JY7" s="107">
        <v>86.5</v>
      </c>
      <c r="JZ7" s="107">
        <v>86.5</v>
      </c>
      <c r="KA7" s="107">
        <v>86.5</v>
      </c>
      <c r="KB7" s="107">
        <v>86.5</v>
      </c>
      <c r="KC7" s="107">
        <v>86.5</v>
      </c>
      <c r="KD7" s="107">
        <v>86.5</v>
      </c>
      <c r="KE7" s="107">
        <v>86.5</v>
      </c>
      <c r="KF7" s="107">
        <v>86.5</v>
      </c>
      <c r="KG7" s="107">
        <v>86.5</v>
      </c>
      <c r="KH7" s="107">
        <v>86.5</v>
      </c>
      <c r="KI7" s="107">
        <v>86.5</v>
      </c>
      <c r="KJ7" s="107">
        <v>86.5</v>
      </c>
      <c r="KK7" s="107">
        <v>100</v>
      </c>
      <c r="KL7" s="107">
        <v>86.5</v>
      </c>
      <c r="KM7" s="107">
        <v>86.5</v>
      </c>
      <c r="KN7" s="107">
        <v>86.5</v>
      </c>
      <c r="LI7" s="107">
        <v>86.5</v>
      </c>
      <c r="LJ7" s="107">
        <v>100</v>
      </c>
      <c r="LK7" s="107">
        <v>86.5</v>
      </c>
      <c r="LL7" s="107">
        <v>86.5</v>
      </c>
      <c r="LM7" s="107">
        <v>86.5</v>
      </c>
      <c r="LN7" s="107">
        <v>86.5</v>
      </c>
      <c r="LO7" s="107">
        <v>100</v>
      </c>
      <c r="LP7" s="107">
        <v>86.5</v>
      </c>
      <c r="LQ7" s="107">
        <v>100</v>
      </c>
      <c r="LR7" s="107">
        <v>100</v>
      </c>
      <c r="LS7" s="107">
        <v>100</v>
      </c>
      <c r="LT7" s="107">
        <v>100</v>
      </c>
      <c r="LU7" s="107">
        <v>100</v>
      </c>
      <c r="LV7" s="107">
        <v>86.5</v>
      </c>
      <c r="LW7" s="107">
        <v>86.5</v>
      </c>
      <c r="LX7" s="107">
        <v>86.5</v>
      </c>
      <c r="LY7" s="107">
        <v>86.5</v>
      </c>
      <c r="LZ7" s="107">
        <v>86.5</v>
      </c>
      <c r="MA7" s="107">
        <v>86.5</v>
      </c>
      <c r="MB7" s="107">
        <v>86.5</v>
      </c>
      <c r="MC7" s="107">
        <v>86.5</v>
      </c>
      <c r="MD7" s="107">
        <v>86.5</v>
      </c>
      <c r="ME7" s="107">
        <v>86.5</v>
      </c>
      <c r="MF7" s="107">
        <v>86.5</v>
      </c>
      <c r="MG7" s="107">
        <v>86.5</v>
      </c>
      <c r="MH7" s="107">
        <v>86.5</v>
      </c>
      <c r="MI7" s="107">
        <v>86.5</v>
      </c>
      <c r="MJ7" s="107">
        <v>86.5</v>
      </c>
      <c r="MK7" s="107">
        <v>86.5</v>
      </c>
      <c r="ML7" s="107">
        <v>86.5</v>
      </c>
      <c r="MM7" s="107">
        <v>86.5</v>
      </c>
      <c r="MN7" s="107">
        <v>86.5</v>
      </c>
      <c r="MO7" s="107">
        <v>86.5</v>
      </c>
      <c r="MP7" s="107">
        <v>86.5</v>
      </c>
      <c r="MQ7" s="107">
        <v>86.5</v>
      </c>
      <c r="MR7" s="107">
        <v>86.5</v>
      </c>
      <c r="MS7" s="107">
        <v>86.5</v>
      </c>
      <c r="MT7" s="107">
        <v>86.5</v>
      </c>
      <c r="MU7" s="107">
        <v>86.5</v>
      </c>
      <c r="MV7" s="107">
        <v>86.5</v>
      </c>
      <c r="MW7" s="107">
        <v>86.5</v>
      </c>
      <c r="MX7" s="107">
        <v>86.5</v>
      </c>
      <c r="MY7" s="107">
        <v>86.5</v>
      </c>
      <c r="MZ7" s="107">
        <v>86.5</v>
      </c>
      <c r="NA7" s="107">
        <v>86.5</v>
      </c>
      <c r="NB7" s="107">
        <v>86.5</v>
      </c>
      <c r="NC7" s="107">
        <v>86.5</v>
      </c>
      <c r="ND7" s="107">
        <v>86.5</v>
      </c>
      <c r="NE7" s="107">
        <v>86.5</v>
      </c>
      <c r="NF7" s="107">
        <v>86.5</v>
      </c>
      <c r="NG7" s="107">
        <v>86.5</v>
      </c>
      <c r="NH7" s="107">
        <v>86.5</v>
      </c>
      <c r="NI7" s="107">
        <v>86.5</v>
      </c>
      <c r="NJ7" s="107">
        <v>86.5</v>
      </c>
      <c r="NK7" s="107">
        <v>86.5</v>
      </c>
      <c r="NL7" s="107">
        <v>86.5</v>
      </c>
      <c r="NM7" s="107">
        <v>86.5</v>
      </c>
      <c r="NN7" s="107">
        <v>86.5</v>
      </c>
      <c r="NO7" s="107">
        <v>100</v>
      </c>
      <c r="NP7" s="107">
        <v>86.5</v>
      </c>
      <c r="NQ7" s="107">
        <v>86.5</v>
      </c>
      <c r="NR7" s="107">
        <v>86.5</v>
      </c>
      <c r="OK7" s="107">
        <v>86.5</v>
      </c>
      <c r="OL7" s="107">
        <v>86.5</v>
      </c>
      <c r="OM7" s="107">
        <v>86.5</v>
      </c>
      <c r="ON7" s="107">
        <v>86.5</v>
      </c>
      <c r="OO7" s="107">
        <v>86.5</v>
      </c>
      <c r="OP7" s="107">
        <v>86.5</v>
      </c>
      <c r="OQ7" s="107">
        <v>86.5</v>
      </c>
      <c r="OR7" s="107">
        <v>86.5</v>
      </c>
      <c r="OS7" s="107">
        <v>100</v>
      </c>
      <c r="OT7" s="107">
        <v>100</v>
      </c>
      <c r="OU7" s="107">
        <v>100</v>
      </c>
      <c r="OV7" s="107">
        <v>100</v>
      </c>
      <c r="OW7" s="107">
        <v>100</v>
      </c>
      <c r="OX7" s="107">
        <v>86.5</v>
      </c>
      <c r="OY7" s="107">
        <v>86.5</v>
      </c>
      <c r="OZ7" s="107">
        <v>86.5</v>
      </c>
      <c r="PA7" s="107">
        <v>86.5</v>
      </c>
      <c r="PB7" s="107">
        <v>86.5</v>
      </c>
      <c r="PC7" s="107">
        <v>86.5</v>
      </c>
      <c r="PD7" s="107">
        <v>86.5</v>
      </c>
      <c r="PE7" s="107">
        <v>86.5</v>
      </c>
      <c r="PF7" s="107">
        <v>86.5</v>
      </c>
      <c r="PG7" s="107">
        <v>86.5</v>
      </c>
      <c r="PH7" s="107">
        <v>86.5</v>
      </c>
      <c r="PI7" s="107">
        <v>86.5</v>
      </c>
      <c r="PJ7" s="107">
        <v>86.5</v>
      </c>
      <c r="PK7" s="107">
        <v>86.5</v>
      </c>
      <c r="PL7" s="107">
        <v>86.5</v>
      </c>
      <c r="PM7" s="107">
        <v>86.5</v>
      </c>
      <c r="PN7" s="107">
        <v>86.5</v>
      </c>
      <c r="PO7" s="107">
        <v>86.5</v>
      </c>
      <c r="PP7" s="107">
        <v>86.5</v>
      </c>
      <c r="PQ7" s="107">
        <v>86.5</v>
      </c>
      <c r="PR7" s="107">
        <v>86.5</v>
      </c>
      <c r="PS7" s="107">
        <v>86.5</v>
      </c>
      <c r="PT7" s="107">
        <v>86.5</v>
      </c>
      <c r="PU7" s="107">
        <v>86.5</v>
      </c>
      <c r="PV7" s="107">
        <v>86.5</v>
      </c>
      <c r="PW7" s="107">
        <v>86.5</v>
      </c>
      <c r="PX7" s="107">
        <v>86.5</v>
      </c>
      <c r="PY7" s="107">
        <v>86.5</v>
      </c>
      <c r="PZ7" s="107">
        <v>86.5</v>
      </c>
      <c r="QA7" s="107">
        <v>86.5</v>
      </c>
      <c r="QB7" s="107">
        <v>86.5</v>
      </c>
      <c r="QC7" s="107">
        <v>86.5</v>
      </c>
      <c r="QD7" s="107">
        <v>86.5</v>
      </c>
      <c r="QE7" s="107">
        <v>86.5</v>
      </c>
      <c r="QF7" s="107">
        <v>86.5</v>
      </c>
      <c r="QG7" s="107">
        <v>86.5</v>
      </c>
      <c r="QH7" s="107">
        <v>86.5</v>
      </c>
      <c r="QI7" s="107">
        <v>86.5</v>
      </c>
      <c r="QJ7" s="107">
        <v>86.5</v>
      </c>
      <c r="QK7" s="107">
        <v>86.5</v>
      </c>
      <c r="QL7" s="107">
        <v>86.5</v>
      </c>
      <c r="QM7" s="107">
        <v>86.5</v>
      </c>
      <c r="QN7" s="107">
        <v>86.5</v>
      </c>
      <c r="QO7" s="107">
        <v>86.5</v>
      </c>
      <c r="QP7" s="107">
        <v>86.5</v>
      </c>
      <c r="QQ7" s="107">
        <v>100</v>
      </c>
      <c r="QR7" s="107">
        <v>86.5</v>
      </c>
      <c r="QS7" s="107">
        <v>86.5</v>
      </c>
      <c r="QT7" s="107">
        <v>86.5</v>
      </c>
      <c r="RM7" s="107">
        <v>86.5</v>
      </c>
      <c r="RN7" s="107">
        <v>86.5</v>
      </c>
      <c r="RO7" s="107">
        <v>86.5</v>
      </c>
      <c r="RP7" s="107">
        <v>86.5</v>
      </c>
      <c r="RQ7" s="107">
        <v>86.5</v>
      </c>
      <c r="RR7" s="107">
        <v>86.5</v>
      </c>
      <c r="RS7" s="107">
        <v>100</v>
      </c>
      <c r="RT7" s="107">
        <v>86.5</v>
      </c>
      <c r="RU7" s="107">
        <v>100</v>
      </c>
      <c r="RV7" s="107">
        <v>100</v>
      </c>
      <c r="RW7" s="107">
        <v>100</v>
      </c>
      <c r="RX7" s="107">
        <v>100</v>
      </c>
      <c r="RY7" s="107">
        <v>100</v>
      </c>
      <c r="RZ7" s="107">
        <v>86.5</v>
      </c>
      <c r="SA7" s="107">
        <v>86.5</v>
      </c>
      <c r="SB7" s="107">
        <v>86.5</v>
      </c>
      <c r="SC7" s="107">
        <v>86.5</v>
      </c>
      <c r="SD7" s="107">
        <v>86.5</v>
      </c>
      <c r="SE7" s="107">
        <v>86.5</v>
      </c>
      <c r="SF7" s="107">
        <v>86.5</v>
      </c>
      <c r="SG7" s="107">
        <v>86.5</v>
      </c>
      <c r="SH7" s="107">
        <v>86.5</v>
      </c>
      <c r="SI7" s="107">
        <v>86.5</v>
      </c>
      <c r="SJ7" s="107">
        <v>86.5</v>
      </c>
      <c r="SK7" s="107">
        <v>86.5</v>
      </c>
      <c r="SL7" s="107">
        <v>86.5</v>
      </c>
      <c r="SM7" s="107">
        <v>86.5</v>
      </c>
      <c r="SN7" s="107">
        <v>86.5</v>
      </c>
      <c r="SO7" s="107">
        <v>86.5</v>
      </c>
      <c r="SP7" s="107">
        <v>86.5</v>
      </c>
      <c r="SQ7" s="107">
        <v>86.5</v>
      </c>
      <c r="SR7" s="107">
        <v>86.5</v>
      </c>
      <c r="SS7" s="107">
        <v>86.5</v>
      </c>
      <c r="ST7" s="107">
        <v>86.5</v>
      </c>
      <c r="SU7" s="107">
        <v>86.5</v>
      </c>
      <c r="SV7" s="107">
        <v>86.5</v>
      </c>
      <c r="SW7" s="107">
        <v>86.5</v>
      </c>
      <c r="SX7" s="107">
        <v>86.5</v>
      </c>
      <c r="SY7" s="107">
        <v>86.5</v>
      </c>
      <c r="SZ7" s="107">
        <v>86.5</v>
      </c>
      <c r="TA7" s="107">
        <v>86.5</v>
      </c>
      <c r="TB7" s="107">
        <v>86.5</v>
      </c>
      <c r="TC7" s="107">
        <v>86.5</v>
      </c>
      <c r="TD7" s="107">
        <v>86.5</v>
      </c>
      <c r="TE7" s="107">
        <v>86.5</v>
      </c>
      <c r="TF7" s="107">
        <v>86.5</v>
      </c>
      <c r="TG7" s="107">
        <v>86.5</v>
      </c>
      <c r="TH7" s="107">
        <v>86.5</v>
      </c>
      <c r="TI7" s="107">
        <v>86.5</v>
      </c>
      <c r="TJ7" s="107">
        <v>86.5</v>
      </c>
      <c r="TK7" s="107">
        <v>86.5</v>
      </c>
      <c r="TL7" s="107">
        <v>86.5</v>
      </c>
      <c r="TM7" s="107">
        <v>86.5</v>
      </c>
      <c r="TN7" s="107">
        <v>86.5</v>
      </c>
      <c r="TO7" s="107">
        <v>86.5</v>
      </c>
      <c r="TP7" s="107">
        <v>86.5</v>
      </c>
      <c r="TQ7" s="107">
        <v>86.5</v>
      </c>
      <c r="TR7" s="107">
        <v>86.5</v>
      </c>
      <c r="TS7" s="107">
        <v>100</v>
      </c>
      <c r="TT7" s="107">
        <v>86.5</v>
      </c>
      <c r="TU7" s="107">
        <v>86.5</v>
      </c>
      <c r="TV7" s="107">
        <v>86.5</v>
      </c>
      <c r="UO7" s="107">
        <v>86.5</v>
      </c>
      <c r="UP7" s="107">
        <v>86.5</v>
      </c>
      <c r="UQ7" s="107">
        <v>86.5</v>
      </c>
      <c r="UR7" s="107">
        <v>86.5</v>
      </c>
      <c r="US7" s="107">
        <v>86.5</v>
      </c>
      <c r="UT7" s="107">
        <v>86.5</v>
      </c>
      <c r="UU7" s="107">
        <v>100</v>
      </c>
      <c r="UV7" s="107">
        <v>86.5</v>
      </c>
      <c r="UW7" s="107">
        <v>100</v>
      </c>
      <c r="UX7" s="107">
        <v>100</v>
      </c>
      <c r="UY7" s="107">
        <v>100</v>
      </c>
      <c r="UZ7" s="107">
        <v>100</v>
      </c>
      <c r="VA7" s="107">
        <v>100</v>
      </c>
      <c r="VB7" s="107">
        <v>86.5</v>
      </c>
      <c r="VC7" s="107">
        <v>86.5</v>
      </c>
      <c r="VD7" s="107">
        <v>86.5</v>
      </c>
      <c r="VE7" s="107">
        <v>86.5</v>
      </c>
      <c r="VF7" s="107">
        <v>86.5</v>
      </c>
      <c r="VG7" s="107">
        <v>86.5</v>
      </c>
      <c r="VH7" s="107">
        <v>86.5</v>
      </c>
      <c r="VI7" s="107">
        <v>86.5</v>
      </c>
      <c r="VJ7" s="107">
        <v>86.5</v>
      </c>
      <c r="VK7" s="107">
        <v>86.5</v>
      </c>
      <c r="VL7" s="107">
        <v>86.5</v>
      </c>
      <c r="VM7" s="107">
        <v>86.5</v>
      </c>
      <c r="VN7" s="107">
        <v>86.5</v>
      </c>
      <c r="VO7" s="107">
        <v>86.5</v>
      </c>
      <c r="VP7" s="107">
        <v>86.5</v>
      </c>
      <c r="VQ7" s="107">
        <v>86.5</v>
      </c>
      <c r="VR7" s="107">
        <v>86.5</v>
      </c>
      <c r="VS7" s="107">
        <v>86.5</v>
      </c>
      <c r="VT7" s="107">
        <v>86.5</v>
      </c>
      <c r="VU7" s="107">
        <v>86.5</v>
      </c>
      <c r="VV7" s="107">
        <v>86.5</v>
      </c>
      <c r="VW7" s="107">
        <v>86.5</v>
      </c>
      <c r="VX7" s="107">
        <v>86.5</v>
      </c>
      <c r="VY7" s="107">
        <v>86.5</v>
      </c>
      <c r="VZ7" s="107">
        <v>86.5</v>
      </c>
      <c r="WA7" s="107">
        <v>86.5</v>
      </c>
      <c r="WB7" s="107">
        <v>86.5</v>
      </c>
      <c r="WC7" s="107">
        <v>86.5</v>
      </c>
      <c r="WD7" s="107">
        <v>86.5</v>
      </c>
      <c r="WE7" s="107">
        <v>86.5</v>
      </c>
      <c r="WF7" s="107">
        <v>86.5</v>
      </c>
      <c r="WG7" s="107">
        <v>86.5</v>
      </c>
      <c r="WH7" s="107">
        <v>86.5</v>
      </c>
      <c r="WI7" s="107">
        <v>86.5</v>
      </c>
      <c r="WJ7" s="107">
        <v>86.5</v>
      </c>
      <c r="WK7" s="107">
        <v>86.5</v>
      </c>
      <c r="WL7" s="107">
        <v>86.5</v>
      </c>
      <c r="WM7" s="107">
        <v>86.5</v>
      </c>
      <c r="WN7" s="107">
        <v>86.5</v>
      </c>
      <c r="WO7" s="107">
        <v>86.5</v>
      </c>
      <c r="WP7" s="107">
        <v>86.5</v>
      </c>
      <c r="WQ7" s="107">
        <v>86.5</v>
      </c>
      <c r="WR7" s="107">
        <v>86.5</v>
      </c>
      <c r="WS7" s="107">
        <v>86.5</v>
      </c>
      <c r="WT7" s="107">
        <v>100</v>
      </c>
      <c r="WU7" s="107">
        <v>86.5</v>
      </c>
      <c r="WV7" s="107">
        <v>86.5</v>
      </c>
      <c r="WW7" s="107">
        <v>86.5</v>
      </c>
      <c r="XQ7" s="107">
        <v>86.5</v>
      </c>
      <c r="XR7" s="107">
        <v>86.5</v>
      </c>
      <c r="XS7" s="107">
        <v>86.5</v>
      </c>
      <c r="XT7" s="107">
        <v>86.5</v>
      </c>
      <c r="XU7" s="107">
        <v>86.5</v>
      </c>
      <c r="XV7" s="107">
        <v>86.5</v>
      </c>
      <c r="XW7" s="107">
        <v>100</v>
      </c>
      <c r="XX7" s="107">
        <v>86.5</v>
      </c>
      <c r="XY7" s="107">
        <v>100</v>
      </c>
      <c r="XZ7" s="107">
        <v>100</v>
      </c>
      <c r="YA7" s="107">
        <v>100</v>
      </c>
      <c r="YB7" s="107">
        <v>100</v>
      </c>
      <c r="YC7" s="107">
        <v>100</v>
      </c>
      <c r="YD7" s="107">
        <v>86.5</v>
      </c>
      <c r="YE7" s="107">
        <v>86.5</v>
      </c>
      <c r="YF7" s="107">
        <v>86.5</v>
      </c>
      <c r="YG7" s="107">
        <v>86.5</v>
      </c>
      <c r="YH7" s="107">
        <v>86.5</v>
      </c>
      <c r="YI7" s="107">
        <v>86.5</v>
      </c>
      <c r="YJ7" s="107">
        <v>86.5</v>
      </c>
      <c r="YK7" s="107">
        <v>86.5</v>
      </c>
      <c r="YL7" s="107">
        <v>86.5</v>
      </c>
      <c r="YM7" s="107">
        <v>86.5</v>
      </c>
      <c r="YN7" s="107">
        <v>86.5</v>
      </c>
      <c r="YO7" s="107">
        <v>86.5</v>
      </c>
      <c r="YP7" s="107">
        <v>86.5</v>
      </c>
      <c r="YQ7" s="107">
        <v>86.5</v>
      </c>
      <c r="YR7" s="107">
        <v>86.5</v>
      </c>
      <c r="YS7" s="107">
        <v>86.5</v>
      </c>
      <c r="YT7" s="107">
        <v>86.5</v>
      </c>
      <c r="YU7" s="107">
        <v>86.5</v>
      </c>
      <c r="YV7" s="107">
        <v>86.5</v>
      </c>
      <c r="YW7" s="107">
        <v>86.5</v>
      </c>
      <c r="YX7" s="107">
        <v>86.5</v>
      </c>
      <c r="YY7" s="107">
        <v>86.5</v>
      </c>
      <c r="YZ7" s="107">
        <v>86.5</v>
      </c>
      <c r="ZA7" s="107">
        <v>86.5</v>
      </c>
      <c r="ZB7" s="107">
        <v>86.5</v>
      </c>
      <c r="ZC7" s="107">
        <v>86.5</v>
      </c>
      <c r="ZD7" s="107">
        <v>86.5</v>
      </c>
      <c r="ZE7" s="107">
        <v>86.5</v>
      </c>
      <c r="ZF7" s="107">
        <v>86.5</v>
      </c>
      <c r="ZG7" s="107">
        <v>86.5</v>
      </c>
      <c r="ZH7" s="107">
        <v>86.5</v>
      </c>
      <c r="ZI7" s="107">
        <v>86.5</v>
      </c>
      <c r="ZJ7" s="107">
        <v>86.5</v>
      </c>
      <c r="ZK7" s="107">
        <v>86.5</v>
      </c>
      <c r="ZL7" s="107">
        <v>86.5</v>
      </c>
      <c r="ZM7" s="107">
        <v>86.5</v>
      </c>
      <c r="ZN7" s="107">
        <v>86.5</v>
      </c>
      <c r="ZO7" s="107">
        <v>86.5</v>
      </c>
      <c r="ZP7" s="107">
        <v>86.5</v>
      </c>
      <c r="ZQ7" s="107">
        <v>86.5</v>
      </c>
      <c r="ZR7" s="107">
        <v>86.5</v>
      </c>
      <c r="ZS7" s="107">
        <v>86.5</v>
      </c>
      <c r="ZT7" s="107">
        <v>100</v>
      </c>
      <c r="ZU7" s="107">
        <v>86.5</v>
      </c>
      <c r="ZV7" s="107">
        <v>86.5</v>
      </c>
      <c r="ZW7" s="107">
        <v>86.5</v>
      </c>
      <c r="AAS7" s="107">
        <v>86.5</v>
      </c>
      <c r="AAT7" s="107">
        <v>86.5</v>
      </c>
      <c r="AAU7" s="107">
        <v>86.5</v>
      </c>
      <c r="AAV7" s="107">
        <v>86.5</v>
      </c>
      <c r="AAW7" s="107">
        <v>86.5</v>
      </c>
      <c r="AAX7" s="107">
        <v>86.5</v>
      </c>
      <c r="AAY7" s="107">
        <v>100</v>
      </c>
      <c r="AAZ7" s="107">
        <v>86.5</v>
      </c>
      <c r="ABA7" s="107">
        <v>100</v>
      </c>
      <c r="ABB7" s="107">
        <v>100</v>
      </c>
      <c r="ABC7" s="107">
        <v>100</v>
      </c>
      <c r="ABD7" s="107">
        <v>100</v>
      </c>
      <c r="ABE7" s="107">
        <v>100</v>
      </c>
      <c r="ABF7" s="107">
        <v>86.5</v>
      </c>
      <c r="ABG7" s="107">
        <v>86.5</v>
      </c>
      <c r="ABH7" s="107">
        <v>86.5</v>
      </c>
      <c r="ABI7" s="107">
        <v>86.5</v>
      </c>
      <c r="ABJ7" s="107">
        <v>86.5</v>
      </c>
      <c r="ABK7" s="107">
        <v>86.5</v>
      </c>
      <c r="ABL7" s="107">
        <v>86.5</v>
      </c>
      <c r="ABM7" s="107">
        <v>86.5</v>
      </c>
      <c r="ABN7" s="107">
        <v>86.5</v>
      </c>
      <c r="ABO7" s="107">
        <v>86.5</v>
      </c>
      <c r="ABP7" s="107">
        <v>86.5</v>
      </c>
      <c r="ABQ7" s="107">
        <v>86.5</v>
      </c>
      <c r="ABR7" s="107">
        <v>86.5</v>
      </c>
      <c r="ABS7" s="107">
        <v>86.5</v>
      </c>
      <c r="ABT7" s="107">
        <v>86.5</v>
      </c>
      <c r="ABU7" s="107">
        <v>86.5</v>
      </c>
      <c r="ABV7" s="107">
        <v>86.5</v>
      </c>
      <c r="ABW7" s="107">
        <v>86.5</v>
      </c>
      <c r="ABX7" s="107">
        <v>86.5</v>
      </c>
      <c r="ABY7" s="107">
        <v>86.5</v>
      </c>
      <c r="ABZ7" s="107">
        <v>86.5</v>
      </c>
      <c r="ACA7" s="107">
        <v>86.5</v>
      </c>
      <c r="ACB7" s="107">
        <v>86.5</v>
      </c>
      <c r="ACC7" s="107">
        <v>86.5</v>
      </c>
      <c r="ACD7" s="107">
        <v>86.5</v>
      </c>
      <c r="ACE7" s="107">
        <v>86.5</v>
      </c>
      <c r="ACF7" s="107">
        <v>86.5</v>
      </c>
      <c r="ACG7" s="107">
        <v>86.5</v>
      </c>
      <c r="ACH7" s="107">
        <v>86.5</v>
      </c>
      <c r="ACI7" s="107">
        <v>86.5</v>
      </c>
      <c r="ACJ7" s="107">
        <v>86.5</v>
      </c>
      <c r="ACK7" s="107">
        <v>86.5</v>
      </c>
      <c r="ACL7" s="107">
        <v>86.5</v>
      </c>
      <c r="ACM7" s="107">
        <v>86.5</v>
      </c>
      <c r="ACN7" s="107">
        <v>86.5</v>
      </c>
      <c r="ACO7" s="107">
        <v>86.5</v>
      </c>
      <c r="ACP7" s="107">
        <v>86.5</v>
      </c>
      <c r="ACQ7" s="107">
        <v>86.5</v>
      </c>
      <c r="ACR7" s="107">
        <v>86.5</v>
      </c>
      <c r="ACS7" s="107">
        <v>86.5</v>
      </c>
      <c r="ACT7" s="107">
        <v>86.5</v>
      </c>
      <c r="ACU7" s="107">
        <v>100</v>
      </c>
      <c r="ACV7" s="107">
        <v>86.5</v>
      </c>
      <c r="ACW7" s="107">
        <v>86.5</v>
      </c>
      <c r="ACX7" s="107">
        <v>86.5</v>
      </c>
      <c r="ADU7" s="107">
        <v>86.5</v>
      </c>
      <c r="ADV7" s="107">
        <v>86.5</v>
      </c>
      <c r="ADW7" s="107">
        <v>86.5</v>
      </c>
      <c r="ADX7" s="107">
        <v>86.5</v>
      </c>
      <c r="ADY7" s="107">
        <v>86.5</v>
      </c>
      <c r="ADZ7" s="107">
        <v>100</v>
      </c>
      <c r="AEA7" s="107">
        <v>86.5</v>
      </c>
      <c r="AEB7" s="107">
        <v>100</v>
      </c>
      <c r="AEC7" s="107">
        <v>100</v>
      </c>
      <c r="AED7" s="107">
        <v>100</v>
      </c>
      <c r="AEE7" s="107">
        <v>100</v>
      </c>
      <c r="AEF7" s="107">
        <v>100</v>
      </c>
      <c r="AEG7" s="107">
        <v>86.5</v>
      </c>
      <c r="AEH7" s="107">
        <v>86.5</v>
      </c>
      <c r="AEI7" s="107">
        <v>86.5</v>
      </c>
      <c r="AEJ7" s="107">
        <v>86.5</v>
      </c>
      <c r="AEK7" s="107">
        <v>86.5</v>
      </c>
      <c r="AEL7" s="107">
        <v>86.5</v>
      </c>
      <c r="AEM7" s="107">
        <v>86.5</v>
      </c>
      <c r="AEN7" s="107">
        <v>86.5</v>
      </c>
      <c r="AEO7" s="107">
        <v>86.5</v>
      </c>
      <c r="AEP7" s="107">
        <v>86.5</v>
      </c>
      <c r="AEQ7" s="107">
        <v>86.5</v>
      </c>
      <c r="AER7" s="107">
        <v>86.5</v>
      </c>
      <c r="AES7" s="107">
        <v>86.5</v>
      </c>
      <c r="AET7" s="107">
        <v>86.5</v>
      </c>
      <c r="AEU7" s="107">
        <v>86.5</v>
      </c>
      <c r="AEV7" s="107">
        <v>86.5</v>
      </c>
      <c r="AEW7" s="107">
        <v>86.5</v>
      </c>
      <c r="AEX7" s="107">
        <v>86.5</v>
      </c>
      <c r="AEY7" s="107">
        <v>86.5</v>
      </c>
      <c r="AEZ7" s="107">
        <v>86.5</v>
      </c>
      <c r="AFA7" s="107">
        <v>86.5</v>
      </c>
      <c r="AFB7" s="107">
        <v>86.5</v>
      </c>
      <c r="AFC7" s="107">
        <v>86.5</v>
      </c>
      <c r="AFD7" s="107">
        <v>86.5</v>
      </c>
      <c r="AFE7" s="107">
        <v>86.5</v>
      </c>
      <c r="AFF7" s="107">
        <v>86.5</v>
      </c>
      <c r="AFG7" s="107">
        <v>86.5</v>
      </c>
      <c r="AFH7" s="107">
        <v>86.5</v>
      </c>
      <c r="AFI7" s="107">
        <v>86.5</v>
      </c>
      <c r="AFJ7" s="107">
        <v>86.5</v>
      </c>
      <c r="AFK7" s="107">
        <v>86.5</v>
      </c>
      <c r="AFL7" s="107">
        <v>86.5</v>
      </c>
      <c r="AFM7" s="107">
        <v>86.5</v>
      </c>
      <c r="AFN7" s="107">
        <v>86.5</v>
      </c>
      <c r="AFO7" s="107">
        <v>86.5</v>
      </c>
      <c r="AFP7" s="107">
        <v>86.5</v>
      </c>
      <c r="AFQ7" s="107">
        <v>86.5</v>
      </c>
      <c r="AFR7" s="107">
        <v>86.5</v>
      </c>
      <c r="AFS7" s="107">
        <v>86.5</v>
      </c>
      <c r="AFT7" s="107">
        <v>86.5</v>
      </c>
      <c r="AFU7" s="107">
        <v>86.5</v>
      </c>
      <c r="AFV7" s="107">
        <v>100</v>
      </c>
      <c r="AFW7" s="107">
        <v>86.5</v>
      </c>
      <c r="AFX7" s="107">
        <v>86.5</v>
      </c>
      <c r="AFY7" s="107">
        <v>86.5</v>
      </c>
      <c r="AGW7" s="107">
        <v>86.5</v>
      </c>
      <c r="AGX7" s="107">
        <v>86.5</v>
      </c>
      <c r="AGY7" s="107">
        <v>86.5</v>
      </c>
      <c r="AGZ7" s="107">
        <v>86.5</v>
      </c>
      <c r="AHA7" s="107">
        <v>86.5</v>
      </c>
      <c r="AHB7" s="107">
        <v>100</v>
      </c>
      <c r="AHC7" s="107">
        <v>86.5</v>
      </c>
      <c r="AHD7" s="107">
        <v>100</v>
      </c>
      <c r="AHE7" s="107">
        <v>100</v>
      </c>
      <c r="AHF7" s="107">
        <v>100</v>
      </c>
      <c r="AHG7" s="107">
        <v>100</v>
      </c>
      <c r="AHH7" s="107">
        <v>100</v>
      </c>
      <c r="AHI7" s="107">
        <v>86.5</v>
      </c>
      <c r="AHJ7" s="107">
        <v>86.5</v>
      </c>
      <c r="AHK7" s="107">
        <v>86.5</v>
      </c>
      <c r="AHL7" s="107">
        <v>86.5</v>
      </c>
      <c r="AHM7" s="107">
        <v>86.5</v>
      </c>
      <c r="AHN7" s="107">
        <v>86.5</v>
      </c>
      <c r="AHO7" s="107">
        <v>86.5</v>
      </c>
      <c r="AHP7" s="107">
        <v>86.5</v>
      </c>
      <c r="AHQ7" s="107">
        <v>86.5</v>
      </c>
      <c r="AHR7" s="107">
        <v>86.5</v>
      </c>
      <c r="AHS7" s="107">
        <v>86.5</v>
      </c>
      <c r="AHT7" s="107">
        <v>86.5</v>
      </c>
      <c r="AHU7" s="107">
        <v>86.5</v>
      </c>
      <c r="AHV7" s="107">
        <v>86.5</v>
      </c>
      <c r="AHW7" s="107">
        <v>86.5</v>
      </c>
      <c r="AHX7" s="107">
        <v>86.5</v>
      </c>
      <c r="AHY7" s="107">
        <v>86.5</v>
      </c>
      <c r="AHZ7" s="107">
        <v>86.5</v>
      </c>
      <c r="AIA7" s="107">
        <v>86.5</v>
      </c>
      <c r="AIB7" s="107">
        <v>86.5</v>
      </c>
      <c r="AIC7" s="107">
        <v>86.5</v>
      </c>
      <c r="AID7" s="107">
        <v>86.5</v>
      </c>
      <c r="AIE7" s="107">
        <v>86.5</v>
      </c>
      <c r="AIF7" s="107">
        <v>86.5</v>
      </c>
      <c r="AIG7" s="107">
        <v>86.5</v>
      </c>
      <c r="AIH7" s="107">
        <v>86.5</v>
      </c>
      <c r="AII7" s="107">
        <v>86.5</v>
      </c>
      <c r="AIJ7" s="107">
        <v>86.5</v>
      </c>
      <c r="AIK7" s="107">
        <v>86.5</v>
      </c>
      <c r="AIL7" s="107">
        <v>86.5</v>
      </c>
      <c r="AIM7" s="107">
        <v>86.5</v>
      </c>
      <c r="AIN7" s="107">
        <v>86.5</v>
      </c>
      <c r="AIO7" s="107">
        <v>86.5</v>
      </c>
      <c r="AIP7" s="107">
        <v>86.5</v>
      </c>
      <c r="AIQ7" s="107">
        <v>86.5</v>
      </c>
      <c r="AIR7" s="107">
        <v>86.5</v>
      </c>
      <c r="AIS7" s="107">
        <v>86.5</v>
      </c>
      <c r="AIT7" s="107">
        <v>86.5</v>
      </c>
      <c r="AIU7" s="107">
        <v>86.5</v>
      </c>
      <c r="AIV7" s="107">
        <v>86.5</v>
      </c>
      <c r="AIW7" s="107">
        <v>86.5</v>
      </c>
      <c r="AIX7" s="107">
        <v>100</v>
      </c>
      <c r="AIY7" s="107">
        <v>86.5</v>
      </c>
      <c r="AIZ7" s="107">
        <v>86.5</v>
      </c>
      <c r="AJY7" t="s">
        <v>8</v>
      </c>
    </row>
    <row r="8" spans="1:961">
      <c r="A8" s="107">
        <v>69.2</v>
      </c>
      <c r="B8" s="107">
        <v>69.2</v>
      </c>
      <c r="C8" s="107">
        <v>69.2</v>
      </c>
      <c r="D8" s="107">
        <v>69.2</v>
      </c>
      <c r="E8" s="107">
        <v>69.2</v>
      </c>
      <c r="F8" s="107">
        <v>69.2</v>
      </c>
      <c r="G8" s="107">
        <v>86.5</v>
      </c>
      <c r="H8" s="107">
        <v>86.5</v>
      </c>
      <c r="I8" s="107">
        <v>86.5</v>
      </c>
      <c r="J8" s="107">
        <v>86.5</v>
      </c>
      <c r="K8" s="107">
        <v>69.2</v>
      </c>
      <c r="L8" s="107">
        <v>69.2</v>
      </c>
      <c r="M8" s="107">
        <v>69.2</v>
      </c>
      <c r="N8" s="107">
        <v>69.2</v>
      </c>
      <c r="O8" s="107">
        <v>69.2</v>
      </c>
      <c r="P8" s="107">
        <v>69.2</v>
      </c>
      <c r="Q8" s="107">
        <v>69.2</v>
      </c>
      <c r="R8" s="107">
        <v>69.2</v>
      </c>
      <c r="S8" s="107">
        <v>86.5</v>
      </c>
      <c r="T8" s="107">
        <v>69.2</v>
      </c>
      <c r="U8" s="107">
        <v>69.2</v>
      </c>
      <c r="V8" s="107">
        <v>69.2</v>
      </c>
      <c r="W8" s="107">
        <v>69.2</v>
      </c>
      <c r="X8" s="107">
        <v>69.2</v>
      </c>
      <c r="Y8" s="107">
        <v>69.2</v>
      </c>
      <c r="Z8" s="107">
        <v>69.2</v>
      </c>
      <c r="AA8" s="107">
        <v>69.2</v>
      </c>
      <c r="AB8" s="107">
        <v>69.2</v>
      </c>
      <c r="AC8" s="107">
        <v>69.2</v>
      </c>
      <c r="AD8" s="107">
        <v>69.2</v>
      </c>
      <c r="AE8" s="107">
        <v>69.2</v>
      </c>
      <c r="AF8" s="107">
        <v>69.2</v>
      </c>
      <c r="AG8" s="107">
        <v>86.5</v>
      </c>
      <c r="AH8" s="107">
        <v>69.2</v>
      </c>
      <c r="AI8" s="107">
        <v>69.2</v>
      </c>
      <c r="AJ8" s="107">
        <v>69.2</v>
      </c>
      <c r="AK8" s="107">
        <v>69.2</v>
      </c>
      <c r="AL8" s="107">
        <v>69.2</v>
      </c>
      <c r="AM8" s="107">
        <v>69.2</v>
      </c>
      <c r="AN8" s="107">
        <v>69.2</v>
      </c>
      <c r="AO8" s="107">
        <v>69.2</v>
      </c>
      <c r="AP8" s="107">
        <v>69.2</v>
      </c>
      <c r="AQ8" s="107">
        <v>69.2</v>
      </c>
      <c r="AR8" s="107">
        <v>69.2</v>
      </c>
      <c r="AS8" s="107">
        <v>69.2</v>
      </c>
      <c r="AT8" s="107">
        <v>69.2</v>
      </c>
      <c r="AU8" s="107">
        <v>69.2</v>
      </c>
      <c r="AV8" s="107">
        <v>69.2</v>
      </c>
      <c r="AW8" s="107">
        <v>69.2</v>
      </c>
      <c r="AX8" s="107">
        <v>69.2</v>
      </c>
      <c r="AY8" s="107">
        <v>69.2</v>
      </c>
      <c r="AZ8" s="107">
        <v>69.2</v>
      </c>
      <c r="CC8" s="107">
        <v>69.2</v>
      </c>
      <c r="CD8" s="107">
        <v>69.2</v>
      </c>
      <c r="CE8" s="107">
        <v>69.2</v>
      </c>
      <c r="CF8" s="107">
        <v>69.2</v>
      </c>
      <c r="CG8" s="107">
        <v>69.2</v>
      </c>
      <c r="CH8" s="107">
        <v>86.5</v>
      </c>
      <c r="CI8" s="107">
        <v>69.2</v>
      </c>
      <c r="CJ8" s="107">
        <v>86.5</v>
      </c>
      <c r="CK8" s="107">
        <v>86.5</v>
      </c>
      <c r="CL8" s="107">
        <v>86.5</v>
      </c>
      <c r="CM8" s="107">
        <v>86.5</v>
      </c>
      <c r="CN8" s="107">
        <v>86.5</v>
      </c>
      <c r="CO8" s="107">
        <v>69.2</v>
      </c>
      <c r="CP8" s="107">
        <v>69.2</v>
      </c>
      <c r="CQ8" s="107">
        <v>69.2</v>
      </c>
      <c r="CR8" s="107">
        <v>69.2</v>
      </c>
      <c r="CS8" s="107">
        <v>69.2</v>
      </c>
      <c r="CT8" s="107">
        <v>69.2</v>
      </c>
      <c r="CU8" s="107">
        <v>69.2</v>
      </c>
      <c r="CV8" s="107">
        <v>69.2</v>
      </c>
      <c r="CW8" s="107">
        <v>69.2</v>
      </c>
      <c r="CX8" s="107">
        <v>69.2</v>
      </c>
      <c r="CY8" s="107">
        <v>69.2</v>
      </c>
      <c r="CZ8" s="107">
        <v>69.2</v>
      </c>
      <c r="DA8" s="107">
        <v>69.2</v>
      </c>
      <c r="DB8" s="107">
        <v>69.2</v>
      </c>
      <c r="DC8" s="107">
        <v>69.2</v>
      </c>
      <c r="DD8" s="107">
        <v>69.2</v>
      </c>
      <c r="DE8" s="107">
        <v>69.2</v>
      </c>
      <c r="DF8" s="107">
        <v>69.2</v>
      </c>
      <c r="DG8" s="107">
        <v>69.2</v>
      </c>
      <c r="DH8" s="107">
        <v>69.2</v>
      </c>
      <c r="DI8" s="107">
        <v>69.2</v>
      </c>
      <c r="DJ8" s="107">
        <v>69.2</v>
      </c>
      <c r="DK8" s="107">
        <v>69.2</v>
      </c>
      <c r="DL8" s="107">
        <v>69.2</v>
      </c>
      <c r="DM8" s="107">
        <v>69.2</v>
      </c>
      <c r="DN8" s="107">
        <v>69.2</v>
      </c>
      <c r="DO8" s="107">
        <v>69.2</v>
      </c>
      <c r="DP8" s="107">
        <v>69.2</v>
      </c>
      <c r="DQ8" s="107">
        <v>69.2</v>
      </c>
      <c r="DR8" s="107">
        <v>69.2</v>
      </c>
      <c r="DS8" s="107">
        <v>69.2</v>
      </c>
      <c r="DT8" s="107">
        <v>69.2</v>
      </c>
      <c r="DU8" s="107">
        <v>69.2</v>
      </c>
      <c r="DV8" s="107">
        <v>69.2</v>
      </c>
      <c r="DW8" s="107">
        <v>69.2</v>
      </c>
      <c r="DX8" s="107">
        <v>69.2</v>
      </c>
      <c r="DY8" s="107">
        <v>69.2</v>
      </c>
      <c r="DZ8" s="107">
        <v>69.2</v>
      </c>
      <c r="EA8" s="107">
        <v>69.2</v>
      </c>
      <c r="EB8" s="107">
        <v>69.2</v>
      </c>
      <c r="EC8" s="107">
        <v>69.2</v>
      </c>
      <c r="ED8" s="107">
        <v>69.2</v>
      </c>
      <c r="EE8" s="107">
        <v>86.5</v>
      </c>
      <c r="EF8" s="107">
        <v>69.2</v>
      </c>
      <c r="EG8" s="107">
        <v>69.2</v>
      </c>
      <c r="EH8" s="107">
        <v>69.2</v>
      </c>
      <c r="EI8" s="107">
        <v>69.2</v>
      </c>
      <c r="FE8" s="107">
        <v>69.2</v>
      </c>
      <c r="FF8" s="107">
        <v>69.2</v>
      </c>
      <c r="FG8" s="107">
        <v>69.2</v>
      </c>
      <c r="FH8" s="107">
        <v>69.2</v>
      </c>
      <c r="FI8" s="107">
        <v>69.2</v>
      </c>
      <c r="FJ8" s="107">
        <v>69.2</v>
      </c>
      <c r="FK8" s="107">
        <v>86.5</v>
      </c>
      <c r="FL8" s="107">
        <v>69.2</v>
      </c>
      <c r="FM8" s="107">
        <v>86.5</v>
      </c>
      <c r="FN8" s="107">
        <v>86.5</v>
      </c>
      <c r="FO8" s="107">
        <v>86.5</v>
      </c>
      <c r="FP8" s="107">
        <v>86.5</v>
      </c>
      <c r="FQ8" s="107">
        <v>86.5</v>
      </c>
      <c r="FR8" s="107">
        <v>69.2</v>
      </c>
      <c r="FS8" s="107">
        <v>69.2</v>
      </c>
      <c r="FT8" s="107">
        <v>69.2</v>
      </c>
      <c r="FU8" s="107">
        <v>69.2</v>
      </c>
      <c r="FV8" s="107">
        <v>69.2</v>
      </c>
      <c r="FW8" s="107">
        <v>69.2</v>
      </c>
      <c r="FX8" s="107">
        <v>69.2</v>
      </c>
      <c r="FY8" s="107">
        <v>69.2</v>
      </c>
      <c r="FZ8" s="107">
        <v>69.2</v>
      </c>
      <c r="GA8" s="107">
        <v>69.2</v>
      </c>
      <c r="GB8" s="107">
        <v>69.2</v>
      </c>
      <c r="GC8" s="107">
        <v>69.2</v>
      </c>
      <c r="GD8" s="107">
        <v>69.2</v>
      </c>
      <c r="GE8" s="107">
        <v>69.2</v>
      </c>
      <c r="GF8" s="107">
        <v>69.2</v>
      </c>
      <c r="GG8" s="107">
        <v>69.2</v>
      </c>
      <c r="GH8" s="107">
        <v>69.2</v>
      </c>
      <c r="GI8" s="107">
        <v>69.2</v>
      </c>
      <c r="GJ8" s="107">
        <v>69.2</v>
      </c>
      <c r="GK8" s="107">
        <v>69.2</v>
      </c>
      <c r="GL8" s="107">
        <v>69.2</v>
      </c>
      <c r="GM8" s="107">
        <v>69.2</v>
      </c>
      <c r="GN8" s="107">
        <v>69.2</v>
      </c>
      <c r="GO8" s="107">
        <v>69.2</v>
      </c>
      <c r="GP8" s="107">
        <v>69.2</v>
      </c>
      <c r="GQ8" s="107">
        <v>69.2</v>
      </c>
      <c r="GR8" s="107">
        <v>69.2</v>
      </c>
      <c r="GS8" s="107">
        <v>69.2</v>
      </c>
      <c r="GT8" s="107">
        <v>69.2</v>
      </c>
      <c r="GU8" s="107">
        <v>69.2</v>
      </c>
      <c r="GV8" s="107">
        <v>69.2</v>
      </c>
      <c r="GW8" s="107">
        <v>69.2</v>
      </c>
      <c r="GX8" s="107">
        <v>69.2</v>
      </c>
      <c r="GY8" s="107">
        <v>69.2</v>
      </c>
      <c r="GZ8" s="107">
        <v>69.2</v>
      </c>
      <c r="HA8" s="107">
        <v>69.2</v>
      </c>
      <c r="HB8" s="107">
        <v>69.2</v>
      </c>
      <c r="HC8" s="107">
        <v>69.2</v>
      </c>
      <c r="HD8" s="107">
        <v>69.2</v>
      </c>
      <c r="HE8" s="107">
        <v>69.2</v>
      </c>
      <c r="HF8" s="107">
        <v>69.2</v>
      </c>
      <c r="HG8" s="107">
        <v>69.2</v>
      </c>
      <c r="HH8" s="107">
        <v>69.2</v>
      </c>
      <c r="HI8" s="107">
        <v>86.5</v>
      </c>
      <c r="HJ8" s="107">
        <v>69.2</v>
      </c>
      <c r="HK8" s="107">
        <v>69.2</v>
      </c>
      <c r="HL8" s="107">
        <v>69.2</v>
      </c>
      <c r="IG8" s="107">
        <v>69.2</v>
      </c>
      <c r="IH8" s="107">
        <v>69.2</v>
      </c>
      <c r="II8" s="107">
        <v>69.2</v>
      </c>
      <c r="IJ8" s="107">
        <v>69.2</v>
      </c>
      <c r="IK8" s="107">
        <v>69.2</v>
      </c>
      <c r="IL8" s="107">
        <v>69.2</v>
      </c>
      <c r="IM8" s="107">
        <v>86.5</v>
      </c>
      <c r="IN8" s="107">
        <v>69.2</v>
      </c>
      <c r="IO8" s="107">
        <v>86.5</v>
      </c>
      <c r="IP8" s="107">
        <v>86.5</v>
      </c>
      <c r="IQ8" s="107">
        <v>86.5</v>
      </c>
      <c r="IR8" s="107">
        <v>86.5</v>
      </c>
      <c r="IS8" s="107">
        <v>86.5</v>
      </c>
      <c r="IT8" s="107">
        <v>69.2</v>
      </c>
      <c r="IU8" s="107">
        <v>69.2</v>
      </c>
      <c r="IV8" s="107">
        <v>69.2</v>
      </c>
      <c r="IW8" s="107">
        <v>69.2</v>
      </c>
      <c r="IX8" s="107">
        <v>69.2</v>
      </c>
      <c r="IY8" s="107">
        <v>86.5</v>
      </c>
      <c r="IZ8" s="107">
        <v>69.2</v>
      </c>
      <c r="JA8" s="107">
        <v>69.2</v>
      </c>
      <c r="JB8" s="107">
        <v>69.2</v>
      </c>
      <c r="JC8" s="107">
        <v>69.2</v>
      </c>
      <c r="JD8" s="107">
        <v>69.2</v>
      </c>
      <c r="JE8" s="107">
        <v>69.2</v>
      </c>
      <c r="JF8" s="107">
        <v>69.2</v>
      </c>
      <c r="JG8" s="107">
        <v>69.2</v>
      </c>
      <c r="JH8" s="107">
        <v>69.2</v>
      </c>
      <c r="JI8" s="107">
        <v>69.2</v>
      </c>
      <c r="JJ8" s="107">
        <v>69.2</v>
      </c>
      <c r="JK8" s="107">
        <v>69.2</v>
      </c>
      <c r="JL8" s="107">
        <v>69.2</v>
      </c>
      <c r="JM8" s="107">
        <v>69.2</v>
      </c>
      <c r="JN8" s="107">
        <v>69.2</v>
      </c>
      <c r="JO8" s="107">
        <v>69.2</v>
      </c>
      <c r="JP8" s="107">
        <v>69.2</v>
      </c>
      <c r="JQ8" s="107">
        <v>69.2</v>
      </c>
      <c r="JR8" s="107">
        <v>69.2</v>
      </c>
      <c r="JS8" s="107">
        <v>69.2</v>
      </c>
      <c r="JT8" s="107">
        <v>69.2</v>
      </c>
      <c r="JU8" s="107">
        <v>69.2</v>
      </c>
      <c r="JV8" s="107">
        <v>69.2</v>
      </c>
      <c r="JW8" s="107">
        <v>69.2</v>
      </c>
      <c r="JX8" s="107">
        <v>69.2</v>
      </c>
      <c r="JY8" s="107">
        <v>69.2</v>
      </c>
      <c r="JZ8" s="107">
        <v>69.2</v>
      </c>
      <c r="KA8" s="107">
        <v>69.2</v>
      </c>
      <c r="KB8" s="107">
        <v>69.2</v>
      </c>
      <c r="KC8" s="107">
        <v>69.2</v>
      </c>
      <c r="KD8" s="107">
        <v>69.2</v>
      </c>
      <c r="KE8" s="107">
        <v>69.2</v>
      </c>
      <c r="KF8" s="107">
        <v>69.2</v>
      </c>
      <c r="KG8" s="107">
        <v>69.2</v>
      </c>
      <c r="KH8" s="107">
        <v>69.2</v>
      </c>
      <c r="KI8" s="107">
        <v>69.2</v>
      </c>
      <c r="KJ8" s="107">
        <v>69.2</v>
      </c>
      <c r="KK8" s="107">
        <v>86.5</v>
      </c>
      <c r="KL8" s="107">
        <v>69.2</v>
      </c>
      <c r="KM8" s="107">
        <v>69.2</v>
      </c>
      <c r="KN8" s="107">
        <v>69.2</v>
      </c>
      <c r="LI8" s="107">
        <v>69.2</v>
      </c>
      <c r="LJ8" s="107">
        <v>86.5</v>
      </c>
      <c r="LK8" s="107">
        <v>69.2</v>
      </c>
      <c r="LL8" s="107">
        <v>69.2</v>
      </c>
      <c r="LM8" s="107">
        <v>69.2</v>
      </c>
      <c r="LN8" s="107">
        <v>69.2</v>
      </c>
      <c r="LO8" s="107">
        <v>86.5</v>
      </c>
      <c r="LP8" s="107">
        <v>69.2</v>
      </c>
      <c r="LQ8" s="107">
        <v>86.5</v>
      </c>
      <c r="LR8" s="107">
        <v>86.5</v>
      </c>
      <c r="LS8" s="107">
        <v>86.5</v>
      </c>
      <c r="LT8" s="107">
        <v>86.5</v>
      </c>
      <c r="LU8" s="107">
        <v>86.5</v>
      </c>
      <c r="LV8" s="107">
        <v>69.2</v>
      </c>
      <c r="LW8" s="107">
        <v>69.2</v>
      </c>
      <c r="LX8" s="107">
        <v>69.2</v>
      </c>
      <c r="LY8" s="107">
        <v>69.2</v>
      </c>
      <c r="LZ8" s="107">
        <v>69.2</v>
      </c>
      <c r="MA8" s="107">
        <v>69.2</v>
      </c>
      <c r="MB8" s="107">
        <v>69.2</v>
      </c>
      <c r="MC8" s="107">
        <v>69.2</v>
      </c>
      <c r="MD8" s="107">
        <v>69.2</v>
      </c>
      <c r="ME8" s="107">
        <v>69.2</v>
      </c>
      <c r="MF8" s="107">
        <v>69.2</v>
      </c>
      <c r="MG8" s="107">
        <v>69.2</v>
      </c>
      <c r="MH8" s="107">
        <v>69.2</v>
      </c>
      <c r="MI8" s="107">
        <v>69.2</v>
      </c>
      <c r="MJ8" s="107">
        <v>69.2</v>
      </c>
      <c r="MK8" s="107">
        <v>69.2</v>
      </c>
      <c r="ML8" s="107">
        <v>69.2</v>
      </c>
      <c r="MM8" s="107">
        <v>69.2</v>
      </c>
      <c r="MN8" s="107">
        <v>69.2</v>
      </c>
      <c r="MO8" s="107">
        <v>69.2</v>
      </c>
      <c r="MP8" s="107">
        <v>69.2</v>
      </c>
      <c r="MQ8" s="107">
        <v>69.2</v>
      </c>
      <c r="MR8" s="107">
        <v>69.2</v>
      </c>
      <c r="MS8" s="107">
        <v>69.2</v>
      </c>
      <c r="MT8" s="107">
        <v>69.2</v>
      </c>
      <c r="MU8" s="107">
        <v>69.2</v>
      </c>
      <c r="MV8" s="107">
        <v>69.2</v>
      </c>
      <c r="MW8" s="107">
        <v>69.2</v>
      </c>
      <c r="MX8" s="107">
        <v>69.2</v>
      </c>
      <c r="MY8" s="107">
        <v>69.2</v>
      </c>
      <c r="MZ8" s="107">
        <v>69.2</v>
      </c>
      <c r="NA8" s="107">
        <v>69.2</v>
      </c>
      <c r="NB8" s="107">
        <v>69.2</v>
      </c>
      <c r="NC8" s="107">
        <v>69.2</v>
      </c>
      <c r="ND8" s="107">
        <v>69.2</v>
      </c>
      <c r="NE8" s="107">
        <v>69.2</v>
      </c>
      <c r="NF8" s="107">
        <v>69.2</v>
      </c>
      <c r="NG8" s="107">
        <v>69.2</v>
      </c>
      <c r="NH8" s="107">
        <v>69.2</v>
      </c>
      <c r="NI8" s="107">
        <v>69.2</v>
      </c>
      <c r="NJ8" s="107">
        <v>69.2</v>
      </c>
      <c r="NK8" s="107">
        <v>69.2</v>
      </c>
      <c r="NL8" s="107">
        <v>69.2</v>
      </c>
      <c r="NM8" s="107">
        <v>69.2</v>
      </c>
      <c r="NN8" s="107">
        <v>69.2</v>
      </c>
      <c r="NO8" s="107">
        <v>86.5</v>
      </c>
      <c r="NP8" s="107">
        <v>69.2</v>
      </c>
      <c r="NQ8" s="107">
        <v>69.2</v>
      </c>
      <c r="NR8" s="107">
        <v>69.2</v>
      </c>
      <c r="OK8" s="107">
        <v>69.2</v>
      </c>
      <c r="OL8" s="107">
        <v>69.2</v>
      </c>
      <c r="OM8" s="107">
        <v>69.2</v>
      </c>
      <c r="ON8" s="107">
        <v>69.2</v>
      </c>
      <c r="OO8" s="107">
        <v>69.2</v>
      </c>
      <c r="OP8" s="107">
        <v>69.2</v>
      </c>
      <c r="OQ8" s="107">
        <v>69.2</v>
      </c>
      <c r="OR8" s="107">
        <v>69.2</v>
      </c>
      <c r="OS8" s="107">
        <v>86.5</v>
      </c>
      <c r="OT8" s="107">
        <v>86.5</v>
      </c>
      <c r="OU8" s="107">
        <v>86.5</v>
      </c>
      <c r="OV8" s="107">
        <v>86.5</v>
      </c>
      <c r="OW8" s="107">
        <v>86.5</v>
      </c>
      <c r="OX8" s="107">
        <v>69.2</v>
      </c>
      <c r="OY8" s="107">
        <v>69.2</v>
      </c>
      <c r="OZ8" s="107">
        <v>69.2</v>
      </c>
      <c r="PA8" s="107">
        <v>69.2</v>
      </c>
      <c r="PB8" s="107">
        <v>69.2</v>
      </c>
      <c r="PC8" s="107">
        <v>69.2</v>
      </c>
      <c r="PD8" s="107">
        <v>69.2</v>
      </c>
      <c r="PE8" s="107">
        <v>69.2</v>
      </c>
      <c r="PF8" s="107">
        <v>69.2</v>
      </c>
      <c r="PG8" s="107">
        <v>69.2</v>
      </c>
      <c r="PH8" s="107">
        <v>69.2</v>
      </c>
      <c r="PI8" s="107">
        <v>69.2</v>
      </c>
      <c r="PJ8" s="107">
        <v>69.2</v>
      </c>
      <c r="PK8" s="107">
        <v>69.2</v>
      </c>
      <c r="PL8" s="107">
        <v>69.2</v>
      </c>
      <c r="PM8" s="107">
        <v>69.2</v>
      </c>
      <c r="PN8" s="107">
        <v>69.2</v>
      </c>
      <c r="PO8" s="107">
        <v>69.2</v>
      </c>
      <c r="PP8" s="107">
        <v>69.2</v>
      </c>
      <c r="PQ8" s="107">
        <v>69.2</v>
      </c>
      <c r="PR8" s="107">
        <v>69.2</v>
      </c>
      <c r="PS8" s="107">
        <v>69.2</v>
      </c>
      <c r="PT8" s="107">
        <v>69.2</v>
      </c>
      <c r="PU8" s="107">
        <v>69.2</v>
      </c>
      <c r="PV8" s="107">
        <v>69.2</v>
      </c>
      <c r="PW8" s="107">
        <v>69.2</v>
      </c>
      <c r="PX8" s="107">
        <v>69.2</v>
      </c>
      <c r="PY8" s="107">
        <v>69.2</v>
      </c>
      <c r="PZ8" s="107">
        <v>69.2</v>
      </c>
      <c r="QA8" s="107">
        <v>69.2</v>
      </c>
      <c r="QB8" s="107">
        <v>69.2</v>
      </c>
      <c r="QC8" s="107">
        <v>69.2</v>
      </c>
      <c r="QD8" s="107">
        <v>69.2</v>
      </c>
      <c r="QE8" s="107">
        <v>69.2</v>
      </c>
      <c r="QF8" s="107">
        <v>69.2</v>
      </c>
      <c r="QG8" s="107">
        <v>69.2</v>
      </c>
      <c r="QH8" s="107">
        <v>69.2</v>
      </c>
      <c r="QI8" s="107">
        <v>69.2</v>
      </c>
      <c r="QJ8" s="107">
        <v>69.2</v>
      </c>
      <c r="QK8" s="107">
        <v>69.2</v>
      </c>
      <c r="QL8" s="107">
        <v>69.2</v>
      </c>
      <c r="QM8" s="107">
        <v>69.2</v>
      </c>
      <c r="QN8" s="107">
        <v>69.2</v>
      </c>
      <c r="QO8" s="107">
        <v>69.2</v>
      </c>
      <c r="QP8" s="107">
        <v>69.2</v>
      </c>
      <c r="QQ8" s="107">
        <v>86.5</v>
      </c>
      <c r="QR8" s="107">
        <v>69.2</v>
      </c>
      <c r="QS8" s="107">
        <v>69.2</v>
      </c>
      <c r="QT8" s="107">
        <v>69.2</v>
      </c>
      <c r="RM8" s="107">
        <v>69.2</v>
      </c>
      <c r="RN8" s="107">
        <v>69.2</v>
      </c>
      <c r="RO8" s="107">
        <v>69.2</v>
      </c>
      <c r="RP8" s="107">
        <v>69.2</v>
      </c>
      <c r="RQ8" s="107">
        <v>69.2</v>
      </c>
      <c r="RR8" s="107">
        <v>69.2</v>
      </c>
      <c r="RS8" s="107">
        <v>86.5</v>
      </c>
      <c r="RT8" s="107">
        <v>69.2</v>
      </c>
      <c r="RU8" s="107">
        <v>86.5</v>
      </c>
      <c r="RV8" s="107">
        <v>86.5</v>
      </c>
      <c r="RW8" s="107">
        <v>86.5</v>
      </c>
      <c r="RX8" s="107">
        <v>86.5</v>
      </c>
      <c r="RY8" s="107">
        <v>86.5</v>
      </c>
      <c r="RZ8" s="107">
        <v>69.2</v>
      </c>
      <c r="SA8" s="107">
        <v>69.2</v>
      </c>
      <c r="SB8" s="107">
        <v>69.2</v>
      </c>
      <c r="SC8" s="107">
        <v>69.2</v>
      </c>
      <c r="SD8" s="107">
        <v>69.2</v>
      </c>
      <c r="SE8" s="107">
        <v>69.2</v>
      </c>
      <c r="SF8" s="107">
        <v>69.2</v>
      </c>
      <c r="SG8" s="107">
        <v>69.2</v>
      </c>
      <c r="SH8" s="107">
        <v>69.2</v>
      </c>
      <c r="SI8" s="107">
        <v>69.2</v>
      </c>
      <c r="SJ8" s="107">
        <v>69.2</v>
      </c>
      <c r="SK8" s="107">
        <v>69.2</v>
      </c>
      <c r="SL8" s="107">
        <v>69.2</v>
      </c>
      <c r="SM8" s="107">
        <v>69.2</v>
      </c>
      <c r="SN8" s="107">
        <v>69.2</v>
      </c>
      <c r="SO8" s="107">
        <v>69.2</v>
      </c>
      <c r="SP8" s="107">
        <v>69.2</v>
      </c>
      <c r="SQ8" s="107">
        <v>69.2</v>
      </c>
      <c r="SR8" s="107">
        <v>69.2</v>
      </c>
      <c r="SS8" s="107">
        <v>69.2</v>
      </c>
      <c r="ST8" s="107">
        <v>69.2</v>
      </c>
      <c r="SU8" s="107">
        <v>69.2</v>
      </c>
      <c r="SV8" s="107">
        <v>69.2</v>
      </c>
      <c r="SW8" s="107">
        <v>69.2</v>
      </c>
      <c r="SX8" s="107">
        <v>69.2</v>
      </c>
      <c r="SY8" s="107">
        <v>69.2</v>
      </c>
      <c r="SZ8" s="107">
        <v>69.2</v>
      </c>
      <c r="TA8" s="107">
        <v>69.2</v>
      </c>
      <c r="TB8" s="107">
        <v>69.2</v>
      </c>
      <c r="TC8" s="107">
        <v>69.2</v>
      </c>
      <c r="TD8" s="107">
        <v>69.2</v>
      </c>
      <c r="TE8" s="107">
        <v>69.2</v>
      </c>
      <c r="TF8" s="107">
        <v>69.2</v>
      </c>
      <c r="TG8" s="107">
        <v>69.2</v>
      </c>
      <c r="TH8" s="107">
        <v>69.2</v>
      </c>
      <c r="TI8" s="107">
        <v>69.2</v>
      </c>
      <c r="TJ8" s="107">
        <v>69.2</v>
      </c>
      <c r="TK8" s="107">
        <v>69.2</v>
      </c>
      <c r="TL8" s="107">
        <v>69.2</v>
      </c>
      <c r="TM8" s="107">
        <v>69.2</v>
      </c>
      <c r="TN8" s="107">
        <v>69.2</v>
      </c>
      <c r="TO8" s="107">
        <v>69.2</v>
      </c>
      <c r="TP8" s="107">
        <v>69.2</v>
      </c>
      <c r="TQ8" s="107">
        <v>69.2</v>
      </c>
      <c r="TR8" s="107">
        <v>69.2</v>
      </c>
      <c r="TS8" s="107">
        <v>86.5</v>
      </c>
      <c r="TT8" s="107">
        <v>69.2</v>
      </c>
      <c r="TU8" s="107">
        <v>69.2</v>
      </c>
      <c r="TV8" s="107">
        <v>69.2</v>
      </c>
      <c r="UO8" s="107">
        <v>69.2</v>
      </c>
      <c r="UP8" s="107">
        <v>69.2</v>
      </c>
      <c r="UQ8" s="107">
        <v>69.2</v>
      </c>
      <c r="UR8" s="107">
        <v>69.2</v>
      </c>
      <c r="US8" s="107">
        <v>69.2</v>
      </c>
      <c r="UT8" s="107">
        <v>69.2</v>
      </c>
      <c r="UU8" s="107">
        <v>86.5</v>
      </c>
      <c r="UV8" s="107">
        <v>69.2</v>
      </c>
      <c r="UW8" s="107">
        <v>86.5</v>
      </c>
      <c r="UX8" s="107">
        <v>86.5</v>
      </c>
      <c r="UY8" s="107">
        <v>86.5</v>
      </c>
      <c r="UZ8" s="107">
        <v>86.5</v>
      </c>
      <c r="VA8" s="107">
        <v>86.5</v>
      </c>
      <c r="VB8" s="107">
        <v>69.2</v>
      </c>
      <c r="VC8" s="107">
        <v>69.2</v>
      </c>
      <c r="VD8" s="107">
        <v>69.2</v>
      </c>
      <c r="VE8" s="107">
        <v>69.2</v>
      </c>
      <c r="VF8" s="107">
        <v>69.2</v>
      </c>
      <c r="VG8" s="107">
        <v>69.2</v>
      </c>
      <c r="VH8" s="107">
        <v>69.2</v>
      </c>
      <c r="VI8" s="107">
        <v>69.2</v>
      </c>
      <c r="VJ8" s="107">
        <v>69.2</v>
      </c>
      <c r="VK8" s="107">
        <v>69.2</v>
      </c>
      <c r="VL8" s="107">
        <v>69.2</v>
      </c>
      <c r="VM8" s="107">
        <v>69.2</v>
      </c>
      <c r="VN8" s="107">
        <v>69.2</v>
      </c>
      <c r="VO8" s="107">
        <v>69.2</v>
      </c>
      <c r="VP8" s="107">
        <v>69.2</v>
      </c>
      <c r="VQ8" s="107">
        <v>69.2</v>
      </c>
      <c r="VR8" s="107">
        <v>69.2</v>
      </c>
      <c r="VS8" s="107">
        <v>69.2</v>
      </c>
      <c r="VT8" s="107">
        <v>69.2</v>
      </c>
      <c r="VU8" s="107">
        <v>69.2</v>
      </c>
      <c r="VV8" s="107">
        <v>69.2</v>
      </c>
      <c r="VW8" s="107">
        <v>69.2</v>
      </c>
      <c r="VX8" s="107">
        <v>69.2</v>
      </c>
      <c r="VY8" s="107">
        <v>69.2</v>
      </c>
      <c r="VZ8" s="107">
        <v>69.2</v>
      </c>
      <c r="WA8" s="107">
        <v>69.2</v>
      </c>
      <c r="WB8" s="107">
        <v>69.2</v>
      </c>
      <c r="WC8" s="107">
        <v>69.2</v>
      </c>
      <c r="WD8" s="107">
        <v>69.2</v>
      </c>
      <c r="WE8" s="107">
        <v>69.2</v>
      </c>
      <c r="WF8" s="107">
        <v>69.2</v>
      </c>
      <c r="WG8" s="107">
        <v>69.2</v>
      </c>
      <c r="WH8" s="107">
        <v>69.2</v>
      </c>
      <c r="WI8" s="107">
        <v>69.2</v>
      </c>
      <c r="WJ8" s="107">
        <v>69.2</v>
      </c>
      <c r="WK8" s="107">
        <v>69.2</v>
      </c>
      <c r="WL8" s="107">
        <v>69.2</v>
      </c>
      <c r="WM8" s="107">
        <v>69.2</v>
      </c>
      <c r="WN8" s="107">
        <v>69.2</v>
      </c>
      <c r="WO8" s="107">
        <v>69.2</v>
      </c>
      <c r="WP8" s="107">
        <v>69.2</v>
      </c>
      <c r="WQ8" s="107">
        <v>69.2</v>
      </c>
      <c r="WR8" s="107">
        <v>69.2</v>
      </c>
      <c r="WS8" s="107">
        <v>69.2</v>
      </c>
      <c r="WT8" s="107">
        <v>86.5</v>
      </c>
      <c r="WU8" s="107">
        <v>69.2</v>
      </c>
      <c r="WV8" s="107">
        <v>69.2</v>
      </c>
      <c r="WW8" s="107">
        <v>69.2</v>
      </c>
      <c r="XQ8" s="107">
        <v>69.2</v>
      </c>
      <c r="XR8" s="107">
        <v>69.2</v>
      </c>
      <c r="XS8" s="107">
        <v>69.2</v>
      </c>
      <c r="XT8" s="107">
        <v>69.2</v>
      </c>
      <c r="XU8" s="107">
        <v>69.2</v>
      </c>
      <c r="XV8" s="107">
        <v>69.2</v>
      </c>
      <c r="XW8" s="107">
        <v>86.5</v>
      </c>
      <c r="XX8" s="107">
        <v>69.2</v>
      </c>
      <c r="XY8" s="107">
        <v>86.5</v>
      </c>
      <c r="XZ8" s="107">
        <v>86.5</v>
      </c>
      <c r="YA8" s="107">
        <v>86.5</v>
      </c>
      <c r="YB8" s="107">
        <v>86.5</v>
      </c>
      <c r="YC8" s="107">
        <v>86.5</v>
      </c>
      <c r="YD8" s="107">
        <v>69.2</v>
      </c>
      <c r="YE8" s="107">
        <v>69.2</v>
      </c>
      <c r="YF8" s="107">
        <v>69.2</v>
      </c>
      <c r="YG8" s="107">
        <v>69.2</v>
      </c>
      <c r="YH8" s="107">
        <v>69.2</v>
      </c>
      <c r="YI8" s="107">
        <v>69.2</v>
      </c>
      <c r="YJ8" s="107">
        <v>69.2</v>
      </c>
      <c r="YK8" s="107">
        <v>69.2</v>
      </c>
      <c r="YL8" s="107">
        <v>69.2</v>
      </c>
      <c r="YM8" s="107">
        <v>69.2</v>
      </c>
      <c r="YN8" s="107">
        <v>69.2</v>
      </c>
      <c r="YO8" s="107">
        <v>69.2</v>
      </c>
      <c r="YP8" s="107">
        <v>69.2</v>
      </c>
      <c r="YQ8" s="107">
        <v>69.2</v>
      </c>
      <c r="YR8" s="107">
        <v>69.2</v>
      </c>
      <c r="YS8" s="107">
        <v>69.2</v>
      </c>
      <c r="YT8" s="107">
        <v>69.2</v>
      </c>
      <c r="YU8" s="107">
        <v>69.2</v>
      </c>
      <c r="YV8" s="107">
        <v>69.2</v>
      </c>
      <c r="YW8" s="107">
        <v>69.2</v>
      </c>
      <c r="YX8" s="107">
        <v>69.2</v>
      </c>
      <c r="YY8" s="107">
        <v>69.2</v>
      </c>
      <c r="YZ8" s="107">
        <v>69.2</v>
      </c>
      <c r="ZA8" s="107">
        <v>69.2</v>
      </c>
      <c r="ZB8" s="107">
        <v>69.2</v>
      </c>
      <c r="ZC8" s="107">
        <v>69.2</v>
      </c>
      <c r="ZD8" s="107">
        <v>69.2</v>
      </c>
      <c r="ZE8" s="107">
        <v>69.2</v>
      </c>
      <c r="ZF8" s="107">
        <v>69.2</v>
      </c>
      <c r="ZG8" s="107">
        <v>69.2</v>
      </c>
      <c r="ZH8" s="107">
        <v>69.2</v>
      </c>
      <c r="ZI8" s="107">
        <v>69.2</v>
      </c>
      <c r="ZJ8" s="107">
        <v>69.2</v>
      </c>
      <c r="ZK8" s="107">
        <v>69.2</v>
      </c>
      <c r="ZL8" s="107">
        <v>69.2</v>
      </c>
      <c r="ZM8" s="107">
        <v>69.2</v>
      </c>
      <c r="ZN8" s="107">
        <v>69.2</v>
      </c>
      <c r="ZO8" s="107">
        <v>69.2</v>
      </c>
      <c r="ZP8" s="107">
        <v>69.2</v>
      </c>
      <c r="ZQ8" s="107">
        <v>69.2</v>
      </c>
      <c r="ZR8" s="107">
        <v>69.2</v>
      </c>
      <c r="ZS8" s="107">
        <v>69.2</v>
      </c>
      <c r="ZT8" s="107">
        <v>86.5</v>
      </c>
      <c r="ZU8" s="107">
        <v>69.2</v>
      </c>
      <c r="ZV8" s="107">
        <v>69.2</v>
      </c>
      <c r="ZW8" s="107">
        <v>69.2</v>
      </c>
      <c r="AAS8" s="107">
        <v>69.2</v>
      </c>
      <c r="AAT8" s="107">
        <v>69.2</v>
      </c>
      <c r="AAU8" s="107">
        <v>69.2</v>
      </c>
      <c r="AAV8" s="107">
        <v>69.2</v>
      </c>
      <c r="AAW8" s="107">
        <v>69.2</v>
      </c>
      <c r="AAX8" s="107">
        <v>69.2</v>
      </c>
      <c r="AAY8" s="107">
        <v>86.5</v>
      </c>
      <c r="AAZ8" s="107">
        <v>69.2</v>
      </c>
      <c r="ABA8" s="107">
        <v>86.5</v>
      </c>
      <c r="ABB8" s="107">
        <v>86.5</v>
      </c>
      <c r="ABC8" s="107">
        <v>86.5</v>
      </c>
      <c r="ABD8" s="107">
        <v>86.5</v>
      </c>
      <c r="ABE8" s="107">
        <v>86.5</v>
      </c>
      <c r="ABF8" s="107">
        <v>69.2</v>
      </c>
      <c r="ABG8" s="107">
        <v>69.2</v>
      </c>
      <c r="ABH8" s="107">
        <v>69.2</v>
      </c>
      <c r="ABI8" s="107">
        <v>69.2</v>
      </c>
      <c r="ABJ8" s="107">
        <v>69.2</v>
      </c>
      <c r="ABK8" s="107">
        <v>69.2</v>
      </c>
      <c r="ABL8" s="107">
        <v>69.2</v>
      </c>
      <c r="ABM8" s="107">
        <v>69.2</v>
      </c>
      <c r="ABN8" s="107">
        <v>69.2</v>
      </c>
      <c r="ABO8" s="107">
        <v>69.2</v>
      </c>
      <c r="ABP8" s="107">
        <v>69.2</v>
      </c>
      <c r="ABQ8" s="107">
        <v>69.2</v>
      </c>
      <c r="ABR8" s="107">
        <v>69.2</v>
      </c>
      <c r="ABS8" s="107">
        <v>69.2</v>
      </c>
      <c r="ABT8" s="107">
        <v>69.2</v>
      </c>
      <c r="ABU8" s="107">
        <v>69.2</v>
      </c>
      <c r="ABV8" s="107">
        <v>69.2</v>
      </c>
      <c r="ABW8" s="107">
        <v>69.2</v>
      </c>
      <c r="ABX8" s="107">
        <v>69.2</v>
      </c>
      <c r="ABY8" s="107">
        <v>69.2</v>
      </c>
      <c r="ABZ8" s="107">
        <v>69.2</v>
      </c>
      <c r="ACA8" s="107">
        <v>69.2</v>
      </c>
      <c r="ACB8" s="107">
        <v>69.2</v>
      </c>
      <c r="ACC8" s="107">
        <v>69.2</v>
      </c>
      <c r="ACD8" s="107">
        <v>69.2</v>
      </c>
      <c r="ACE8" s="107">
        <v>69.2</v>
      </c>
      <c r="ACF8" s="107">
        <v>69.2</v>
      </c>
      <c r="ACG8" s="107">
        <v>69.2</v>
      </c>
      <c r="ACH8" s="107">
        <v>69.2</v>
      </c>
      <c r="ACI8" s="107">
        <v>69.2</v>
      </c>
      <c r="ACJ8" s="107">
        <v>69.2</v>
      </c>
      <c r="ACK8" s="107">
        <v>69.2</v>
      </c>
      <c r="ACL8" s="107">
        <v>69.2</v>
      </c>
      <c r="ACM8" s="107">
        <v>69.2</v>
      </c>
      <c r="ACN8" s="107">
        <v>69.2</v>
      </c>
      <c r="ACO8" s="107">
        <v>69.2</v>
      </c>
      <c r="ACP8" s="107">
        <v>69.2</v>
      </c>
      <c r="ACQ8" s="107">
        <v>69.2</v>
      </c>
      <c r="ACR8" s="107">
        <v>69.2</v>
      </c>
      <c r="ACS8" s="107">
        <v>69.2</v>
      </c>
      <c r="ACT8" s="107">
        <v>69.2</v>
      </c>
      <c r="ACU8" s="107">
        <v>86.5</v>
      </c>
      <c r="ACV8" s="107">
        <v>69.2</v>
      </c>
      <c r="ACW8" s="107">
        <v>69.2</v>
      </c>
      <c r="ACX8" s="107">
        <v>69.2</v>
      </c>
      <c r="ADU8" s="107">
        <v>69.2</v>
      </c>
      <c r="ADV8" s="107">
        <v>69.2</v>
      </c>
      <c r="ADW8" s="107">
        <v>69.2</v>
      </c>
      <c r="ADX8" s="107">
        <v>69.2</v>
      </c>
      <c r="ADY8" s="107">
        <v>69.2</v>
      </c>
      <c r="ADZ8" s="107">
        <v>86.5</v>
      </c>
      <c r="AEA8" s="107">
        <v>69.2</v>
      </c>
      <c r="AEB8" s="107">
        <v>86.5</v>
      </c>
      <c r="AEC8" s="107">
        <v>86.5</v>
      </c>
      <c r="AED8" s="107">
        <v>86.5</v>
      </c>
      <c r="AEE8" s="107">
        <v>86.5</v>
      </c>
      <c r="AEF8" s="107">
        <v>86.5</v>
      </c>
      <c r="AEG8" s="107">
        <v>69.2</v>
      </c>
      <c r="AEH8" s="107">
        <v>69.2</v>
      </c>
      <c r="AEI8" s="107">
        <v>69.2</v>
      </c>
      <c r="AEJ8" s="107">
        <v>69.2</v>
      </c>
      <c r="AEK8" s="107">
        <v>69.2</v>
      </c>
      <c r="AEL8" s="107">
        <v>69.2</v>
      </c>
      <c r="AEM8" s="107">
        <v>69.2</v>
      </c>
      <c r="AEN8" s="107">
        <v>69.2</v>
      </c>
      <c r="AEO8" s="107">
        <v>69.2</v>
      </c>
      <c r="AEP8" s="107">
        <v>69.2</v>
      </c>
      <c r="AEQ8" s="107">
        <v>69.2</v>
      </c>
      <c r="AER8" s="107">
        <v>69.2</v>
      </c>
      <c r="AES8" s="107">
        <v>69.2</v>
      </c>
      <c r="AET8" s="107">
        <v>69.2</v>
      </c>
      <c r="AEU8" s="107">
        <v>69.2</v>
      </c>
      <c r="AEV8" s="107">
        <v>69.2</v>
      </c>
      <c r="AEW8" s="107">
        <v>69.2</v>
      </c>
      <c r="AEX8" s="107">
        <v>69.2</v>
      </c>
      <c r="AEY8" s="107">
        <v>69.2</v>
      </c>
      <c r="AEZ8" s="107">
        <v>69.2</v>
      </c>
      <c r="AFA8" s="107">
        <v>69.2</v>
      </c>
      <c r="AFB8" s="107">
        <v>69.2</v>
      </c>
      <c r="AFC8" s="107">
        <v>69.2</v>
      </c>
      <c r="AFD8" s="107">
        <v>69.2</v>
      </c>
      <c r="AFE8" s="107">
        <v>69.2</v>
      </c>
      <c r="AFF8" s="107">
        <v>69.2</v>
      </c>
      <c r="AFG8" s="107">
        <v>69.2</v>
      </c>
      <c r="AFH8" s="107">
        <v>69.2</v>
      </c>
      <c r="AFI8" s="107">
        <v>69.2</v>
      </c>
      <c r="AFJ8" s="107">
        <v>69.2</v>
      </c>
      <c r="AFK8" s="107">
        <v>69.2</v>
      </c>
      <c r="AFL8" s="107">
        <v>69.2</v>
      </c>
      <c r="AFM8" s="107">
        <v>69.2</v>
      </c>
      <c r="AFN8" s="107">
        <v>69.2</v>
      </c>
      <c r="AFO8" s="107">
        <v>69.2</v>
      </c>
      <c r="AFP8" s="107">
        <v>69.2</v>
      </c>
      <c r="AFQ8" s="107">
        <v>69.2</v>
      </c>
      <c r="AFR8" s="107">
        <v>69.2</v>
      </c>
      <c r="AFS8" s="107">
        <v>69.2</v>
      </c>
      <c r="AFT8" s="107">
        <v>69.2</v>
      </c>
      <c r="AFU8" s="107">
        <v>69.2</v>
      </c>
      <c r="AFV8" s="107">
        <v>86.5</v>
      </c>
      <c r="AFW8" s="107">
        <v>69.2</v>
      </c>
      <c r="AFX8" s="107">
        <v>69.2</v>
      </c>
      <c r="AFY8" s="107">
        <v>69.2</v>
      </c>
      <c r="AGW8" s="107">
        <v>69.2</v>
      </c>
      <c r="AGX8" s="107">
        <v>69.2</v>
      </c>
      <c r="AGY8" s="107">
        <v>69.2</v>
      </c>
      <c r="AGZ8" s="107">
        <v>69.2</v>
      </c>
      <c r="AHA8" s="107">
        <v>69.2</v>
      </c>
      <c r="AHB8" s="107">
        <v>86.5</v>
      </c>
      <c r="AHC8" s="107">
        <v>69.2</v>
      </c>
      <c r="AHD8" s="107">
        <v>86.5</v>
      </c>
      <c r="AHE8" s="107">
        <v>86.5</v>
      </c>
      <c r="AHF8" s="107">
        <v>86.5</v>
      </c>
      <c r="AHG8" s="107">
        <v>86.5</v>
      </c>
      <c r="AHH8" s="107">
        <v>86.5</v>
      </c>
      <c r="AHI8" s="107">
        <v>69.2</v>
      </c>
      <c r="AHJ8" s="107">
        <v>69.2</v>
      </c>
      <c r="AHK8" s="107">
        <v>69.2</v>
      </c>
      <c r="AHL8" s="107">
        <v>69.2</v>
      </c>
      <c r="AHM8" s="107">
        <v>69.2</v>
      </c>
      <c r="AHN8" s="107">
        <v>69.2</v>
      </c>
      <c r="AHO8" s="107">
        <v>69.2</v>
      </c>
      <c r="AHP8" s="107">
        <v>69.2</v>
      </c>
      <c r="AHQ8" s="107">
        <v>69.2</v>
      </c>
      <c r="AHR8" s="107">
        <v>69.2</v>
      </c>
      <c r="AHS8" s="107">
        <v>69.2</v>
      </c>
      <c r="AHT8" s="107">
        <v>69.2</v>
      </c>
      <c r="AHU8" s="107">
        <v>69.2</v>
      </c>
      <c r="AHV8" s="107">
        <v>69.2</v>
      </c>
      <c r="AHW8" s="107">
        <v>69.2</v>
      </c>
      <c r="AHX8" s="107">
        <v>69.2</v>
      </c>
      <c r="AHY8" s="107">
        <v>69.2</v>
      </c>
      <c r="AHZ8" s="107">
        <v>69.2</v>
      </c>
      <c r="AIA8" s="107">
        <v>69.2</v>
      </c>
      <c r="AIB8" s="107">
        <v>69.2</v>
      </c>
      <c r="AIC8" s="107">
        <v>69.2</v>
      </c>
      <c r="AID8" s="107">
        <v>69.2</v>
      </c>
      <c r="AIE8" s="107">
        <v>69.2</v>
      </c>
      <c r="AIF8" s="107">
        <v>69.2</v>
      </c>
      <c r="AIG8" s="107">
        <v>69.2</v>
      </c>
      <c r="AIH8" s="107">
        <v>69.2</v>
      </c>
      <c r="AII8" s="107">
        <v>69.2</v>
      </c>
      <c r="AIJ8" s="107">
        <v>69.2</v>
      </c>
      <c r="AIK8" s="107">
        <v>69.2</v>
      </c>
      <c r="AIL8" s="107">
        <v>69.2</v>
      </c>
      <c r="AIM8" s="107">
        <v>69.2</v>
      </c>
      <c r="AIN8" s="107">
        <v>69.2</v>
      </c>
      <c r="AIO8" s="107">
        <v>69.2</v>
      </c>
      <c r="AIP8" s="107">
        <v>69.2</v>
      </c>
      <c r="AIQ8" s="107">
        <v>69.2</v>
      </c>
      <c r="AIR8" s="107">
        <v>69.2</v>
      </c>
      <c r="AIS8" s="107">
        <v>69.2</v>
      </c>
      <c r="AIT8" s="107">
        <v>69.2</v>
      </c>
      <c r="AIU8" s="107">
        <v>69.2</v>
      </c>
      <c r="AIV8" s="107">
        <v>69.2</v>
      </c>
      <c r="AIW8" s="107">
        <v>69.2</v>
      </c>
      <c r="AIX8" s="107">
        <v>86.5</v>
      </c>
      <c r="AIY8" s="107">
        <v>69.2</v>
      </c>
      <c r="AIZ8" s="107">
        <v>69.2</v>
      </c>
      <c r="AJY8" t="s">
        <v>9</v>
      </c>
    </row>
    <row r="9" spans="1:961">
      <c r="A9" s="107">
        <v>51.9</v>
      </c>
      <c r="B9" s="107">
        <v>51.9</v>
      </c>
      <c r="C9" s="107">
        <v>51.9</v>
      </c>
      <c r="D9" s="107">
        <v>51.9</v>
      </c>
      <c r="E9" s="107">
        <v>64</v>
      </c>
      <c r="F9" s="107">
        <v>51.9</v>
      </c>
      <c r="G9" s="107">
        <v>69.2</v>
      </c>
      <c r="H9" s="107">
        <v>69.2</v>
      </c>
      <c r="I9" s="107">
        <v>69.2</v>
      </c>
      <c r="J9" s="107">
        <v>69.2</v>
      </c>
      <c r="K9" s="107">
        <v>64</v>
      </c>
      <c r="L9" s="107">
        <v>51.9</v>
      </c>
      <c r="M9" s="107">
        <v>64</v>
      </c>
      <c r="N9" s="107">
        <v>64</v>
      </c>
      <c r="O9" s="107">
        <v>64</v>
      </c>
      <c r="P9" s="107">
        <v>51.9</v>
      </c>
      <c r="Q9" s="107">
        <v>64</v>
      </c>
      <c r="R9" s="107">
        <v>64</v>
      </c>
      <c r="S9" s="107">
        <v>69.2</v>
      </c>
      <c r="T9" s="107">
        <v>51.9</v>
      </c>
      <c r="U9" s="107">
        <v>51.9</v>
      </c>
      <c r="V9" s="107">
        <v>64</v>
      </c>
      <c r="W9" s="107">
        <v>64</v>
      </c>
      <c r="X9" s="107">
        <v>64</v>
      </c>
      <c r="Y9" s="107">
        <v>51.9</v>
      </c>
      <c r="Z9" s="107">
        <v>64</v>
      </c>
      <c r="AA9" s="107">
        <v>64</v>
      </c>
      <c r="AB9" s="107">
        <v>64</v>
      </c>
      <c r="AC9" s="107">
        <v>64</v>
      </c>
      <c r="AD9" s="107">
        <v>64</v>
      </c>
      <c r="AE9" s="107">
        <v>64</v>
      </c>
      <c r="AF9" s="107">
        <v>64</v>
      </c>
      <c r="AG9" s="107">
        <v>69.2</v>
      </c>
      <c r="AH9" s="107">
        <v>64</v>
      </c>
      <c r="AI9" s="107">
        <v>64</v>
      </c>
      <c r="AJ9" s="107">
        <v>64</v>
      </c>
      <c r="AK9" s="107">
        <v>64</v>
      </c>
      <c r="AL9" s="107">
        <v>64</v>
      </c>
      <c r="AM9" s="107">
        <v>64</v>
      </c>
      <c r="AN9" s="107">
        <v>64</v>
      </c>
      <c r="AO9" s="107">
        <v>64</v>
      </c>
      <c r="AP9" s="107">
        <v>64</v>
      </c>
      <c r="AQ9" s="107">
        <v>64</v>
      </c>
      <c r="AR9" s="107">
        <v>64</v>
      </c>
      <c r="AS9" s="107">
        <v>64</v>
      </c>
      <c r="AT9" s="107">
        <v>64</v>
      </c>
      <c r="AU9" s="107">
        <v>64</v>
      </c>
      <c r="AV9" s="107">
        <v>64</v>
      </c>
      <c r="AW9" s="107">
        <v>64</v>
      </c>
      <c r="AX9" s="107">
        <v>64</v>
      </c>
      <c r="AY9" s="107">
        <v>64</v>
      </c>
      <c r="AZ9" s="107">
        <v>64</v>
      </c>
      <c r="CC9" s="107">
        <v>51.9</v>
      </c>
      <c r="CD9" s="107">
        <v>51.9</v>
      </c>
      <c r="CE9" s="107">
        <v>51.9</v>
      </c>
      <c r="CF9" s="107">
        <v>51.9</v>
      </c>
      <c r="CG9" s="107">
        <v>51.9</v>
      </c>
      <c r="CH9" s="107">
        <v>69.2</v>
      </c>
      <c r="CI9" s="107">
        <v>51.9</v>
      </c>
      <c r="CJ9" s="107">
        <v>69.2</v>
      </c>
      <c r="CK9" s="107">
        <v>69.2</v>
      </c>
      <c r="CL9" s="107">
        <v>69.2</v>
      </c>
      <c r="CM9" s="107">
        <v>69.2</v>
      </c>
      <c r="CN9" s="107">
        <v>69.2</v>
      </c>
      <c r="CO9" s="107">
        <v>51.9</v>
      </c>
      <c r="CP9" s="107">
        <v>64</v>
      </c>
      <c r="CQ9" s="107">
        <v>64</v>
      </c>
      <c r="CR9" s="107">
        <v>64</v>
      </c>
      <c r="CS9" s="107">
        <v>51.9</v>
      </c>
      <c r="CT9" s="107">
        <v>64</v>
      </c>
      <c r="CU9" s="107">
        <v>64</v>
      </c>
      <c r="CV9" s="107">
        <v>64</v>
      </c>
      <c r="CW9" s="107">
        <v>51.9</v>
      </c>
      <c r="CX9" s="107">
        <v>51.9</v>
      </c>
      <c r="CY9" s="107">
        <v>64</v>
      </c>
      <c r="CZ9" s="107">
        <v>64</v>
      </c>
      <c r="DA9" s="107">
        <v>64</v>
      </c>
      <c r="DB9" s="107">
        <v>51.9</v>
      </c>
      <c r="DC9" s="107">
        <v>64</v>
      </c>
      <c r="DD9" s="107">
        <v>64</v>
      </c>
      <c r="DE9" s="107">
        <v>64</v>
      </c>
      <c r="DF9" s="107">
        <v>64</v>
      </c>
      <c r="DG9" s="107">
        <v>64</v>
      </c>
      <c r="DH9" s="107">
        <v>64</v>
      </c>
      <c r="DI9" s="107">
        <v>64</v>
      </c>
      <c r="DJ9" s="107">
        <v>64</v>
      </c>
      <c r="DK9" s="107">
        <v>64</v>
      </c>
      <c r="DL9" s="107">
        <v>64</v>
      </c>
      <c r="DM9" s="107">
        <v>64</v>
      </c>
      <c r="DN9" s="107">
        <v>64</v>
      </c>
      <c r="DO9" s="107">
        <v>64</v>
      </c>
      <c r="DP9" s="107">
        <v>64</v>
      </c>
      <c r="DQ9" s="107">
        <v>64</v>
      </c>
      <c r="DR9" s="107">
        <v>64</v>
      </c>
      <c r="DS9" s="107">
        <v>64</v>
      </c>
      <c r="DT9" s="107">
        <v>64</v>
      </c>
      <c r="DU9" s="107">
        <v>64</v>
      </c>
      <c r="DV9" s="107">
        <v>64</v>
      </c>
      <c r="DW9" s="107">
        <v>64</v>
      </c>
      <c r="DX9" s="107">
        <v>64</v>
      </c>
      <c r="DY9" s="107">
        <v>64</v>
      </c>
      <c r="DZ9" s="107">
        <v>64</v>
      </c>
      <c r="EA9" s="107">
        <v>64</v>
      </c>
      <c r="EB9" s="107">
        <v>64</v>
      </c>
      <c r="EC9" s="107">
        <v>64</v>
      </c>
      <c r="ED9" s="107">
        <v>64</v>
      </c>
      <c r="EE9" s="107">
        <v>69.2</v>
      </c>
      <c r="EF9" s="107">
        <v>64</v>
      </c>
      <c r="EG9" s="107">
        <v>64</v>
      </c>
      <c r="EH9" s="107">
        <v>64</v>
      </c>
      <c r="EI9" s="107">
        <v>64</v>
      </c>
      <c r="FE9" s="107">
        <v>64</v>
      </c>
      <c r="FF9" s="107">
        <v>51.9</v>
      </c>
      <c r="FG9" s="107">
        <v>51.9</v>
      </c>
      <c r="FH9" s="107">
        <v>51.9</v>
      </c>
      <c r="FI9" s="107">
        <v>51.9</v>
      </c>
      <c r="FJ9" s="107">
        <v>51.9</v>
      </c>
      <c r="FK9" s="107">
        <v>69.2</v>
      </c>
      <c r="FL9" s="107">
        <v>51.9</v>
      </c>
      <c r="FM9" s="107">
        <v>69.2</v>
      </c>
      <c r="FN9" s="107">
        <v>69.2</v>
      </c>
      <c r="FO9" s="107">
        <v>69.2</v>
      </c>
      <c r="FP9" s="107">
        <v>69.2</v>
      </c>
      <c r="FQ9" s="107">
        <v>69.2</v>
      </c>
      <c r="FR9" s="107">
        <v>51.9</v>
      </c>
      <c r="FS9" s="107">
        <v>64</v>
      </c>
      <c r="FT9" s="107">
        <v>64</v>
      </c>
      <c r="FU9" s="107">
        <v>64</v>
      </c>
      <c r="FV9" s="107">
        <v>51.9</v>
      </c>
      <c r="FW9" s="107">
        <v>64</v>
      </c>
      <c r="FX9" s="107">
        <v>64</v>
      </c>
      <c r="FY9" s="107">
        <v>64</v>
      </c>
      <c r="FZ9" s="107">
        <v>51.9</v>
      </c>
      <c r="GA9" s="107">
        <v>51.9</v>
      </c>
      <c r="GB9" s="107">
        <v>64</v>
      </c>
      <c r="GC9" s="107">
        <v>64</v>
      </c>
      <c r="GD9" s="107">
        <v>64</v>
      </c>
      <c r="GE9" s="107">
        <v>51.9</v>
      </c>
      <c r="GF9" s="107">
        <v>64</v>
      </c>
      <c r="GG9" s="107">
        <v>64</v>
      </c>
      <c r="GH9" s="107">
        <v>64</v>
      </c>
      <c r="GI9" s="107">
        <v>64</v>
      </c>
      <c r="GJ9" s="107">
        <v>64</v>
      </c>
      <c r="GK9" s="107">
        <v>64</v>
      </c>
      <c r="GL9" s="107">
        <v>64</v>
      </c>
      <c r="GM9" s="107">
        <v>64</v>
      </c>
      <c r="GN9" s="107">
        <v>64</v>
      </c>
      <c r="GO9" s="107">
        <v>64</v>
      </c>
      <c r="GP9" s="107">
        <v>64</v>
      </c>
      <c r="GQ9" s="107">
        <v>64</v>
      </c>
      <c r="GR9" s="107">
        <v>64</v>
      </c>
      <c r="GS9" s="107">
        <v>64</v>
      </c>
      <c r="GT9" s="107">
        <v>64</v>
      </c>
      <c r="GU9" s="107">
        <v>64</v>
      </c>
      <c r="GV9" s="107">
        <v>64</v>
      </c>
      <c r="GW9" s="107">
        <v>64</v>
      </c>
      <c r="GX9" s="107">
        <v>64</v>
      </c>
      <c r="GY9" s="107">
        <v>64</v>
      </c>
      <c r="GZ9" s="107">
        <v>64</v>
      </c>
      <c r="HA9" s="107">
        <v>64</v>
      </c>
      <c r="HB9" s="107">
        <v>64</v>
      </c>
      <c r="HC9" s="107">
        <v>64</v>
      </c>
      <c r="HD9" s="107">
        <v>64</v>
      </c>
      <c r="HE9" s="107">
        <v>64</v>
      </c>
      <c r="HF9" s="107">
        <v>64</v>
      </c>
      <c r="HG9" s="107">
        <v>64</v>
      </c>
      <c r="HH9" s="107">
        <v>64</v>
      </c>
      <c r="HI9" s="107">
        <v>69.2</v>
      </c>
      <c r="HJ9" s="107">
        <v>64</v>
      </c>
      <c r="HK9" s="107">
        <v>64</v>
      </c>
      <c r="HL9" s="107">
        <v>64</v>
      </c>
      <c r="IG9" s="107">
        <v>64</v>
      </c>
      <c r="IH9" s="107">
        <v>51.9</v>
      </c>
      <c r="II9" s="107">
        <v>51.9</v>
      </c>
      <c r="IJ9" s="107">
        <v>51.9</v>
      </c>
      <c r="IK9" s="107">
        <v>51.9</v>
      </c>
      <c r="IL9" s="107">
        <v>51.9</v>
      </c>
      <c r="IM9" s="107">
        <v>69.2</v>
      </c>
      <c r="IN9" s="107">
        <v>51.9</v>
      </c>
      <c r="IO9" s="107">
        <v>69.2</v>
      </c>
      <c r="IP9" s="107">
        <v>69.2</v>
      </c>
      <c r="IQ9" s="107">
        <v>69.2</v>
      </c>
      <c r="IR9" s="107">
        <v>69.2</v>
      </c>
      <c r="IS9" s="107">
        <v>69.2</v>
      </c>
      <c r="IT9" s="107">
        <v>51.9</v>
      </c>
      <c r="IU9" s="107">
        <v>64</v>
      </c>
      <c r="IV9" s="107">
        <v>64</v>
      </c>
      <c r="IW9" s="107">
        <v>64</v>
      </c>
      <c r="IX9" s="107">
        <v>51.9</v>
      </c>
      <c r="IY9" s="107">
        <v>69.2</v>
      </c>
      <c r="IZ9" s="107">
        <v>64</v>
      </c>
      <c r="JA9" s="107">
        <v>64</v>
      </c>
      <c r="JB9" s="107">
        <v>51.9</v>
      </c>
      <c r="JC9" s="107">
        <v>51.9</v>
      </c>
      <c r="JD9" s="107">
        <v>64</v>
      </c>
      <c r="JE9" s="107">
        <v>64</v>
      </c>
      <c r="JF9" s="107">
        <v>64</v>
      </c>
      <c r="JG9" s="107">
        <v>51.9</v>
      </c>
      <c r="JH9" s="107">
        <v>64</v>
      </c>
      <c r="JI9" s="107">
        <v>64</v>
      </c>
      <c r="JJ9" s="107">
        <v>64</v>
      </c>
      <c r="JK9" s="107">
        <v>64</v>
      </c>
      <c r="JL9" s="107">
        <v>64</v>
      </c>
      <c r="JM9" s="107">
        <v>64</v>
      </c>
      <c r="JN9" s="107">
        <v>64</v>
      </c>
      <c r="JO9" s="107">
        <v>64</v>
      </c>
      <c r="JP9" s="107">
        <v>64</v>
      </c>
      <c r="JQ9" s="107">
        <v>64</v>
      </c>
      <c r="JR9" s="107">
        <v>64</v>
      </c>
      <c r="JS9" s="107">
        <v>64</v>
      </c>
      <c r="JT9" s="107">
        <v>64</v>
      </c>
      <c r="JU9" s="107">
        <v>64</v>
      </c>
      <c r="JV9" s="107">
        <v>64</v>
      </c>
      <c r="JW9" s="107">
        <v>64</v>
      </c>
      <c r="JX9" s="107">
        <v>64</v>
      </c>
      <c r="JY9" s="107">
        <v>64</v>
      </c>
      <c r="JZ9" s="107">
        <v>64</v>
      </c>
      <c r="KA9" s="107">
        <v>64</v>
      </c>
      <c r="KB9" s="107">
        <v>64</v>
      </c>
      <c r="KC9" s="107">
        <v>64</v>
      </c>
      <c r="KD9" s="107">
        <v>64</v>
      </c>
      <c r="KE9" s="107">
        <v>64</v>
      </c>
      <c r="KF9" s="107">
        <v>64</v>
      </c>
      <c r="KG9" s="107">
        <v>64</v>
      </c>
      <c r="KH9" s="107">
        <v>64</v>
      </c>
      <c r="KI9" s="107">
        <v>64</v>
      </c>
      <c r="KJ9" s="107">
        <v>64</v>
      </c>
      <c r="KK9" s="107">
        <v>69.2</v>
      </c>
      <c r="KL9" s="107">
        <v>64</v>
      </c>
      <c r="KM9" s="107">
        <v>64</v>
      </c>
      <c r="KN9" s="107">
        <v>64</v>
      </c>
      <c r="LI9" s="107">
        <v>64</v>
      </c>
      <c r="LJ9" s="107">
        <v>69.2</v>
      </c>
      <c r="LK9" s="107">
        <v>51.9</v>
      </c>
      <c r="LL9" s="107">
        <v>51.9</v>
      </c>
      <c r="LM9" s="107">
        <v>51.9</v>
      </c>
      <c r="LN9" s="107">
        <v>51.9</v>
      </c>
      <c r="LO9" s="107">
        <v>69.2</v>
      </c>
      <c r="LP9" s="107">
        <v>51.9</v>
      </c>
      <c r="LQ9" s="107">
        <v>69.2</v>
      </c>
      <c r="LR9" s="107">
        <v>69.2</v>
      </c>
      <c r="LS9" s="107">
        <v>69.2</v>
      </c>
      <c r="LT9" s="107">
        <v>69.2</v>
      </c>
      <c r="LU9" s="107">
        <v>69.2</v>
      </c>
      <c r="LV9" s="107">
        <v>51.9</v>
      </c>
      <c r="LW9" s="107">
        <v>64</v>
      </c>
      <c r="LX9" s="107">
        <v>64</v>
      </c>
      <c r="LY9" s="107">
        <v>64</v>
      </c>
      <c r="LZ9" s="107">
        <v>51.9</v>
      </c>
      <c r="MA9" s="107">
        <v>64</v>
      </c>
      <c r="MB9" s="107">
        <v>64</v>
      </c>
      <c r="MC9" s="107">
        <v>51.9</v>
      </c>
      <c r="MD9" s="107">
        <v>51.9</v>
      </c>
      <c r="ME9" s="107">
        <v>51.9</v>
      </c>
      <c r="MF9" s="107">
        <v>64</v>
      </c>
      <c r="MG9" s="107">
        <v>64</v>
      </c>
      <c r="MH9" s="107">
        <v>64</v>
      </c>
      <c r="MI9" s="107">
        <v>51.9</v>
      </c>
      <c r="MJ9" s="107">
        <v>64</v>
      </c>
      <c r="MK9" s="107">
        <v>64</v>
      </c>
      <c r="ML9" s="107">
        <v>64</v>
      </c>
      <c r="MM9" s="107">
        <v>64</v>
      </c>
      <c r="MN9" s="107">
        <v>64</v>
      </c>
      <c r="MO9" s="107">
        <v>64</v>
      </c>
      <c r="MP9" s="107">
        <v>64</v>
      </c>
      <c r="MQ9" s="107">
        <v>64</v>
      </c>
      <c r="MR9" s="107">
        <v>64</v>
      </c>
      <c r="MS9" s="107">
        <v>64</v>
      </c>
      <c r="MT9" s="107">
        <v>64</v>
      </c>
      <c r="MU9" s="107">
        <v>64</v>
      </c>
      <c r="MV9" s="107">
        <v>64</v>
      </c>
      <c r="MW9" s="107">
        <v>64</v>
      </c>
      <c r="MX9" s="107">
        <v>64</v>
      </c>
      <c r="MY9" s="107">
        <v>64</v>
      </c>
      <c r="MZ9" s="107">
        <v>64</v>
      </c>
      <c r="NA9" s="107">
        <v>64</v>
      </c>
      <c r="NB9" s="107">
        <v>64</v>
      </c>
      <c r="NC9" s="107">
        <v>64</v>
      </c>
      <c r="ND9" s="107">
        <v>64</v>
      </c>
      <c r="NE9" s="107">
        <v>64</v>
      </c>
      <c r="NF9" s="107">
        <v>64</v>
      </c>
      <c r="NG9" s="107">
        <v>64</v>
      </c>
      <c r="NH9" s="107">
        <v>64</v>
      </c>
      <c r="NI9" s="107">
        <v>64</v>
      </c>
      <c r="NJ9" s="107">
        <v>64</v>
      </c>
      <c r="NK9" s="107">
        <v>64</v>
      </c>
      <c r="NL9" s="107">
        <v>64</v>
      </c>
      <c r="NM9" s="107">
        <v>64</v>
      </c>
      <c r="NN9" s="107">
        <v>64</v>
      </c>
      <c r="NO9" s="107">
        <v>69.2</v>
      </c>
      <c r="NP9" s="107">
        <v>64</v>
      </c>
      <c r="NQ9" s="107">
        <v>64</v>
      </c>
      <c r="NR9" s="107">
        <v>64</v>
      </c>
      <c r="OK9" s="107">
        <v>64</v>
      </c>
      <c r="OL9" s="107">
        <v>51.9</v>
      </c>
      <c r="OM9" s="107">
        <v>51.9</v>
      </c>
      <c r="ON9" s="107">
        <v>51.9</v>
      </c>
      <c r="OO9" s="107">
        <v>51.9</v>
      </c>
      <c r="OP9" s="107">
        <v>51.9</v>
      </c>
      <c r="OQ9" s="107">
        <v>51.9</v>
      </c>
      <c r="OR9" s="107">
        <v>51.9</v>
      </c>
      <c r="OS9" s="107">
        <v>69.2</v>
      </c>
      <c r="OT9" s="107">
        <v>69.2</v>
      </c>
      <c r="OU9" s="107">
        <v>69.2</v>
      </c>
      <c r="OV9" s="107">
        <v>69.2</v>
      </c>
      <c r="OW9" s="107">
        <v>69.2</v>
      </c>
      <c r="OX9" s="107">
        <v>51.9</v>
      </c>
      <c r="OY9" s="107">
        <v>64</v>
      </c>
      <c r="OZ9" s="107">
        <v>64</v>
      </c>
      <c r="PA9" s="107">
        <v>64</v>
      </c>
      <c r="PB9" s="107">
        <v>51.9</v>
      </c>
      <c r="PC9" s="107">
        <v>64</v>
      </c>
      <c r="PD9" s="107">
        <v>64</v>
      </c>
      <c r="PE9" s="107">
        <v>64</v>
      </c>
      <c r="PF9" s="107">
        <v>51.9</v>
      </c>
      <c r="PG9" s="107">
        <v>51.9</v>
      </c>
      <c r="PH9" s="107">
        <v>64</v>
      </c>
      <c r="PI9" s="107">
        <v>64</v>
      </c>
      <c r="PJ9" s="107">
        <v>64</v>
      </c>
      <c r="PK9" s="107">
        <v>51.9</v>
      </c>
      <c r="PL9" s="107">
        <v>64</v>
      </c>
      <c r="PM9" s="107">
        <v>64</v>
      </c>
      <c r="PN9" s="107">
        <v>64</v>
      </c>
      <c r="PO9" s="107">
        <v>64</v>
      </c>
      <c r="PP9" s="107">
        <v>64</v>
      </c>
      <c r="PQ9" s="107">
        <v>64</v>
      </c>
      <c r="PR9" s="107">
        <v>64</v>
      </c>
      <c r="PS9" s="107">
        <v>64</v>
      </c>
      <c r="PT9" s="107">
        <v>64</v>
      </c>
      <c r="PU9" s="107">
        <v>64</v>
      </c>
      <c r="PV9" s="107">
        <v>64</v>
      </c>
      <c r="PW9" s="107">
        <v>64</v>
      </c>
      <c r="PX9" s="107">
        <v>64</v>
      </c>
      <c r="PY9" s="107">
        <v>64</v>
      </c>
      <c r="PZ9" s="107">
        <v>64</v>
      </c>
      <c r="QA9" s="107">
        <v>64</v>
      </c>
      <c r="QB9" s="107">
        <v>64</v>
      </c>
      <c r="QC9" s="107">
        <v>64</v>
      </c>
      <c r="QD9" s="107">
        <v>64</v>
      </c>
      <c r="QE9" s="107">
        <v>64</v>
      </c>
      <c r="QF9" s="107">
        <v>64</v>
      </c>
      <c r="QG9" s="107">
        <v>64</v>
      </c>
      <c r="QH9" s="107">
        <v>64</v>
      </c>
      <c r="QI9" s="107">
        <v>64</v>
      </c>
      <c r="QJ9" s="107">
        <v>64</v>
      </c>
      <c r="QK9" s="107">
        <v>64</v>
      </c>
      <c r="QL9" s="107">
        <v>64</v>
      </c>
      <c r="QM9" s="107">
        <v>64</v>
      </c>
      <c r="QN9" s="107">
        <v>64</v>
      </c>
      <c r="QO9" s="107">
        <v>64</v>
      </c>
      <c r="QP9" s="107">
        <v>64</v>
      </c>
      <c r="QQ9" s="107">
        <v>69.2</v>
      </c>
      <c r="QR9" s="107">
        <v>64</v>
      </c>
      <c r="QS9" s="107">
        <v>64</v>
      </c>
      <c r="QT9" s="107">
        <v>64</v>
      </c>
      <c r="RM9" s="107">
        <v>64</v>
      </c>
      <c r="RN9" s="107">
        <v>51.9</v>
      </c>
      <c r="RO9" s="107">
        <v>51.9</v>
      </c>
      <c r="RP9" s="107">
        <v>51.9</v>
      </c>
      <c r="RQ9" s="107">
        <v>51.9</v>
      </c>
      <c r="RR9" s="107">
        <v>51.9</v>
      </c>
      <c r="RS9" s="107">
        <v>69.2</v>
      </c>
      <c r="RT9" s="107">
        <v>51.9</v>
      </c>
      <c r="RU9" s="107">
        <v>69.2</v>
      </c>
      <c r="RV9" s="107">
        <v>69.2</v>
      </c>
      <c r="RW9" s="107">
        <v>69.2</v>
      </c>
      <c r="RX9" s="107">
        <v>69.2</v>
      </c>
      <c r="RY9" s="107">
        <v>69.2</v>
      </c>
      <c r="RZ9" s="107">
        <v>51.9</v>
      </c>
      <c r="SA9" s="107">
        <v>64</v>
      </c>
      <c r="SB9" s="107">
        <v>64</v>
      </c>
      <c r="SC9" s="107">
        <v>64</v>
      </c>
      <c r="SD9" s="107">
        <v>51.9</v>
      </c>
      <c r="SE9" s="107">
        <v>64</v>
      </c>
      <c r="SF9" s="107">
        <v>64</v>
      </c>
      <c r="SG9" s="107">
        <v>64</v>
      </c>
      <c r="SH9" s="107">
        <v>51.9</v>
      </c>
      <c r="SI9" s="107">
        <v>51.9</v>
      </c>
      <c r="SJ9" s="107">
        <v>64</v>
      </c>
      <c r="SK9" s="107">
        <v>64</v>
      </c>
      <c r="SL9" s="107">
        <v>64</v>
      </c>
      <c r="SM9" s="107">
        <v>51.9</v>
      </c>
      <c r="SN9" s="107">
        <v>64</v>
      </c>
      <c r="SO9" s="107">
        <v>64</v>
      </c>
      <c r="SP9" s="107">
        <v>64</v>
      </c>
      <c r="SQ9" s="107">
        <v>64</v>
      </c>
      <c r="SR9" s="107">
        <v>64</v>
      </c>
      <c r="SS9" s="107">
        <v>64</v>
      </c>
      <c r="ST9" s="107">
        <v>64</v>
      </c>
      <c r="SU9" s="107">
        <v>64</v>
      </c>
      <c r="SV9" s="107">
        <v>64</v>
      </c>
      <c r="SW9" s="107">
        <v>64</v>
      </c>
      <c r="SX9" s="107">
        <v>64</v>
      </c>
      <c r="SY9" s="107">
        <v>64</v>
      </c>
      <c r="SZ9" s="107">
        <v>64</v>
      </c>
      <c r="TA9" s="107">
        <v>64</v>
      </c>
      <c r="TB9" s="107">
        <v>64</v>
      </c>
      <c r="TC9" s="107">
        <v>64</v>
      </c>
      <c r="TD9" s="107">
        <v>64</v>
      </c>
      <c r="TE9" s="107">
        <v>64</v>
      </c>
      <c r="TF9" s="107">
        <v>64</v>
      </c>
      <c r="TG9" s="107">
        <v>64</v>
      </c>
      <c r="TH9" s="107">
        <v>64</v>
      </c>
      <c r="TI9" s="107">
        <v>64</v>
      </c>
      <c r="TJ9" s="107">
        <v>64</v>
      </c>
      <c r="TK9" s="107">
        <v>64</v>
      </c>
      <c r="TL9" s="107">
        <v>64</v>
      </c>
      <c r="TM9" s="107">
        <v>64</v>
      </c>
      <c r="TN9" s="107">
        <v>64</v>
      </c>
      <c r="TO9" s="107">
        <v>64</v>
      </c>
      <c r="TP9" s="107">
        <v>64</v>
      </c>
      <c r="TQ9" s="107">
        <v>64</v>
      </c>
      <c r="TR9" s="107">
        <v>64</v>
      </c>
      <c r="TS9" s="107">
        <v>69.2</v>
      </c>
      <c r="TT9" s="107">
        <v>64</v>
      </c>
      <c r="TU9" s="107">
        <v>64</v>
      </c>
      <c r="TV9" s="107">
        <v>64</v>
      </c>
      <c r="UO9" s="107">
        <v>64</v>
      </c>
      <c r="UP9" s="107">
        <v>51.9</v>
      </c>
      <c r="UQ9" s="107">
        <v>51.9</v>
      </c>
      <c r="UR9" s="107">
        <v>51.9</v>
      </c>
      <c r="US9" s="107">
        <v>51.9</v>
      </c>
      <c r="UT9" s="107">
        <v>51.9</v>
      </c>
      <c r="UU9" s="107">
        <v>69.2</v>
      </c>
      <c r="UV9" s="107">
        <v>51.9</v>
      </c>
      <c r="UW9" s="107">
        <v>69.2</v>
      </c>
      <c r="UX9" s="107">
        <v>69.2</v>
      </c>
      <c r="UY9" s="107">
        <v>69.2</v>
      </c>
      <c r="UZ9" s="107">
        <v>69.2</v>
      </c>
      <c r="VA9" s="107">
        <v>69.2</v>
      </c>
      <c r="VB9" s="107">
        <v>51.9</v>
      </c>
      <c r="VC9" s="107">
        <v>64</v>
      </c>
      <c r="VD9" s="107">
        <v>64</v>
      </c>
      <c r="VE9" s="107">
        <v>51.9</v>
      </c>
      <c r="VF9" s="107">
        <v>64</v>
      </c>
      <c r="VG9" s="107">
        <v>64</v>
      </c>
      <c r="VH9" s="107">
        <v>64</v>
      </c>
      <c r="VI9" s="107">
        <v>51.9</v>
      </c>
      <c r="VJ9" s="107">
        <v>51.9</v>
      </c>
      <c r="VK9" s="107">
        <v>64</v>
      </c>
      <c r="VL9" s="107">
        <v>64</v>
      </c>
      <c r="VM9" s="107">
        <v>64</v>
      </c>
      <c r="VN9" s="107">
        <v>51.9</v>
      </c>
      <c r="VO9" s="107">
        <v>64</v>
      </c>
      <c r="VP9" s="107">
        <v>64</v>
      </c>
      <c r="VQ9" s="107">
        <v>64</v>
      </c>
      <c r="VR9" s="107">
        <v>64</v>
      </c>
      <c r="VS9" s="107">
        <v>64</v>
      </c>
      <c r="VT9" s="107">
        <v>64</v>
      </c>
      <c r="VU9" s="107">
        <v>64</v>
      </c>
      <c r="VV9" s="107">
        <v>64</v>
      </c>
      <c r="VW9" s="107">
        <v>64</v>
      </c>
      <c r="VX9" s="107">
        <v>64</v>
      </c>
      <c r="VY9" s="107">
        <v>64</v>
      </c>
      <c r="VZ9" s="107">
        <v>64</v>
      </c>
      <c r="WA9" s="107">
        <v>64</v>
      </c>
      <c r="WB9" s="107">
        <v>64</v>
      </c>
      <c r="WC9" s="107">
        <v>64</v>
      </c>
      <c r="WD9" s="107">
        <v>64</v>
      </c>
      <c r="WE9" s="107">
        <v>64</v>
      </c>
      <c r="WF9" s="107">
        <v>64</v>
      </c>
      <c r="WG9" s="107">
        <v>64</v>
      </c>
      <c r="WH9" s="107">
        <v>64</v>
      </c>
      <c r="WI9" s="107">
        <v>64</v>
      </c>
      <c r="WJ9" s="107">
        <v>64</v>
      </c>
      <c r="WK9" s="107">
        <v>64</v>
      </c>
      <c r="WL9" s="107">
        <v>64</v>
      </c>
      <c r="WM9" s="107">
        <v>64</v>
      </c>
      <c r="WN9" s="107">
        <v>64</v>
      </c>
      <c r="WO9" s="107">
        <v>64</v>
      </c>
      <c r="WP9" s="107">
        <v>64</v>
      </c>
      <c r="WQ9" s="107">
        <v>64</v>
      </c>
      <c r="WR9" s="107">
        <v>64</v>
      </c>
      <c r="WS9" s="107">
        <v>64</v>
      </c>
      <c r="WT9" s="107">
        <v>69.2</v>
      </c>
      <c r="WU9" s="107">
        <v>64</v>
      </c>
      <c r="WV9" s="107">
        <v>64</v>
      </c>
      <c r="WW9" s="107">
        <v>64</v>
      </c>
      <c r="XQ9" s="107">
        <v>64</v>
      </c>
      <c r="XR9" s="107">
        <v>51.9</v>
      </c>
      <c r="XS9" s="107">
        <v>51.9</v>
      </c>
      <c r="XT9" s="107">
        <v>51.9</v>
      </c>
      <c r="XU9" s="107">
        <v>51.9</v>
      </c>
      <c r="XV9" s="107">
        <v>51.9</v>
      </c>
      <c r="XW9" s="107">
        <v>69.2</v>
      </c>
      <c r="XX9" s="107">
        <v>51.9</v>
      </c>
      <c r="XY9" s="107">
        <v>69.2</v>
      </c>
      <c r="XZ9" s="107">
        <v>69.2</v>
      </c>
      <c r="YA9" s="107">
        <v>69.2</v>
      </c>
      <c r="YB9" s="107">
        <v>69.2</v>
      </c>
      <c r="YC9" s="107">
        <v>69.2</v>
      </c>
      <c r="YD9" s="107">
        <v>51.9</v>
      </c>
      <c r="YE9" s="107">
        <v>64</v>
      </c>
      <c r="YF9" s="107">
        <v>64</v>
      </c>
      <c r="YG9" s="107">
        <v>51.9</v>
      </c>
      <c r="YH9" s="107">
        <v>64</v>
      </c>
      <c r="YI9" s="107">
        <v>64</v>
      </c>
      <c r="YJ9" s="107">
        <v>64</v>
      </c>
      <c r="YK9" s="107">
        <v>51.9</v>
      </c>
      <c r="YL9" s="107">
        <v>51.9</v>
      </c>
      <c r="YM9" s="107">
        <v>64</v>
      </c>
      <c r="YN9" s="107">
        <v>64</v>
      </c>
      <c r="YO9" s="107">
        <v>64</v>
      </c>
      <c r="YP9" s="107">
        <v>51.9</v>
      </c>
      <c r="YQ9" s="107">
        <v>64</v>
      </c>
      <c r="YR9" s="107">
        <v>64</v>
      </c>
      <c r="YS9" s="107">
        <v>64</v>
      </c>
      <c r="YT9" s="107">
        <v>64</v>
      </c>
      <c r="YU9" s="107">
        <v>64</v>
      </c>
      <c r="YV9" s="107">
        <v>64</v>
      </c>
      <c r="YW9" s="107">
        <v>64</v>
      </c>
      <c r="YX9" s="107">
        <v>64</v>
      </c>
      <c r="YY9" s="107">
        <v>64</v>
      </c>
      <c r="YZ9" s="107">
        <v>64</v>
      </c>
      <c r="ZA9" s="107">
        <v>64</v>
      </c>
      <c r="ZB9" s="107">
        <v>64</v>
      </c>
      <c r="ZC9" s="107">
        <v>64</v>
      </c>
      <c r="ZD9" s="107">
        <v>64</v>
      </c>
      <c r="ZE9" s="107">
        <v>64</v>
      </c>
      <c r="ZF9" s="107">
        <v>64</v>
      </c>
      <c r="ZG9" s="107">
        <v>64</v>
      </c>
      <c r="ZH9" s="107">
        <v>64</v>
      </c>
      <c r="ZI9" s="107">
        <v>64</v>
      </c>
      <c r="ZJ9" s="107">
        <v>64</v>
      </c>
      <c r="ZK9" s="107">
        <v>64</v>
      </c>
      <c r="ZL9" s="107">
        <v>64</v>
      </c>
      <c r="ZM9" s="107">
        <v>64</v>
      </c>
      <c r="ZN9" s="107">
        <v>64</v>
      </c>
      <c r="ZO9" s="107">
        <v>64</v>
      </c>
      <c r="ZP9" s="107">
        <v>64</v>
      </c>
      <c r="ZQ9" s="107">
        <v>64</v>
      </c>
      <c r="ZR9" s="107">
        <v>64</v>
      </c>
      <c r="ZS9" s="107">
        <v>64</v>
      </c>
      <c r="ZT9" s="107">
        <v>69.2</v>
      </c>
      <c r="ZU9" s="107">
        <v>64</v>
      </c>
      <c r="ZV9" s="107">
        <v>64</v>
      </c>
      <c r="ZW9" s="107">
        <v>64</v>
      </c>
      <c r="AAS9" s="107">
        <v>64</v>
      </c>
      <c r="AAT9" s="107">
        <v>51.9</v>
      </c>
      <c r="AAU9" s="107">
        <v>51.9</v>
      </c>
      <c r="AAV9" s="107">
        <v>51.9</v>
      </c>
      <c r="AAW9" s="107">
        <v>51.9</v>
      </c>
      <c r="AAX9" s="107">
        <v>51.9</v>
      </c>
      <c r="AAY9" s="107">
        <v>69.2</v>
      </c>
      <c r="AAZ9" s="107">
        <v>51.9</v>
      </c>
      <c r="ABA9" s="107">
        <v>69.2</v>
      </c>
      <c r="ABB9" s="107">
        <v>69.2</v>
      </c>
      <c r="ABC9" s="107">
        <v>69.2</v>
      </c>
      <c r="ABD9" s="107">
        <v>69.2</v>
      </c>
      <c r="ABE9" s="107">
        <v>69.2</v>
      </c>
      <c r="ABF9" s="107">
        <v>51.9</v>
      </c>
      <c r="ABG9" s="107">
        <v>64</v>
      </c>
      <c r="ABH9" s="107">
        <v>64</v>
      </c>
      <c r="ABI9" s="107">
        <v>51.9</v>
      </c>
      <c r="ABJ9" s="107">
        <v>64</v>
      </c>
      <c r="ABK9" s="107">
        <v>64</v>
      </c>
      <c r="ABL9" s="107">
        <v>51.9</v>
      </c>
      <c r="ABM9" s="107">
        <v>51.9</v>
      </c>
      <c r="ABN9" s="107">
        <v>64</v>
      </c>
      <c r="ABO9" s="107">
        <v>64</v>
      </c>
      <c r="ABP9" s="107">
        <v>64</v>
      </c>
      <c r="ABQ9" s="107">
        <v>51.9</v>
      </c>
      <c r="ABR9" s="107">
        <v>64</v>
      </c>
      <c r="ABS9" s="107">
        <v>64</v>
      </c>
      <c r="ABT9" s="107">
        <v>64</v>
      </c>
      <c r="ABU9" s="107">
        <v>64</v>
      </c>
      <c r="ABV9" s="107">
        <v>64</v>
      </c>
      <c r="ABW9" s="107">
        <v>64</v>
      </c>
      <c r="ABX9" s="107">
        <v>64</v>
      </c>
      <c r="ABY9" s="107">
        <v>64</v>
      </c>
      <c r="ABZ9" s="107">
        <v>64</v>
      </c>
      <c r="ACA9" s="107">
        <v>64</v>
      </c>
      <c r="ACB9" s="107">
        <v>64</v>
      </c>
      <c r="ACC9" s="107">
        <v>64</v>
      </c>
      <c r="ACD9" s="107">
        <v>64</v>
      </c>
      <c r="ACE9" s="107">
        <v>64</v>
      </c>
      <c r="ACF9" s="107">
        <v>64</v>
      </c>
      <c r="ACG9" s="107">
        <v>64</v>
      </c>
      <c r="ACH9" s="107">
        <v>64</v>
      </c>
      <c r="ACI9" s="107">
        <v>64</v>
      </c>
      <c r="ACJ9" s="107">
        <v>64</v>
      </c>
      <c r="ACK9" s="107">
        <v>64</v>
      </c>
      <c r="ACL9" s="107">
        <v>64</v>
      </c>
      <c r="ACM9" s="107">
        <v>64</v>
      </c>
      <c r="ACN9" s="107">
        <v>64</v>
      </c>
      <c r="ACO9" s="107">
        <v>64</v>
      </c>
      <c r="ACP9" s="107">
        <v>64</v>
      </c>
      <c r="ACQ9" s="107">
        <v>64</v>
      </c>
      <c r="ACR9" s="107">
        <v>64</v>
      </c>
      <c r="ACS9" s="107">
        <v>64</v>
      </c>
      <c r="ACT9" s="107">
        <v>64</v>
      </c>
      <c r="ACU9" s="107">
        <v>69.2</v>
      </c>
      <c r="ACV9" s="107">
        <v>64</v>
      </c>
      <c r="ACW9" s="107">
        <v>64</v>
      </c>
      <c r="ACX9" s="107">
        <v>64</v>
      </c>
      <c r="ADU9" s="107">
        <v>64</v>
      </c>
      <c r="ADV9" s="107">
        <v>51.9</v>
      </c>
      <c r="ADW9" s="107">
        <v>51.9</v>
      </c>
      <c r="ADX9" s="107">
        <v>51.9</v>
      </c>
      <c r="ADY9" s="107">
        <v>51.9</v>
      </c>
      <c r="ADZ9" s="107">
        <v>69.2</v>
      </c>
      <c r="AEA9" s="107">
        <v>51.9</v>
      </c>
      <c r="AEB9" s="107">
        <v>69.2</v>
      </c>
      <c r="AEC9" s="107">
        <v>69.2</v>
      </c>
      <c r="AED9" s="107">
        <v>69.2</v>
      </c>
      <c r="AEE9" s="107">
        <v>69.2</v>
      </c>
      <c r="AEF9" s="107">
        <v>69.2</v>
      </c>
      <c r="AEG9" s="107">
        <v>51.9</v>
      </c>
      <c r="AEH9" s="107">
        <v>64</v>
      </c>
      <c r="AEI9" s="107">
        <v>64</v>
      </c>
      <c r="AEJ9" s="107">
        <v>51.9</v>
      </c>
      <c r="AEK9" s="107">
        <v>64</v>
      </c>
      <c r="AEL9" s="107">
        <v>64</v>
      </c>
      <c r="AEM9" s="107">
        <v>51.9</v>
      </c>
      <c r="AEN9" s="107">
        <v>51.9</v>
      </c>
      <c r="AEO9" s="107">
        <v>64</v>
      </c>
      <c r="AEP9" s="107">
        <v>64</v>
      </c>
      <c r="AEQ9" s="107">
        <v>64</v>
      </c>
      <c r="AER9" s="107">
        <v>51.9</v>
      </c>
      <c r="AES9" s="107">
        <v>64</v>
      </c>
      <c r="AET9" s="107">
        <v>64</v>
      </c>
      <c r="AEU9" s="107">
        <v>64</v>
      </c>
      <c r="AEV9" s="107">
        <v>64</v>
      </c>
      <c r="AEW9" s="107">
        <v>64</v>
      </c>
      <c r="AEX9" s="107">
        <v>64</v>
      </c>
      <c r="AEY9" s="107">
        <v>64</v>
      </c>
      <c r="AEZ9" s="107">
        <v>64</v>
      </c>
      <c r="AFA9" s="107">
        <v>64</v>
      </c>
      <c r="AFB9" s="107">
        <v>64</v>
      </c>
      <c r="AFC9" s="107">
        <v>64</v>
      </c>
      <c r="AFD9" s="107">
        <v>64</v>
      </c>
      <c r="AFE9" s="107">
        <v>64</v>
      </c>
      <c r="AFF9" s="107">
        <v>64</v>
      </c>
      <c r="AFG9" s="107">
        <v>64</v>
      </c>
      <c r="AFH9" s="107">
        <v>64</v>
      </c>
      <c r="AFI9" s="107">
        <v>64</v>
      </c>
      <c r="AFJ9" s="107">
        <v>64</v>
      </c>
      <c r="AFK9" s="107">
        <v>64</v>
      </c>
      <c r="AFL9" s="107">
        <v>64</v>
      </c>
      <c r="AFM9" s="107">
        <v>64</v>
      </c>
      <c r="AFN9" s="107">
        <v>64</v>
      </c>
      <c r="AFO9" s="107">
        <v>64</v>
      </c>
      <c r="AFP9" s="107">
        <v>64</v>
      </c>
      <c r="AFQ9" s="107">
        <v>64</v>
      </c>
      <c r="AFR9" s="107">
        <v>64</v>
      </c>
      <c r="AFS9" s="107">
        <v>64</v>
      </c>
      <c r="AFT9" s="107">
        <v>64</v>
      </c>
      <c r="AFU9" s="107">
        <v>64</v>
      </c>
      <c r="AFV9" s="107">
        <v>69.2</v>
      </c>
      <c r="AFW9" s="107">
        <v>64</v>
      </c>
      <c r="AFX9" s="107">
        <v>64</v>
      </c>
      <c r="AFY9" s="107">
        <v>64</v>
      </c>
      <c r="AGW9" s="107">
        <v>64</v>
      </c>
      <c r="AGX9" s="107">
        <v>51.9</v>
      </c>
      <c r="AGY9" s="107">
        <v>51.9</v>
      </c>
      <c r="AGZ9" s="107">
        <v>51.9</v>
      </c>
      <c r="AHA9" s="107">
        <v>51.9</v>
      </c>
      <c r="AHB9" s="107">
        <v>69.2</v>
      </c>
      <c r="AHC9" s="107">
        <v>51.9</v>
      </c>
      <c r="AHD9" s="107">
        <v>69.2</v>
      </c>
      <c r="AHE9" s="107">
        <v>69.2</v>
      </c>
      <c r="AHF9" s="107">
        <v>69.2</v>
      </c>
      <c r="AHG9" s="107">
        <v>69.2</v>
      </c>
      <c r="AHH9" s="107">
        <v>69.2</v>
      </c>
      <c r="AHI9" s="107">
        <v>51.9</v>
      </c>
      <c r="AHJ9" s="107">
        <v>64</v>
      </c>
      <c r="AHK9" s="107">
        <v>64</v>
      </c>
      <c r="AHL9" s="107">
        <v>51.9</v>
      </c>
      <c r="AHM9" s="107">
        <v>64</v>
      </c>
      <c r="AHN9" s="107">
        <v>64</v>
      </c>
      <c r="AHO9" s="107">
        <v>51.9</v>
      </c>
      <c r="AHP9" s="107">
        <v>51.9</v>
      </c>
      <c r="AHQ9" s="107">
        <v>64</v>
      </c>
      <c r="AHR9" s="107">
        <v>64</v>
      </c>
      <c r="AHS9" s="107">
        <v>64</v>
      </c>
      <c r="AHT9" s="107">
        <v>51.9</v>
      </c>
      <c r="AHU9" s="107">
        <v>64</v>
      </c>
      <c r="AHV9" s="107">
        <v>64</v>
      </c>
      <c r="AHW9" s="107">
        <v>64</v>
      </c>
      <c r="AHX9" s="107">
        <v>64</v>
      </c>
      <c r="AHY9" s="107">
        <v>64</v>
      </c>
      <c r="AHZ9" s="107">
        <v>64</v>
      </c>
      <c r="AIA9" s="107">
        <v>64</v>
      </c>
      <c r="AIB9" s="107">
        <v>64</v>
      </c>
      <c r="AIC9" s="107">
        <v>64</v>
      </c>
      <c r="AID9" s="107">
        <v>64</v>
      </c>
      <c r="AIE9" s="107">
        <v>64</v>
      </c>
      <c r="AIF9" s="107">
        <v>64</v>
      </c>
      <c r="AIG9" s="107">
        <v>64</v>
      </c>
      <c r="AIH9" s="107">
        <v>64</v>
      </c>
      <c r="AII9" s="107">
        <v>64</v>
      </c>
      <c r="AIJ9" s="107">
        <v>64</v>
      </c>
      <c r="AIK9" s="107">
        <v>64</v>
      </c>
      <c r="AIL9" s="107">
        <v>64</v>
      </c>
      <c r="AIM9" s="107">
        <v>64</v>
      </c>
      <c r="AIN9" s="107">
        <v>64</v>
      </c>
      <c r="AIO9" s="107">
        <v>64</v>
      </c>
      <c r="AIP9" s="107">
        <v>64</v>
      </c>
      <c r="AIQ9" s="107">
        <v>64</v>
      </c>
      <c r="AIR9" s="107">
        <v>64</v>
      </c>
      <c r="AIS9" s="107">
        <v>64</v>
      </c>
      <c r="AIT9" s="107">
        <v>64</v>
      </c>
      <c r="AIU9" s="107">
        <v>64</v>
      </c>
      <c r="AIV9" s="107">
        <v>64</v>
      </c>
      <c r="AIW9" s="107">
        <v>64</v>
      </c>
      <c r="AIX9" s="107">
        <v>69.2</v>
      </c>
      <c r="AIY9" s="107">
        <v>64</v>
      </c>
      <c r="AIZ9" s="107">
        <v>64</v>
      </c>
      <c r="AJY9" t="s">
        <v>10</v>
      </c>
    </row>
    <row r="10" spans="1:961">
      <c r="A10" s="107">
        <v>47.58</v>
      </c>
      <c r="B10" s="107">
        <v>47.58</v>
      </c>
      <c r="C10" s="107">
        <v>47.58</v>
      </c>
      <c r="D10" s="107">
        <v>47.58</v>
      </c>
      <c r="E10" s="107">
        <v>51.9</v>
      </c>
      <c r="F10" s="107">
        <v>47.58</v>
      </c>
      <c r="G10" s="107">
        <v>51.9</v>
      </c>
      <c r="H10" s="107">
        <v>51.9</v>
      </c>
      <c r="I10" s="107">
        <v>51.9</v>
      </c>
      <c r="J10" s="107">
        <v>51.9</v>
      </c>
      <c r="K10" s="107">
        <v>51.9</v>
      </c>
      <c r="L10" s="107">
        <v>47.58</v>
      </c>
      <c r="M10" s="107">
        <v>51.9</v>
      </c>
      <c r="N10" s="107">
        <v>51.9</v>
      </c>
      <c r="O10" s="107">
        <v>51.9</v>
      </c>
      <c r="P10" s="107">
        <v>47.58</v>
      </c>
      <c r="Q10" s="107">
        <v>51.9</v>
      </c>
      <c r="R10" s="107">
        <v>51.9</v>
      </c>
      <c r="S10" s="107">
        <v>51.9</v>
      </c>
      <c r="T10" s="107">
        <v>47.58</v>
      </c>
      <c r="U10" s="107">
        <v>47.58</v>
      </c>
      <c r="V10" s="107">
        <v>51.9</v>
      </c>
      <c r="W10" s="107">
        <v>51.9</v>
      </c>
      <c r="X10" s="107">
        <v>51.9</v>
      </c>
      <c r="Y10" s="107">
        <v>47.58</v>
      </c>
      <c r="Z10" s="107">
        <v>51.9</v>
      </c>
      <c r="AA10" s="107">
        <v>51.9</v>
      </c>
      <c r="AB10" s="107">
        <v>51.9</v>
      </c>
      <c r="AC10" s="107">
        <v>51.9</v>
      </c>
      <c r="AD10" s="107">
        <v>51.9</v>
      </c>
      <c r="AE10" s="107">
        <v>51.9</v>
      </c>
      <c r="AF10" s="107">
        <v>51.9</v>
      </c>
      <c r="AG10" s="107">
        <v>51.9</v>
      </c>
      <c r="AH10" s="107">
        <v>51.9</v>
      </c>
      <c r="AI10" s="107">
        <v>51.9</v>
      </c>
      <c r="AJ10" s="107">
        <v>51.9</v>
      </c>
      <c r="AK10" s="107">
        <v>51.9</v>
      </c>
      <c r="AL10" s="107">
        <v>51.9</v>
      </c>
      <c r="AM10" s="107">
        <v>51.9</v>
      </c>
      <c r="AN10" s="107">
        <v>51.9</v>
      </c>
      <c r="AO10" s="107">
        <v>51.9</v>
      </c>
      <c r="AP10" s="107">
        <v>51.9</v>
      </c>
      <c r="AQ10" s="107">
        <v>51.9</v>
      </c>
      <c r="AR10" s="107">
        <v>51.9</v>
      </c>
      <c r="AS10" s="107">
        <v>51.9</v>
      </c>
      <c r="AT10" s="107">
        <v>51.9</v>
      </c>
      <c r="AU10" s="107">
        <v>51.9</v>
      </c>
      <c r="AV10" s="107">
        <v>51.9</v>
      </c>
      <c r="AW10" s="107">
        <v>51.9</v>
      </c>
      <c r="AX10" s="107">
        <v>51.9</v>
      </c>
      <c r="AY10" s="107">
        <v>51.9</v>
      </c>
      <c r="AZ10" s="107">
        <v>51.9</v>
      </c>
      <c r="CC10" s="107">
        <v>47.58</v>
      </c>
      <c r="CD10" s="107">
        <v>47.58</v>
      </c>
      <c r="CE10" s="107">
        <v>47.58</v>
      </c>
      <c r="CF10" s="107">
        <v>47.58</v>
      </c>
      <c r="CG10" s="107">
        <v>47.58</v>
      </c>
      <c r="CH10" s="107">
        <v>51.9</v>
      </c>
      <c r="CI10" s="107">
        <v>47.58</v>
      </c>
      <c r="CJ10" s="107">
        <v>51.9</v>
      </c>
      <c r="CK10" s="107">
        <v>51.9</v>
      </c>
      <c r="CL10" s="107">
        <v>51.9</v>
      </c>
      <c r="CM10" s="107">
        <v>51.9</v>
      </c>
      <c r="CN10" s="107">
        <v>51.9</v>
      </c>
      <c r="CO10" s="107">
        <v>47.58</v>
      </c>
      <c r="CP10" s="107">
        <v>51.9</v>
      </c>
      <c r="CQ10" s="107">
        <v>51.9</v>
      </c>
      <c r="CR10" s="107">
        <v>51.9</v>
      </c>
      <c r="CS10" s="107">
        <v>47.58</v>
      </c>
      <c r="CT10" s="107">
        <v>51.9</v>
      </c>
      <c r="CU10" s="107">
        <v>51.9</v>
      </c>
      <c r="CV10" s="107">
        <v>51.9</v>
      </c>
      <c r="CW10" s="107">
        <v>47.58</v>
      </c>
      <c r="CX10" s="107">
        <v>47.58</v>
      </c>
      <c r="CY10" s="107">
        <v>51.9</v>
      </c>
      <c r="CZ10" s="107">
        <v>51.9</v>
      </c>
      <c r="DA10" s="107">
        <v>51.9</v>
      </c>
      <c r="DB10" s="107">
        <v>47.58</v>
      </c>
      <c r="DC10" s="107">
        <v>51.9</v>
      </c>
      <c r="DD10" s="107">
        <v>51.9</v>
      </c>
      <c r="DE10" s="107">
        <v>51.9</v>
      </c>
      <c r="DF10" s="107">
        <v>51.9</v>
      </c>
      <c r="DG10" s="107">
        <v>51.9</v>
      </c>
      <c r="DH10" s="107">
        <v>51.9</v>
      </c>
      <c r="DI10" s="107">
        <v>51.9</v>
      </c>
      <c r="DJ10" s="107">
        <v>51.9</v>
      </c>
      <c r="DK10" s="107">
        <v>51.9</v>
      </c>
      <c r="DL10" s="107">
        <v>51.9</v>
      </c>
      <c r="DM10" s="107">
        <v>51.9</v>
      </c>
      <c r="DN10" s="107">
        <v>51.9</v>
      </c>
      <c r="DO10" s="107">
        <v>51.9</v>
      </c>
      <c r="DP10" s="107">
        <v>51.9</v>
      </c>
      <c r="DQ10" s="107">
        <v>51.9</v>
      </c>
      <c r="DR10" s="107">
        <v>51.9</v>
      </c>
      <c r="DS10" s="107">
        <v>51.9</v>
      </c>
      <c r="DT10" s="107">
        <v>51.9</v>
      </c>
      <c r="DU10" s="107">
        <v>51.9</v>
      </c>
      <c r="DV10" s="107">
        <v>51.9</v>
      </c>
      <c r="DW10" s="107">
        <v>51.9</v>
      </c>
      <c r="DX10" s="107">
        <v>51.9</v>
      </c>
      <c r="DY10" s="107">
        <v>51.9</v>
      </c>
      <c r="DZ10" s="107">
        <v>51.9</v>
      </c>
      <c r="EA10" s="107">
        <v>51.9</v>
      </c>
      <c r="EB10" s="107">
        <v>51.9</v>
      </c>
      <c r="EC10" s="107">
        <v>51.9</v>
      </c>
      <c r="ED10" s="107">
        <v>51.9</v>
      </c>
      <c r="EE10" s="107">
        <v>51.9</v>
      </c>
      <c r="EF10" s="107">
        <v>51.9</v>
      </c>
      <c r="EG10" s="107">
        <v>51.9</v>
      </c>
      <c r="EH10" s="107">
        <v>51.9</v>
      </c>
      <c r="EI10" s="107">
        <v>51.9</v>
      </c>
      <c r="FE10" s="107">
        <v>51.9</v>
      </c>
      <c r="FF10" s="107">
        <v>47.58</v>
      </c>
      <c r="FG10" s="107">
        <v>47.58</v>
      </c>
      <c r="FH10" s="107">
        <v>47.58</v>
      </c>
      <c r="FI10" s="107">
        <v>47.58</v>
      </c>
      <c r="FJ10" s="107">
        <v>47.58</v>
      </c>
      <c r="FK10" s="107">
        <v>51.9</v>
      </c>
      <c r="FL10" s="107">
        <v>47.58</v>
      </c>
      <c r="FM10" s="107">
        <v>51.9</v>
      </c>
      <c r="FN10" s="107">
        <v>51.9</v>
      </c>
      <c r="FO10" s="107">
        <v>51.9</v>
      </c>
      <c r="FP10" s="107">
        <v>51.9</v>
      </c>
      <c r="FQ10" s="107">
        <v>51.9</v>
      </c>
      <c r="FR10" s="107">
        <v>47.58</v>
      </c>
      <c r="FS10" s="107">
        <v>51.9</v>
      </c>
      <c r="FT10" s="107">
        <v>51.9</v>
      </c>
      <c r="FU10" s="107">
        <v>51.9</v>
      </c>
      <c r="FV10" s="107">
        <v>47.58</v>
      </c>
      <c r="FW10" s="107">
        <v>51.9</v>
      </c>
      <c r="FX10" s="107">
        <v>51.9</v>
      </c>
      <c r="FY10" s="107">
        <v>51.9</v>
      </c>
      <c r="FZ10" s="107">
        <v>47.58</v>
      </c>
      <c r="GA10" s="107">
        <v>47.58</v>
      </c>
      <c r="GB10" s="107">
        <v>51.9</v>
      </c>
      <c r="GC10" s="107">
        <v>51.9</v>
      </c>
      <c r="GD10" s="107">
        <v>51.9</v>
      </c>
      <c r="GE10" s="107">
        <v>47.58</v>
      </c>
      <c r="GF10" s="107">
        <v>51.9</v>
      </c>
      <c r="GG10" s="107">
        <v>51.9</v>
      </c>
      <c r="GH10" s="107">
        <v>51.9</v>
      </c>
      <c r="GI10" s="107">
        <v>51.9</v>
      </c>
      <c r="GJ10" s="107">
        <v>51.9</v>
      </c>
      <c r="GK10" s="107">
        <v>51.9</v>
      </c>
      <c r="GL10" s="107">
        <v>51.9</v>
      </c>
      <c r="GM10" s="107">
        <v>51.9</v>
      </c>
      <c r="GN10" s="107">
        <v>51.9</v>
      </c>
      <c r="GO10" s="107">
        <v>51.9</v>
      </c>
      <c r="GP10" s="107">
        <v>51.9</v>
      </c>
      <c r="GQ10" s="107">
        <v>51.9</v>
      </c>
      <c r="GR10" s="107">
        <v>51.9</v>
      </c>
      <c r="GS10" s="107">
        <v>51.9</v>
      </c>
      <c r="GT10" s="107">
        <v>51.9</v>
      </c>
      <c r="GU10" s="107">
        <v>51.9</v>
      </c>
      <c r="GV10" s="107">
        <v>51.9</v>
      </c>
      <c r="GW10" s="107">
        <v>51.9</v>
      </c>
      <c r="GX10" s="107">
        <v>51.9</v>
      </c>
      <c r="GY10" s="107">
        <v>51.9</v>
      </c>
      <c r="GZ10" s="107">
        <v>51.9</v>
      </c>
      <c r="HA10" s="107">
        <v>51.9</v>
      </c>
      <c r="HB10" s="107">
        <v>51.9</v>
      </c>
      <c r="HC10" s="107">
        <v>51.9</v>
      </c>
      <c r="HD10" s="107">
        <v>51.9</v>
      </c>
      <c r="HE10" s="107">
        <v>51.9</v>
      </c>
      <c r="HF10" s="107">
        <v>51.9</v>
      </c>
      <c r="HG10" s="107">
        <v>51.9</v>
      </c>
      <c r="HH10" s="107">
        <v>51.9</v>
      </c>
      <c r="HI10" s="107">
        <v>51.9</v>
      </c>
      <c r="HJ10" s="107">
        <v>51.9</v>
      </c>
      <c r="HK10" s="107">
        <v>51.9</v>
      </c>
      <c r="HL10" s="107">
        <v>51.9</v>
      </c>
      <c r="IG10" s="107">
        <v>51.9</v>
      </c>
      <c r="IH10" s="107">
        <v>47.58</v>
      </c>
      <c r="II10" s="107">
        <v>47.58</v>
      </c>
      <c r="IJ10" s="107">
        <v>47.58</v>
      </c>
      <c r="IK10" s="107">
        <v>47.58</v>
      </c>
      <c r="IL10" s="107">
        <v>47.58</v>
      </c>
      <c r="IM10" s="107">
        <v>51.9</v>
      </c>
      <c r="IN10" s="107">
        <v>47.58</v>
      </c>
      <c r="IO10" s="107">
        <v>51.9</v>
      </c>
      <c r="IP10" s="107">
        <v>51.9</v>
      </c>
      <c r="IQ10" s="107">
        <v>51.9</v>
      </c>
      <c r="IR10" s="107">
        <v>51.9</v>
      </c>
      <c r="IS10" s="107">
        <v>51.9</v>
      </c>
      <c r="IT10" s="107">
        <v>47.58</v>
      </c>
      <c r="IU10" s="107">
        <v>51.9</v>
      </c>
      <c r="IV10" s="107">
        <v>51.9</v>
      </c>
      <c r="IW10" s="107">
        <v>51.9</v>
      </c>
      <c r="IX10" s="107">
        <v>47.58</v>
      </c>
      <c r="IY10" s="107">
        <v>51.9</v>
      </c>
      <c r="IZ10" s="107">
        <v>51.9</v>
      </c>
      <c r="JA10" s="107">
        <v>51.9</v>
      </c>
      <c r="JB10" s="107">
        <v>47.58</v>
      </c>
      <c r="JC10" s="107">
        <v>47.58</v>
      </c>
      <c r="JD10" s="107">
        <v>51.9</v>
      </c>
      <c r="JE10" s="107">
        <v>51.9</v>
      </c>
      <c r="JF10" s="107">
        <v>51.9</v>
      </c>
      <c r="JG10" s="107">
        <v>47.58</v>
      </c>
      <c r="JH10" s="107">
        <v>51.9</v>
      </c>
      <c r="JI10" s="107">
        <v>51.9</v>
      </c>
      <c r="JJ10" s="107">
        <v>51.9</v>
      </c>
      <c r="JK10" s="107">
        <v>51.9</v>
      </c>
      <c r="JL10" s="107">
        <v>51.9</v>
      </c>
      <c r="JM10" s="107">
        <v>51.9</v>
      </c>
      <c r="JN10" s="107">
        <v>51.9</v>
      </c>
      <c r="JO10" s="107">
        <v>51.9</v>
      </c>
      <c r="JP10" s="107">
        <v>51.9</v>
      </c>
      <c r="JQ10" s="107">
        <v>51.9</v>
      </c>
      <c r="JR10" s="107">
        <v>51.9</v>
      </c>
      <c r="JS10" s="107">
        <v>51.9</v>
      </c>
      <c r="JT10" s="107">
        <v>51.9</v>
      </c>
      <c r="JU10" s="107">
        <v>51.9</v>
      </c>
      <c r="JV10" s="107">
        <v>51.9</v>
      </c>
      <c r="JW10" s="107">
        <v>51.9</v>
      </c>
      <c r="JX10" s="107">
        <v>51.9</v>
      </c>
      <c r="JY10" s="107">
        <v>51.9</v>
      </c>
      <c r="JZ10" s="107">
        <v>51.9</v>
      </c>
      <c r="KA10" s="107">
        <v>51.9</v>
      </c>
      <c r="KB10" s="107">
        <v>51.9</v>
      </c>
      <c r="KC10" s="107">
        <v>51.9</v>
      </c>
      <c r="KD10" s="107">
        <v>51.9</v>
      </c>
      <c r="KE10" s="107">
        <v>51.9</v>
      </c>
      <c r="KF10" s="107">
        <v>51.9</v>
      </c>
      <c r="KG10" s="107">
        <v>51.9</v>
      </c>
      <c r="KH10" s="107">
        <v>51.9</v>
      </c>
      <c r="KI10" s="107">
        <v>51.9</v>
      </c>
      <c r="KJ10" s="107">
        <v>51.9</v>
      </c>
      <c r="KK10" s="107">
        <v>51.9</v>
      </c>
      <c r="KL10" s="107">
        <v>51.9</v>
      </c>
      <c r="KM10" s="107">
        <v>51.9</v>
      </c>
      <c r="KN10" s="107">
        <v>51.9</v>
      </c>
      <c r="LI10" s="107">
        <v>51.9</v>
      </c>
      <c r="LJ10" s="107">
        <v>51.9</v>
      </c>
      <c r="LK10" s="107">
        <v>47.58</v>
      </c>
      <c r="LL10" s="107">
        <v>47.58</v>
      </c>
      <c r="LM10" s="107">
        <v>47.58</v>
      </c>
      <c r="LN10" s="107">
        <v>47.58</v>
      </c>
      <c r="LO10" s="107">
        <v>51.9</v>
      </c>
      <c r="LP10" s="107">
        <v>47.58</v>
      </c>
      <c r="LQ10" s="107">
        <v>51.9</v>
      </c>
      <c r="LR10" s="107">
        <v>51.9</v>
      </c>
      <c r="LS10" s="107">
        <v>51.9</v>
      </c>
      <c r="LT10" s="107">
        <v>51.9</v>
      </c>
      <c r="LU10" s="107">
        <v>51.9</v>
      </c>
      <c r="LV10" s="107">
        <v>47.58</v>
      </c>
      <c r="LW10" s="107">
        <v>51.9</v>
      </c>
      <c r="LX10" s="107">
        <v>51.9</v>
      </c>
      <c r="LY10" s="107">
        <v>51.9</v>
      </c>
      <c r="LZ10" s="107">
        <v>47.58</v>
      </c>
      <c r="MA10" s="107">
        <v>51.9</v>
      </c>
      <c r="MB10" s="107">
        <v>51.9</v>
      </c>
      <c r="MC10" s="107">
        <v>47.58</v>
      </c>
      <c r="MD10" s="107">
        <v>47.58</v>
      </c>
      <c r="ME10" s="107">
        <v>47.58</v>
      </c>
      <c r="MF10" s="107">
        <v>51.9</v>
      </c>
      <c r="MG10" s="107">
        <v>51.9</v>
      </c>
      <c r="MH10" s="107">
        <v>51.9</v>
      </c>
      <c r="MI10" s="107">
        <v>47.58</v>
      </c>
      <c r="MJ10" s="107">
        <v>51.9</v>
      </c>
      <c r="MK10" s="107">
        <v>51.9</v>
      </c>
      <c r="ML10" s="107">
        <v>51.9</v>
      </c>
      <c r="MM10" s="107">
        <v>51.9</v>
      </c>
      <c r="MN10" s="107">
        <v>51.9</v>
      </c>
      <c r="MO10" s="107">
        <v>51.9</v>
      </c>
      <c r="MP10" s="107">
        <v>51.9</v>
      </c>
      <c r="MQ10" s="107">
        <v>51.9</v>
      </c>
      <c r="MR10" s="107">
        <v>51.9</v>
      </c>
      <c r="MS10" s="107">
        <v>51.9</v>
      </c>
      <c r="MT10" s="107">
        <v>51.9</v>
      </c>
      <c r="MU10" s="107">
        <v>51.9</v>
      </c>
      <c r="MV10" s="107">
        <v>51.9</v>
      </c>
      <c r="MW10" s="107">
        <v>51.9</v>
      </c>
      <c r="MX10" s="107">
        <v>51.9</v>
      </c>
      <c r="MY10" s="107">
        <v>51.9</v>
      </c>
      <c r="MZ10" s="107">
        <v>51.9</v>
      </c>
      <c r="NA10" s="107">
        <v>51.9</v>
      </c>
      <c r="NB10" s="107">
        <v>51.9</v>
      </c>
      <c r="NC10" s="107">
        <v>51.9</v>
      </c>
      <c r="ND10" s="107">
        <v>51.9</v>
      </c>
      <c r="NE10" s="107">
        <v>51.9</v>
      </c>
      <c r="NF10" s="107">
        <v>51.9</v>
      </c>
      <c r="NG10" s="107">
        <v>51.9</v>
      </c>
      <c r="NH10" s="107">
        <v>51.9</v>
      </c>
      <c r="NI10" s="107">
        <v>51.9</v>
      </c>
      <c r="NJ10" s="107">
        <v>51.9</v>
      </c>
      <c r="NK10" s="107">
        <v>51.9</v>
      </c>
      <c r="NL10" s="107">
        <v>51.9</v>
      </c>
      <c r="NM10" s="107">
        <v>51.9</v>
      </c>
      <c r="NN10" s="107">
        <v>51.9</v>
      </c>
      <c r="NO10" s="107">
        <v>51.9</v>
      </c>
      <c r="NP10" s="107">
        <v>51.9</v>
      </c>
      <c r="NQ10" s="107">
        <v>51.9</v>
      </c>
      <c r="NR10" s="107">
        <v>51.9</v>
      </c>
      <c r="OK10" s="107">
        <v>51.9</v>
      </c>
      <c r="OL10" s="107">
        <v>47.58</v>
      </c>
      <c r="OM10" s="107">
        <v>47.58</v>
      </c>
      <c r="ON10" s="107">
        <v>47.58</v>
      </c>
      <c r="OO10" s="107">
        <v>47.58</v>
      </c>
      <c r="OP10" s="107">
        <v>47.58</v>
      </c>
      <c r="OQ10" s="107">
        <v>47.58</v>
      </c>
      <c r="OR10" s="107">
        <v>47.58</v>
      </c>
      <c r="OS10" s="107">
        <v>51.9</v>
      </c>
      <c r="OT10" s="107">
        <v>51.9</v>
      </c>
      <c r="OU10" s="107">
        <v>51.9</v>
      </c>
      <c r="OV10" s="107">
        <v>51.9</v>
      </c>
      <c r="OW10" s="107">
        <v>51.9</v>
      </c>
      <c r="OX10" s="107">
        <v>47.58</v>
      </c>
      <c r="OY10" s="107">
        <v>51.9</v>
      </c>
      <c r="OZ10" s="107">
        <v>51.9</v>
      </c>
      <c r="PA10" s="107">
        <v>51.9</v>
      </c>
      <c r="PB10" s="107">
        <v>47.58</v>
      </c>
      <c r="PC10" s="107">
        <v>51.9</v>
      </c>
      <c r="PD10" s="107">
        <v>51.9</v>
      </c>
      <c r="PE10" s="107">
        <v>51.9</v>
      </c>
      <c r="PF10" s="107">
        <v>47.58</v>
      </c>
      <c r="PG10" s="107">
        <v>47.58</v>
      </c>
      <c r="PH10" s="107">
        <v>51.9</v>
      </c>
      <c r="PI10" s="107">
        <v>51.9</v>
      </c>
      <c r="PJ10" s="107">
        <v>51.9</v>
      </c>
      <c r="PK10" s="107">
        <v>47.58</v>
      </c>
      <c r="PL10" s="107">
        <v>51.9</v>
      </c>
      <c r="PM10" s="107">
        <v>51.9</v>
      </c>
      <c r="PN10" s="107">
        <v>51.9</v>
      </c>
      <c r="PO10" s="107">
        <v>51.9</v>
      </c>
      <c r="PP10" s="107">
        <v>51.9</v>
      </c>
      <c r="PQ10" s="107">
        <v>51.9</v>
      </c>
      <c r="PR10" s="107">
        <v>51.9</v>
      </c>
      <c r="PS10" s="107">
        <v>51.9</v>
      </c>
      <c r="PT10" s="107">
        <v>51.9</v>
      </c>
      <c r="PU10" s="107">
        <v>51.9</v>
      </c>
      <c r="PV10" s="107">
        <v>51.9</v>
      </c>
      <c r="PW10" s="107">
        <v>51.9</v>
      </c>
      <c r="PX10" s="107">
        <v>51.9</v>
      </c>
      <c r="PY10" s="107">
        <v>51.9</v>
      </c>
      <c r="PZ10" s="107">
        <v>51.9</v>
      </c>
      <c r="QA10" s="107">
        <v>51.9</v>
      </c>
      <c r="QB10" s="107">
        <v>51.9</v>
      </c>
      <c r="QC10" s="107">
        <v>51.9</v>
      </c>
      <c r="QD10" s="107">
        <v>51.9</v>
      </c>
      <c r="QE10" s="107">
        <v>51.9</v>
      </c>
      <c r="QF10" s="107">
        <v>51.9</v>
      </c>
      <c r="QG10" s="107">
        <v>51.9</v>
      </c>
      <c r="QH10" s="107">
        <v>51.9</v>
      </c>
      <c r="QI10" s="107">
        <v>51.9</v>
      </c>
      <c r="QJ10" s="107">
        <v>51.9</v>
      </c>
      <c r="QK10" s="107">
        <v>51.9</v>
      </c>
      <c r="QL10" s="107">
        <v>51.9</v>
      </c>
      <c r="QM10" s="107">
        <v>51.9</v>
      </c>
      <c r="QN10" s="107">
        <v>51.9</v>
      </c>
      <c r="QO10" s="107">
        <v>51.9</v>
      </c>
      <c r="QP10" s="107">
        <v>51.9</v>
      </c>
      <c r="QQ10" s="107">
        <v>51.9</v>
      </c>
      <c r="QR10" s="107">
        <v>51.9</v>
      </c>
      <c r="QS10" s="107">
        <v>51.9</v>
      </c>
      <c r="QT10" s="107">
        <v>51.9</v>
      </c>
      <c r="RM10" s="107">
        <v>51.9</v>
      </c>
      <c r="RN10" s="107">
        <v>47.58</v>
      </c>
      <c r="RO10" s="107">
        <v>47.58</v>
      </c>
      <c r="RP10" s="107">
        <v>47.58</v>
      </c>
      <c r="RQ10" s="107">
        <v>47.58</v>
      </c>
      <c r="RR10" s="107">
        <v>47.58</v>
      </c>
      <c r="RS10" s="107">
        <v>51.9</v>
      </c>
      <c r="RT10" s="107">
        <v>47.58</v>
      </c>
      <c r="RU10" s="107">
        <v>51.9</v>
      </c>
      <c r="RV10" s="107">
        <v>51.9</v>
      </c>
      <c r="RW10" s="107">
        <v>51.9</v>
      </c>
      <c r="RX10" s="107">
        <v>51.9</v>
      </c>
      <c r="RY10" s="107">
        <v>51.9</v>
      </c>
      <c r="RZ10" s="107">
        <v>47.58</v>
      </c>
      <c r="SA10" s="107">
        <v>51.9</v>
      </c>
      <c r="SB10" s="107">
        <v>51.9</v>
      </c>
      <c r="SC10" s="107">
        <v>51.9</v>
      </c>
      <c r="SD10" s="107">
        <v>47.58</v>
      </c>
      <c r="SE10" s="107">
        <v>51.9</v>
      </c>
      <c r="SF10" s="107">
        <v>51.9</v>
      </c>
      <c r="SG10" s="107">
        <v>51.9</v>
      </c>
      <c r="SH10" s="107">
        <v>47.58</v>
      </c>
      <c r="SI10" s="107">
        <v>47.58</v>
      </c>
      <c r="SJ10" s="107">
        <v>51.9</v>
      </c>
      <c r="SK10" s="107">
        <v>51.9</v>
      </c>
      <c r="SL10" s="107">
        <v>51.9</v>
      </c>
      <c r="SM10" s="107">
        <v>47.58</v>
      </c>
      <c r="SN10" s="107">
        <v>51.9</v>
      </c>
      <c r="SO10" s="107">
        <v>51.9</v>
      </c>
      <c r="SP10" s="107">
        <v>51.9</v>
      </c>
      <c r="SQ10" s="107">
        <v>51.9</v>
      </c>
      <c r="SR10" s="107">
        <v>51.9</v>
      </c>
      <c r="SS10" s="107">
        <v>51.9</v>
      </c>
      <c r="ST10" s="107">
        <v>51.9</v>
      </c>
      <c r="SU10" s="107">
        <v>51.9</v>
      </c>
      <c r="SV10" s="107">
        <v>51.9</v>
      </c>
      <c r="SW10" s="107">
        <v>51.9</v>
      </c>
      <c r="SX10" s="107">
        <v>51.9</v>
      </c>
      <c r="SY10" s="107">
        <v>51.9</v>
      </c>
      <c r="SZ10" s="107">
        <v>51.9</v>
      </c>
      <c r="TA10" s="107">
        <v>51.9</v>
      </c>
      <c r="TB10" s="107">
        <v>51.9</v>
      </c>
      <c r="TC10" s="107">
        <v>51.9</v>
      </c>
      <c r="TD10" s="107">
        <v>51.9</v>
      </c>
      <c r="TE10" s="107">
        <v>51.9</v>
      </c>
      <c r="TF10" s="107">
        <v>51.9</v>
      </c>
      <c r="TG10" s="107">
        <v>51.9</v>
      </c>
      <c r="TH10" s="107">
        <v>51.9</v>
      </c>
      <c r="TI10" s="107">
        <v>51.9</v>
      </c>
      <c r="TJ10" s="107">
        <v>51.9</v>
      </c>
      <c r="TK10" s="107">
        <v>51.9</v>
      </c>
      <c r="TL10" s="107">
        <v>51.9</v>
      </c>
      <c r="TM10" s="107">
        <v>51.9</v>
      </c>
      <c r="TN10" s="107">
        <v>51.9</v>
      </c>
      <c r="TO10" s="107">
        <v>51.9</v>
      </c>
      <c r="TP10" s="107">
        <v>51.9</v>
      </c>
      <c r="TQ10" s="107">
        <v>51.9</v>
      </c>
      <c r="TR10" s="107">
        <v>51.9</v>
      </c>
      <c r="TS10" s="107">
        <v>51.9</v>
      </c>
      <c r="TT10" s="107">
        <v>51.9</v>
      </c>
      <c r="TU10" s="107">
        <v>51.9</v>
      </c>
      <c r="TV10" s="107">
        <v>51.9</v>
      </c>
      <c r="UO10" s="107">
        <v>51.9</v>
      </c>
      <c r="UP10" s="107">
        <v>47.58</v>
      </c>
      <c r="UQ10" s="107">
        <v>47.58</v>
      </c>
      <c r="UR10" s="107">
        <v>47.58</v>
      </c>
      <c r="US10" s="107">
        <v>47.58</v>
      </c>
      <c r="UT10" s="107">
        <v>47.58</v>
      </c>
      <c r="UU10" s="107">
        <v>51.9</v>
      </c>
      <c r="UV10" s="107">
        <v>47.58</v>
      </c>
      <c r="UW10" s="107">
        <v>51.9</v>
      </c>
      <c r="UX10" s="107">
        <v>51.9</v>
      </c>
      <c r="UY10" s="107">
        <v>51.9</v>
      </c>
      <c r="UZ10" s="107">
        <v>51.9</v>
      </c>
      <c r="VA10" s="107">
        <v>51.9</v>
      </c>
      <c r="VB10" s="107">
        <v>47.58</v>
      </c>
      <c r="VC10" s="107">
        <v>51.9</v>
      </c>
      <c r="VD10" s="107">
        <v>51.9</v>
      </c>
      <c r="VE10" s="107">
        <v>47.58</v>
      </c>
      <c r="VF10" s="107">
        <v>51.9</v>
      </c>
      <c r="VG10" s="107">
        <v>51.9</v>
      </c>
      <c r="VH10" s="107">
        <v>51.9</v>
      </c>
      <c r="VI10" s="107">
        <v>47.58</v>
      </c>
      <c r="VJ10" s="107">
        <v>47.58</v>
      </c>
      <c r="VK10" s="107">
        <v>51.9</v>
      </c>
      <c r="VL10" s="107">
        <v>51.9</v>
      </c>
      <c r="VM10" s="107">
        <v>51.9</v>
      </c>
      <c r="VN10" s="107">
        <v>47.58</v>
      </c>
      <c r="VO10" s="107">
        <v>51.9</v>
      </c>
      <c r="VP10" s="107">
        <v>51.9</v>
      </c>
      <c r="VQ10" s="107">
        <v>51.9</v>
      </c>
      <c r="VR10" s="107">
        <v>51.9</v>
      </c>
      <c r="VS10" s="107">
        <v>51.9</v>
      </c>
      <c r="VT10" s="107">
        <v>51.9</v>
      </c>
      <c r="VU10" s="107">
        <v>51.9</v>
      </c>
      <c r="VV10" s="107">
        <v>51.9</v>
      </c>
      <c r="VW10" s="107">
        <v>51.9</v>
      </c>
      <c r="VX10" s="107">
        <v>51.9</v>
      </c>
      <c r="VY10" s="107">
        <v>51.9</v>
      </c>
      <c r="VZ10" s="107">
        <v>51.9</v>
      </c>
      <c r="WA10" s="107">
        <v>51.9</v>
      </c>
      <c r="WB10" s="107">
        <v>51.9</v>
      </c>
      <c r="WC10" s="107">
        <v>51.9</v>
      </c>
      <c r="WD10" s="107">
        <v>51.9</v>
      </c>
      <c r="WE10" s="107">
        <v>51.9</v>
      </c>
      <c r="WF10" s="107">
        <v>51.9</v>
      </c>
      <c r="WG10" s="107">
        <v>51.9</v>
      </c>
      <c r="WH10" s="107">
        <v>51.9</v>
      </c>
      <c r="WI10" s="107">
        <v>51.9</v>
      </c>
      <c r="WJ10" s="107">
        <v>51.9</v>
      </c>
      <c r="WK10" s="107">
        <v>51.9</v>
      </c>
      <c r="WL10" s="107">
        <v>51.9</v>
      </c>
      <c r="WM10" s="107">
        <v>51.9</v>
      </c>
      <c r="WN10" s="107">
        <v>51.9</v>
      </c>
      <c r="WO10" s="107">
        <v>51.9</v>
      </c>
      <c r="WP10" s="107">
        <v>51.9</v>
      </c>
      <c r="WQ10" s="107">
        <v>51.9</v>
      </c>
      <c r="WR10" s="107">
        <v>51.9</v>
      </c>
      <c r="WS10" s="107">
        <v>51.9</v>
      </c>
      <c r="WT10" s="107">
        <v>51.9</v>
      </c>
      <c r="WU10" s="107">
        <v>51.9</v>
      </c>
      <c r="WV10" s="107">
        <v>51.9</v>
      </c>
      <c r="WW10" s="107">
        <v>51.9</v>
      </c>
      <c r="XQ10" s="107">
        <v>51.9</v>
      </c>
      <c r="XR10" s="107">
        <v>47.58</v>
      </c>
      <c r="XS10" s="107">
        <v>47.58</v>
      </c>
      <c r="XT10" s="107">
        <v>47.58</v>
      </c>
      <c r="XU10" s="107">
        <v>47.58</v>
      </c>
      <c r="XV10" s="107">
        <v>47.58</v>
      </c>
      <c r="XW10" s="107">
        <v>51.9</v>
      </c>
      <c r="XX10" s="107">
        <v>47.58</v>
      </c>
      <c r="XY10" s="107">
        <v>51.9</v>
      </c>
      <c r="XZ10" s="107">
        <v>51.9</v>
      </c>
      <c r="YA10" s="107">
        <v>51.9</v>
      </c>
      <c r="YB10" s="107">
        <v>51.9</v>
      </c>
      <c r="YC10" s="107">
        <v>51.9</v>
      </c>
      <c r="YD10" s="107">
        <v>47.58</v>
      </c>
      <c r="YE10" s="107">
        <v>51.9</v>
      </c>
      <c r="YF10" s="107">
        <v>51.9</v>
      </c>
      <c r="YG10" s="107">
        <v>47.58</v>
      </c>
      <c r="YH10" s="107">
        <v>51.9</v>
      </c>
      <c r="YI10" s="107">
        <v>51.9</v>
      </c>
      <c r="YJ10" s="107">
        <v>51.9</v>
      </c>
      <c r="YK10" s="107">
        <v>47.58</v>
      </c>
      <c r="YL10" s="107">
        <v>47.58</v>
      </c>
      <c r="YM10" s="107">
        <v>51.9</v>
      </c>
      <c r="YN10" s="107">
        <v>51.9</v>
      </c>
      <c r="YO10" s="107">
        <v>51.9</v>
      </c>
      <c r="YP10" s="107">
        <v>47.58</v>
      </c>
      <c r="YQ10" s="107">
        <v>51.9</v>
      </c>
      <c r="YR10" s="107">
        <v>51.9</v>
      </c>
      <c r="YS10" s="107">
        <v>51.9</v>
      </c>
      <c r="YT10" s="107">
        <v>51.9</v>
      </c>
      <c r="YU10" s="107">
        <v>51.9</v>
      </c>
      <c r="YV10" s="107">
        <v>51.9</v>
      </c>
      <c r="YW10" s="107">
        <v>51.9</v>
      </c>
      <c r="YX10" s="107">
        <v>51.9</v>
      </c>
      <c r="YY10" s="107">
        <v>51.9</v>
      </c>
      <c r="YZ10" s="107">
        <v>51.9</v>
      </c>
      <c r="ZA10" s="107">
        <v>51.9</v>
      </c>
      <c r="ZB10" s="107">
        <v>51.9</v>
      </c>
      <c r="ZC10" s="107">
        <v>51.9</v>
      </c>
      <c r="ZD10" s="107">
        <v>51.9</v>
      </c>
      <c r="ZE10" s="107">
        <v>51.9</v>
      </c>
      <c r="ZF10" s="107">
        <v>51.9</v>
      </c>
      <c r="ZG10" s="107">
        <v>51.9</v>
      </c>
      <c r="ZH10" s="107">
        <v>51.9</v>
      </c>
      <c r="ZI10" s="107">
        <v>51.9</v>
      </c>
      <c r="ZJ10" s="107">
        <v>51.9</v>
      </c>
      <c r="ZK10" s="107">
        <v>51.9</v>
      </c>
      <c r="ZL10" s="107">
        <v>51.9</v>
      </c>
      <c r="ZM10" s="107">
        <v>51.9</v>
      </c>
      <c r="ZN10" s="107">
        <v>51.9</v>
      </c>
      <c r="ZO10" s="107">
        <v>51.9</v>
      </c>
      <c r="ZP10" s="107">
        <v>51.9</v>
      </c>
      <c r="ZQ10" s="107">
        <v>51.9</v>
      </c>
      <c r="ZR10" s="107">
        <v>51.9</v>
      </c>
      <c r="ZS10" s="107">
        <v>51.9</v>
      </c>
      <c r="ZT10" s="107">
        <v>51.9</v>
      </c>
      <c r="ZU10" s="107">
        <v>51.9</v>
      </c>
      <c r="ZV10" s="107">
        <v>51.9</v>
      </c>
      <c r="ZW10" s="107">
        <v>51.9</v>
      </c>
      <c r="AAS10" s="107">
        <v>51.9</v>
      </c>
      <c r="AAT10" s="107">
        <v>47.58</v>
      </c>
      <c r="AAU10" s="107">
        <v>47.58</v>
      </c>
      <c r="AAV10" s="107">
        <v>47.58</v>
      </c>
      <c r="AAW10" s="107">
        <v>47.58</v>
      </c>
      <c r="AAX10" s="107">
        <v>47.58</v>
      </c>
      <c r="AAY10" s="107">
        <v>51.9</v>
      </c>
      <c r="AAZ10" s="107">
        <v>47.58</v>
      </c>
      <c r="ABA10" s="107">
        <v>51.9</v>
      </c>
      <c r="ABB10" s="107">
        <v>51.9</v>
      </c>
      <c r="ABC10" s="107">
        <v>51.9</v>
      </c>
      <c r="ABD10" s="107">
        <v>51.9</v>
      </c>
      <c r="ABE10" s="107">
        <v>51.9</v>
      </c>
      <c r="ABF10" s="107">
        <v>47.58</v>
      </c>
      <c r="ABG10" s="107">
        <v>51.9</v>
      </c>
      <c r="ABH10" s="107">
        <v>51.9</v>
      </c>
      <c r="ABI10" s="107">
        <v>47.58</v>
      </c>
      <c r="ABJ10" s="107">
        <v>51.9</v>
      </c>
      <c r="ABK10" s="107">
        <v>51.9</v>
      </c>
      <c r="ABL10" s="107">
        <v>47.58</v>
      </c>
      <c r="ABM10" s="107">
        <v>47.58</v>
      </c>
      <c r="ABN10" s="107">
        <v>51.9</v>
      </c>
      <c r="ABO10" s="107">
        <v>51.9</v>
      </c>
      <c r="ABP10" s="107">
        <v>51.9</v>
      </c>
      <c r="ABQ10" s="107">
        <v>47.58</v>
      </c>
      <c r="ABR10" s="107">
        <v>51.9</v>
      </c>
      <c r="ABS10" s="107">
        <v>51.9</v>
      </c>
      <c r="ABT10" s="107">
        <v>51.9</v>
      </c>
      <c r="ABU10" s="107">
        <v>51.9</v>
      </c>
      <c r="ABV10" s="107">
        <v>51.9</v>
      </c>
      <c r="ABW10" s="107">
        <v>51.9</v>
      </c>
      <c r="ABX10" s="107">
        <v>51.9</v>
      </c>
      <c r="ABY10" s="107">
        <v>51.9</v>
      </c>
      <c r="ABZ10" s="107">
        <v>51.9</v>
      </c>
      <c r="ACA10" s="107">
        <v>51.9</v>
      </c>
      <c r="ACB10" s="107">
        <v>51.9</v>
      </c>
      <c r="ACC10" s="107">
        <v>51.9</v>
      </c>
      <c r="ACD10" s="107">
        <v>51.9</v>
      </c>
      <c r="ACE10" s="107">
        <v>51.9</v>
      </c>
      <c r="ACF10" s="107">
        <v>51.9</v>
      </c>
      <c r="ACG10" s="107">
        <v>51.9</v>
      </c>
      <c r="ACH10" s="107">
        <v>51.9</v>
      </c>
      <c r="ACI10" s="107">
        <v>51.9</v>
      </c>
      <c r="ACJ10" s="107">
        <v>51.9</v>
      </c>
      <c r="ACK10" s="107">
        <v>51.9</v>
      </c>
      <c r="ACL10" s="107">
        <v>51.9</v>
      </c>
      <c r="ACM10" s="107">
        <v>51.9</v>
      </c>
      <c r="ACN10" s="107">
        <v>51.9</v>
      </c>
      <c r="ACO10" s="107">
        <v>51.9</v>
      </c>
      <c r="ACP10" s="107">
        <v>51.9</v>
      </c>
      <c r="ACQ10" s="107">
        <v>51.9</v>
      </c>
      <c r="ACR10" s="107">
        <v>51.9</v>
      </c>
      <c r="ACS10" s="107">
        <v>51.9</v>
      </c>
      <c r="ACT10" s="107">
        <v>51.9</v>
      </c>
      <c r="ACU10" s="107">
        <v>51.9</v>
      </c>
      <c r="ACV10" s="107">
        <v>51.9</v>
      </c>
      <c r="ACW10" s="107">
        <v>51.9</v>
      </c>
      <c r="ACX10" s="107">
        <v>51.9</v>
      </c>
      <c r="ADU10" s="107">
        <v>51.9</v>
      </c>
      <c r="ADV10" s="107">
        <v>47.58</v>
      </c>
      <c r="ADW10" s="107">
        <v>47.58</v>
      </c>
      <c r="ADX10" s="107">
        <v>47.58</v>
      </c>
      <c r="ADY10" s="107">
        <v>47.58</v>
      </c>
      <c r="ADZ10" s="107">
        <v>51.9</v>
      </c>
      <c r="AEA10" s="107">
        <v>47.58</v>
      </c>
      <c r="AEB10" s="107">
        <v>51.9</v>
      </c>
      <c r="AEC10" s="107">
        <v>51.9</v>
      </c>
      <c r="AED10" s="107">
        <v>51.9</v>
      </c>
      <c r="AEE10" s="107">
        <v>51.9</v>
      </c>
      <c r="AEF10" s="107">
        <v>51.9</v>
      </c>
      <c r="AEG10" s="107">
        <v>47.58</v>
      </c>
      <c r="AEH10" s="107">
        <v>51.9</v>
      </c>
      <c r="AEI10" s="107">
        <v>51.9</v>
      </c>
      <c r="AEJ10" s="107">
        <v>47.58</v>
      </c>
      <c r="AEK10" s="107">
        <v>51.9</v>
      </c>
      <c r="AEL10" s="107">
        <v>51.9</v>
      </c>
      <c r="AEM10" s="107">
        <v>47.58</v>
      </c>
      <c r="AEN10" s="107">
        <v>47.58</v>
      </c>
      <c r="AEO10" s="107">
        <v>51.9</v>
      </c>
      <c r="AEP10" s="107">
        <v>51.9</v>
      </c>
      <c r="AEQ10" s="107">
        <v>51.9</v>
      </c>
      <c r="AER10" s="107">
        <v>47.58</v>
      </c>
      <c r="AES10" s="107">
        <v>51.9</v>
      </c>
      <c r="AET10" s="107">
        <v>51.9</v>
      </c>
      <c r="AEU10" s="107">
        <v>51.9</v>
      </c>
      <c r="AEV10" s="107">
        <v>51.9</v>
      </c>
      <c r="AEW10" s="107">
        <v>51.9</v>
      </c>
      <c r="AEX10" s="107">
        <v>51.9</v>
      </c>
      <c r="AEY10" s="107">
        <v>51.9</v>
      </c>
      <c r="AEZ10" s="107">
        <v>51.9</v>
      </c>
      <c r="AFA10" s="107">
        <v>51.9</v>
      </c>
      <c r="AFB10" s="107">
        <v>51.9</v>
      </c>
      <c r="AFC10" s="107">
        <v>51.9</v>
      </c>
      <c r="AFD10" s="107">
        <v>51.9</v>
      </c>
      <c r="AFE10" s="107">
        <v>51.9</v>
      </c>
      <c r="AFF10" s="107">
        <v>51.9</v>
      </c>
      <c r="AFG10" s="107">
        <v>51.9</v>
      </c>
      <c r="AFH10" s="107">
        <v>51.9</v>
      </c>
      <c r="AFI10" s="107">
        <v>51.9</v>
      </c>
      <c r="AFJ10" s="107">
        <v>51.9</v>
      </c>
      <c r="AFK10" s="107">
        <v>51.9</v>
      </c>
      <c r="AFL10" s="107">
        <v>51.9</v>
      </c>
      <c r="AFM10" s="107">
        <v>51.9</v>
      </c>
      <c r="AFN10" s="107">
        <v>51.9</v>
      </c>
      <c r="AFO10" s="107">
        <v>51.9</v>
      </c>
      <c r="AFP10" s="107">
        <v>51.9</v>
      </c>
      <c r="AFQ10" s="107">
        <v>51.9</v>
      </c>
      <c r="AFR10" s="107">
        <v>51.9</v>
      </c>
      <c r="AFS10" s="107">
        <v>51.9</v>
      </c>
      <c r="AFT10" s="107">
        <v>51.9</v>
      </c>
      <c r="AFU10" s="107">
        <v>51.9</v>
      </c>
      <c r="AFV10" s="107">
        <v>51.9</v>
      </c>
      <c r="AFW10" s="107">
        <v>51.9</v>
      </c>
      <c r="AFX10" s="107">
        <v>51.9</v>
      </c>
      <c r="AFY10" s="107">
        <v>51.9</v>
      </c>
      <c r="AGW10" s="107">
        <v>51.9</v>
      </c>
      <c r="AGX10" s="107">
        <v>47.58</v>
      </c>
      <c r="AGY10" s="107">
        <v>47.58</v>
      </c>
      <c r="AGZ10" s="107">
        <v>47.58</v>
      </c>
      <c r="AHA10" s="107">
        <v>47.58</v>
      </c>
      <c r="AHB10" s="107">
        <v>51.9</v>
      </c>
      <c r="AHC10" s="107">
        <v>47.58</v>
      </c>
      <c r="AHD10" s="107">
        <v>51.9</v>
      </c>
      <c r="AHE10" s="107">
        <v>51.9</v>
      </c>
      <c r="AHF10" s="107">
        <v>51.9</v>
      </c>
      <c r="AHG10" s="107">
        <v>51.9</v>
      </c>
      <c r="AHH10" s="107">
        <v>51.9</v>
      </c>
      <c r="AHI10" s="107">
        <v>47.58</v>
      </c>
      <c r="AHJ10" s="107">
        <v>51.9</v>
      </c>
      <c r="AHK10" s="107">
        <v>51.9</v>
      </c>
      <c r="AHL10" s="107">
        <v>47.58</v>
      </c>
      <c r="AHM10" s="107">
        <v>51.9</v>
      </c>
      <c r="AHN10" s="107">
        <v>51.9</v>
      </c>
      <c r="AHO10" s="107">
        <v>47.58</v>
      </c>
      <c r="AHP10" s="107">
        <v>47.58</v>
      </c>
      <c r="AHQ10" s="107">
        <v>51.9</v>
      </c>
      <c r="AHR10" s="107">
        <v>51.9</v>
      </c>
      <c r="AHS10" s="107">
        <v>51.9</v>
      </c>
      <c r="AHT10" s="107">
        <v>47.58</v>
      </c>
      <c r="AHU10" s="107">
        <v>51.9</v>
      </c>
      <c r="AHV10" s="107">
        <v>51.9</v>
      </c>
      <c r="AHW10" s="107">
        <v>51.9</v>
      </c>
      <c r="AHX10" s="107">
        <v>51.9</v>
      </c>
      <c r="AHY10" s="107">
        <v>51.9</v>
      </c>
      <c r="AHZ10" s="107">
        <v>51.9</v>
      </c>
      <c r="AIA10" s="107">
        <v>51.9</v>
      </c>
      <c r="AIB10" s="107">
        <v>51.9</v>
      </c>
      <c r="AIC10" s="107">
        <v>51.9</v>
      </c>
      <c r="AID10" s="107">
        <v>51.9</v>
      </c>
      <c r="AIE10" s="107">
        <v>51.9</v>
      </c>
      <c r="AIF10" s="107">
        <v>51.9</v>
      </c>
      <c r="AIG10" s="107">
        <v>51.9</v>
      </c>
      <c r="AIH10" s="107">
        <v>51.9</v>
      </c>
      <c r="AII10" s="107">
        <v>51.9</v>
      </c>
      <c r="AIJ10" s="107">
        <v>51.9</v>
      </c>
      <c r="AIK10" s="107">
        <v>51.9</v>
      </c>
      <c r="AIL10" s="107">
        <v>51.9</v>
      </c>
      <c r="AIM10" s="107">
        <v>51.9</v>
      </c>
      <c r="AIN10" s="107">
        <v>51.9</v>
      </c>
      <c r="AIO10" s="107">
        <v>51.9</v>
      </c>
      <c r="AIP10" s="107">
        <v>51.9</v>
      </c>
      <c r="AIQ10" s="107">
        <v>51.9</v>
      </c>
      <c r="AIR10" s="107">
        <v>51.9</v>
      </c>
      <c r="AIS10" s="107">
        <v>51.9</v>
      </c>
      <c r="AIT10" s="107">
        <v>51.9</v>
      </c>
      <c r="AIU10" s="107">
        <v>51.9</v>
      </c>
      <c r="AIV10" s="107">
        <v>51.9</v>
      </c>
      <c r="AIW10" s="107">
        <v>51.9</v>
      </c>
      <c r="AIX10" s="107">
        <v>51.9</v>
      </c>
      <c r="AIY10" s="107">
        <v>51.9</v>
      </c>
      <c r="AIZ10" s="107">
        <v>51.9</v>
      </c>
      <c r="AJY10" t="s">
        <v>11</v>
      </c>
    </row>
    <row r="11" spans="1:961">
      <c r="A11" s="107">
        <v>43.25</v>
      </c>
      <c r="B11" s="107">
        <v>43.25</v>
      </c>
      <c r="C11" s="107">
        <v>43.25</v>
      </c>
      <c r="D11" s="107">
        <v>43.25</v>
      </c>
      <c r="E11" s="107">
        <v>47.58</v>
      </c>
      <c r="F11" s="107">
        <v>43.25</v>
      </c>
      <c r="G11" s="107">
        <v>47.58</v>
      </c>
      <c r="H11" s="107">
        <v>47.58</v>
      </c>
      <c r="I11" s="107">
        <v>47.58</v>
      </c>
      <c r="J11" s="107">
        <v>47.58</v>
      </c>
      <c r="K11" s="107">
        <v>47.58</v>
      </c>
      <c r="L11" s="107">
        <v>43.25</v>
      </c>
      <c r="M11" s="107">
        <v>47.58</v>
      </c>
      <c r="N11" s="107">
        <v>47.58</v>
      </c>
      <c r="O11" s="107">
        <v>47.58</v>
      </c>
      <c r="P11" s="107">
        <v>43.25</v>
      </c>
      <c r="Q11" s="107">
        <v>47.58</v>
      </c>
      <c r="R11" s="107">
        <v>47.58</v>
      </c>
      <c r="S11" s="107">
        <v>47.58</v>
      </c>
      <c r="T11" s="107">
        <v>43.25</v>
      </c>
      <c r="U11" s="107">
        <v>43.25</v>
      </c>
      <c r="V11" s="107">
        <v>47.58</v>
      </c>
      <c r="W11" s="107">
        <v>47.58</v>
      </c>
      <c r="X11" s="107">
        <v>47.58</v>
      </c>
      <c r="Y11" s="107">
        <v>43.25</v>
      </c>
      <c r="Z11" s="107">
        <v>47.58</v>
      </c>
      <c r="AA11" s="107">
        <v>47.58</v>
      </c>
      <c r="AB11" s="107">
        <v>47.58</v>
      </c>
      <c r="AC11" s="107">
        <v>47.58</v>
      </c>
      <c r="AD11" s="107">
        <v>47.58</v>
      </c>
      <c r="AE11" s="107">
        <v>47.58</v>
      </c>
      <c r="AF11" s="107">
        <v>47.58</v>
      </c>
      <c r="AG11" s="107">
        <v>47.58</v>
      </c>
      <c r="AH11" s="107">
        <v>47.58</v>
      </c>
      <c r="AI11" s="107">
        <v>47.58</v>
      </c>
      <c r="AJ11" s="107">
        <v>47.58</v>
      </c>
      <c r="AK11" s="107">
        <v>47.58</v>
      </c>
      <c r="AL11" s="107">
        <v>47.58</v>
      </c>
      <c r="AM11" s="107">
        <v>47.58</v>
      </c>
      <c r="AN11" s="107">
        <v>47.58</v>
      </c>
      <c r="AO11" s="107">
        <v>47.58</v>
      </c>
      <c r="AP11" s="107">
        <v>47.58</v>
      </c>
      <c r="AQ11" s="107">
        <v>47.58</v>
      </c>
      <c r="AR11" s="107">
        <v>47.58</v>
      </c>
      <c r="AS11" s="107">
        <v>47.58</v>
      </c>
      <c r="AT11" s="107">
        <v>47.58</v>
      </c>
      <c r="AU11" s="107">
        <v>47.58</v>
      </c>
      <c r="AV11" s="107">
        <v>47.58</v>
      </c>
      <c r="AW11" s="107">
        <v>47.58</v>
      </c>
      <c r="AX11" s="107">
        <v>47.58</v>
      </c>
      <c r="AY11" s="107">
        <v>47.58</v>
      </c>
      <c r="AZ11" s="107">
        <v>47.58</v>
      </c>
      <c r="CC11" s="107">
        <v>43.25</v>
      </c>
      <c r="CD11" s="107">
        <v>43.25</v>
      </c>
      <c r="CE11" s="107">
        <v>43.25</v>
      </c>
      <c r="CF11" s="107">
        <v>43.25</v>
      </c>
      <c r="CG11" s="107">
        <v>43.25</v>
      </c>
      <c r="CH11" s="107">
        <v>47.58</v>
      </c>
      <c r="CI11" s="107">
        <v>43.25</v>
      </c>
      <c r="CJ11" s="107">
        <v>47.58</v>
      </c>
      <c r="CK11" s="107">
        <v>47.58</v>
      </c>
      <c r="CL11" s="107">
        <v>47.58</v>
      </c>
      <c r="CM11" s="107">
        <v>47.58</v>
      </c>
      <c r="CN11" s="107">
        <v>47.58</v>
      </c>
      <c r="CO11" s="107">
        <v>43.25</v>
      </c>
      <c r="CP11" s="107">
        <v>47.58</v>
      </c>
      <c r="CQ11" s="107">
        <v>47.58</v>
      </c>
      <c r="CR11" s="107">
        <v>47.58</v>
      </c>
      <c r="CS11" s="107">
        <v>43.25</v>
      </c>
      <c r="CT11" s="107">
        <v>47.58</v>
      </c>
      <c r="CU11" s="107">
        <v>47.58</v>
      </c>
      <c r="CV11" s="107">
        <v>47.58</v>
      </c>
      <c r="CW11" s="107">
        <v>43.25</v>
      </c>
      <c r="CX11" s="107">
        <v>43.25</v>
      </c>
      <c r="CY11" s="107">
        <v>47.58</v>
      </c>
      <c r="CZ11" s="107">
        <v>47.58</v>
      </c>
      <c r="DA11" s="107">
        <v>47.58</v>
      </c>
      <c r="DB11" s="107">
        <v>43.25</v>
      </c>
      <c r="DC11" s="107">
        <v>47.58</v>
      </c>
      <c r="DD11" s="107">
        <v>47.58</v>
      </c>
      <c r="DE11" s="107">
        <v>47.58</v>
      </c>
      <c r="DF11" s="107">
        <v>47.58</v>
      </c>
      <c r="DG11" s="107">
        <v>47.58</v>
      </c>
      <c r="DH11" s="107">
        <v>47.58</v>
      </c>
      <c r="DI11" s="107">
        <v>47.58</v>
      </c>
      <c r="DJ11" s="107">
        <v>47.58</v>
      </c>
      <c r="DK11" s="107">
        <v>47.58</v>
      </c>
      <c r="DL11" s="107">
        <v>47.58</v>
      </c>
      <c r="DM11" s="107">
        <v>47.58</v>
      </c>
      <c r="DN11" s="107">
        <v>47.58</v>
      </c>
      <c r="DO11" s="107">
        <v>47.58</v>
      </c>
      <c r="DP11" s="107">
        <v>47.58</v>
      </c>
      <c r="DQ11" s="107">
        <v>47.58</v>
      </c>
      <c r="DR11" s="107">
        <v>47.58</v>
      </c>
      <c r="DS11" s="107">
        <v>47.58</v>
      </c>
      <c r="DT11" s="107">
        <v>47.58</v>
      </c>
      <c r="DU11" s="107">
        <v>47.58</v>
      </c>
      <c r="DV11" s="107">
        <v>47.58</v>
      </c>
      <c r="DW11" s="107">
        <v>47.58</v>
      </c>
      <c r="DX11" s="107">
        <v>47.58</v>
      </c>
      <c r="DY11" s="107">
        <v>47.58</v>
      </c>
      <c r="DZ11" s="107">
        <v>47.58</v>
      </c>
      <c r="EA11" s="107">
        <v>47.58</v>
      </c>
      <c r="EB11" s="107">
        <v>47.58</v>
      </c>
      <c r="EC11" s="107">
        <v>47.58</v>
      </c>
      <c r="ED11" s="107">
        <v>47.58</v>
      </c>
      <c r="EE11" s="107">
        <v>47.58</v>
      </c>
      <c r="EF11" s="107">
        <v>47.58</v>
      </c>
      <c r="EG11" s="107">
        <v>47.58</v>
      </c>
      <c r="EH11" s="107">
        <v>47.58</v>
      </c>
      <c r="EI11" s="107">
        <v>47.58</v>
      </c>
      <c r="FE11" s="107">
        <v>47.58</v>
      </c>
      <c r="FF11" s="107">
        <v>43.25</v>
      </c>
      <c r="FG11" s="107">
        <v>43.25</v>
      </c>
      <c r="FH11" s="107">
        <v>43.25</v>
      </c>
      <c r="FI11" s="107">
        <v>43.25</v>
      </c>
      <c r="FJ11" s="107">
        <v>43.25</v>
      </c>
      <c r="FK11" s="107">
        <v>47.58</v>
      </c>
      <c r="FL11" s="107">
        <v>43.25</v>
      </c>
      <c r="FM11" s="107">
        <v>47.58</v>
      </c>
      <c r="FN11" s="107">
        <v>47.58</v>
      </c>
      <c r="FO11" s="107">
        <v>47.58</v>
      </c>
      <c r="FP11" s="107">
        <v>47.58</v>
      </c>
      <c r="FQ11" s="107">
        <v>47.58</v>
      </c>
      <c r="FR11" s="107">
        <v>43.25</v>
      </c>
      <c r="FS11" s="107">
        <v>47.58</v>
      </c>
      <c r="FT11" s="107">
        <v>47.58</v>
      </c>
      <c r="FU11" s="107">
        <v>47.58</v>
      </c>
      <c r="FV11" s="107">
        <v>43.25</v>
      </c>
      <c r="FW11" s="107">
        <v>47.58</v>
      </c>
      <c r="FX11" s="107">
        <v>47.58</v>
      </c>
      <c r="FY11" s="107">
        <v>47.58</v>
      </c>
      <c r="FZ11" s="107">
        <v>43.25</v>
      </c>
      <c r="GA11" s="107">
        <v>43.25</v>
      </c>
      <c r="GB11" s="107">
        <v>47.58</v>
      </c>
      <c r="GC11" s="107">
        <v>47.58</v>
      </c>
      <c r="GD11" s="107">
        <v>47.58</v>
      </c>
      <c r="GE11" s="107">
        <v>43.25</v>
      </c>
      <c r="GF11" s="107">
        <v>47.58</v>
      </c>
      <c r="GG11" s="107">
        <v>47.58</v>
      </c>
      <c r="GH11" s="107">
        <v>47.58</v>
      </c>
      <c r="GI11" s="107">
        <v>47.58</v>
      </c>
      <c r="GJ11" s="107">
        <v>47.58</v>
      </c>
      <c r="GK11" s="107">
        <v>47.58</v>
      </c>
      <c r="GL11" s="107">
        <v>47.58</v>
      </c>
      <c r="GM11" s="107">
        <v>47.58</v>
      </c>
      <c r="GN11" s="107">
        <v>47.58</v>
      </c>
      <c r="GO11" s="107">
        <v>47.58</v>
      </c>
      <c r="GP11" s="107">
        <v>47.58</v>
      </c>
      <c r="GQ11" s="107">
        <v>47.58</v>
      </c>
      <c r="GR11" s="107">
        <v>47.58</v>
      </c>
      <c r="GS11" s="107">
        <v>47.58</v>
      </c>
      <c r="GT11" s="107">
        <v>47.58</v>
      </c>
      <c r="GU11" s="107">
        <v>47.58</v>
      </c>
      <c r="GV11" s="107">
        <v>47.58</v>
      </c>
      <c r="GW11" s="107">
        <v>47.58</v>
      </c>
      <c r="GX11" s="107">
        <v>47.58</v>
      </c>
      <c r="GY11" s="107">
        <v>47.58</v>
      </c>
      <c r="GZ11" s="107">
        <v>47.58</v>
      </c>
      <c r="HA11" s="107">
        <v>47.58</v>
      </c>
      <c r="HB11" s="107">
        <v>47.58</v>
      </c>
      <c r="HC11" s="107">
        <v>47.58</v>
      </c>
      <c r="HD11" s="107">
        <v>47.58</v>
      </c>
      <c r="HE11" s="107">
        <v>47.58</v>
      </c>
      <c r="HF11" s="107">
        <v>47.58</v>
      </c>
      <c r="HG11" s="107">
        <v>47.58</v>
      </c>
      <c r="HH11" s="107">
        <v>47.58</v>
      </c>
      <c r="HI11" s="107">
        <v>47.58</v>
      </c>
      <c r="HJ11" s="107">
        <v>47.58</v>
      </c>
      <c r="HK11" s="107">
        <v>47.58</v>
      </c>
      <c r="HL11" s="107">
        <v>47.58</v>
      </c>
      <c r="IG11" s="107">
        <v>47.58</v>
      </c>
      <c r="IH11" s="107">
        <v>43.25</v>
      </c>
      <c r="II11" s="107">
        <v>43.25</v>
      </c>
      <c r="IJ11" s="107">
        <v>43.25</v>
      </c>
      <c r="IK11" s="107">
        <v>43.25</v>
      </c>
      <c r="IL11" s="107">
        <v>43.25</v>
      </c>
      <c r="IM11" s="107">
        <v>47.58</v>
      </c>
      <c r="IN11" s="107">
        <v>43.25</v>
      </c>
      <c r="IO11" s="107">
        <v>47.58</v>
      </c>
      <c r="IP11" s="107">
        <v>47.58</v>
      </c>
      <c r="IQ11" s="107">
        <v>47.58</v>
      </c>
      <c r="IR11" s="107">
        <v>47.58</v>
      </c>
      <c r="IS11" s="107">
        <v>47.58</v>
      </c>
      <c r="IT11" s="107">
        <v>43.25</v>
      </c>
      <c r="IU11" s="107">
        <v>47.58</v>
      </c>
      <c r="IV11" s="107">
        <v>47.58</v>
      </c>
      <c r="IW11" s="107">
        <v>47.58</v>
      </c>
      <c r="IX11" s="107">
        <v>43.25</v>
      </c>
      <c r="IY11" s="107">
        <v>47.58</v>
      </c>
      <c r="IZ11" s="107">
        <v>47.58</v>
      </c>
      <c r="JA11" s="107">
        <v>47.58</v>
      </c>
      <c r="JB11" s="107">
        <v>43.25</v>
      </c>
      <c r="JC11" s="107">
        <v>43.25</v>
      </c>
      <c r="JD11" s="107">
        <v>47.58</v>
      </c>
      <c r="JE11" s="107">
        <v>47.58</v>
      </c>
      <c r="JF11" s="107">
        <v>47.58</v>
      </c>
      <c r="JG11" s="107">
        <v>43.25</v>
      </c>
      <c r="JH11" s="107">
        <v>47.58</v>
      </c>
      <c r="JI11" s="107">
        <v>47.58</v>
      </c>
      <c r="JJ11" s="107">
        <v>47.58</v>
      </c>
      <c r="JK11" s="107">
        <v>47.58</v>
      </c>
      <c r="JL11" s="107">
        <v>47.58</v>
      </c>
      <c r="JM11" s="107">
        <v>47.58</v>
      </c>
      <c r="JN11" s="107">
        <v>47.58</v>
      </c>
      <c r="JO11" s="107">
        <v>47.58</v>
      </c>
      <c r="JP11" s="107">
        <v>47.58</v>
      </c>
      <c r="JQ11" s="107">
        <v>47.58</v>
      </c>
      <c r="JR11" s="107">
        <v>47.58</v>
      </c>
      <c r="JS11" s="107">
        <v>47.58</v>
      </c>
      <c r="JT11" s="107">
        <v>47.58</v>
      </c>
      <c r="JU11" s="107">
        <v>47.58</v>
      </c>
      <c r="JV11" s="107">
        <v>47.58</v>
      </c>
      <c r="JW11" s="107">
        <v>47.58</v>
      </c>
      <c r="JX11" s="107">
        <v>47.58</v>
      </c>
      <c r="JY11" s="107">
        <v>47.58</v>
      </c>
      <c r="JZ11" s="107">
        <v>47.58</v>
      </c>
      <c r="KA11" s="107">
        <v>47.58</v>
      </c>
      <c r="KB11" s="107">
        <v>47.58</v>
      </c>
      <c r="KC11" s="107">
        <v>47.58</v>
      </c>
      <c r="KD11" s="107">
        <v>47.58</v>
      </c>
      <c r="KE11" s="107">
        <v>47.58</v>
      </c>
      <c r="KF11" s="107">
        <v>47.58</v>
      </c>
      <c r="KG11" s="107">
        <v>47.58</v>
      </c>
      <c r="KH11" s="107">
        <v>47.58</v>
      </c>
      <c r="KI11" s="107">
        <v>47.58</v>
      </c>
      <c r="KJ11" s="107">
        <v>47.58</v>
      </c>
      <c r="KK11" s="107">
        <v>47.58</v>
      </c>
      <c r="KL11" s="107">
        <v>47.58</v>
      </c>
      <c r="KM11" s="107">
        <v>47.58</v>
      </c>
      <c r="KN11" s="107">
        <v>47.58</v>
      </c>
      <c r="LI11" s="107">
        <v>47.58</v>
      </c>
      <c r="LJ11" s="107">
        <v>47.58</v>
      </c>
      <c r="LK11" s="107">
        <v>43.25</v>
      </c>
      <c r="LL11" s="107">
        <v>43.25</v>
      </c>
      <c r="LM11" s="107">
        <v>43.25</v>
      </c>
      <c r="LN11" s="107">
        <v>43.25</v>
      </c>
      <c r="LO11" s="107">
        <v>47.58</v>
      </c>
      <c r="LP11" s="107">
        <v>43.25</v>
      </c>
      <c r="LQ11" s="107">
        <v>47.58</v>
      </c>
      <c r="LR11" s="107">
        <v>47.58</v>
      </c>
      <c r="LS11" s="107">
        <v>47.58</v>
      </c>
      <c r="LT11" s="107">
        <v>47.58</v>
      </c>
      <c r="LU11" s="107">
        <v>47.58</v>
      </c>
      <c r="LV11" s="107">
        <v>43.25</v>
      </c>
      <c r="LW11" s="107">
        <v>47.58</v>
      </c>
      <c r="LX11" s="107">
        <v>47.58</v>
      </c>
      <c r="LY11" s="107">
        <v>47.58</v>
      </c>
      <c r="LZ11" s="107">
        <v>43.25</v>
      </c>
      <c r="MA11" s="107">
        <v>47.58</v>
      </c>
      <c r="MB11" s="107">
        <v>47.58</v>
      </c>
      <c r="MC11" s="107">
        <v>43.25</v>
      </c>
      <c r="MD11" s="107">
        <v>43.25</v>
      </c>
      <c r="ME11" s="107">
        <v>43.25</v>
      </c>
      <c r="MF11" s="107">
        <v>47.58</v>
      </c>
      <c r="MG11" s="107">
        <v>47.58</v>
      </c>
      <c r="MH11" s="107">
        <v>47.58</v>
      </c>
      <c r="MI11" s="107">
        <v>43.25</v>
      </c>
      <c r="MJ11" s="107">
        <v>47.58</v>
      </c>
      <c r="MK11" s="107">
        <v>47.58</v>
      </c>
      <c r="ML11" s="107">
        <v>47.58</v>
      </c>
      <c r="MM11" s="107">
        <v>47.58</v>
      </c>
      <c r="MN11" s="107">
        <v>47.58</v>
      </c>
      <c r="MO11" s="107">
        <v>47.58</v>
      </c>
      <c r="MP11" s="107">
        <v>47.58</v>
      </c>
      <c r="MQ11" s="107">
        <v>47.58</v>
      </c>
      <c r="MR11" s="107">
        <v>47.58</v>
      </c>
      <c r="MS11" s="107">
        <v>47.58</v>
      </c>
      <c r="MT11" s="107">
        <v>47.58</v>
      </c>
      <c r="MU11" s="107">
        <v>47.58</v>
      </c>
      <c r="MV11" s="107">
        <v>47.58</v>
      </c>
      <c r="MW11" s="107">
        <v>47.58</v>
      </c>
      <c r="MX11" s="107">
        <v>47.58</v>
      </c>
      <c r="MY11" s="107">
        <v>47.58</v>
      </c>
      <c r="MZ11" s="107">
        <v>47.58</v>
      </c>
      <c r="NA11" s="107">
        <v>47.58</v>
      </c>
      <c r="NB11" s="107">
        <v>47.58</v>
      </c>
      <c r="NC11" s="107">
        <v>47.58</v>
      </c>
      <c r="ND11" s="107">
        <v>47.58</v>
      </c>
      <c r="NE11" s="107">
        <v>47.58</v>
      </c>
      <c r="NF11" s="107">
        <v>47.58</v>
      </c>
      <c r="NG11" s="107">
        <v>47.58</v>
      </c>
      <c r="NH11" s="107">
        <v>47.58</v>
      </c>
      <c r="NI11" s="107">
        <v>47.58</v>
      </c>
      <c r="NJ11" s="107">
        <v>47.58</v>
      </c>
      <c r="NK11" s="107">
        <v>47.58</v>
      </c>
      <c r="NL11" s="107">
        <v>47.58</v>
      </c>
      <c r="NM11" s="107">
        <v>47.58</v>
      </c>
      <c r="NN11" s="107">
        <v>47.58</v>
      </c>
      <c r="NO11" s="107">
        <v>47.58</v>
      </c>
      <c r="NP11" s="107">
        <v>47.58</v>
      </c>
      <c r="NQ11" s="107">
        <v>47.58</v>
      </c>
      <c r="NR11" s="107">
        <v>47.58</v>
      </c>
      <c r="OK11" s="107">
        <v>47.58</v>
      </c>
      <c r="OL11" s="107">
        <v>43.25</v>
      </c>
      <c r="OM11" s="107">
        <v>43.25</v>
      </c>
      <c r="ON11" s="107">
        <v>43.25</v>
      </c>
      <c r="OO11" s="107">
        <v>43.25</v>
      </c>
      <c r="OP11" s="107">
        <v>43.25</v>
      </c>
      <c r="OQ11" s="107">
        <v>43.25</v>
      </c>
      <c r="OR11" s="107">
        <v>43.25</v>
      </c>
      <c r="OS11" s="107">
        <v>47.58</v>
      </c>
      <c r="OT11" s="107">
        <v>47.58</v>
      </c>
      <c r="OU11" s="107">
        <v>47.58</v>
      </c>
      <c r="OV11" s="107">
        <v>47.58</v>
      </c>
      <c r="OW11" s="107">
        <v>47.58</v>
      </c>
      <c r="OX11" s="107">
        <v>43.25</v>
      </c>
      <c r="OY11" s="107">
        <v>47.58</v>
      </c>
      <c r="OZ11" s="107">
        <v>47.58</v>
      </c>
      <c r="PA11" s="107">
        <v>47.58</v>
      </c>
      <c r="PB11" s="107">
        <v>43.25</v>
      </c>
      <c r="PC11" s="107">
        <v>47.58</v>
      </c>
      <c r="PD11" s="107">
        <v>47.58</v>
      </c>
      <c r="PE11" s="107">
        <v>47.58</v>
      </c>
      <c r="PF11" s="107">
        <v>43.25</v>
      </c>
      <c r="PG11" s="107">
        <v>43.25</v>
      </c>
      <c r="PH11" s="107">
        <v>47.58</v>
      </c>
      <c r="PI11" s="107">
        <v>47.58</v>
      </c>
      <c r="PJ11" s="107">
        <v>47.58</v>
      </c>
      <c r="PK11" s="107">
        <v>43.25</v>
      </c>
      <c r="PL11" s="107">
        <v>47.58</v>
      </c>
      <c r="PM11" s="107">
        <v>47.58</v>
      </c>
      <c r="PN11" s="107">
        <v>47.58</v>
      </c>
      <c r="PO11" s="107">
        <v>47.58</v>
      </c>
      <c r="PP11" s="107">
        <v>47.58</v>
      </c>
      <c r="PQ11" s="107">
        <v>47.58</v>
      </c>
      <c r="PR11" s="107">
        <v>47.58</v>
      </c>
      <c r="PS11" s="107">
        <v>47.58</v>
      </c>
      <c r="PT11" s="107">
        <v>47.58</v>
      </c>
      <c r="PU11" s="107">
        <v>47.58</v>
      </c>
      <c r="PV11" s="107">
        <v>47.58</v>
      </c>
      <c r="PW11" s="107">
        <v>47.58</v>
      </c>
      <c r="PX11" s="107">
        <v>47.58</v>
      </c>
      <c r="PY11" s="107">
        <v>47.58</v>
      </c>
      <c r="PZ11" s="107">
        <v>47.58</v>
      </c>
      <c r="QA11" s="107">
        <v>47.58</v>
      </c>
      <c r="QB11" s="107">
        <v>47.58</v>
      </c>
      <c r="QC11" s="107">
        <v>47.58</v>
      </c>
      <c r="QD11" s="107">
        <v>47.58</v>
      </c>
      <c r="QE11" s="107">
        <v>47.58</v>
      </c>
      <c r="QF11" s="107">
        <v>47.58</v>
      </c>
      <c r="QG11" s="107">
        <v>47.58</v>
      </c>
      <c r="QH11" s="107">
        <v>47.58</v>
      </c>
      <c r="QI11" s="107">
        <v>47.58</v>
      </c>
      <c r="QJ11" s="107">
        <v>47.58</v>
      </c>
      <c r="QK11" s="107">
        <v>47.58</v>
      </c>
      <c r="QL11" s="107">
        <v>47.58</v>
      </c>
      <c r="QM11" s="107">
        <v>47.58</v>
      </c>
      <c r="QN11" s="107">
        <v>47.58</v>
      </c>
      <c r="QO11" s="107">
        <v>47.58</v>
      </c>
      <c r="QP11" s="107">
        <v>47.58</v>
      </c>
      <c r="QQ11" s="107">
        <v>47.58</v>
      </c>
      <c r="QR11" s="107">
        <v>47.58</v>
      </c>
      <c r="QS11" s="107">
        <v>47.58</v>
      </c>
      <c r="QT11" s="107">
        <v>47.58</v>
      </c>
      <c r="RM11" s="107">
        <v>47.58</v>
      </c>
      <c r="RN11" s="107">
        <v>43.25</v>
      </c>
      <c r="RO11" s="107">
        <v>43.25</v>
      </c>
      <c r="RP11" s="107">
        <v>43.25</v>
      </c>
      <c r="RQ11" s="107">
        <v>43.25</v>
      </c>
      <c r="RR11" s="107">
        <v>43.25</v>
      </c>
      <c r="RS11" s="107">
        <v>47.58</v>
      </c>
      <c r="RT11" s="107">
        <v>43.25</v>
      </c>
      <c r="RU11" s="107">
        <v>47.58</v>
      </c>
      <c r="RV11" s="107">
        <v>47.58</v>
      </c>
      <c r="RW11" s="107">
        <v>47.58</v>
      </c>
      <c r="RX11" s="107">
        <v>47.58</v>
      </c>
      <c r="RY11" s="107">
        <v>47.58</v>
      </c>
      <c r="RZ11" s="107">
        <v>43.25</v>
      </c>
      <c r="SA11" s="107">
        <v>47.58</v>
      </c>
      <c r="SB11" s="107">
        <v>47.58</v>
      </c>
      <c r="SC11" s="107">
        <v>47.58</v>
      </c>
      <c r="SD11" s="107">
        <v>43.25</v>
      </c>
      <c r="SE11" s="107">
        <v>47.58</v>
      </c>
      <c r="SF11" s="107">
        <v>47.58</v>
      </c>
      <c r="SG11" s="107">
        <v>47.58</v>
      </c>
      <c r="SH11" s="107">
        <v>43.25</v>
      </c>
      <c r="SI11" s="107">
        <v>43.25</v>
      </c>
      <c r="SJ11" s="107">
        <v>47.58</v>
      </c>
      <c r="SK11" s="107">
        <v>47.58</v>
      </c>
      <c r="SL11" s="107">
        <v>47.58</v>
      </c>
      <c r="SM11" s="107">
        <v>43.25</v>
      </c>
      <c r="SN11" s="107">
        <v>47.58</v>
      </c>
      <c r="SO11" s="107">
        <v>47.58</v>
      </c>
      <c r="SP11" s="107">
        <v>47.58</v>
      </c>
      <c r="SQ11" s="107">
        <v>47.58</v>
      </c>
      <c r="SR11" s="107">
        <v>47.58</v>
      </c>
      <c r="SS11" s="107">
        <v>47.58</v>
      </c>
      <c r="ST11" s="107">
        <v>47.58</v>
      </c>
      <c r="SU11" s="107">
        <v>47.58</v>
      </c>
      <c r="SV11" s="107">
        <v>47.58</v>
      </c>
      <c r="SW11" s="107">
        <v>47.58</v>
      </c>
      <c r="SX11" s="107">
        <v>47.58</v>
      </c>
      <c r="SY11" s="107">
        <v>47.58</v>
      </c>
      <c r="SZ11" s="107">
        <v>47.58</v>
      </c>
      <c r="TA11" s="107">
        <v>47.58</v>
      </c>
      <c r="TB11" s="107">
        <v>47.58</v>
      </c>
      <c r="TC11" s="107">
        <v>47.58</v>
      </c>
      <c r="TD11" s="107">
        <v>47.58</v>
      </c>
      <c r="TE11" s="107">
        <v>47.58</v>
      </c>
      <c r="TF11" s="107">
        <v>47.58</v>
      </c>
      <c r="TG11" s="107">
        <v>47.58</v>
      </c>
      <c r="TH11" s="107">
        <v>47.58</v>
      </c>
      <c r="TI11" s="107">
        <v>47.58</v>
      </c>
      <c r="TJ11" s="107">
        <v>47.58</v>
      </c>
      <c r="TK11" s="107">
        <v>47.58</v>
      </c>
      <c r="TL11" s="107">
        <v>47.58</v>
      </c>
      <c r="TM11" s="107">
        <v>47.58</v>
      </c>
      <c r="TN11" s="107">
        <v>47.58</v>
      </c>
      <c r="TO11" s="107">
        <v>47.58</v>
      </c>
      <c r="TP11" s="107">
        <v>47.58</v>
      </c>
      <c r="TQ11" s="107">
        <v>47.58</v>
      </c>
      <c r="TR11" s="107">
        <v>47.58</v>
      </c>
      <c r="TS11" s="107">
        <v>47.58</v>
      </c>
      <c r="TT11" s="107">
        <v>47.58</v>
      </c>
      <c r="TU11" s="107">
        <v>47.58</v>
      </c>
      <c r="TV11" s="107">
        <v>47.58</v>
      </c>
      <c r="UO11" s="107">
        <v>47.58</v>
      </c>
      <c r="UP11" s="107">
        <v>43.25</v>
      </c>
      <c r="UQ11" s="107">
        <v>43.25</v>
      </c>
      <c r="UR11" s="107">
        <v>43.25</v>
      </c>
      <c r="US11" s="107">
        <v>43.25</v>
      </c>
      <c r="UT11" s="107">
        <v>43.25</v>
      </c>
      <c r="UU11" s="107">
        <v>47.58</v>
      </c>
      <c r="UV11" s="107">
        <v>43.25</v>
      </c>
      <c r="UW11" s="107">
        <v>47.58</v>
      </c>
      <c r="UX11" s="107">
        <v>47.58</v>
      </c>
      <c r="UY11" s="107">
        <v>47.58</v>
      </c>
      <c r="UZ11" s="107">
        <v>47.58</v>
      </c>
      <c r="VA11" s="107">
        <v>47.58</v>
      </c>
      <c r="VB11" s="107">
        <v>43.25</v>
      </c>
      <c r="VC11" s="107">
        <v>47.58</v>
      </c>
      <c r="VD11" s="107">
        <v>47.58</v>
      </c>
      <c r="VE11" s="107">
        <v>43.25</v>
      </c>
      <c r="VF11" s="107">
        <v>47.58</v>
      </c>
      <c r="VG11" s="107">
        <v>47.58</v>
      </c>
      <c r="VH11" s="107">
        <v>47.58</v>
      </c>
      <c r="VI11" s="107">
        <v>43.25</v>
      </c>
      <c r="VJ11" s="107">
        <v>43.25</v>
      </c>
      <c r="VK11" s="107">
        <v>47.58</v>
      </c>
      <c r="VL11" s="107">
        <v>47.58</v>
      </c>
      <c r="VM11" s="107">
        <v>47.58</v>
      </c>
      <c r="VN11" s="107">
        <v>43.25</v>
      </c>
      <c r="VO11" s="107">
        <v>47.58</v>
      </c>
      <c r="VP11" s="107">
        <v>47.58</v>
      </c>
      <c r="VQ11" s="107">
        <v>47.58</v>
      </c>
      <c r="VR11" s="107">
        <v>47.58</v>
      </c>
      <c r="VS11" s="107">
        <v>47.58</v>
      </c>
      <c r="VT11" s="107">
        <v>47.58</v>
      </c>
      <c r="VU11" s="107">
        <v>47.58</v>
      </c>
      <c r="VV11" s="107">
        <v>47.58</v>
      </c>
      <c r="VW11" s="107">
        <v>47.58</v>
      </c>
      <c r="VX11" s="107">
        <v>47.58</v>
      </c>
      <c r="VY11" s="107">
        <v>47.58</v>
      </c>
      <c r="VZ11" s="107">
        <v>47.58</v>
      </c>
      <c r="WA11" s="107">
        <v>47.58</v>
      </c>
      <c r="WB11" s="107">
        <v>47.58</v>
      </c>
      <c r="WC11" s="107">
        <v>47.58</v>
      </c>
      <c r="WD11" s="107">
        <v>47.58</v>
      </c>
      <c r="WE11" s="107">
        <v>47.58</v>
      </c>
      <c r="WF11" s="107">
        <v>47.58</v>
      </c>
      <c r="WG11" s="107">
        <v>47.58</v>
      </c>
      <c r="WH11" s="107">
        <v>47.58</v>
      </c>
      <c r="WI11" s="107">
        <v>47.58</v>
      </c>
      <c r="WJ11" s="107">
        <v>47.58</v>
      </c>
      <c r="WK11" s="107">
        <v>47.58</v>
      </c>
      <c r="WL11" s="107">
        <v>47.58</v>
      </c>
      <c r="WM11" s="107">
        <v>47.58</v>
      </c>
      <c r="WN11" s="107">
        <v>47.58</v>
      </c>
      <c r="WO11" s="107">
        <v>47.58</v>
      </c>
      <c r="WP11" s="107">
        <v>47.58</v>
      </c>
      <c r="WQ11" s="107">
        <v>47.58</v>
      </c>
      <c r="WR11" s="107">
        <v>47.58</v>
      </c>
      <c r="WS11" s="107">
        <v>47.58</v>
      </c>
      <c r="WT11" s="107">
        <v>47.58</v>
      </c>
      <c r="WU11" s="107">
        <v>47.58</v>
      </c>
      <c r="WV11" s="107">
        <v>47.58</v>
      </c>
      <c r="WW11" s="107">
        <v>47.58</v>
      </c>
      <c r="XQ11" s="107">
        <v>47.58</v>
      </c>
      <c r="XR11" s="107">
        <v>43.25</v>
      </c>
      <c r="XS11" s="107">
        <v>43.25</v>
      </c>
      <c r="XT11" s="107">
        <v>43.25</v>
      </c>
      <c r="XU11" s="107">
        <v>43.25</v>
      </c>
      <c r="XV11" s="107">
        <v>43.25</v>
      </c>
      <c r="XW11" s="107">
        <v>47.58</v>
      </c>
      <c r="XX11" s="107">
        <v>43.25</v>
      </c>
      <c r="XY11" s="107">
        <v>47.58</v>
      </c>
      <c r="XZ11" s="107">
        <v>47.58</v>
      </c>
      <c r="YA11" s="107">
        <v>47.58</v>
      </c>
      <c r="YB11" s="107">
        <v>47.58</v>
      </c>
      <c r="YC11" s="107">
        <v>47.58</v>
      </c>
      <c r="YD11" s="107">
        <v>43.25</v>
      </c>
      <c r="YE11" s="107">
        <v>47.58</v>
      </c>
      <c r="YF11" s="107">
        <v>47.58</v>
      </c>
      <c r="YG11" s="107">
        <v>43.25</v>
      </c>
      <c r="YH11" s="107">
        <v>47.58</v>
      </c>
      <c r="YI11" s="107">
        <v>47.58</v>
      </c>
      <c r="YJ11" s="107">
        <v>47.58</v>
      </c>
      <c r="YK11" s="107">
        <v>43.25</v>
      </c>
      <c r="YL11" s="107">
        <v>43.25</v>
      </c>
      <c r="YM11" s="107">
        <v>47.58</v>
      </c>
      <c r="YN11" s="107">
        <v>47.58</v>
      </c>
      <c r="YO11" s="107">
        <v>47.58</v>
      </c>
      <c r="YP11" s="107">
        <v>43.25</v>
      </c>
      <c r="YQ11" s="107">
        <v>47.58</v>
      </c>
      <c r="YR11" s="107">
        <v>47.58</v>
      </c>
      <c r="YS11" s="107">
        <v>47.58</v>
      </c>
      <c r="YT11" s="107">
        <v>47.58</v>
      </c>
      <c r="YU11" s="107">
        <v>47.58</v>
      </c>
      <c r="YV11" s="107">
        <v>47.58</v>
      </c>
      <c r="YW11" s="107">
        <v>47.58</v>
      </c>
      <c r="YX11" s="107">
        <v>47.58</v>
      </c>
      <c r="YY11" s="107">
        <v>47.58</v>
      </c>
      <c r="YZ11" s="107">
        <v>47.58</v>
      </c>
      <c r="ZA11" s="107">
        <v>47.58</v>
      </c>
      <c r="ZB11" s="107">
        <v>47.58</v>
      </c>
      <c r="ZC11" s="107">
        <v>47.58</v>
      </c>
      <c r="ZD11" s="107">
        <v>47.58</v>
      </c>
      <c r="ZE11" s="107">
        <v>47.58</v>
      </c>
      <c r="ZF11" s="107">
        <v>47.58</v>
      </c>
      <c r="ZG11" s="107">
        <v>47.58</v>
      </c>
      <c r="ZH11" s="107">
        <v>47.58</v>
      </c>
      <c r="ZI11" s="107">
        <v>47.58</v>
      </c>
      <c r="ZJ11" s="107">
        <v>47.58</v>
      </c>
      <c r="ZK11" s="107">
        <v>47.58</v>
      </c>
      <c r="ZL11" s="107">
        <v>47.58</v>
      </c>
      <c r="ZM11" s="107">
        <v>47.58</v>
      </c>
      <c r="ZN11" s="107">
        <v>47.58</v>
      </c>
      <c r="ZO11" s="107">
        <v>47.58</v>
      </c>
      <c r="ZP11" s="107">
        <v>47.58</v>
      </c>
      <c r="ZQ11" s="107">
        <v>47.58</v>
      </c>
      <c r="ZR11" s="107">
        <v>47.58</v>
      </c>
      <c r="ZS11" s="107">
        <v>47.58</v>
      </c>
      <c r="ZT11" s="107">
        <v>47.58</v>
      </c>
      <c r="ZU11" s="107">
        <v>47.58</v>
      </c>
      <c r="ZV11" s="107">
        <v>47.58</v>
      </c>
      <c r="ZW11" s="107">
        <v>47.58</v>
      </c>
      <c r="AAS11" s="107">
        <v>47.58</v>
      </c>
      <c r="AAT11" s="107">
        <v>43.25</v>
      </c>
      <c r="AAU11" s="107">
        <v>43.25</v>
      </c>
      <c r="AAV11" s="107">
        <v>43.25</v>
      </c>
      <c r="AAW11" s="107">
        <v>43.25</v>
      </c>
      <c r="AAX11" s="107">
        <v>43.25</v>
      </c>
      <c r="AAY11" s="107">
        <v>47.58</v>
      </c>
      <c r="AAZ11" s="107">
        <v>43.25</v>
      </c>
      <c r="ABA11" s="107">
        <v>47.58</v>
      </c>
      <c r="ABB11" s="107">
        <v>47.58</v>
      </c>
      <c r="ABC11" s="107">
        <v>47.58</v>
      </c>
      <c r="ABD11" s="107">
        <v>47.58</v>
      </c>
      <c r="ABE11" s="107">
        <v>47.58</v>
      </c>
      <c r="ABF11" s="107">
        <v>43.25</v>
      </c>
      <c r="ABG11" s="107">
        <v>47.58</v>
      </c>
      <c r="ABH11" s="107">
        <v>47.58</v>
      </c>
      <c r="ABI11" s="107">
        <v>43.25</v>
      </c>
      <c r="ABJ11" s="107">
        <v>47.58</v>
      </c>
      <c r="ABK11" s="107">
        <v>47.58</v>
      </c>
      <c r="ABL11" s="107">
        <v>43.25</v>
      </c>
      <c r="ABM11" s="107">
        <v>43.25</v>
      </c>
      <c r="ABN11" s="107">
        <v>47.58</v>
      </c>
      <c r="ABO11" s="107">
        <v>47.58</v>
      </c>
      <c r="ABP11" s="107">
        <v>47.58</v>
      </c>
      <c r="ABQ11" s="107">
        <v>43.25</v>
      </c>
      <c r="ABR11" s="107">
        <v>47.58</v>
      </c>
      <c r="ABS11" s="107">
        <v>47.58</v>
      </c>
      <c r="ABT11" s="107">
        <v>47.58</v>
      </c>
      <c r="ABU11" s="107">
        <v>47.58</v>
      </c>
      <c r="ABV11" s="107">
        <v>47.58</v>
      </c>
      <c r="ABW11" s="107">
        <v>47.58</v>
      </c>
      <c r="ABX11" s="107">
        <v>47.58</v>
      </c>
      <c r="ABY11" s="107">
        <v>47.58</v>
      </c>
      <c r="ABZ11" s="107">
        <v>47.58</v>
      </c>
      <c r="ACA11" s="107">
        <v>47.58</v>
      </c>
      <c r="ACB11" s="107">
        <v>47.58</v>
      </c>
      <c r="ACC11" s="107">
        <v>47.58</v>
      </c>
      <c r="ACD11" s="107">
        <v>47.58</v>
      </c>
      <c r="ACE11" s="107">
        <v>47.58</v>
      </c>
      <c r="ACF11" s="107">
        <v>47.58</v>
      </c>
      <c r="ACG11" s="107">
        <v>47.58</v>
      </c>
      <c r="ACH11" s="107">
        <v>47.58</v>
      </c>
      <c r="ACI11" s="107">
        <v>47.58</v>
      </c>
      <c r="ACJ11" s="107">
        <v>47.58</v>
      </c>
      <c r="ACK11" s="107">
        <v>47.58</v>
      </c>
      <c r="ACL11" s="107">
        <v>47.58</v>
      </c>
      <c r="ACM11" s="107">
        <v>47.58</v>
      </c>
      <c r="ACN11" s="107">
        <v>47.58</v>
      </c>
      <c r="ACO11" s="107">
        <v>47.58</v>
      </c>
      <c r="ACP11" s="107">
        <v>47.58</v>
      </c>
      <c r="ACQ11" s="107">
        <v>47.58</v>
      </c>
      <c r="ACR11" s="107">
        <v>47.58</v>
      </c>
      <c r="ACS11" s="107">
        <v>47.58</v>
      </c>
      <c r="ACT11" s="107">
        <v>47.58</v>
      </c>
      <c r="ACU11" s="107">
        <v>47.58</v>
      </c>
      <c r="ACV11" s="107">
        <v>47.58</v>
      </c>
      <c r="ACW11" s="107">
        <v>47.58</v>
      </c>
      <c r="ACX11" s="107">
        <v>47.58</v>
      </c>
      <c r="ADU11" s="107">
        <v>47.58</v>
      </c>
      <c r="ADV11" s="107">
        <v>43.25</v>
      </c>
      <c r="ADW11" s="107">
        <v>43.25</v>
      </c>
      <c r="ADX11" s="107">
        <v>43.25</v>
      </c>
      <c r="ADY11" s="107">
        <v>43.25</v>
      </c>
      <c r="ADZ11" s="107">
        <v>47.58</v>
      </c>
      <c r="AEA11" s="107">
        <v>43.25</v>
      </c>
      <c r="AEB11" s="107">
        <v>47.58</v>
      </c>
      <c r="AEC11" s="107">
        <v>47.58</v>
      </c>
      <c r="AED11" s="107">
        <v>47.58</v>
      </c>
      <c r="AEE11" s="107">
        <v>47.58</v>
      </c>
      <c r="AEF11" s="107">
        <v>47.58</v>
      </c>
      <c r="AEG11" s="107">
        <v>43.25</v>
      </c>
      <c r="AEH11" s="107">
        <v>47.58</v>
      </c>
      <c r="AEI11" s="107">
        <v>47.58</v>
      </c>
      <c r="AEJ11" s="107">
        <v>43.25</v>
      </c>
      <c r="AEK11" s="107">
        <v>47.58</v>
      </c>
      <c r="AEL11" s="107">
        <v>47.58</v>
      </c>
      <c r="AEM11" s="107">
        <v>43.25</v>
      </c>
      <c r="AEN11" s="107">
        <v>43.25</v>
      </c>
      <c r="AEO11" s="107">
        <v>47.58</v>
      </c>
      <c r="AEP11" s="107">
        <v>47.58</v>
      </c>
      <c r="AEQ11" s="107">
        <v>47.58</v>
      </c>
      <c r="AER11" s="107">
        <v>43.25</v>
      </c>
      <c r="AES11" s="107">
        <v>47.58</v>
      </c>
      <c r="AET11" s="107">
        <v>47.58</v>
      </c>
      <c r="AEU11" s="107">
        <v>47.58</v>
      </c>
      <c r="AEV11" s="107">
        <v>47.58</v>
      </c>
      <c r="AEW11" s="107">
        <v>47.58</v>
      </c>
      <c r="AEX11" s="107">
        <v>47.58</v>
      </c>
      <c r="AEY11" s="107">
        <v>47.58</v>
      </c>
      <c r="AEZ11" s="107">
        <v>47.58</v>
      </c>
      <c r="AFA11" s="107">
        <v>47.58</v>
      </c>
      <c r="AFB11" s="107">
        <v>47.58</v>
      </c>
      <c r="AFC11" s="107">
        <v>47.58</v>
      </c>
      <c r="AFD11" s="107">
        <v>47.58</v>
      </c>
      <c r="AFE11" s="107">
        <v>47.58</v>
      </c>
      <c r="AFF11" s="107">
        <v>47.58</v>
      </c>
      <c r="AFG11" s="107">
        <v>47.58</v>
      </c>
      <c r="AFH11" s="107">
        <v>47.58</v>
      </c>
      <c r="AFI11" s="107">
        <v>47.58</v>
      </c>
      <c r="AFJ11" s="107">
        <v>47.58</v>
      </c>
      <c r="AFK11" s="107">
        <v>47.58</v>
      </c>
      <c r="AFL11" s="107">
        <v>47.58</v>
      </c>
      <c r="AFM11" s="107">
        <v>47.58</v>
      </c>
      <c r="AFN11" s="107">
        <v>47.58</v>
      </c>
      <c r="AFO11" s="107">
        <v>47.58</v>
      </c>
      <c r="AFP11" s="107">
        <v>47.58</v>
      </c>
      <c r="AFQ11" s="107">
        <v>47.58</v>
      </c>
      <c r="AFR11" s="107">
        <v>47.58</v>
      </c>
      <c r="AFS11" s="107">
        <v>47.58</v>
      </c>
      <c r="AFT11" s="107">
        <v>47.58</v>
      </c>
      <c r="AFU11" s="107">
        <v>47.58</v>
      </c>
      <c r="AFV11" s="107">
        <v>47.58</v>
      </c>
      <c r="AFW11" s="107">
        <v>47.58</v>
      </c>
      <c r="AFX11" s="107">
        <v>47.58</v>
      </c>
      <c r="AFY11" s="107">
        <v>47.58</v>
      </c>
      <c r="AGW11" s="107">
        <v>47.58</v>
      </c>
      <c r="AGX11" s="107">
        <v>43.25</v>
      </c>
      <c r="AGY11" s="107">
        <v>43.25</v>
      </c>
      <c r="AGZ11" s="107">
        <v>43.25</v>
      </c>
      <c r="AHA11" s="107">
        <v>43.25</v>
      </c>
      <c r="AHB11" s="107">
        <v>47.58</v>
      </c>
      <c r="AHC11" s="107">
        <v>43.25</v>
      </c>
      <c r="AHD11" s="107">
        <v>47.58</v>
      </c>
      <c r="AHE11" s="107">
        <v>47.58</v>
      </c>
      <c r="AHF11" s="107">
        <v>47.58</v>
      </c>
      <c r="AHG11" s="107">
        <v>47.58</v>
      </c>
      <c r="AHH11" s="107">
        <v>47.58</v>
      </c>
      <c r="AHI11" s="107">
        <v>43.25</v>
      </c>
      <c r="AHJ11" s="107">
        <v>47.58</v>
      </c>
      <c r="AHK11" s="107">
        <v>47.58</v>
      </c>
      <c r="AHL11" s="107">
        <v>43.25</v>
      </c>
      <c r="AHM11" s="107">
        <v>47.58</v>
      </c>
      <c r="AHN11" s="107">
        <v>47.58</v>
      </c>
      <c r="AHO11" s="107">
        <v>43.25</v>
      </c>
      <c r="AHP11" s="107">
        <v>43.25</v>
      </c>
      <c r="AHQ11" s="107">
        <v>47.58</v>
      </c>
      <c r="AHR11" s="107">
        <v>47.58</v>
      </c>
      <c r="AHS11" s="107">
        <v>47.58</v>
      </c>
      <c r="AHT11" s="107">
        <v>43.25</v>
      </c>
      <c r="AHU11" s="107">
        <v>47.58</v>
      </c>
      <c r="AHV11" s="107">
        <v>47.58</v>
      </c>
      <c r="AHW11" s="107">
        <v>47.58</v>
      </c>
      <c r="AHX11" s="107">
        <v>47.58</v>
      </c>
      <c r="AHY11" s="107">
        <v>47.58</v>
      </c>
      <c r="AHZ11" s="107">
        <v>47.58</v>
      </c>
      <c r="AIA11" s="107">
        <v>47.58</v>
      </c>
      <c r="AIB11" s="107">
        <v>47.58</v>
      </c>
      <c r="AIC11" s="107">
        <v>47.58</v>
      </c>
      <c r="AID11" s="107">
        <v>47.58</v>
      </c>
      <c r="AIE11" s="107">
        <v>47.58</v>
      </c>
      <c r="AIF11" s="107">
        <v>47.58</v>
      </c>
      <c r="AIG11" s="107">
        <v>47.58</v>
      </c>
      <c r="AIH11" s="107">
        <v>47.58</v>
      </c>
      <c r="AII11" s="107">
        <v>47.58</v>
      </c>
      <c r="AIJ11" s="107">
        <v>47.58</v>
      </c>
      <c r="AIK11" s="107">
        <v>47.58</v>
      </c>
      <c r="AIL11" s="107">
        <v>47.58</v>
      </c>
      <c r="AIM11" s="107">
        <v>47.58</v>
      </c>
      <c r="AIN11" s="107">
        <v>47.58</v>
      </c>
      <c r="AIO11" s="107">
        <v>47.58</v>
      </c>
      <c r="AIP11" s="107">
        <v>47.58</v>
      </c>
      <c r="AIQ11" s="107">
        <v>47.58</v>
      </c>
      <c r="AIR11" s="107">
        <v>47.58</v>
      </c>
      <c r="AIS11" s="107">
        <v>47.58</v>
      </c>
      <c r="AIT11" s="107">
        <v>47.58</v>
      </c>
      <c r="AIU11" s="107">
        <v>47.58</v>
      </c>
      <c r="AIV11" s="107">
        <v>47.58</v>
      </c>
      <c r="AIW11" s="107">
        <v>47.58</v>
      </c>
      <c r="AIX11" s="107">
        <v>47.58</v>
      </c>
      <c r="AIY11" s="107">
        <v>47.58</v>
      </c>
      <c r="AIZ11" s="107">
        <v>47.58</v>
      </c>
      <c r="AJY11" t="s">
        <v>12</v>
      </c>
    </row>
    <row r="12" spans="1:961">
      <c r="A12" s="107">
        <v>34.6</v>
      </c>
      <c r="B12" s="107">
        <v>34.6</v>
      </c>
      <c r="C12" s="107">
        <v>34.6</v>
      </c>
      <c r="D12" s="107">
        <v>34.6</v>
      </c>
      <c r="E12" s="107">
        <v>43.25</v>
      </c>
      <c r="F12" s="107">
        <v>34.6</v>
      </c>
      <c r="G12" s="107">
        <v>43.25</v>
      </c>
      <c r="H12" s="107">
        <v>43.25</v>
      </c>
      <c r="I12" s="107">
        <v>43.25</v>
      </c>
      <c r="J12" s="107">
        <v>43.25</v>
      </c>
      <c r="K12" s="107">
        <v>43.25</v>
      </c>
      <c r="L12" s="107">
        <v>34.6</v>
      </c>
      <c r="M12" s="107">
        <v>43.25</v>
      </c>
      <c r="N12" s="107">
        <v>43.25</v>
      </c>
      <c r="O12" s="107">
        <v>43.25</v>
      </c>
      <c r="P12" s="107">
        <v>34.6</v>
      </c>
      <c r="Q12" s="107">
        <v>43.25</v>
      </c>
      <c r="R12" s="107">
        <v>43.25</v>
      </c>
      <c r="S12" s="107">
        <v>43.25</v>
      </c>
      <c r="T12" s="107">
        <v>34.6</v>
      </c>
      <c r="U12" s="107">
        <v>34.6</v>
      </c>
      <c r="V12" s="107">
        <v>43.25</v>
      </c>
      <c r="W12" s="107">
        <v>43.25</v>
      </c>
      <c r="X12" s="107">
        <v>43.25</v>
      </c>
      <c r="Y12" s="107">
        <v>34.6</v>
      </c>
      <c r="Z12" s="107">
        <v>43.25</v>
      </c>
      <c r="AA12" s="107">
        <v>43.25</v>
      </c>
      <c r="AB12" s="107">
        <v>43.25</v>
      </c>
      <c r="AC12" s="107">
        <v>43.25</v>
      </c>
      <c r="AD12" s="107">
        <v>43.25</v>
      </c>
      <c r="AE12" s="107">
        <v>43.25</v>
      </c>
      <c r="AF12" s="107">
        <v>43.25</v>
      </c>
      <c r="AG12" s="107">
        <v>43.25</v>
      </c>
      <c r="AH12" s="107">
        <v>43.25</v>
      </c>
      <c r="AI12" s="107">
        <v>43.25</v>
      </c>
      <c r="AJ12" s="107">
        <v>43.25</v>
      </c>
      <c r="AK12" s="107">
        <v>43.25</v>
      </c>
      <c r="AL12" s="107">
        <v>43.25</v>
      </c>
      <c r="AM12" s="107">
        <v>43.25</v>
      </c>
      <c r="AN12" s="107">
        <v>43.25</v>
      </c>
      <c r="AO12" s="107">
        <v>43.25</v>
      </c>
      <c r="AP12" s="107">
        <v>43.25</v>
      </c>
      <c r="AQ12" s="107">
        <v>43.25</v>
      </c>
      <c r="AR12" s="107">
        <v>43.25</v>
      </c>
      <c r="AS12" s="107">
        <v>43.25</v>
      </c>
      <c r="AT12" s="107">
        <v>43.25</v>
      </c>
      <c r="AU12" s="107">
        <v>43.25</v>
      </c>
      <c r="AV12" s="107">
        <v>43.25</v>
      </c>
      <c r="AW12" s="107">
        <v>43.25</v>
      </c>
      <c r="AX12" s="107">
        <v>43.25</v>
      </c>
      <c r="AY12" s="107">
        <v>43.25</v>
      </c>
      <c r="AZ12" s="107">
        <v>43.25</v>
      </c>
      <c r="CC12" s="107">
        <v>34.6</v>
      </c>
      <c r="CD12" s="107">
        <v>34.6</v>
      </c>
      <c r="CE12" s="107">
        <v>34.6</v>
      </c>
      <c r="CF12" s="107">
        <v>34.6</v>
      </c>
      <c r="CG12" s="107">
        <v>34.6</v>
      </c>
      <c r="CH12" s="107">
        <v>43.25</v>
      </c>
      <c r="CI12" s="107">
        <v>34.6</v>
      </c>
      <c r="CJ12" s="107">
        <v>43.25</v>
      </c>
      <c r="CK12" s="107">
        <v>43.25</v>
      </c>
      <c r="CL12" s="107">
        <v>43.25</v>
      </c>
      <c r="CM12" s="107">
        <v>43.25</v>
      </c>
      <c r="CN12" s="107">
        <v>43.25</v>
      </c>
      <c r="CO12" s="107">
        <v>34.6</v>
      </c>
      <c r="CP12" s="107">
        <v>43.25</v>
      </c>
      <c r="CQ12" s="107">
        <v>43.25</v>
      </c>
      <c r="CR12" s="107">
        <v>43.25</v>
      </c>
      <c r="CS12" s="107">
        <v>34.6</v>
      </c>
      <c r="CT12" s="107">
        <v>43.25</v>
      </c>
      <c r="CU12" s="107">
        <v>43.25</v>
      </c>
      <c r="CV12" s="107">
        <v>43.25</v>
      </c>
      <c r="CW12" s="107">
        <v>34.6</v>
      </c>
      <c r="CX12" s="107">
        <v>34.6</v>
      </c>
      <c r="CY12" s="107">
        <v>43.25</v>
      </c>
      <c r="CZ12" s="107">
        <v>43.25</v>
      </c>
      <c r="DA12" s="107">
        <v>43.25</v>
      </c>
      <c r="DB12" s="107">
        <v>34.6</v>
      </c>
      <c r="DC12" s="107">
        <v>43.25</v>
      </c>
      <c r="DD12" s="107">
        <v>43.25</v>
      </c>
      <c r="DE12" s="107">
        <v>43.25</v>
      </c>
      <c r="DF12" s="107">
        <v>43.25</v>
      </c>
      <c r="DG12" s="107">
        <v>43.25</v>
      </c>
      <c r="DH12" s="107">
        <v>43.25</v>
      </c>
      <c r="DI12" s="107">
        <v>43.25</v>
      </c>
      <c r="DJ12" s="107">
        <v>43.25</v>
      </c>
      <c r="DK12" s="107">
        <v>43.25</v>
      </c>
      <c r="DL12" s="107">
        <v>43.25</v>
      </c>
      <c r="DM12" s="107">
        <v>43.25</v>
      </c>
      <c r="DN12" s="107">
        <v>43.25</v>
      </c>
      <c r="DO12" s="107">
        <v>43.25</v>
      </c>
      <c r="DP12" s="107">
        <v>43.25</v>
      </c>
      <c r="DQ12" s="107">
        <v>43.25</v>
      </c>
      <c r="DR12" s="107">
        <v>43.25</v>
      </c>
      <c r="DS12" s="107">
        <v>43.25</v>
      </c>
      <c r="DT12" s="107">
        <v>43.25</v>
      </c>
      <c r="DU12" s="107">
        <v>43.25</v>
      </c>
      <c r="DV12" s="107">
        <v>43.25</v>
      </c>
      <c r="DW12" s="107">
        <v>43.25</v>
      </c>
      <c r="DX12" s="107">
        <v>43.25</v>
      </c>
      <c r="DY12" s="107">
        <v>43.25</v>
      </c>
      <c r="DZ12" s="107">
        <v>43.25</v>
      </c>
      <c r="EA12" s="107">
        <v>43.25</v>
      </c>
      <c r="EB12" s="107">
        <v>43.25</v>
      </c>
      <c r="EC12" s="107">
        <v>43.25</v>
      </c>
      <c r="ED12" s="107">
        <v>43.25</v>
      </c>
      <c r="EE12" s="107">
        <v>43.25</v>
      </c>
      <c r="EF12" s="107">
        <v>43.25</v>
      </c>
      <c r="EG12" s="107">
        <v>43.25</v>
      </c>
      <c r="EH12" s="107">
        <v>43.25</v>
      </c>
      <c r="EI12" s="107">
        <v>43.25</v>
      </c>
      <c r="FE12" s="107">
        <v>43.25</v>
      </c>
      <c r="FF12" s="107">
        <v>34.6</v>
      </c>
      <c r="FG12" s="107">
        <v>34.6</v>
      </c>
      <c r="FH12" s="107">
        <v>34.6</v>
      </c>
      <c r="FI12" s="107">
        <v>34.6</v>
      </c>
      <c r="FJ12" s="107">
        <v>34.6</v>
      </c>
      <c r="FK12" s="107">
        <v>43.25</v>
      </c>
      <c r="FL12" s="107">
        <v>34.6</v>
      </c>
      <c r="FM12" s="107">
        <v>43.25</v>
      </c>
      <c r="FN12" s="107">
        <v>43.25</v>
      </c>
      <c r="FO12" s="107">
        <v>43.25</v>
      </c>
      <c r="FP12" s="107">
        <v>43.25</v>
      </c>
      <c r="FQ12" s="107">
        <v>43.25</v>
      </c>
      <c r="FR12" s="107">
        <v>34.6</v>
      </c>
      <c r="FS12" s="107">
        <v>43.25</v>
      </c>
      <c r="FT12" s="107">
        <v>43.25</v>
      </c>
      <c r="FU12" s="107">
        <v>43.25</v>
      </c>
      <c r="FV12" s="107">
        <v>34.6</v>
      </c>
      <c r="FW12" s="107">
        <v>43.25</v>
      </c>
      <c r="FX12" s="107">
        <v>43.25</v>
      </c>
      <c r="FY12" s="107">
        <v>43.25</v>
      </c>
      <c r="FZ12" s="107">
        <v>34.6</v>
      </c>
      <c r="GA12" s="107">
        <v>34.6</v>
      </c>
      <c r="GB12" s="107">
        <v>43.25</v>
      </c>
      <c r="GC12" s="107">
        <v>43.25</v>
      </c>
      <c r="GD12" s="107">
        <v>43.25</v>
      </c>
      <c r="GE12" s="107">
        <v>34.6</v>
      </c>
      <c r="GF12" s="107">
        <v>43.25</v>
      </c>
      <c r="GG12" s="107">
        <v>43.25</v>
      </c>
      <c r="GH12" s="107">
        <v>43.25</v>
      </c>
      <c r="GI12" s="107">
        <v>43.25</v>
      </c>
      <c r="GJ12" s="107">
        <v>43.25</v>
      </c>
      <c r="GK12" s="107">
        <v>43.25</v>
      </c>
      <c r="GL12" s="107">
        <v>43.25</v>
      </c>
      <c r="GM12" s="107">
        <v>43.25</v>
      </c>
      <c r="GN12" s="107">
        <v>43.25</v>
      </c>
      <c r="GO12" s="107">
        <v>43.25</v>
      </c>
      <c r="GP12" s="107">
        <v>43.25</v>
      </c>
      <c r="GQ12" s="107">
        <v>43.25</v>
      </c>
      <c r="GR12" s="107">
        <v>43.25</v>
      </c>
      <c r="GS12" s="107">
        <v>43.25</v>
      </c>
      <c r="GT12" s="107">
        <v>43.25</v>
      </c>
      <c r="GU12" s="107">
        <v>43.25</v>
      </c>
      <c r="GV12" s="107">
        <v>43.25</v>
      </c>
      <c r="GW12" s="107">
        <v>43.25</v>
      </c>
      <c r="GX12" s="107">
        <v>43.25</v>
      </c>
      <c r="GY12" s="107">
        <v>43.25</v>
      </c>
      <c r="GZ12" s="107">
        <v>43.25</v>
      </c>
      <c r="HA12" s="107">
        <v>43.25</v>
      </c>
      <c r="HB12" s="107">
        <v>43.25</v>
      </c>
      <c r="HC12" s="107">
        <v>43.25</v>
      </c>
      <c r="HD12" s="107">
        <v>43.25</v>
      </c>
      <c r="HE12" s="107">
        <v>43.25</v>
      </c>
      <c r="HF12" s="107">
        <v>43.25</v>
      </c>
      <c r="HG12" s="107">
        <v>43.25</v>
      </c>
      <c r="HH12" s="107">
        <v>43.25</v>
      </c>
      <c r="HI12" s="107">
        <v>43.25</v>
      </c>
      <c r="HJ12" s="107">
        <v>43.25</v>
      </c>
      <c r="HK12" s="107">
        <v>43.25</v>
      </c>
      <c r="HL12" s="107">
        <v>43.25</v>
      </c>
      <c r="IG12" s="107">
        <v>43.25</v>
      </c>
      <c r="IH12" s="107">
        <v>34.6</v>
      </c>
      <c r="II12" s="107">
        <v>34.6</v>
      </c>
      <c r="IJ12" s="107">
        <v>34.6</v>
      </c>
      <c r="IK12" s="107">
        <v>34.6</v>
      </c>
      <c r="IL12" s="107">
        <v>34.6</v>
      </c>
      <c r="IM12" s="107">
        <v>43.25</v>
      </c>
      <c r="IN12" s="107">
        <v>34.6</v>
      </c>
      <c r="IO12" s="107">
        <v>43.25</v>
      </c>
      <c r="IP12" s="107">
        <v>43.25</v>
      </c>
      <c r="IQ12" s="107">
        <v>43.25</v>
      </c>
      <c r="IR12" s="107">
        <v>43.25</v>
      </c>
      <c r="IS12" s="107">
        <v>43.25</v>
      </c>
      <c r="IT12" s="107">
        <v>34.6</v>
      </c>
      <c r="IU12" s="107">
        <v>43.25</v>
      </c>
      <c r="IV12" s="107">
        <v>43.25</v>
      </c>
      <c r="IW12" s="107">
        <v>43.25</v>
      </c>
      <c r="IX12" s="107">
        <v>34.6</v>
      </c>
      <c r="IY12" s="107">
        <v>43.25</v>
      </c>
      <c r="IZ12" s="107">
        <v>43.25</v>
      </c>
      <c r="JA12" s="107">
        <v>43.25</v>
      </c>
      <c r="JB12" s="107">
        <v>34.6</v>
      </c>
      <c r="JC12" s="107">
        <v>34.6</v>
      </c>
      <c r="JD12" s="107">
        <v>43.25</v>
      </c>
      <c r="JE12" s="107">
        <v>43.25</v>
      </c>
      <c r="JF12" s="107">
        <v>43.25</v>
      </c>
      <c r="JG12" s="107">
        <v>34.6</v>
      </c>
      <c r="JH12" s="107">
        <v>43.25</v>
      </c>
      <c r="JI12" s="107">
        <v>43.25</v>
      </c>
      <c r="JJ12" s="107">
        <v>43.25</v>
      </c>
      <c r="JK12" s="107">
        <v>43.25</v>
      </c>
      <c r="JL12" s="107">
        <v>43.25</v>
      </c>
      <c r="JM12" s="107">
        <v>43.25</v>
      </c>
      <c r="JN12" s="107">
        <v>43.25</v>
      </c>
      <c r="JO12" s="107">
        <v>43.25</v>
      </c>
      <c r="JP12" s="107">
        <v>43.25</v>
      </c>
      <c r="JQ12" s="107">
        <v>43.25</v>
      </c>
      <c r="JR12" s="107">
        <v>43.25</v>
      </c>
      <c r="JS12" s="107">
        <v>43.25</v>
      </c>
      <c r="JT12" s="107">
        <v>43.25</v>
      </c>
      <c r="JU12" s="107">
        <v>43.25</v>
      </c>
      <c r="JV12" s="107">
        <v>43.25</v>
      </c>
      <c r="JW12" s="107">
        <v>43.25</v>
      </c>
      <c r="JX12" s="107">
        <v>43.25</v>
      </c>
      <c r="JY12" s="107">
        <v>43.25</v>
      </c>
      <c r="JZ12" s="107">
        <v>43.25</v>
      </c>
      <c r="KA12" s="107">
        <v>43.25</v>
      </c>
      <c r="KB12" s="107">
        <v>43.25</v>
      </c>
      <c r="KC12" s="107">
        <v>43.25</v>
      </c>
      <c r="KD12" s="107">
        <v>43.25</v>
      </c>
      <c r="KE12" s="107">
        <v>43.25</v>
      </c>
      <c r="KF12" s="107">
        <v>43.25</v>
      </c>
      <c r="KG12" s="107">
        <v>43.25</v>
      </c>
      <c r="KH12" s="107">
        <v>43.25</v>
      </c>
      <c r="KI12" s="107">
        <v>43.25</v>
      </c>
      <c r="KJ12" s="107">
        <v>43.25</v>
      </c>
      <c r="KK12" s="107">
        <v>43.25</v>
      </c>
      <c r="KL12" s="107">
        <v>43.25</v>
      </c>
      <c r="KM12" s="107">
        <v>43.25</v>
      </c>
      <c r="KN12" s="107">
        <v>43.25</v>
      </c>
      <c r="LI12" s="107">
        <v>43.25</v>
      </c>
      <c r="LJ12" s="107">
        <v>43.25</v>
      </c>
      <c r="LK12" s="107">
        <v>34.6</v>
      </c>
      <c r="LL12" s="107">
        <v>34.6</v>
      </c>
      <c r="LM12" s="107">
        <v>34.6</v>
      </c>
      <c r="LN12" s="107">
        <v>34.6</v>
      </c>
      <c r="LO12" s="107">
        <v>43.25</v>
      </c>
      <c r="LP12" s="107">
        <v>34.6</v>
      </c>
      <c r="LQ12" s="107">
        <v>43.25</v>
      </c>
      <c r="LR12" s="107">
        <v>43.25</v>
      </c>
      <c r="LS12" s="107">
        <v>43.25</v>
      </c>
      <c r="LT12" s="107">
        <v>43.25</v>
      </c>
      <c r="LU12" s="107">
        <v>43.25</v>
      </c>
      <c r="LV12" s="107">
        <v>34.6</v>
      </c>
      <c r="LW12" s="107">
        <v>43.25</v>
      </c>
      <c r="LX12" s="107">
        <v>43.25</v>
      </c>
      <c r="LY12" s="107">
        <v>43.25</v>
      </c>
      <c r="LZ12" s="107">
        <v>34.6</v>
      </c>
      <c r="MA12" s="107">
        <v>43.25</v>
      </c>
      <c r="MB12" s="107">
        <v>43.25</v>
      </c>
      <c r="MC12" s="107">
        <v>34.6</v>
      </c>
      <c r="MD12" s="107">
        <v>34.6</v>
      </c>
      <c r="ME12" s="107">
        <v>34.6</v>
      </c>
      <c r="MF12" s="107">
        <v>43.25</v>
      </c>
      <c r="MG12" s="107">
        <v>43.25</v>
      </c>
      <c r="MH12" s="107">
        <v>43.25</v>
      </c>
      <c r="MI12" s="107">
        <v>34.6</v>
      </c>
      <c r="MJ12" s="107">
        <v>43.25</v>
      </c>
      <c r="MK12" s="107">
        <v>43.25</v>
      </c>
      <c r="ML12" s="107">
        <v>43.25</v>
      </c>
      <c r="MM12" s="107">
        <v>43.25</v>
      </c>
      <c r="MN12" s="107">
        <v>43.25</v>
      </c>
      <c r="MO12" s="107">
        <v>43.25</v>
      </c>
      <c r="MP12" s="107">
        <v>43.25</v>
      </c>
      <c r="MQ12" s="107">
        <v>43.25</v>
      </c>
      <c r="MR12" s="107">
        <v>43.25</v>
      </c>
      <c r="MS12" s="107">
        <v>43.25</v>
      </c>
      <c r="MT12" s="107">
        <v>43.25</v>
      </c>
      <c r="MU12" s="107">
        <v>43.25</v>
      </c>
      <c r="MV12" s="107">
        <v>43.25</v>
      </c>
      <c r="MW12" s="107">
        <v>43.25</v>
      </c>
      <c r="MX12" s="107">
        <v>43.25</v>
      </c>
      <c r="MY12" s="107">
        <v>43.25</v>
      </c>
      <c r="MZ12" s="107">
        <v>43.25</v>
      </c>
      <c r="NA12" s="107">
        <v>43.25</v>
      </c>
      <c r="NB12" s="107">
        <v>43.25</v>
      </c>
      <c r="NC12" s="107">
        <v>43.25</v>
      </c>
      <c r="ND12" s="107">
        <v>43.25</v>
      </c>
      <c r="NE12" s="107">
        <v>43.25</v>
      </c>
      <c r="NF12" s="107">
        <v>43.25</v>
      </c>
      <c r="NG12" s="107">
        <v>43.25</v>
      </c>
      <c r="NH12" s="107">
        <v>43.25</v>
      </c>
      <c r="NI12" s="107">
        <v>43.25</v>
      </c>
      <c r="NJ12" s="107">
        <v>43.25</v>
      </c>
      <c r="NK12" s="107">
        <v>43.25</v>
      </c>
      <c r="NL12" s="107">
        <v>43.25</v>
      </c>
      <c r="NM12" s="107">
        <v>43.25</v>
      </c>
      <c r="NN12" s="107">
        <v>43.25</v>
      </c>
      <c r="NO12" s="107">
        <v>43.25</v>
      </c>
      <c r="NP12" s="107">
        <v>43.25</v>
      </c>
      <c r="NQ12" s="107">
        <v>43.25</v>
      </c>
      <c r="NR12" s="107">
        <v>43.25</v>
      </c>
      <c r="OK12" s="107">
        <v>43.25</v>
      </c>
      <c r="OL12" s="107">
        <v>34.6</v>
      </c>
      <c r="OM12" s="107">
        <v>34.6</v>
      </c>
      <c r="ON12" s="107">
        <v>34.6</v>
      </c>
      <c r="OO12" s="107">
        <v>34.6</v>
      </c>
      <c r="OP12" s="107">
        <v>34.6</v>
      </c>
      <c r="OQ12" s="107">
        <v>34.6</v>
      </c>
      <c r="OR12" s="107">
        <v>34.6</v>
      </c>
      <c r="OS12" s="107">
        <v>43.25</v>
      </c>
      <c r="OT12" s="107">
        <v>43.25</v>
      </c>
      <c r="OU12" s="107">
        <v>43.25</v>
      </c>
      <c r="OV12" s="107">
        <v>43.25</v>
      </c>
      <c r="OW12" s="107">
        <v>43.25</v>
      </c>
      <c r="OX12" s="107">
        <v>34.6</v>
      </c>
      <c r="OY12" s="107">
        <v>43.25</v>
      </c>
      <c r="OZ12" s="107">
        <v>43.25</v>
      </c>
      <c r="PA12" s="107">
        <v>43.25</v>
      </c>
      <c r="PB12" s="107">
        <v>34.6</v>
      </c>
      <c r="PC12" s="107">
        <v>43.25</v>
      </c>
      <c r="PD12" s="107">
        <v>43.25</v>
      </c>
      <c r="PE12" s="107">
        <v>43.25</v>
      </c>
      <c r="PF12" s="107">
        <v>34.6</v>
      </c>
      <c r="PG12" s="107">
        <v>34.6</v>
      </c>
      <c r="PH12" s="107">
        <v>43.25</v>
      </c>
      <c r="PI12" s="107">
        <v>43.25</v>
      </c>
      <c r="PJ12" s="107">
        <v>43.25</v>
      </c>
      <c r="PK12" s="107">
        <v>34.6</v>
      </c>
      <c r="PL12" s="107">
        <v>43.25</v>
      </c>
      <c r="PM12" s="107">
        <v>43.25</v>
      </c>
      <c r="PN12" s="107">
        <v>43.25</v>
      </c>
      <c r="PO12" s="107">
        <v>43.25</v>
      </c>
      <c r="PP12" s="107">
        <v>43.25</v>
      </c>
      <c r="PQ12" s="107">
        <v>43.25</v>
      </c>
      <c r="PR12" s="107">
        <v>43.25</v>
      </c>
      <c r="PS12" s="107">
        <v>43.25</v>
      </c>
      <c r="PT12" s="107">
        <v>43.25</v>
      </c>
      <c r="PU12" s="107">
        <v>43.25</v>
      </c>
      <c r="PV12" s="107">
        <v>43.25</v>
      </c>
      <c r="PW12" s="107">
        <v>43.25</v>
      </c>
      <c r="PX12" s="107">
        <v>43.25</v>
      </c>
      <c r="PY12" s="107">
        <v>43.25</v>
      </c>
      <c r="PZ12" s="107">
        <v>43.25</v>
      </c>
      <c r="QA12" s="107">
        <v>43.25</v>
      </c>
      <c r="QB12" s="107">
        <v>43.25</v>
      </c>
      <c r="QC12" s="107">
        <v>43.25</v>
      </c>
      <c r="QD12" s="107">
        <v>43.25</v>
      </c>
      <c r="QE12" s="107">
        <v>43.25</v>
      </c>
      <c r="QF12" s="107">
        <v>43.25</v>
      </c>
      <c r="QG12" s="107">
        <v>43.25</v>
      </c>
      <c r="QH12" s="107">
        <v>43.25</v>
      </c>
      <c r="QI12" s="107">
        <v>43.25</v>
      </c>
      <c r="QJ12" s="107">
        <v>43.25</v>
      </c>
      <c r="QK12" s="107">
        <v>43.25</v>
      </c>
      <c r="QL12" s="107">
        <v>43.25</v>
      </c>
      <c r="QM12" s="107">
        <v>43.25</v>
      </c>
      <c r="QN12" s="107">
        <v>43.25</v>
      </c>
      <c r="QO12" s="107">
        <v>43.25</v>
      </c>
      <c r="QP12" s="107">
        <v>43.25</v>
      </c>
      <c r="QQ12" s="107">
        <v>43.25</v>
      </c>
      <c r="QR12" s="107">
        <v>43.25</v>
      </c>
      <c r="QS12" s="107">
        <v>43.25</v>
      </c>
      <c r="QT12" s="107">
        <v>43.25</v>
      </c>
      <c r="RM12" s="107">
        <v>43.25</v>
      </c>
      <c r="RN12" s="107">
        <v>34.6</v>
      </c>
      <c r="RO12" s="107">
        <v>34.6</v>
      </c>
      <c r="RP12" s="107">
        <v>34.6</v>
      </c>
      <c r="RQ12" s="107">
        <v>34.6</v>
      </c>
      <c r="RR12" s="107">
        <v>34.6</v>
      </c>
      <c r="RS12" s="107">
        <v>43.25</v>
      </c>
      <c r="RT12" s="107">
        <v>34.6</v>
      </c>
      <c r="RU12" s="107">
        <v>43.25</v>
      </c>
      <c r="RV12" s="107">
        <v>43.25</v>
      </c>
      <c r="RW12" s="107">
        <v>43.25</v>
      </c>
      <c r="RX12" s="107">
        <v>43.25</v>
      </c>
      <c r="RY12" s="107">
        <v>43.25</v>
      </c>
      <c r="RZ12" s="107">
        <v>34.6</v>
      </c>
      <c r="SA12" s="107">
        <v>43.25</v>
      </c>
      <c r="SB12" s="107">
        <v>43.25</v>
      </c>
      <c r="SC12" s="107">
        <v>43.25</v>
      </c>
      <c r="SD12" s="107">
        <v>34.6</v>
      </c>
      <c r="SE12" s="107">
        <v>43.25</v>
      </c>
      <c r="SF12" s="107">
        <v>43.25</v>
      </c>
      <c r="SG12" s="107">
        <v>43.25</v>
      </c>
      <c r="SH12" s="107">
        <v>34.6</v>
      </c>
      <c r="SI12" s="107">
        <v>34.6</v>
      </c>
      <c r="SJ12" s="107">
        <v>43.25</v>
      </c>
      <c r="SK12" s="107">
        <v>43.25</v>
      </c>
      <c r="SL12" s="107">
        <v>43.25</v>
      </c>
      <c r="SM12" s="107">
        <v>34.6</v>
      </c>
      <c r="SN12" s="107">
        <v>43.25</v>
      </c>
      <c r="SO12" s="107">
        <v>43.25</v>
      </c>
      <c r="SP12" s="107">
        <v>43.25</v>
      </c>
      <c r="SQ12" s="107">
        <v>43.25</v>
      </c>
      <c r="SR12" s="107">
        <v>43.25</v>
      </c>
      <c r="SS12" s="107">
        <v>43.25</v>
      </c>
      <c r="ST12" s="107">
        <v>43.25</v>
      </c>
      <c r="SU12" s="107">
        <v>43.25</v>
      </c>
      <c r="SV12" s="107">
        <v>43.25</v>
      </c>
      <c r="SW12" s="107">
        <v>43.25</v>
      </c>
      <c r="SX12" s="107">
        <v>43.25</v>
      </c>
      <c r="SY12" s="107">
        <v>43.25</v>
      </c>
      <c r="SZ12" s="107">
        <v>43.25</v>
      </c>
      <c r="TA12" s="107">
        <v>43.25</v>
      </c>
      <c r="TB12" s="107">
        <v>43.25</v>
      </c>
      <c r="TC12" s="107">
        <v>43.25</v>
      </c>
      <c r="TD12" s="107">
        <v>43.25</v>
      </c>
      <c r="TE12" s="107">
        <v>43.25</v>
      </c>
      <c r="TF12" s="107">
        <v>43.25</v>
      </c>
      <c r="TG12" s="107">
        <v>43.25</v>
      </c>
      <c r="TH12" s="107">
        <v>43.25</v>
      </c>
      <c r="TI12" s="107">
        <v>43.25</v>
      </c>
      <c r="TJ12" s="107">
        <v>43.25</v>
      </c>
      <c r="TK12" s="107">
        <v>43.25</v>
      </c>
      <c r="TL12" s="107">
        <v>43.25</v>
      </c>
      <c r="TM12" s="107">
        <v>43.25</v>
      </c>
      <c r="TN12" s="107">
        <v>43.25</v>
      </c>
      <c r="TO12" s="107">
        <v>43.25</v>
      </c>
      <c r="TP12" s="107">
        <v>43.25</v>
      </c>
      <c r="TQ12" s="107">
        <v>43.25</v>
      </c>
      <c r="TR12" s="107">
        <v>43.25</v>
      </c>
      <c r="TS12" s="107">
        <v>43.25</v>
      </c>
      <c r="TT12" s="107">
        <v>43.25</v>
      </c>
      <c r="TU12" s="107">
        <v>43.25</v>
      </c>
      <c r="TV12" s="107">
        <v>43.25</v>
      </c>
      <c r="UO12" s="107">
        <v>43.25</v>
      </c>
      <c r="UP12" s="107">
        <v>34.6</v>
      </c>
      <c r="UQ12" s="107">
        <v>34.6</v>
      </c>
      <c r="UR12" s="107">
        <v>34.6</v>
      </c>
      <c r="US12" s="107">
        <v>34.6</v>
      </c>
      <c r="UT12" s="107">
        <v>34.6</v>
      </c>
      <c r="UU12" s="107">
        <v>43.25</v>
      </c>
      <c r="UV12" s="107">
        <v>34.6</v>
      </c>
      <c r="UW12" s="107">
        <v>43.25</v>
      </c>
      <c r="UX12" s="107">
        <v>43.25</v>
      </c>
      <c r="UY12" s="107">
        <v>43.25</v>
      </c>
      <c r="UZ12" s="107">
        <v>43.25</v>
      </c>
      <c r="VA12" s="107">
        <v>43.25</v>
      </c>
      <c r="VB12" s="107">
        <v>34.6</v>
      </c>
      <c r="VC12" s="107">
        <v>43.25</v>
      </c>
      <c r="VD12" s="107">
        <v>43.25</v>
      </c>
      <c r="VE12" s="107">
        <v>34.6</v>
      </c>
      <c r="VF12" s="107">
        <v>43.25</v>
      </c>
      <c r="VG12" s="107">
        <v>43.25</v>
      </c>
      <c r="VH12" s="107">
        <v>43.25</v>
      </c>
      <c r="VI12" s="107">
        <v>34.6</v>
      </c>
      <c r="VJ12" s="107">
        <v>34.6</v>
      </c>
      <c r="VK12" s="107">
        <v>43.25</v>
      </c>
      <c r="VL12" s="107">
        <v>43.25</v>
      </c>
      <c r="VM12" s="107">
        <v>43.25</v>
      </c>
      <c r="VN12" s="107">
        <v>34.6</v>
      </c>
      <c r="VO12" s="107">
        <v>43.25</v>
      </c>
      <c r="VP12" s="107">
        <v>43.25</v>
      </c>
      <c r="VQ12" s="107">
        <v>43.25</v>
      </c>
      <c r="VR12" s="107">
        <v>43.25</v>
      </c>
      <c r="VS12" s="107">
        <v>43.25</v>
      </c>
      <c r="VT12" s="107">
        <v>43.25</v>
      </c>
      <c r="VU12" s="107">
        <v>43.25</v>
      </c>
      <c r="VV12" s="107">
        <v>43.25</v>
      </c>
      <c r="VW12" s="107">
        <v>43.25</v>
      </c>
      <c r="VX12" s="107">
        <v>43.25</v>
      </c>
      <c r="VY12" s="107">
        <v>43.25</v>
      </c>
      <c r="VZ12" s="107">
        <v>43.25</v>
      </c>
      <c r="WA12" s="107">
        <v>43.25</v>
      </c>
      <c r="WB12" s="107">
        <v>43.25</v>
      </c>
      <c r="WC12" s="107">
        <v>43.25</v>
      </c>
      <c r="WD12" s="107">
        <v>43.25</v>
      </c>
      <c r="WE12" s="107">
        <v>43.25</v>
      </c>
      <c r="WF12" s="107">
        <v>43.25</v>
      </c>
      <c r="WG12" s="107">
        <v>43.25</v>
      </c>
      <c r="WH12" s="107">
        <v>43.25</v>
      </c>
      <c r="WI12" s="107">
        <v>43.25</v>
      </c>
      <c r="WJ12" s="107">
        <v>43.25</v>
      </c>
      <c r="WK12" s="107">
        <v>43.25</v>
      </c>
      <c r="WL12" s="107">
        <v>43.25</v>
      </c>
      <c r="WM12" s="107">
        <v>43.25</v>
      </c>
      <c r="WN12" s="107">
        <v>43.25</v>
      </c>
      <c r="WO12" s="107">
        <v>43.25</v>
      </c>
      <c r="WP12" s="107">
        <v>43.25</v>
      </c>
      <c r="WQ12" s="107">
        <v>43.25</v>
      </c>
      <c r="WR12" s="107">
        <v>43.25</v>
      </c>
      <c r="WS12" s="107">
        <v>43.25</v>
      </c>
      <c r="WT12" s="107">
        <v>43.25</v>
      </c>
      <c r="WU12" s="107">
        <v>43.25</v>
      </c>
      <c r="WV12" s="107">
        <v>43.25</v>
      </c>
      <c r="WW12" s="107">
        <v>43.25</v>
      </c>
      <c r="XQ12" s="107">
        <v>43.25</v>
      </c>
      <c r="XR12" s="107">
        <v>34.6</v>
      </c>
      <c r="XS12" s="107">
        <v>34.6</v>
      </c>
      <c r="XT12" s="107">
        <v>34.6</v>
      </c>
      <c r="XU12" s="107">
        <v>34.6</v>
      </c>
      <c r="XV12" s="107">
        <v>34.6</v>
      </c>
      <c r="XW12" s="107">
        <v>43.25</v>
      </c>
      <c r="XX12" s="107">
        <v>34.6</v>
      </c>
      <c r="XY12" s="107">
        <v>43.25</v>
      </c>
      <c r="XZ12" s="107">
        <v>43.25</v>
      </c>
      <c r="YA12" s="107">
        <v>43.25</v>
      </c>
      <c r="YB12" s="107">
        <v>43.25</v>
      </c>
      <c r="YC12" s="107">
        <v>43.25</v>
      </c>
      <c r="YD12" s="107">
        <v>34.6</v>
      </c>
      <c r="YE12" s="107">
        <v>43.25</v>
      </c>
      <c r="YF12" s="107">
        <v>43.25</v>
      </c>
      <c r="YG12" s="107">
        <v>34.6</v>
      </c>
      <c r="YH12" s="107">
        <v>43.25</v>
      </c>
      <c r="YI12" s="107">
        <v>43.25</v>
      </c>
      <c r="YJ12" s="107">
        <v>43.25</v>
      </c>
      <c r="YK12" s="107">
        <v>34.6</v>
      </c>
      <c r="YL12" s="107">
        <v>34.6</v>
      </c>
      <c r="YM12" s="107">
        <v>43.25</v>
      </c>
      <c r="YN12" s="107">
        <v>43.25</v>
      </c>
      <c r="YO12" s="107">
        <v>43.25</v>
      </c>
      <c r="YP12" s="107">
        <v>34.6</v>
      </c>
      <c r="YQ12" s="107">
        <v>43.25</v>
      </c>
      <c r="YR12" s="107">
        <v>43.25</v>
      </c>
      <c r="YS12" s="107">
        <v>43.25</v>
      </c>
      <c r="YT12" s="107">
        <v>43.25</v>
      </c>
      <c r="YU12" s="107">
        <v>43.25</v>
      </c>
      <c r="YV12" s="107">
        <v>43.25</v>
      </c>
      <c r="YW12" s="107">
        <v>43.25</v>
      </c>
      <c r="YX12" s="107">
        <v>43.25</v>
      </c>
      <c r="YY12" s="107">
        <v>43.25</v>
      </c>
      <c r="YZ12" s="107">
        <v>43.25</v>
      </c>
      <c r="ZA12" s="107">
        <v>43.25</v>
      </c>
      <c r="ZB12" s="107">
        <v>43.25</v>
      </c>
      <c r="ZC12" s="107">
        <v>43.25</v>
      </c>
      <c r="ZD12" s="107">
        <v>43.25</v>
      </c>
      <c r="ZE12" s="107">
        <v>43.25</v>
      </c>
      <c r="ZF12" s="107">
        <v>43.25</v>
      </c>
      <c r="ZG12" s="107">
        <v>43.25</v>
      </c>
      <c r="ZH12" s="107">
        <v>43.25</v>
      </c>
      <c r="ZI12" s="107">
        <v>43.25</v>
      </c>
      <c r="ZJ12" s="107">
        <v>43.25</v>
      </c>
      <c r="ZK12" s="107">
        <v>43.25</v>
      </c>
      <c r="ZL12" s="107">
        <v>43.25</v>
      </c>
      <c r="ZM12" s="107">
        <v>43.25</v>
      </c>
      <c r="ZN12" s="107">
        <v>43.25</v>
      </c>
      <c r="ZO12" s="107">
        <v>43.25</v>
      </c>
      <c r="ZP12" s="107">
        <v>43.25</v>
      </c>
      <c r="ZQ12" s="107">
        <v>43.25</v>
      </c>
      <c r="ZR12" s="107">
        <v>43.25</v>
      </c>
      <c r="ZS12" s="107">
        <v>43.25</v>
      </c>
      <c r="ZT12" s="107">
        <v>43.25</v>
      </c>
      <c r="ZU12" s="107">
        <v>43.25</v>
      </c>
      <c r="ZV12" s="107">
        <v>43.25</v>
      </c>
      <c r="ZW12" s="107">
        <v>43.25</v>
      </c>
      <c r="AAS12" s="107">
        <v>43.25</v>
      </c>
      <c r="AAT12" s="107">
        <v>34.6</v>
      </c>
      <c r="AAU12" s="107">
        <v>34.6</v>
      </c>
      <c r="AAV12" s="107">
        <v>34.6</v>
      </c>
      <c r="AAW12" s="107">
        <v>34.6</v>
      </c>
      <c r="AAX12" s="107">
        <v>34.6</v>
      </c>
      <c r="AAY12" s="107">
        <v>43.25</v>
      </c>
      <c r="AAZ12" s="107">
        <v>34.6</v>
      </c>
      <c r="ABA12" s="107">
        <v>43.25</v>
      </c>
      <c r="ABB12" s="107">
        <v>43.25</v>
      </c>
      <c r="ABC12" s="107">
        <v>43.25</v>
      </c>
      <c r="ABD12" s="107">
        <v>43.25</v>
      </c>
      <c r="ABE12" s="107">
        <v>43.25</v>
      </c>
      <c r="ABF12" s="107">
        <v>34.6</v>
      </c>
      <c r="ABG12" s="107">
        <v>43.25</v>
      </c>
      <c r="ABH12" s="107">
        <v>43.25</v>
      </c>
      <c r="ABI12" s="107">
        <v>34.6</v>
      </c>
      <c r="ABJ12" s="107">
        <v>43.25</v>
      </c>
      <c r="ABK12" s="107">
        <v>43.25</v>
      </c>
      <c r="ABL12" s="107">
        <v>34.6</v>
      </c>
      <c r="ABM12" s="107">
        <v>34.6</v>
      </c>
      <c r="ABN12" s="107">
        <v>43.25</v>
      </c>
      <c r="ABO12" s="107">
        <v>43.25</v>
      </c>
      <c r="ABP12" s="107">
        <v>43.25</v>
      </c>
      <c r="ABQ12" s="107">
        <v>34.6</v>
      </c>
      <c r="ABR12" s="107">
        <v>43.25</v>
      </c>
      <c r="ABS12" s="107">
        <v>43.25</v>
      </c>
      <c r="ABT12" s="107">
        <v>43.25</v>
      </c>
      <c r="ABU12" s="107">
        <v>43.25</v>
      </c>
      <c r="ABV12" s="107">
        <v>43.25</v>
      </c>
      <c r="ABW12" s="107">
        <v>43.25</v>
      </c>
      <c r="ABX12" s="107">
        <v>43.25</v>
      </c>
      <c r="ABY12" s="107">
        <v>43.25</v>
      </c>
      <c r="ABZ12" s="107">
        <v>43.25</v>
      </c>
      <c r="ACA12" s="107">
        <v>43.25</v>
      </c>
      <c r="ACB12" s="107">
        <v>43.25</v>
      </c>
      <c r="ACC12" s="107">
        <v>43.25</v>
      </c>
      <c r="ACD12" s="107">
        <v>43.25</v>
      </c>
      <c r="ACE12" s="107">
        <v>43.25</v>
      </c>
      <c r="ACF12" s="107">
        <v>43.25</v>
      </c>
      <c r="ACG12" s="107">
        <v>43.25</v>
      </c>
      <c r="ACH12" s="107">
        <v>43.25</v>
      </c>
      <c r="ACI12" s="107">
        <v>43.25</v>
      </c>
      <c r="ACJ12" s="107">
        <v>43.25</v>
      </c>
      <c r="ACK12" s="107">
        <v>43.25</v>
      </c>
      <c r="ACL12" s="107">
        <v>43.25</v>
      </c>
      <c r="ACM12" s="107">
        <v>43.25</v>
      </c>
      <c r="ACN12" s="107">
        <v>43.25</v>
      </c>
      <c r="ACO12" s="107">
        <v>43.25</v>
      </c>
      <c r="ACP12" s="107">
        <v>43.25</v>
      </c>
      <c r="ACQ12" s="107">
        <v>43.25</v>
      </c>
      <c r="ACR12" s="107">
        <v>43.25</v>
      </c>
      <c r="ACS12" s="107">
        <v>43.25</v>
      </c>
      <c r="ACT12" s="107">
        <v>43.25</v>
      </c>
      <c r="ACU12" s="107">
        <v>43.25</v>
      </c>
      <c r="ACV12" s="107">
        <v>43.25</v>
      </c>
      <c r="ACW12" s="107">
        <v>43.25</v>
      </c>
      <c r="ACX12" s="107">
        <v>43.25</v>
      </c>
      <c r="ADU12" s="107">
        <v>43.25</v>
      </c>
      <c r="ADV12" s="107">
        <v>34.6</v>
      </c>
      <c r="ADW12" s="107">
        <v>34.6</v>
      </c>
      <c r="ADX12" s="107">
        <v>34.6</v>
      </c>
      <c r="ADY12" s="107">
        <v>34.6</v>
      </c>
      <c r="ADZ12" s="107">
        <v>43.25</v>
      </c>
      <c r="AEA12" s="107">
        <v>34.6</v>
      </c>
      <c r="AEB12" s="107">
        <v>43.25</v>
      </c>
      <c r="AEC12" s="107">
        <v>43.25</v>
      </c>
      <c r="AED12" s="107">
        <v>43.25</v>
      </c>
      <c r="AEE12" s="107">
        <v>43.25</v>
      </c>
      <c r="AEF12" s="107">
        <v>43.25</v>
      </c>
      <c r="AEG12" s="107">
        <v>34.6</v>
      </c>
      <c r="AEH12" s="107">
        <v>43.25</v>
      </c>
      <c r="AEI12" s="107">
        <v>43.25</v>
      </c>
      <c r="AEJ12" s="107">
        <v>34.6</v>
      </c>
      <c r="AEK12" s="107">
        <v>43.25</v>
      </c>
      <c r="AEL12" s="107">
        <v>43.25</v>
      </c>
      <c r="AEM12" s="107">
        <v>34.6</v>
      </c>
      <c r="AEN12" s="107">
        <v>34.6</v>
      </c>
      <c r="AEO12" s="107">
        <v>43.25</v>
      </c>
      <c r="AEP12" s="107">
        <v>43.25</v>
      </c>
      <c r="AEQ12" s="107">
        <v>43.25</v>
      </c>
      <c r="AER12" s="107">
        <v>34.6</v>
      </c>
      <c r="AES12" s="107">
        <v>43.25</v>
      </c>
      <c r="AET12" s="107">
        <v>43.25</v>
      </c>
      <c r="AEU12" s="107">
        <v>43.25</v>
      </c>
      <c r="AEV12" s="107">
        <v>43.25</v>
      </c>
      <c r="AEW12" s="107">
        <v>43.25</v>
      </c>
      <c r="AEX12" s="107">
        <v>43.25</v>
      </c>
      <c r="AEY12" s="107">
        <v>43.25</v>
      </c>
      <c r="AEZ12" s="107">
        <v>43.25</v>
      </c>
      <c r="AFA12" s="107">
        <v>43.25</v>
      </c>
      <c r="AFB12" s="107">
        <v>43.25</v>
      </c>
      <c r="AFC12" s="107">
        <v>43.25</v>
      </c>
      <c r="AFD12" s="107">
        <v>43.25</v>
      </c>
      <c r="AFE12" s="107">
        <v>43.25</v>
      </c>
      <c r="AFF12" s="107">
        <v>43.25</v>
      </c>
      <c r="AFG12" s="107">
        <v>43.25</v>
      </c>
      <c r="AFH12" s="107">
        <v>43.25</v>
      </c>
      <c r="AFI12" s="107">
        <v>43.25</v>
      </c>
      <c r="AFJ12" s="107">
        <v>43.25</v>
      </c>
      <c r="AFK12" s="107">
        <v>43.25</v>
      </c>
      <c r="AFL12" s="107">
        <v>43.25</v>
      </c>
      <c r="AFM12" s="107">
        <v>43.25</v>
      </c>
      <c r="AFN12" s="107">
        <v>43.25</v>
      </c>
      <c r="AFO12" s="107">
        <v>43.25</v>
      </c>
      <c r="AFP12" s="107">
        <v>43.25</v>
      </c>
      <c r="AFQ12" s="107">
        <v>43.25</v>
      </c>
      <c r="AFR12" s="107">
        <v>43.25</v>
      </c>
      <c r="AFS12" s="107">
        <v>43.25</v>
      </c>
      <c r="AFT12" s="107">
        <v>43.25</v>
      </c>
      <c r="AFU12" s="107">
        <v>43.25</v>
      </c>
      <c r="AFV12" s="107">
        <v>43.25</v>
      </c>
      <c r="AFW12" s="107">
        <v>43.25</v>
      </c>
      <c r="AFX12" s="107">
        <v>43.25</v>
      </c>
      <c r="AFY12" s="107">
        <v>43.25</v>
      </c>
      <c r="AGW12" s="107">
        <v>43.25</v>
      </c>
      <c r="AGX12" s="107">
        <v>34.6</v>
      </c>
      <c r="AGY12" s="107">
        <v>34.6</v>
      </c>
      <c r="AGZ12" s="107">
        <v>34.6</v>
      </c>
      <c r="AHA12" s="107">
        <v>34.6</v>
      </c>
      <c r="AHB12" s="107">
        <v>43.25</v>
      </c>
      <c r="AHC12" s="107">
        <v>34.6</v>
      </c>
      <c r="AHD12" s="107">
        <v>43.25</v>
      </c>
      <c r="AHE12" s="107">
        <v>43.25</v>
      </c>
      <c r="AHF12" s="107">
        <v>43.25</v>
      </c>
      <c r="AHG12" s="107">
        <v>43.25</v>
      </c>
      <c r="AHH12" s="107">
        <v>43.25</v>
      </c>
      <c r="AHI12" s="107">
        <v>34.6</v>
      </c>
      <c r="AHJ12" s="107">
        <v>43.25</v>
      </c>
      <c r="AHK12" s="107">
        <v>43.25</v>
      </c>
      <c r="AHL12" s="107">
        <v>34.6</v>
      </c>
      <c r="AHM12" s="107">
        <v>43.25</v>
      </c>
      <c r="AHN12" s="107">
        <v>43.25</v>
      </c>
      <c r="AHO12" s="107">
        <v>34.6</v>
      </c>
      <c r="AHP12" s="107">
        <v>34.6</v>
      </c>
      <c r="AHQ12" s="107">
        <v>43.25</v>
      </c>
      <c r="AHR12" s="107">
        <v>43.25</v>
      </c>
      <c r="AHS12" s="107">
        <v>43.25</v>
      </c>
      <c r="AHT12" s="107">
        <v>34.6</v>
      </c>
      <c r="AHU12" s="107">
        <v>43.25</v>
      </c>
      <c r="AHV12" s="107">
        <v>43.25</v>
      </c>
      <c r="AHW12" s="107">
        <v>43.25</v>
      </c>
      <c r="AHX12" s="107">
        <v>43.25</v>
      </c>
      <c r="AHY12" s="107">
        <v>43.25</v>
      </c>
      <c r="AHZ12" s="107">
        <v>43.25</v>
      </c>
      <c r="AIA12" s="107">
        <v>43.25</v>
      </c>
      <c r="AIB12" s="107">
        <v>43.25</v>
      </c>
      <c r="AIC12" s="107">
        <v>43.25</v>
      </c>
      <c r="AID12" s="107">
        <v>43.25</v>
      </c>
      <c r="AIE12" s="107">
        <v>43.25</v>
      </c>
      <c r="AIF12" s="107">
        <v>43.25</v>
      </c>
      <c r="AIG12" s="107">
        <v>43.25</v>
      </c>
      <c r="AIH12" s="107">
        <v>43.25</v>
      </c>
      <c r="AII12" s="107">
        <v>43.25</v>
      </c>
      <c r="AIJ12" s="107">
        <v>43.25</v>
      </c>
      <c r="AIK12" s="107">
        <v>43.25</v>
      </c>
      <c r="AIL12" s="107">
        <v>43.25</v>
      </c>
      <c r="AIM12" s="107">
        <v>43.25</v>
      </c>
      <c r="AIN12" s="107">
        <v>43.25</v>
      </c>
      <c r="AIO12" s="107">
        <v>43.25</v>
      </c>
      <c r="AIP12" s="107">
        <v>43.25</v>
      </c>
      <c r="AIQ12" s="107">
        <v>43.25</v>
      </c>
      <c r="AIR12" s="107">
        <v>43.25</v>
      </c>
      <c r="AIS12" s="107">
        <v>43.25</v>
      </c>
      <c r="AIT12" s="107">
        <v>43.25</v>
      </c>
      <c r="AIU12" s="107">
        <v>43.25</v>
      </c>
      <c r="AIV12" s="107">
        <v>43.25</v>
      </c>
      <c r="AIW12" s="107">
        <v>43.25</v>
      </c>
      <c r="AIX12" s="107">
        <v>43.25</v>
      </c>
      <c r="AIY12" s="107">
        <v>43.25</v>
      </c>
      <c r="AIZ12" s="107">
        <v>43.25</v>
      </c>
      <c r="AJY12" t="s">
        <v>13</v>
      </c>
    </row>
    <row r="13" spans="1:961">
      <c r="A13" s="107">
        <v>32.01</v>
      </c>
      <c r="B13" s="107">
        <v>32.01</v>
      </c>
      <c r="C13" s="107">
        <v>32.01</v>
      </c>
      <c r="D13" s="107">
        <v>32.01</v>
      </c>
      <c r="E13" s="107">
        <v>34.6</v>
      </c>
      <c r="F13" s="107">
        <v>32.01</v>
      </c>
      <c r="G13" s="107">
        <v>34.6</v>
      </c>
      <c r="H13" s="107">
        <v>34.6</v>
      </c>
      <c r="I13" s="107">
        <v>34.6</v>
      </c>
      <c r="J13" s="107">
        <v>34.6</v>
      </c>
      <c r="K13" s="107">
        <v>34.6</v>
      </c>
      <c r="L13" s="107">
        <v>32.01</v>
      </c>
      <c r="M13" s="107">
        <v>34.6</v>
      </c>
      <c r="N13" s="107">
        <v>34.6</v>
      </c>
      <c r="O13" s="107">
        <v>34.6</v>
      </c>
      <c r="P13" s="107">
        <v>32.01</v>
      </c>
      <c r="Q13" s="107">
        <v>34.6</v>
      </c>
      <c r="R13" s="107">
        <v>34.6</v>
      </c>
      <c r="S13" s="107">
        <v>34.6</v>
      </c>
      <c r="T13" s="107">
        <v>32.01</v>
      </c>
      <c r="U13" s="107">
        <v>32.01</v>
      </c>
      <c r="V13" s="107">
        <v>34.6</v>
      </c>
      <c r="W13" s="107">
        <v>34.6</v>
      </c>
      <c r="X13" s="107">
        <v>34.6</v>
      </c>
      <c r="Y13" s="107">
        <v>32.01</v>
      </c>
      <c r="Z13" s="107">
        <v>34.6</v>
      </c>
      <c r="AA13" s="107">
        <v>34.6</v>
      </c>
      <c r="AB13" s="107">
        <v>34.6</v>
      </c>
      <c r="AC13" s="107">
        <v>34.6</v>
      </c>
      <c r="AD13" s="107">
        <v>34.6</v>
      </c>
      <c r="AE13" s="107">
        <v>34.6</v>
      </c>
      <c r="AF13" s="107">
        <v>34.6</v>
      </c>
      <c r="AG13" s="107">
        <v>34.6</v>
      </c>
      <c r="AH13" s="107">
        <v>34.6</v>
      </c>
      <c r="AI13" s="107">
        <v>34.6</v>
      </c>
      <c r="AJ13" s="107">
        <v>34.6</v>
      </c>
      <c r="AK13" s="107">
        <v>34.6</v>
      </c>
      <c r="AL13" s="107">
        <v>34.6</v>
      </c>
      <c r="AM13" s="107">
        <v>34.6</v>
      </c>
      <c r="AN13" s="107">
        <v>34.6</v>
      </c>
      <c r="AO13" s="107">
        <v>34.6</v>
      </c>
      <c r="AP13" s="107">
        <v>34.6</v>
      </c>
      <c r="AQ13" s="107">
        <v>34.6</v>
      </c>
      <c r="AR13" s="107">
        <v>34.6</v>
      </c>
      <c r="AS13" s="107">
        <v>34.6</v>
      </c>
      <c r="AT13" s="107">
        <v>34.6</v>
      </c>
      <c r="AU13" s="107">
        <v>34.6</v>
      </c>
      <c r="AV13" s="107">
        <v>34.6</v>
      </c>
      <c r="AW13" s="107">
        <v>34.6</v>
      </c>
      <c r="AX13" s="107">
        <v>34.6</v>
      </c>
      <c r="AY13" s="107">
        <v>34.6</v>
      </c>
      <c r="AZ13" s="107">
        <v>34.6</v>
      </c>
      <c r="CC13" s="107">
        <v>32.01</v>
      </c>
      <c r="CD13" s="107">
        <v>32.01</v>
      </c>
      <c r="CE13" s="107">
        <v>32.01</v>
      </c>
      <c r="CF13" s="107">
        <v>32.01</v>
      </c>
      <c r="CG13" s="107">
        <v>32.01</v>
      </c>
      <c r="CH13" s="107">
        <v>34.6</v>
      </c>
      <c r="CI13" s="107">
        <v>32.01</v>
      </c>
      <c r="CJ13" s="107">
        <v>34.6</v>
      </c>
      <c r="CK13" s="107">
        <v>34.6</v>
      </c>
      <c r="CL13" s="107">
        <v>34.6</v>
      </c>
      <c r="CM13" s="107">
        <v>34.6</v>
      </c>
      <c r="CN13" s="107">
        <v>34.6</v>
      </c>
      <c r="CO13" s="107">
        <v>32.01</v>
      </c>
      <c r="CP13" s="107">
        <v>34.6</v>
      </c>
      <c r="CQ13" s="107">
        <v>34.6</v>
      </c>
      <c r="CR13" s="107">
        <v>34.6</v>
      </c>
      <c r="CS13" s="107">
        <v>32.01</v>
      </c>
      <c r="CT13" s="107">
        <v>34.6</v>
      </c>
      <c r="CU13" s="107">
        <v>34.6</v>
      </c>
      <c r="CV13" s="107">
        <v>34.6</v>
      </c>
      <c r="CW13" s="107">
        <v>32.01</v>
      </c>
      <c r="CX13" s="107">
        <v>32.01</v>
      </c>
      <c r="CY13" s="107">
        <v>34.6</v>
      </c>
      <c r="CZ13" s="107">
        <v>34.6</v>
      </c>
      <c r="DA13" s="107">
        <v>34.6</v>
      </c>
      <c r="DB13" s="107">
        <v>32.01</v>
      </c>
      <c r="DC13" s="107">
        <v>34.6</v>
      </c>
      <c r="DD13" s="107">
        <v>34.6</v>
      </c>
      <c r="DE13" s="107">
        <v>34.6</v>
      </c>
      <c r="DF13" s="107">
        <v>34.6</v>
      </c>
      <c r="DG13" s="107">
        <v>34.6</v>
      </c>
      <c r="DH13" s="107">
        <v>34.6</v>
      </c>
      <c r="DI13" s="107">
        <v>34.6</v>
      </c>
      <c r="DJ13" s="107">
        <v>34.6</v>
      </c>
      <c r="DK13" s="107">
        <v>34.6</v>
      </c>
      <c r="DL13" s="107">
        <v>34.6</v>
      </c>
      <c r="DM13" s="107">
        <v>34.6</v>
      </c>
      <c r="DN13" s="107">
        <v>34.6</v>
      </c>
      <c r="DO13" s="107">
        <v>34.6</v>
      </c>
      <c r="DP13" s="107">
        <v>34.6</v>
      </c>
      <c r="DQ13" s="107">
        <v>34.6</v>
      </c>
      <c r="DR13" s="107">
        <v>34.6</v>
      </c>
      <c r="DS13" s="107">
        <v>34.6</v>
      </c>
      <c r="DT13" s="107">
        <v>34.6</v>
      </c>
      <c r="DU13" s="107">
        <v>34.6</v>
      </c>
      <c r="DV13" s="107">
        <v>34.6</v>
      </c>
      <c r="DW13" s="107">
        <v>34.6</v>
      </c>
      <c r="DX13" s="107">
        <v>34.6</v>
      </c>
      <c r="DY13" s="107">
        <v>34.6</v>
      </c>
      <c r="DZ13" s="107">
        <v>34.6</v>
      </c>
      <c r="EA13" s="107">
        <v>34.6</v>
      </c>
      <c r="EB13" s="107">
        <v>34.6</v>
      </c>
      <c r="EC13" s="107">
        <v>34.6</v>
      </c>
      <c r="ED13" s="107">
        <v>34.6</v>
      </c>
      <c r="EE13" s="107">
        <v>34.6</v>
      </c>
      <c r="EF13" s="107">
        <v>34.6</v>
      </c>
      <c r="EG13" s="107">
        <v>34.6</v>
      </c>
      <c r="EH13" s="107">
        <v>34.6</v>
      </c>
      <c r="EI13" s="107">
        <v>34.6</v>
      </c>
      <c r="FE13" s="107">
        <v>34.6</v>
      </c>
      <c r="FF13" s="107">
        <v>32.01</v>
      </c>
      <c r="FG13" s="107">
        <v>32.01</v>
      </c>
      <c r="FH13" s="107">
        <v>32.01</v>
      </c>
      <c r="FI13" s="107">
        <v>32.01</v>
      </c>
      <c r="FJ13" s="107">
        <v>32.01</v>
      </c>
      <c r="FK13" s="107">
        <v>34.6</v>
      </c>
      <c r="FL13" s="107">
        <v>32.01</v>
      </c>
      <c r="FM13" s="107">
        <v>34.6</v>
      </c>
      <c r="FN13" s="107">
        <v>34.6</v>
      </c>
      <c r="FO13" s="107">
        <v>34.6</v>
      </c>
      <c r="FP13" s="107">
        <v>34.6</v>
      </c>
      <c r="FQ13" s="107">
        <v>34.6</v>
      </c>
      <c r="FR13" s="107">
        <v>32.01</v>
      </c>
      <c r="FS13" s="107">
        <v>34.6</v>
      </c>
      <c r="FT13" s="107">
        <v>34.6</v>
      </c>
      <c r="FU13" s="107">
        <v>34.6</v>
      </c>
      <c r="FV13" s="107">
        <v>32.01</v>
      </c>
      <c r="FW13" s="107">
        <v>34.6</v>
      </c>
      <c r="FX13" s="107">
        <v>34.6</v>
      </c>
      <c r="FY13" s="107">
        <v>34.6</v>
      </c>
      <c r="FZ13" s="107">
        <v>32.01</v>
      </c>
      <c r="GA13" s="107">
        <v>32.01</v>
      </c>
      <c r="GB13" s="107">
        <v>34.6</v>
      </c>
      <c r="GC13" s="107">
        <v>34.6</v>
      </c>
      <c r="GD13" s="107">
        <v>34.6</v>
      </c>
      <c r="GE13" s="107">
        <v>32.01</v>
      </c>
      <c r="GF13" s="107">
        <v>34.6</v>
      </c>
      <c r="GG13" s="107">
        <v>34.6</v>
      </c>
      <c r="GH13" s="107">
        <v>34.6</v>
      </c>
      <c r="GI13" s="107">
        <v>34.6</v>
      </c>
      <c r="GJ13" s="107">
        <v>34.6</v>
      </c>
      <c r="GK13" s="107">
        <v>34.6</v>
      </c>
      <c r="GL13" s="107">
        <v>34.6</v>
      </c>
      <c r="GM13" s="107">
        <v>34.6</v>
      </c>
      <c r="GN13" s="107">
        <v>34.6</v>
      </c>
      <c r="GO13" s="107">
        <v>34.6</v>
      </c>
      <c r="GP13" s="107">
        <v>34.6</v>
      </c>
      <c r="GQ13" s="107">
        <v>34.6</v>
      </c>
      <c r="GR13" s="107">
        <v>34.6</v>
      </c>
      <c r="GS13" s="107">
        <v>34.6</v>
      </c>
      <c r="GT13" s="107">
        <v>34.6</v>
      </c>
      <c r="GU13" s="107">
        <v>34.6</v>
      </c>
      <c r="GV13" s="107">
        <v>34.6</v>
      </c>
      <c r="GW13" s="107">
        <v>34.6</v>
      </c>
      <c r="GX13" s="107">
        <v>34.6</v>
      </c>
      <c r="GY13" s="107">
        <v>34.6</v>
      </c>
      <c r="GZ13" s="107">
        <v>34.6</v>
      </c>
      <c r="HA13" s="107">
        <v>34.6</v>
      </c>
      <c r="HB13" s="107">
        <v>34.6</v>
      </c>
      <c r="HC13" s="107">
        <v>34.6</v>
      </c>
      <c r="HD13" s="107">
        <v>34.6</v>
      </c>
      <c r="HE13" s="107">
        <v>34.6</v>
      </c>
      <c r="HF13" s="107">
        <v>34.6</v>
      </c>
      <c r="HG13" s="107">
        <v>34.6</v>
      </c>
      <c r="HH13" s="107">
        <v>34.6</v>
      </c>
      <c r="HI13" s="107">
        <v>34.6</v>
      </c>
      <c r="HJ13" s="107">
        <v>34.6</v>
      </c>
      <c r="HK13" s="107">
        <v>34.6</v>
      </c>
      <c r="HL13" s="107">
        <v>34.6</v>
      </c>
      <c r="IG13" s="107">
        <v>34.6</v>
      </c>
      <c r="IH13" s="107">
        <v>32.01</v>
      </c>
      <c r="II13" s="107">
        <v>32.01</v>
      </c>
      <c r="IJ13" s="107">
        <v>32.01</v>
      </c>
      <c r="IK13" s="107">
        <v>32.01</v>
      </c>
      <c r="IL13" s="107">
        <v>32.01</v>
      </c>
      <c r="IM13" s="107">
        <v>34.6</v>
      </c>
      <c r="IN13" s="107">
        <v>32.01</v>
      </c>
      <c r="IO13" s="107">
        <v>34.6</v>
      </c>
      <c r="IP13" s="107">
        <v>34.6</v>
      </c>
      <c r="IQ13" s="107">
        <v>34.6</v>
      </c>
      <c r="IR13" s="107">
        <v>34.6</v>
      </c>
      <c r="IS13" s="107">
        <v>34.6</v>
      </c>
      <c r="IT13" s="107">
        <v>32.01</v>
      </c>
      <c r="IU13" s="107">
        <v>34.6</v>
      </c>
      <c r="IV13" s="107">
        <v>34.6</v>
      </c>
      <c r="IW13" s="107">
        <v>34.6</v>
      </c>
      <c r="IX13" s="107">
        <v>32.01</v>
      </c>
      <c r="IY13" s="107">
        <v>34.6</v>
      </c>
      <c r="IZ13" s="107">
        <v>34.6</v>
      </c>
      <c r="JA13" s="107">
        <v>34.6</v>
      </c>
      <c r="JB13" s="107">
        <v>32.01</v>
      </c>
      <c r="JC13" s="107">
        <v>32.01</v>
      </c>
      <c r="JD13" s="107">
        <v>34.6</v>
      </c>
      <c r="JE13" s="107">
        <v>34.6</v>
      </c>
      <c r="JF13" s="107">
        <v>34.6</v>
      </c>
      <c r="JG13" s="107">
        <v>32.01</v>
      </c>
      <c r="JH13" s="107">
        <v>34.6</v>
      </c>
      <c r="JI13" s="107">
        <v>34.6</v>
      </c>
      <c r="JJ13" s="107">
        <v>34.6</v>
      </c>
      <c r="JK13" s="107">
        <v>34.6</v>
      </c>
      <c r="JL13" s="107">
        <v>34.6</v>
      </c>
      <c r="JM13" s="107">
        <v>34.6</v>
      </c>
      <c r="JN13" s="107">
        <v>34.6</v>
      </c>
      <c r="JO13" s="107">
        <v>34.6</v>
      </c>
      <c r="JP13" s="107">
        <v>34.6</v>
      </c>
      <c r="JQ13" s="107">
        <v>34.6</v>
      </c>
      <c r="JR13" s="107">
        <v>34.6</v>
      </c>
      <c r="JS13" s="107">
        <v>34.6</v>
      </c>
      <c r="JT13" s="107">
        <v>34.6</v>
      </c>
      <c r="JU13" s="107">
        <v>34.6</v>
      </c>
      <c r="JV13" s="107">
        <v>34.6</v>
      </c>
      <c r="JW13" s="107">
        <v>34.6</v>
      </c>
      <c r="JX13" s="107">
        <v>34.6</v>
      </c>
      <c r="JY13" s="107">
        <v>34.6</v>
      </c>
      <c r="JZ13" s="107">
        <v>34.6</v>
      </c>
      <c r="KA13" s="107">
        <v>34.6</v>
      </c>
      <c r="KB13" s="107">
        <v>34.6</v>
      </c>
      <c r="KC13" s="107">
        <v>34.6</v>
      </c>
      <c r="KD13" s="107">
        <v>34.6</v>
      </c>
      <c r="KE13" s="107">
        <v>34.6</v>
      </c>
      <c r="KF13" s="107">
        <v>34.6</v>
      </c>
      <c r="KG13" s="107">
        <v>34.6</v>
      </c>
      <c r="KH13" s="107">
        <v>34.6</v>
      </c>
      <c r="KI13" s="107">
        <v>34.6</v>
      </c>
      <c r="KJ13" s="107">
        <v>34.6</v>
      </c>
      <c r="KK13" s="107">
        <v>34.6</v>
      </c>
      <c r="KL13" s="107">
        <v>34.6</v>
      </c>
      <c r="KM13" s="107">
        <v>34.6</v>
      </c>
      <c r="KN13" s="107">
        <v>34.6</v>
      </c>
      <c r="LI13" s="107">
        <v>34.6</v>
      </c>
      <c r="LJ13" s="107">
        <v>34.6</v>
      </c>
      <c r="LK13" s="107">
        <v>32.01</v>
      </c>
      <c r="LL13" s="107">
        <v>32.01</v>
      </c>
      <c r="LM13" s="107">
        <v>32.01</v>
      </c>
      <c r="LN13" s="107">
        <v>32.01</v>
      </c>
      <c r="LO13" s="107">
        <v>34.6</v>
      </c>
      <c r="LP13" s="107">
        <v>32.01</v>
      </c>
      <c r="LQ13" s="107">
        <v>34.6</v>
      </c>
      <c r="LR13" s="107">
        <v>34.6</v>
      </c>
      <c r="LS13" s="107">
        <v>34.6</v>
      </c>
      <c r="LT13" s="107">
        <v>34.6</v>
      </c>
      <c r="LU13" s="107">
        <v>34.6</v>
      </c>
      <c r="LV13" s="107">
        <v>32.01</v>
      </c>
      <c r="LW13" s="107">
        <v>34.6</v>
      </c>
      <c r="LX13" s="107">
        <v>34.6</v>
      </c>
      <c r="LY13" s="107">
        <v>34.6</v>
      </c>
      <c r="LZ13" s="107">
        <v>32.01</v>
      </c>
      <c r="MA13" s="107">
        <v>34.6</v>
      </c>
      <c r="MB13" s="107">
        <v>34.6</v>
      </c>
      <c r="MC13" s="107">
        <v>32.01</v>
      </c>
      <c r="MD13" s="107">
        <v>32.01</v>
      </c>
      <c r="ME13" s="107">
        <v>32.01</v>
      </c>
      <c r="MF13" s="107">
        <v>34.6</v>
      </c>
      <c r="MG13" s="107">
        <v>34.6</v>
      </c>
      <c r="MH13" s="107">
        <v>34.6</v>
      </c>
      <c r="MI13" s="107">
        <v>32.01</v>
      </c>
      <c r="MJ13" s="107">
        <v>34.6</v>
      </c>
      <c r="MK13" s="107">
        <v>34.6</v>
      </c>
      <c r="ML13" s="107">
        <v>34.6</v>
      </c>
      <c r="MM13" s="107">
        <v>34.6</v>
      </c>
      <c r="MN13" s="107">
        <v>34.6</v>
      </c>
      <c r="MO13" s="107">
        <v>34.6</v>
      </c>
      <c r="MP13" s="107">
        <v>34.6</v>
      </c>
      <c r="MQ13" s="107">
        <v>34.6</v>
      </c>
      <c r="MR13" s="107">
        <v>34.6</v>
      </c>
      <c r="MS13" s="107">
        <v>34.6</v>
      </c>
      <c r="MT13" s="107">
        <v>34.6</v>
      </c>
      <c r="MU13" s="107">
        <v>34.6</v>
      </c>
      <c r="MV13" s="107">
        <v>34.6</v>
      </c>
      <c r="MW13" s="107">
        <v>34.6</v>
      </c>
      <c r="MX13" s="107">
        <v>34.6</v>
      </c>
      <c r="MY13" s="107">
        <v>34.6</v>
      </c>
      <c r="MZ13" s="107">
        <v>34.6</v>
      </c>
      <c r="NA13" s="107">
        <v>34.6</v>
      </c>
      <c r="NB13" s="107">
        <v>34.6</v>
      </c>
      <c r="NC13" s="107">
        <v>34.6</v>
      </c>
      <c r="ND13" s="107">
        <v>34.6</v>
      </c>
      <c r="NE13" s="107">
        <v>34.6</v>
      </c>
      <c r="NF13" s="107">
        <v>34.6</v>
      </c>
      <c r="NG13" s="107">
        <v>34.6</v>
      </c>
      <c r="NH13" s="107">
        <v>34.6</v>
      </c>
      <c r="NI13" s="107">
        <v>34.6</v>
      </c>
      <c r="NJ13" s="107">
        <v>34.6</v>
      </c>
      <c r="NK13" s="107">
        <v>34.6</v>
      </c>
      <c r="NL13" s="107">
        <v>34.6</v>
      </c>
      <c r="NM13" s="107">
        <v>34.6</v>
      </c>
      <c r="NN13" s="107">
        <v>34.6</v>
      </c>
      <c r="NO13" s="107">
        <v>34.6</v>
      </c>
      <c r="NP13" s="107">
        <v>34.6</v>
      </c>
      <c r="NQ13" s="107">
        <v>34.6</v>
      </c>
      <c r="NR13" s="107">
        <v>34.6</v>
      </c>
      <c r="OK13" s="107">
        <v>34.6</v>
      </c>
      <c r="OL13" s="107">
        <v>32.01</v>
      </c>
      <c r="OM13" s="107">
        <v>32.01</v>
      </c>
      <c r="ON13" s="107">
        <v>32.01</v>
      </c>
      <c r="OO13" s="107">
        <v>32.01</v>
      </c>
      <c r="OP13" s="107">
        <v>32.01</v>
      </c>
      <c r="OQ13" s="107">
        <v>32.01</v>
      </c>
      <c r="OR13" s="107">
        <v>32.01</v>
      </c>
      <c r="OS13" s="107">
        <v>34.6</v>
      </c>
      <c r="OT13" s="107">
        <v>34.6</v>
      </c>
      <c r="OU13" s="107">
        <v>34.6</v>
      </c>
      <c r="OV13" s="107">
        <v>34.6</v>
      </c>
      <c r="OW13" s="107">
        <v>34.6</v>
      </c>
      <c r="OX13" s="107">
        <v>32.01</v>
      </c>
      <c r="OY13" s="107">
        <v>34.6</v>
      </c>
      <c r="OZ13" s="107">
        <v>34.6</v>
      </c>
      <c r="PA13" s="107">
        <v>34.6</v>
      </c>
      <c r="PB13" s="107">
        <v>32.01</v>
      </c>
      <c r="PC13" s="107">
        <v>34.6</v>
      </c>
      <c r="PD13" s="107">
        <v>34.6</v>
      </c>
      <c r="PE13" s="107">
        <v>34.6</v>
      </c>
      <c r="PF13" s="107">
        <v>32.01</v>
      </c>
      <c r="PG13" s="107">
        <v>32.01</v>
      </c>
      <c r="PH13" s="107">
        <v>34.6</v>
      </c>
      <c r="PI13" s="107">
        <v>34.6</v>
      </c>
      <c r="PJ13" s="107">
        <v>34.6</v>
      </c>
      <c r="PK13" s="107">
        <v>32.01</v>
      </c>
      <c r="PL13" s="107">
        <v>34.6</v>
      </c>
      <c r="PM13" s="107">
        <v>34.6</v>
      </c>
      <c r="PN13" s="107">
        <v>34.6</v>
      </c>
      <c r="PO13" s="107">
        <v>34.6</v>
      </c>
      <c r="PP13" s="107">
        <v>34.6</v>
      </c>
      <c r="PQ13" s="107">
        <v>34.6</v>
      </c>
      <c r="PR13" s="107">
        <v>34.6</v>
      </c>
      <c r="PS13" s="107">
        <v>34.6</v>
      </c>
      <c r="PT13" s="107">
        <v>34.6</v>
      </c>
      <c r="PU13" s="107">
        <v>34.6</v>
      </c>
      <c r="PV13" s="107">
        <v>34.6</v>
      </c>
      <c r="PW13" s="107">
        <v>34.6</v>
      </c>
      <c r="PX13" s="107">
        <v>34.6</v>
      </c>
      <c r="PY13" s="107">
        <v>34.6</v>
      </c>
      <c r="PZ13" s="107">
        <v>34.6</v>
      </c>
      <c r="QA13" s="107">
        <v>34.6</v>
      </c>
      <c r="QB13" s="107">
        <v>34.6</v>
      </c>
      <c r="QC13" s="107">
        <v>34.6</v>
      </c>
      <c r="QD13" s="107">
        <v>34.6</v>
      </c>
      <c r="QE13" s="107">
        <v>34.6</v>
      </c>
      <c r="QF13" s="107">
        <v>34.6</v>
      </c>
      <c r="QG13" s="107">
        <v>34.6</v>
      </c>
      <c r="QH13" s="107">
        <v>34.6</v>
      </c>
      <c r="QI13" s="107">
        <v>34.6</v>
      </c>
      <c r="QJ13" s="107">
        <v>34.6</v>
      </c>
      <c r="QK13" s="107">
        <v>34.6</v>
      </c>
      <c r="QL13" s="107">
        <v>34.6</v>
      </c>
      <c r="QM13" s="107">
        <v>34.6</v>
      </c>
      <c r="QN13" s="107">
        <v>34.6</v>
      </c>
      <c r="QO13" s="107">
        <v>34.6</v>
      </c>
      <c r="QP13" s="107">
        <v>34.6</v>
      </c>
      <c r="QQ13" s="107">
        <v>34.6</v>
      </c>
      <c r="QR13" s="107">
        <v>34.6</v>
      </c>
      <c r="QS13" s="107">
        <v>34.6</v>
      </c>
      <c r="QT13" s="107">
        <v>34.6</v>
      </c>
      <c r="RM13" s="107">
        <v>34.6</v>
      </c>
      <c r="RN13" s="107">
        <v>32.01</v>
      </c>
      <c r="RO13" s="107">
        <v>32.01</v>
      </c>
      <c r="RP13" s="107">
        <v>32.01</v>
      </c>
      <c r="RQ13" s="107">
        <v>32.01</v>
      </c>
      <c r="RR13" s="107">
        <v>32.01</v>
      </c>
      <c r="RS13" s="107">
        <v>34.6</v>
      </c>
      <c r="RT13" s="107">
        <v>32.01</v>
      </c>
      <c r="RU13" s="107">
        <v>34.6</v>
      </c>
      <c r="RV13" s="107">
        <v>34.6</v>
      </c>
      <c r="RW13" s="107">
        <v>34.6</v>
      </c>
      <c r="RX13" s="107">
        <v>34.6</v>
      </c>
      <c r="RY13" s="107">
        <v>34.6</v>
      </c>
      <c r="RZ13" s="107">
        <v>32.01</v>
      </c>
      <c r="SA13" s="107">
        <v>34.6</v>
      </c>
      <c r="SB13" s="107">
        <v>34.6</v>
      </c>
      <c r="SC13" s="107">
        <v>34.6</v>
      </c>
      <c r="SD13" s="107">
        <v>32.01</v>
      </c>
      <c r="SE13" s="107">
        <v>34.6</v>
      </c>
      <c r="SF13" s="107">
        <v>34.6</v>
      </c>
      <c r="SG13" s="107">
        <v>34.6</v>
      </c>
      <c r="SH13" s="107">
        <v>32.01</v>
      </c>
      <c r="SI13" s="107">
        <v>32.01</v>
      </c>
      <c r="SJ13" s="107">
        <v>34.6</v>
      </c>
      <c r="SK13" s="107">
        <v>34.6</v>
      </c>
      <c r="SL13" s="107">
        <v>34.6</v>
      </c>
      <c r="SM13" s="107">
        <v>32.01</v>
      </c>
      <c r="SN13" s="107">
        <v>34.6</v>
      </c>
      <c r="SO13" s="107">
        <v>34.6</v>
      </c>
      <c r="SP13" s="107">
        <v>34.6</v>
      </c>
      <c r="SQ13" s="107">
        <v>34.6</v>
      </c>
      <c r="SR13" s="107">
        <v>34.6</v>
      </c>
      <c r="SS13" s="107">
        <v>34.6</v>
      </c>
      <c r="ST13" s="107">
        <v>34.6</v>
      </c>
      <c r="SU13" s="107">
        <v>34.6</v>
      </c>
      <c r="SV13" s="107">
        <v>34.6</v>
      </c>
      <c r="SW13" s="107">
        <v>34.6</v>
      </c>
      <c r="SX13" s="107">
        <v>34.6</v>
      </c>
      <c r="SY13" s="107">
        <v>34.6</v>
      </c>
      <c r="SZ13" s="107">
        <v>34.6</v>
      </c>
      <c r="TA13" s="107">
        <v>34.6</v>
      </c>
      <c r="TB13" s="107">
        <v>34.6</v>
      </c>
      <c r="TC13" s="107">
        <v>34.6</v>
      </c>
      <c r="TD13" s="107">
        <v>34.6</v>
      </c>
      <c r="TE13" s="107">
        <v>34.6</v>
      </c>
      <c r="TF13" s="107">
        <v>34.6</v>
      </c>
      <c r="TG13" s="107">
        <v>34.6</v>
      </c>
      <c r="TH13" s="107">
        <v>34.6</v>
      </c>
      <c r="TI13" s="107">
        <v>34.6</v>
      </c>
      <c r="TJ13" s="107">
        <v>34.6</v>
      </c>
      <c r="TK13" s="107">
        <v>34.6</v>
      </c>
      <c r="TL13" s="107">
        <v>34.6</v>
      </c>
      <c r="TM13" s="107">
        <v>34.6</v>
      </c>
      <c r="TN13" s="107">
        <v>34.6</v>
      </c>
      <c r="TO13" s="107">
        <v>34.6</v>
      </c>
      <c r="TP13" s="107">
        <v>34.6</v>
      </c>
      <c r="TQ13" s="107">
        <v>34.6</v>
      </c>
      <c r="TR13" s="107">
        <v>34.6</v>
      </c>
      <c r="TS13" s="107">
        <v>34.6</v>
      </c>
      <c r="TT13" s="107">
        <v>34.6</v>
      </c>
      <c r="TU13" s="107">
        <v>34.6</v>
      </c>
      <c r="TV13" s="107">
        <v>34.6</v>
      </c>
      <c r="UO13" s="107">
        <v>34.6</v>
      </c>
      <c r="UP13" s="107">
        <v>32.01</v>
      </c>
      <c r="UQ13" s="107">
        <v>32.01</v>
      </c>
      <c r="UR13" s="107">
        <v>32.01</v>
      </c>
      <c r="US13" s="107">
        <v>32.01</v>
      </c>
      <c r="UT13" s="107">
        <v>32.01</v>
      </c>
      <c r="UU13" s="107">
        <v>34.6</v>
      </c>
      <c r="UV13" s="107">
        <v>32.01</v>
      </c>
      <c r="UW13" s="107">
        <v>34.6</v>
      </c>
      <c r="UX13" s="107">
        <v>34.6</v>
      </c>
      <c r="UY13" s="107">
        <v>34.6</v>
      </c>
      <c r="UZ13" s="107">
        <v>34.6</v>
      </c>
      <c r="VA13" s="107">
        <v>34.6</v>
      </c>
      <c r="VB13" s="107">
        <v>32.01</v>
      </c>
      <c r="VC13" s="107">
        <v>34.6</v>
      </c>
      <c r="VD13" s="107">
        <v>34.6</v>
      </c>
      <c r="VE13" s="107">
        <v>32.01</v>
      </c>
      <c r="VF13" s="107">
        <v>34.6</v>
      </c>
      <c r="VG13" s="107">
        <v>34.6</v>
      </c>
      <c r="VH13" s="107">
        <v>34.6</v>
      </c>
      <c r="VI13" s="107">
        <v>32.01</v>
      </c>
      <c r="VJ13" s="107">
        <v>32.01</v>
      </c>
      <c r="VK13" s="107">
        <v>34.6</v>
      </c>
      <c r="VL13" s="107">
        <v>34.6</v>
      </c>
      <c r="VM13" s="107">
        <v>34.6</v>
      </c>
      <c r="VN13" s="107">
        <v>32.01</v>
      </c>
      <c r="VO13" s="107">
        <v>34.6</v>
      </c>
      <c r="VP13" s="107">
        <v>34.6</v>
      </c>
      <c r="VQ13" s="107">
        <v>34.6</v>
      </c>
      <c r="VR13" s="107">
        <v>34.6</v>
      </c>
      <c r="VS13" s="107">
        <v>34.6</v>
      </c>
      <c r="VT13" s="107">
        <v>34.6</v>
      </c>
      <c r="VU13" s="107">
        <v>34.6</v>
      </c>
      <c r="VV13" s="107">
        <v>34.6</v>
      </c>
      <c r="VW13" s="107">
        <v>34.6</v>
      </c>
      <c r="VX13" s="107">
        <v>34.6</v>
      </c>
      <c r="VY13" s="107">
        <v>34.6</v>
      </c>
      <c r="VZ13" s="107">
        <v>34.6</v>
      </c>
      <c r="WA13" s="107">
        <v>34.6</v>
      </c>
      <c r="WB13" s="107">
        <v>34.6</v>
      </c>
      <c r="WC13" s="107">
        <v>34.6</v>
      </c>
      <c r="WD13" s="107">
        <v>34.6</v>
      </c>
      <c r="WE13" s="107">
        <v>34.6</v>
      </c>
      <c r="WF13" s="107">
        <v>34.6</v>
      </c>
      <c r="WG13" s="107">
        <v>34.6</v>
      </c>
      <c r="WH13" s="107">
        <v>34.6</v>
      </c>
      <c r="WI13" s="107">
        <v>34.6</v>
      </c>
      <c r="WJ13" s="107">
        <v>34.6</v>
      </c>
      <c r="WK13" s="107">
        <v>34.6</v>
      </c>
      <c r="WL13" s="107">
        <v>34.6</v>
      </c>
      <c r="WM13" s="107">
        <v>34.6</v>
      </c>
      <c r="WN13" s="107">
        <v>34.6</v>
      </c>
      <c r="WO13" s="107">
        <v>34.6</v>
      </c>
      <c r="WP13" s="107">
        <v>34.6</v>
      </c>
      <c r="WQ13" s="107">
        <v>34.6</v>
      </c>
      <c r="WR13" s="107">
        <v>34.6</v>
      </c>
      <c r="WS13" s="107">
        <v>34.6</v>
      </c>
      <c r="WT13" s="107">
        <v>34.6</v>
      </c>
      <c r="WU13" s="107">
        <v>34.6</v>
      </c>
      <c r="WV13" s="107">
        <v>34.6</v>
      </c>
      <c r="WW13" s="107">
        <v>34.6</v>
      </c>
      <c r="XQ13" s="107">
        <v>34.6</v>
      </c>
      <c r="XR13" s="107">
        <v>32.01</v>
      </c>
      <c r="XS13" s="107">
        <v>32.01</v>
      </c>
      <c r="XT13" s="107">
        <v>32.01</v>
      </c>
      <c r="XU13" s="107">
        <v>32.01</v>
      </c>
      <c r="XV13" s="107">
        <v>32.01</v>
      </c>
      <c r="XW13" s="107">
        <v>34.6</v>
      </c>
      <c r="XX13" s="107">
        <v>32.01</v>
      </c>
      <c r="XY13" s="107">
        <v>34.6</v>
      </c>
      <c r="XZ13" s="107">
        <v>34.6</v>
      </c>
      <c r="YA13" s="107">
        <v>34.6</v>
      </c>
      <c r="YB13" s="107">
        <v>34.6</v>
      </c>
      <c r="YC13" s="107">
        <v>34.6</v>
      </c>
      <c r="YD13" s="107">
        <v>32.01</v>
      </c>
      <c r="YE13" s="107">
        <v>34.6</v>
      </c>
      <c r="YF13" s="107">
        <v>34.6</v>
      </c>
      <c r="YG13" s="107">
        <v>32.01</v>
      </c>
      <c r="YH13" s="107">
        <v>34.6</v>
      </c>
      <c r="YI13" s="107">
        <v>34.6</v>
      </c>
      <c r="YJ13" s="107">
        <v>34.6</v>
      </c>
      <c r="YK13" s="107">
        <v>32.01</v>
      </c>
      <c r="YL13" s="107">
        <v>32.01</v>
      </c>
      <c r="YM13" s="107">
        <v>34.6</v>
      </c>
      <c r="YN13" s="107">
        <v>34.6</v>
      </c>
      <c r="YO13" s="107">
        <v>34.6</v>
      </c>
      <c r="YP13" s="107">
        <v>32.01</v>
      </c>
      <c r="YQ13" s="107">
        <v>34.6</v>
      </c>
      <c r="YR13" s="107">
        <v>34.6</v>
      </c>
      <c r="YS13" s="107">
        <v>34.6</v>
      </c>
      <c r="YT13" s="107">
        <v>34.6</v>
      </c>
      <c r="YU13" s="107">
        <v>34.6</v>
      </c>
      <c r="YV13" s="107">
        <v>34.6</v>
      </c>
      <c r="YW13" s="107">
        <v>34.6</v>
      </c>
      <c r="YX13" s="107">
        <v>34.6</v>
      </c>
      <c r="YY13" s="107">
        <v>34.6</v>
      </c>
      <c r="YZ13" s="107">
        <v>34.6</v>
      </c>
      <c r="ZA13" s="107">
        <v>34.6</v>
      </c>
      <c r="ZB13" s="107">
        <v>34.6</v>
      </c>
      <c r="ZC13" s="107">
        <v>34.6</v>
      </c>
      <c r="ZD13" s="107">
        <v>34.6</v>
      </c>
      <c r="ZE13" s="107">
        <v>34.6</v>
      </c>
      <c r="ZF13" s="107">
        <v>34.6</v>
      </c>
      <c r="ZG13" s="107">
        <v>34.6</v>
      </c>
      <c r="ZH13" s="107">
        <v>34.6</v>
      </c>
      <c r="ZI13" s="107">
        <v>34.6</v>
      </c>
      <c r="ZJ13" s="107">
        <v>34.6</v>
      </c>
      <c r="ZK13" s="107">
        <v>34.6</v>
      </c>
      <c r="ZL13" s="107">
        <v>34.6</v>
      </c>
      <c r="ZM13" s="107">
        <v>34.6</v>
      </c>
      <c r="ZN13" s="107">
        <v>34.6</v>
      </c>
      <c r="ZO13" s="107">
        <v>34.6</v>
      </c>
      <c r="ZP13" s="107">
        <v>34.6</v>
      </c>
      <c r="ZQ13" s="107">
        <v>34.6</v>
      </c>
      <c r="ZR13" s="107">
        <v>34.6</v>
      </c>
      <c r="ZS13" s="107">
        <v>34.6</v>
      </c>
      <c r="ZT13" s="107">
        <v>34.6</v>
      </c>
      <c r="ZU13" s="107">
        <v>34.6</v>
      </c>
      <c r="ZV13" s="107">
        <v>34.6</v>
      </c>
      <c r="ZW13" s="107">
        <v>34.6</v>
      </c>
      <c r="AAS13" s="107">
        <v>34.6</v>
      </c>
      <c r="AAT13" s="107">
        <v>32.01</v>
      </c>
      <c r="AAU13" s="107">
        <v>32.01</v>
      </c>
      <c r="AAV13" s="107">
        <v>32.01</v>
      </c>
      <c r="AAW13" s="107">
        <v>32.01</v>
      </c>
      <c r="AAX13" s="107">
        <v>32.01</v>
      </c>
      <c r="AAY13" s="107">
        <v>34.6</v>
      </c>
      <c r="AAZ13" s="107">
        <v>32.01</v>
      </c>
      <c r="ABA13" s="107">
        <v>34.6</v>
      </c>
      <c r="ABB13" s="107">
        <v>34.6</v>
      </c>
      <c r="ABC13" s="107">
        <v>34.6</v>
      </c>
      <c r="ABD13" s="107">
        <v>34.6</v>
      </c>
      <c r="ABE13" s="107">
        <v>34.6</v>
      </c>
      <c r="ABF13" s="107">
        <v>32.01</v>
      </c>
      <c r="ABG13" s="107">
        <v>34.6</v>
      </c>
      <c r="ABH13" s="107">
        <v>34.6</v>
      </c>
      <c r="ABI13" s="107">
        <v>32.01</v>
      </c>
      <c r="ABJ13" s="107">
        <v>34.6</v>
      </c>
      <c r="ABK13" s="107">
        <v>34.6</v>
      </c>
      <c r="ABL13" s="107">
        <v>32.01</v>
      </c>
      <c r="ABM13" s="107">
        <v>32.01</v>
      </c>
      <c r="ABN13" s="107">
        <v>34.6</v>
      </c>
      <c r="ABO13" s="107">
        <v>34.6</v>
      </c>
      <c r="ABP13" s="107">
        <v>34.6</v>
      </c>
      <c r="ABQ13" s="107">
        <v>32.01</v>
      </c>
      <c r="ABR13" s="107">
        <v>34.6</v>
      </c>
      <c r="ABS13" s="107">
        <v>34.6</v>
      </c>
      <c r="ABT13" s="107">
        <v>34.6</v>
      </c>
      <c r="ABU13" s="107">
        <v>34.6</v>
      </c>
      <c r="ABV13" s="107">
        <v>34.6</v>
      </c>
      <c r="ABW13" s="107">
        <v>34.6</v>
      </c>
      <c r="ABX13" s="107">
        <v>34.6</v>
      </c>
      <c r="ABY13" s="107">
        <v>34.6</v>
      </c>
      <c r="ABZ13" s="107">
        <v>34.6</v>
      </c>
      <c r="ACA13" s="107">
        <v>34.6</v>
      </c>
      <c r="ACB13" s="107">
        <v>34.6</v>
      </c>
      <c r="ACC13" s="107">
        <v>34.6</v>
      </c>
      <c r="ACD13" s="107">
        <v>34.6</v>
      </c>
      <c r="ACE13" s="107">
        <v>34.6</v>
      </c>
      <c r="ACF13" s="107">
        <v>34.6</v>
      </c>
      <c r="ACG13" s="107">
        <v>34.6</v>
      </c>
      <c r="ACH13" s="107">
        <v>34.6</v>
      </c>
      <c r="ACI13" s="107">
        <v>34.6</v>
      </c>
      <c r="ACJ13" s="107">
        <v>34.6</v>
      </c>
      <c r="ACK13" s="107">
        <v>34.6</v>
      </c>
      <c r="ACL13" s="107">
        <v>34.6</v>
      </c>
      <c r="ACM13" s="107">
        <v>34.6</v>
      </c>
      <c r="ACN13" s="107">
        <v>34.6</v>
      </c>
      <c r="ACO13" s="107">
        <v>34.6</v>
      </c>
      <c r="ACP13" s="107">
        <v>34.6</v>
      </c>
      <c r="ACQ13" s="107">
        <v>34.6</v>
      </c>
      <c r="ACR13" s="107">
        <v>34.6</v>
      </c>
      <c r="ACS13" s="107">
        <v>34.6</v>
      </c>
      <c r="ACT13" s="107">
        <v>34.6</v>
      </c>
      <c r="ACU13" s="107">
        <v>34.6</v>
      </c>
      <c r="ACV13" s="107">
        <v>34.6</v>
      </c>
      <c r="ACW13" s="107">
        <v>34.6</v>
      </c>
      <c r="ACX13" s="107">
        <v>34.6</v>
      </c>
      <c r="ADU13" s="107">
        <v>34.6</v>
      </c>
      <c r="ADV13" s="107">
        <v>32.01</v>
      </c>
      <c r="ADW13" s="107">
        <v>32.01</v>
      </c>
      <c r="ADX13" s="107">
        <v>32.01</v>
      </c>
      <c r="ADY13" s="107">
        <v>32.01</v>
      </c>
      <c r="ADZ13" s="107">
        <v>34.6</v>
      </c>
      <c r="AEA13" s="107">
        <v>32.01</v>
      </c>
      <c r="AEB13" s="107">
        <v>34.6</v>
      </c>
      <c r="AEC13" s="107">
        <v>34.6</v>
      </c>
      <c r="AED13" s="107">
        <v>34.6</v>
      </c>
      <c r="AEE13" s="107">
        <v>34.6</v>
      </c>
      <c r="AEF13" s="107">
        <v>34.6</v>
      </c>
      <c r="AEG13" s="107">
        <v>32.01</v>
      </c>
      <c r="AEH13" s="107">
        <v>34.6</v>
      </c>
      <c r="AEI13" s="107">
        <v>34.6</v>
      </c>
      <c r="AEJ13" s="107">
        <v>32.01</v>
      </c>
      <c r="AEK13" s="107">
        <v>34.6</v>
      </c>
      <c r="AEL13" s="107">
        <v>34.6</v>
      </c>
      <c r="AEM13" s="107">
        <v>32.01</v>
      </c>
      <c r="AEN13" s="107">
        <v>32.01</v>
      </c>
      <c r="AEO13" s="107">
        <v>34.6</v>
      </c>
      <c r="AEP13" s="107">
        <v>34.6</v>
      </c>
      <c r="AEQ13" s="107">
        <v>34.6</v>
      </c>
      <c r="AER13" s="107">
        <v>32.01</v>
      </c>
      <c r="AES13" s="107">
        <v>34.6</v>
      </c>
      <c r="AET13" s="107">
        <v>34.6</v>
      </c>
      <c r="AEU13" s="107">
        <v>34.6</v>
      </c>
      <c r="AEV13" s="107">
        <v>34.6</v>
      </c>
      <c r="AEW13" s="107">
        <v>34.6</v>
      </c>
      <c r="AEX13" s="107">
        <v>34.6</v>
      </c>
      <c r="AEY13" s="107">
        <v>34.6</v>
      </c>
      <c r="AEZ13" s="107">
        <v>34.6</v>
      </c>
      <c r="AFA13" s="107">
        <v>34.6</v>
      </c>
      <c r="AFB13" s="107">
        <v>34.6</v>
      </c>
      <c r="AFC13" s="107">
        <v>34.6</v>
      </c>
      <c r="AFD13" s="107">
        <v>34.6</v>
      </c>
      <c r="AFE13" s="107">
        <v>34.6</v>
      </c>
      <c r="AFF13" s="107">
        <v>34.6</v>
      </c>
      <c r="AFG13" s="107">
        <v>34.6</v>
      </c>
      <c r="AFH13" s="107">
        <v>34.6</v>
      </c>
      <c r="AFI13" s="107">
        <v>34.6</v>
      </c>
      <c r="AFJ13" s="107">
        <v>34.6</v>
      </c>
      <c r="AFK13" s="107">
        <v>34.6</v>
      </c>
      <c r="AFL13" s="107">
        <v>34.6</v>
      </c>
      <c r="AFM13" s="107">
        <v>34.6</v>
      </c>
      <c r="AFN13" s="107">
        <v>34.6</v>
      </c>
      <c r="AFO13" s="107">
        <v>34.6</v>
      </c>
      <c r="AFP13" s="107">
        <v>34.6</v>
      </c>
      <c r="AFQ13" s="107">
        <v>34.6</v>
      </c>
      <c r="AFR13" s="107">
        <v>34.6</v>
      </c>
      <c r="AFS13" s="107">
        <v>34.6</v>
      </c>
      <c r="AFT13" s="107">
        <v>34.6</v>
      </c>
      <c r="AFU13" s="107">
        <v>34.6</v>
      </c>
      <c r="AFV13" s="107">
        <v>34.6</v>
      </c>
      <c r="AFW13" s="107">
        <v>34.6</v>
      </c>
      <c r="AFX13" s="107">
        <v>34.6</v>
      </c>
      <c r="AFY13" s="107">
        <v>34.6</v>
      </c>
      <c r="AGW13" s="107">
        <v>34.6</v>
      </c>
      <c r="AGX13" s="107">
        <v>32.01</v>
      </c>
      <c r="AGY13" s="107">
        <v>32.01</v>
      </c>
      <c r="AGZ13" s="107">
        <v>32.01</v>
      </c>
      <c r="AHA13" s="107">
        <v>32.01</v>
      </c>
      <c r="AHB13" s="107">
        <v>34.6</v>
      </c>
      <c r="AHC13" s="107">
        <v>32.01</v>
      </c>
      <c r="AHD13" s="107">
        <v>34.6</v>
      </c>
      <c r="AHE13" s="107">
        <v>34.6</v>
      </c>
      <c r="AHF13" s="107">
        <v>34.6</v>
      </c>
      <c r="AHG13" s="107">
        <v>34.6</v>
      </c>
      <c r="AHH13" s="107">
        <v>34.6</v>
      </c>
      <c r="AHI13" s="107">
        <v>32.01</v>
      </c>
      <c r="AHJ13" s="107">
        <v>34.6</v>
      </c>
      <c r="AHK13" s="107">
        <v>34.6</v>
      </c>
      <c r="AHL13" s="107">
        <v>32.01</v>
      </c>
      <c r="AHM13" s="107">
        <v>34.6</v>
      </c>
      <c r="AHN13" s="107">
        <v>34.6</v>
      </c>
      <c r="AHO13" s="107">
        <v>32.01</v>
      </c>
      <c r="AHP13" s="107">
        <v>32.01</v>
      </c>
      <c r="AHQ13" s="107">
        <v>34.6</v>
      </c>
      <c r="AHR13" s="107">
        <v>34.6</v>
      </c>
      <c r="AHS13" s="107">
        <v>34.6</v>
      </c>
      <c r="AHT13" s="107">
        <v>32.01</v>
      </c>
      <c r="AHU13" s="107">
        <v>34.6</v>
      </c>
      <c r="AHV13" s="107">
        <v>34.6</v>
      </c>
      <c r="AHW13" s="107">
        <v>34.6</v>
      </c>
      <c r="AHX13" s="107">
        <v>34.6</v>
      </c>
      <c r="AHY13" s="107">
        <v>34.6</v>
      </c>
      <c r="AHZ13" s="107">
        <v>34.6</v>
      </c>
      <c r="AIA13" s="107">
        <v>34.6</v>
      </c>
      <c r="AIB13" s="107">
        <v>34.6</v>
      </c>
      <c r="AIC13" s="107">
        <v>34.6</v>
      </c>
      <c r="AID13" s="107">
        <v>34.6</v>
      </c>
      <c r="AIE13" s="107">
        <v>34.6</v>
      </c>
      <c r="AIF13" s="107">
        <v>34.6</v>
      </c>
      <c r="AIG13" s="107">
        <v>34.6</v>
      </c>
      <c r="AIH13" s="107">
        <v>34.6</v>
      </c>
      <c r="AII13" s="107">
        <v>34.6</v>
      </c>
      <c r="AIJ13" s="107">
        <v>34.6</v>
      </c>
      <c r="AIK13" s="107">
        <v>34.6</v>
      </c>
      <c r="AIL13" s="107">
        <v>34.6</v>
      </c>
      <c r="AIM13" s="107">
        <v>34.6</v>
      </c>
      <c r="AIN13" s="107">
        <v>34.6</v>
      </c>
      <c r="AIO13" s="107">
        <v>34.6</v>
      </c>
      <c r="AIP13" s="107">
        <v>34.6</v>
      </c>
      <c r="AIQ13" s="107">
        <v>34.6</v>
      </c>
      <c r="AIR13" s="107">
        <v>34.6</v>
      </c>
      <c r="AIS13" s="107">
        <v>34.6</v>
      </c>
      <c r="AIT13" s="107">
        <v>34.6</v>
      </c>
      <c r="AIU13" s="107">
        <v>34.6</v>
      </c>
      <c r="AIV13" s="107">
        <v>34.6</v>
      </c>
      <c r="AIW13" s="107">
        <v>34.6</v>
      </c>
      <c r="AIX13" s="107">
        <v>34.6</v>
      </c>
      <c r="AIY13" s="107">
        <v>34.6</v>
      </c>
      <c r="AIZ13" s="107">
        <v>34.6</v>
      </c>
    </row>
    <row r="14" spans="1:961">
      <c r="E14" s="107">
        <v>32.01</v>
      </c>
      <c r="G14" s="107">
        <v>32.01</v>
      </c>
      <c r="H14" s="107">
        <v>32.01</v>
      </c>
      <c r="I14" s="107">
        <v>32.01</v>
      </c>
      <c r="J14" s="107">
        <v>32.01</v>
      </c>
      <c r="K14" s="107">
        <v>32.01</v>
      </c>
      <c r="M14" s="107">
        <v>32.01</v>
      </c>
      <c r="N14" s="107">
        <v>32.01</v>
      </c>
      <c r="O14" s="107">
        <v>32.01</v>
      </c>
      <c r="Q14" s="107">
        <v>32.01</v>
      </c>
      <c r="R14" s="107">
        <v>32.01</v>
      </c>
      <c r="S14" s="107">
        <v>32.01</v>
      </c>
      <c r="V14" s="107">
        <v>32.01</v>
      </c>
      <c r="W14" s="107">
        <v>32.01</v>
      </c>
      <c r="X14" s="107">
        <v>32.01</v>
      </c>
      <c r="Z14" s="107">
        <v>32.01</v>
      </c>
      <c r="AA14" s="107">
        <v>32.01</v>
      </c>
      <c r="AB14" s="107">
        <v>32.01</v>
      </c>
      <c r="AC14" s="107">
        <v>32.01</v>
      </c>
      <c r="AD14" s="107">
        <v>32.01</v>
      </c>
      <c r="AE14" s="107">
        <v>32.01</v>
      </c>
      <c r="AF14" s="107">
        <v>32.01</v>
      </c>
      <c r="AG14" s="107">
        <v>32.01</v>
      </c>
      <c r="AH14" s="107">
        <v>32.01</v>
      </c>
      <c r="AI14" s="107">
        <v>32.01</v>
      </c>
      <c r="AJ14" s="107">
        <v>32.01</v>
      </c>
      <c r="AK14" s="107">
        <v>32.01</v>
      </c>
      <c r="AL14" s="107">
        <v>32.01</v>
      </c>
      <c r="AM14" s="107">
        <v>32.01</v>
      </c>
      <c r="AN14" s="107">
        <v>32.01</v>
      </c>
      <c r="AO14" s="107">
        <v>32.01</v>
      </c>
      <c r="AP14" s="107">
        <v>32.01</v>
      </c>
      <c r="AQ14" s="107">
        <v>32.01</v>
      </c>
      <c r="AR14" s="107">
        <v>32.01</v>
      </c>
      <c r="AS14" s="107">
        <v>32.01</v>
      </c>
      <c r="AT14" s="107">
        <v>32.01</v>
      </c>
      <c r="AU14" s="107">
        <v>32.01</v>
      </c>
      <c r="AV14" s="107">
        <v>32.01</v>
      </c>
      <c r="AW14" s="107">
        <v>32.01</v>
      </c>
      <c r="AX14" s="107">
        <v>32.01</v>
      </c>
      <c r="AY14" s="107">
        <v>32.01</v>
      </c>
      <c r="AZ14" s="107">
        <v>32.01</v>
      </c>
      <c r="CH14" s="107">
        <v>32.01</v>
      </c>
      <c r="CJ14" s="107">
        <v>32.01</v>
      </c>
      <c r="CK14" s="107">
        <v>32.01</v>
      </c>
      <c r="CL14" s="107">
        <v>32.01</v>
      </c>
      <c r="CM14" s="107">
        <v>32.01</v>
      </c>
      <c r="CN14" s="107">
        <v>32.01</v>
      </c>
      <c r="CP14" s="107">
        <v>32.01</v>
      </c>
      <c r="CQ14" s="107">
        <v>32.01</v>
      </c>
      <c r="CR14" s="107">
        <v>32.01</v>
      </c>
      <c r="CT14" s="107">
        <v>32.01</v>
      </c>
      <c r="CU14" s="107">
        <v>32.01</v>
      </c>
      <c r="CV14" s="107">
        <v>32.01</v>
      </c>
      <c r="CY14" s="107">
        <v>32.01</v>
      </c>
      <c r="CZ14" s="107">
        <v>32.01</v>
      </c>
      <c r="DA14" s="107">
        <v>32.01</v>
      </c>
      <c r="DC14" s="107">
        <v>32.01</v>
      </c>
      <c r="DD14" s="107">
        <v>32.01</v>
      </c>
      <c r="DE14" s="107">
        <v>32.01</v>
      </c>
      <c r="DF14" s="107">
        <v>32.01</v>
      </c>
      <c r="DG14" s="107">
        <v>32.01</v>
      </c>
      <c r="DH14" s="107">
        <v>32.01</v>
      </c>
      <c r="DI14" s="107">
        <v>32.01</v>
      </c>
      <c r="DJ14" s="107">
        <v>32.01</v>
      </c>
      <c r="DK14" s="107">
        <v>32.01</v>
      </c>
      <c r="DL14" s="107">
        <v>32.01</v>
      </c>
      <c r="DM14" s="107">
        <v>32.01</v>
      </c>
      <c r="DN14" s="107">
        <v>32.01</v>
      </c>
      <c r="DO14" s="107">
        <v>32.01</v>
      </c>
      <c r="DP14" s="107">
        <v>32.01</v>
      </c>
      <c r="DQ14" s="107">
        <v>32.01</v>
      </c>
      <c r="DR14" s="107">
        <v>32.01</v>
      </c>
      <c r="DS14" s="107">
        <v>32.01</v>
      </c>
      <c r="DT14" s="107">
        <v>32.01</v>
      </c>
      <c r="DU14" s="107">
        <v>32.01</v>
      </c>
      <c r="DV14" s="107">
        <v>32.01</v>
      </c>
      <c r="DW14" s="107">
        <v>32.01</v>
      </c>
      <c r="DX14" s="107">
        <v>32.01</v>
      </c>
      <c r="DY14" s="107">
        <v>32.01</v>
      </c>
      <c r="DZ14" s="107">
        <v>32.01</v>
      </c>
      <c r="EA14" s="107">
        <v>32.01</v>
      </c>
      <c r="EB14" s="107">
        <v>32.01</v>
      </c>
      <c r="EC14" s="107">
        <v>32.01</v>
      </c>
      <c r="ED14" s="107">
        <v>32.01</v>
      </c>
      <c r="EE14" s="107">
        <v>32.01</v>
      </c>
      <c r="EF14" s="107">
        <v>32.01</v>
      </c>
      <c r="EG14" s="107">
        <v>32.01</v>
      </c>
      <c r="EH14" s="107">
        <v>32.01</v>
      </c>
      <c r="EI14" s="107">
        <v>32.01</v>
      </c>
      <c r="FE14" s="107">
        <v>32.01</v>
      </c>
      <c r="FK14" s="107">
        <v>32.01</v>
      </c>
      <c r="FM14" s="107">
        <v>32.01</v>
      </c>
      <c r="FN14" s="107">
        <v>32.01</v>
      </c>
      <c r="FO14" s="107">
        <v>32.01</v>
      </c>
      <c r="FP14" s="107">
        <v>32.01</v>
      </c>
      <c r="FQ14" s="107">
        <v>32.01</v>
      </c>
      <c r="FS14" s="107">
        <v>32.01</v>
      </c>
      <c r="FT14" s="107">
        <v>32.01</v>
      </c>
      <c r="FU14" s="107">
        <v>32.01</v>
      </c>
      <c r="FW14" s="107">
        <v>32.01</v>
      </c>
      <c r="FX14" s="107">
        <v>32.01</v>
      </c>
      <c r="FY14" s="107">
        <v>32.01</v>
      </c>
      <c r="GB14" s="107">
        <v>32.01</v>
      </c>
      <c r="GC14" s="107">
        <v>32.01</v>
      </c>
      <c r="GD14" s="107">
        <v>32.01</v>
      </c>
      <c r="GF14" s="107">
        <v>32.01</v>
      </c>
      <c r="GG14" s="107">
        <v>32.01</v>
      </c>
      <c r="GH14" s="107">
        <v>32.01</v>
      </c>
      <c r="GI14" s="107">
        <v>32.01</v>
      </c>
      <c r="GJ14" s="107">
        <v>32.01</v>
      </c>
      <c r="GK14" s="107">
        <v>32.01</v>
      </c>
      <c r="GL14" s="107">
        <v>32.01</v>
      </c>
      <c r="GM14" s="107">
        <v>32.01</v>
      </c>
      <c r="GN14" s="107">
        <v>32.01</v>
      </c>
      <c r="GO14" s="107">
        <v>32.01</v>
      </c>
      <c r="GP14" s="107">
        <v>32.01</v>
      </c>
      <c r="GQ14" s="107">
        <v>32.01</v>
      </c>
      <c r="GR14" s="107">
        <v>32.01</v>
      </c>
      <c r="GS14" s="107">
        <v>32.01</v>
      </c>
      <c r="GT14" s="107">
        <v>32.01</v>
      </c>
      <c r="GU14" s="107">
        <v>32.01</v>
      </c>
      <c r="GV14" s="107">
        <v>32.01</v>
      </c>
      <c r="GW14" s="107">
        <v>32.01</v>
      </c>
      <c r="GX14" s="107">
        <v>32.01</v>
      </c>
      <c r="GY14" s="107">
        <v>32.01</v>
      </c>
      <c r="GZ14" s="107">
        <v>32.01</v>
      </c>
      <c r="HA14" s="107">
        <v>32.01</v>
      </c>
      <c r="HB14" s="107">
        <v>32.01</v>
      </c>
      <c r="HC14" s="107">
        <v>32.01</v>
      </c>
      <c r="HD14" s="107">
        <v>32.01</v>
      </c>
      <c r="HE14" s="107">
        <v>32.01</v>
      </c>
      <c r="HF14" s="107">
        <v>32.01</v>
      </c>
      <c r="HG14" s="107">
        <v>32.01</v>
      </c>
      <c r="HH14" s="107">
        <v>32.01</v>
      </c>
      <c r="HI14" s="107">
        <v>32.01</v>
      </c>
      <c r="HJ14" s="107">
        <v>32.01</v>
      </c>
      <c r="HK14" s="107">
        <v>32.01</v>
      </c>
      <c r="HL14" s="107">
        <v>32.01</v>
      </c>
      <c r="IG14" s="107">
        <v>32.01</v>
      </c>
      <c r="IM14" s="107">
        <v>32.01</v>
      </c>
      <c r="IO14" s="107">
        <v>32.01</v>
      </c>
      <c r="IP14" s="107">
        <v>32.01</v>
      </c>
      <c r="IQ14" s="107">
        <v>32.01</v>
      </c>
      <c r="IR14" s="107">
        <v>32.01</v>
      </c>
      <c r="IS14" s="107">
        <v>32.01</v>
      </c>
      <c r="IU14" s="107">
        <v>32.01</v>
      </c>
      <c r="IV14" s="107">
        <v>32.01</v>
      </c>
      <c r="IW14" s="107">
        <v>32.01</v>
      </c>
      <c r="IY14" s="107">
        <v>32.01</v>
      </c>
      <c r="IZ14" s="107">
        <v>32.01</v>
      </c>
      <c r="JA14" s="107">
        <v>32.01</v>
      </c>
      <c r="JD14" s="107">
        <v>32.01</v>
      </c>
      <c r="JE14" s="107">
        <v>32.01</v>
      </c>
      <c r="JF14" s="107">
        <v>32.01</v>
      </c>
      <c r="JH14" s="107">
        <v>32.01</v>
      </c>
      <c r="JI14" s="107">
        <v>32.01</v>
      </c>
      <c r="JJ14" s="107">
        <v>32.01</v>
      </c>
      <c r="JK14" s="107">
        <v>32.01</v>
      </c>
      <c r="JL14" s="107">
        <v>32.01</v>
      </c>
      <c r="JM14" s="107">
        <v>32.01</v>
      </c>
      <c r="JN14" s="107">
        <v>32.01</v>
      </c>
      <c r="JO14" s="107">
        <v>32.01</v>
      </c>
      <c r="JP14" s="107">
        <v>32.01</v>
      </c>
      <c r="JQ14" s="107">
        <v>32.01</v>
      </c>
      <c r="JR14" s="107">
        <v>32.01</v>
      </c>
      <c r="JS14" s="107">
        <v>32.01</v>
      </c>
      <c r="JT14" s="107">
        <v>32.01</v>
      </c>
      <c r="JU14" s="107">
        <v>32.01</v>
      </c>
      <c r="JV14" s="107">
        <v>32.01</v>
      </c>
      <c r="JW14" s="107">
        <v>32.01</v>
      </c>
      <c r="JX14" s="107">
        <v>32.01</v>
      </c>
      <c r="JY14" s="107">
        <v>32.01</v>
      </c>
      <c r="JZ14" s="107">
        <v>32.01</v>
      </c>
      <c r="KA14" s="107">
        <v>32.01</v>
      </c>
      <c r="KB14" s="107">
        <v>32.01</v>
      </c>
      <c r="KC14" s="107">
        <v>32.01</v>
      </c>
      <c r="KD14" s="107">
        <v>32.01</v>
      </c>
      <c r="KE14" s="107">
        <v>32.01</v>
      </c>
      <c r="KF14" s="107">
        <v>32.01</v>
      </c>
      <c r="KG14" s="107">
        <v>32.01</v>
      </c>
      <c r="KH14" s="107">
        <v>32.01</v>
      </c>
      <c r="KI14" s="107">
        <v>32.01</v>
      </c>
      <c r="KJ14" s="107">
        <v>32.01</v>
      </c>
      <c r="KK14" s="107">
        <v>32.01</v>
      </c>
      <c r="KL14" s="107">
        <v>32.01</v>
      </c>
      <c r="KM14" s="107">
        <v>32.01</v>
      </c>
      <c r="KN14" s="107">
        <v>32.01</v>
      </c>
      <c r="LI14" s="107">
        <v>32.01</v>
      </c>
      <c r="LJ14" s="107">
        <v>32.01</v>
      </c>
      <c r="LO14" s="107">
        <v>32.01</v>
      </c>
      <c r="LQ14" s="107">
        <v>32.01</v>
      </c>
      <c r="LR14" s="107">
        <v>32.01</v>
      </c>
      <c r="LS14" s="107">
        <v>32.01</v>
      </c>
      <c r="LT14" s="107">
        <v>32.01</v>
      </c>
      <c r="LU14" s="107">
        <v>32.01</v>
      </c>
      <c r="LW14" s="107">
        <v>32.01</v>
      </c>
      <c r="LX14" s="107">
        <v>32.01</v>
      </c>
      <c r="LY14" s="107">
        <v>32.01</v>
      </c>
      <c r="MA14" s="107">
        <v>32.01</v>
      </c>
      <c r="MB14" s="107">
        <v>32.01</v>
      </c>
      <c r="MF14" s="107">
        <v>32.01</v>
      </c>
      <c r="MG14" s="107">
        <v>32.01</v>
      </c>
      <c r="MH14" s="107">
        <v>32.01</v>
      </c>
      <c r="MJ14" s="107">
        <v>32.01</v>
      </c>
      <c r="MK14" s="107">
        <v>32.01</v>
      </c>
      <c r="ML14" s="107">
        <v>32.01</v>
      </c>
      <c r="MM14" s="107">
        <v>32.01</v>
      </c>
      <c r="MN14" s="107">
        <v>32.01</v>
      </c>
      <c r="MO14" s="107">
        <v>32.01</v>
      </c>
      <c r="MP14" s="107">
        <v>32.01</v>
      </c>
      <c r="MQ14" s="107">
        <v>32.01</v>
      </c>
      <c r="MR14" s="107">
        <v>32.01</v>
      </c>
      <c r="MS14" s="107">
        <v>32.01</v>
      </c>
      <c r="MT14" s="107">
        <v>32.01</v>
      </c>
      <c r="MU14" s="107">
        <v>32.01</v>
      </c>
      <c r="MV14" s="107">
        <v>32.01</v>
      </c>
      <c r="MW14" s="107">
        <v>32.01</v>
      </c>
      <c r="MX14" s="107">
        <v>32.01</v>
      </c>
      <c r="MY14" s="107">
        <v>32.01</v>
      </c>
      <c r="MZ14" s="107">
        <v>32.01</v>
      </c>
      <c r="NA14" s="107">
        <v>32.01</v>
      </c>
      <c r="NB14" s="107">
        <v>32.01</v>
      </c>
      <c r="NC14" s="107">
        <v>32.01</v>
      </c>
      <c r="ND14" s="107">
        <v>32.01</v>
      </c>
      <c r="NE14" s="107">
        <v>32.01</v>
      </c>
      <c r="NF14" s="107">
        <v>32.01</v>
      </c>
      <c r="NG14" s="107">
        <v>32.01</v>
      </c>
      <c r="NH14" s="107">
        <v>32.01</v>
      </c>
      <c r="NI14" s="107">
        <v>32.01</v>
      </c>
      <c r="NJ14" s="107">
        <v>32.01</v>
      </c>
      <c r="NK14" s="107">
        <v>32.01</v>
      </c>
      <c r="NL14" s="107">
        <v>32.01</v>
      </c>
      <c r="NM14" s="107">
        <v>32.01</v>
      </c>
      <c r="NN14" s="107">
        <v>32.01</v>
      </c>
      <c r="NO14" s="107">
        <v>32.01</v>
      </c>
      <c r="NP14" s="107">
        <v>32.01</v>
      </c>
      <c r="NQ14" s="107">
        <v>32.01</v>
      </c>
      <c r="NR14" s="107">
        <v>32.01</v>
      </c>
      <c r="OK14" s="107">
        <v>32.01</v>
      </c>
      <c r="OS14" s="107">
        <v>32.01</v>
      </c>
      <c r="OT14" s="107">
        <v>32.01</v>
      </c>
      <c r="OU14" s="107">
        <v>32.01</v>
      </c>
      <c r="OV14" s="107">
        <v>32.01</v>
      </c>
      <c r="OW14" s="107">
        <v>32.01</v>
      </c>
      <c r="OY14" s="107">
        <v>32.01</v>
      </c>
      <c r="OZ14" s="107">
        <v>32.01</v>
      </c>
      <c r="PA14" s="107">
        <v>32.01</v>
      </c>
      <c r="PC14" s="107">
        <v>32.01</v>
      </c>
      <c r="PD14" s="107">
        <v>32.01</v>
      </c>
      <c r="PE14" s="107">
        <v>32.01</v>
      </c>
      <c r="PH14" s="107">
        <v>32.01</v>
      </c>
      <c r="PI14" s="107">
        <v>32.01</v>
      </c>
      <c r="PJ14" s="107">
        <v>32.01</v>
      </c>
      <c r="PL14" s="107">
        <v>32.01</v>
      </c>
      <c r="PM14" s="107">
        <v>32.01</v>
      </c>
      <c r="PN14" s="107">
        <v>32.01</v>
      </c>
      <c r="PO14" s="107">
        <v>32.01</v>
      </c>
      <c r="PP14" s="107">
        <v>32.01</v>
      </c>
      <c r="PQ14" s="107">
        <v>32.01</v>
      </c>
      <c r="PR14" s="107">
        <v>32.01</v>
      </c>
      <c r="PS14" s="107">
        <v>32.01</v>
      </c>
      <c r="PT14" s="107">
        <v>32.01</v>
      </c>
      <c r="PU14" s="107">
        <v>32.01</v>
      </c>
      <c r="PV14" s="107">
        <v>32.01</v>
      </c>
      <c r="PW14" s="107">
        <v>32.01</v>
      </c>
      <c r="PX14" s="107">
        <v>32.01</v>
      </c>
      <c r="PY14" s="107">
        <v>32.01</v>
      </c>
      <c r="PZ14" s="107">
        <v>32.01</v>
      </c>
      <c r="QA14" s="107">
        <v>32.01</v>
      </c>
      <c r="QB14" s="107">
        <v>32.01</v>
      </c>
      <c r="QC14" s="107">
        <v>32.01</v>
      </c>
      <c r="QD14" s="107">
        <v>32.01</v>
      </c>
      <c r="QE14" s="107">
        <v>32.01</v>
      </c>
      <c r="QF14" s="107">
        <v>32.01</v>
      </c>
      <c r="QG14" s="107">
        <v>32.01</v>
      </c>
      <c r="QH14" s="107">
        <v>32.01</v>
      </c>
      <c r="QI14" s="107">
        <v>32.01</v>
      </c>
      <c r="QJ14" s="107">
        <v>32.01</v>
      </c>
      <c r="QK14" s="107">
        <v>32.01</v>
      </c>
      <c r="QL14" s="107">
        <v>32.01</v>
      </c>
      <c r="QM14" s="107">
        <v>32.01</v>
      </c>
      <c r="QN14" s="107">
        <v>32.01</v>
      </c>
      <c r="QO14" s="107">
        <v>32.01</v>
      </c>
      <c r="QP14" s="107">
        <v>32.01</v>
      </c>
      <c r="QQ14" s="107">
        <v>32.01</v>
      </c>
      <c r="QR14" s="107">
        <v>32.01</v>
      </c>
      <c r="QS14" s="107">
        <v>32.01</v>
      </c>
      <c r="QT14" s="107">
        <v>32.01</v>
      </c>
      <c r="RM14" s="107">
        <v>32.01</v>
      </c>
      <c r="RS14" s="107">
        <v>32.01</v>
      </c>
      <c r="RU14" s="107">
        <v>32.01</v>
      </c>
      <c r="RV14" s="107">
        <v>32.01</v>
      </c>
      <c r="RW14" s="107">
        <v>32.01</v>
      </c>
      <c r="RX14" s="107">
        <v>32.01</v>
      </c>
      <c r="RY14" s="107">
        <v>32.01</v>
      </c>
      <c r="SA14" s="107">
        <v>32.01</v>
      </c>
      <c r="SB14" s="107">
        <v>32.01</v>
      </c>
      <c r="SC14" s="107">
        <v>32.01</v>
      </c>
      <c r="SE14" s="107">
        <v>32.01</v>
      </c>
      <c r="SF14" s="107">
        <v>32.01</v>
      </c>
      <c r="SG14" s="107">
        <v>32.01</v>
      </c>
      <c r="SJ14" s="107">
        <v>32.01</v>
      </c>
      <c r="SK14" s="107">
        <v>32.01</v>
      </c>
      <c r="SL14" s="107">
        <v>32.01</v>
      </c>
      <c r="SN14" s="107">
        <v>32.01</v>
      </c>
      <c r="SO14" s="107">
        <v>32.01</v>
      </c>
      <c r="SP14" s="107">
        <v>32.01</v>
      </c>
      <c r="SQ14" s="107">
        <v>32.01</v>
      </c>
      <c r="SR14" s="107">
        <v>32.01</v>
      </c>
      <c r="SS14" s="107">
        <v>32.01</v>
      </c>
      <c r="ST14" s="107">
        <v>32.01</v>
      </c>
      <c r="SU14" s="107">
        <v>32.01</v>
      </c>
      <c r="SV14" s="107">
        <v>32.01</v>
      </c>
      <c r="SW14" s="107">
        <v>32.01</v>
      </c>
      <c r="SX14" s="107">
        <v>32.01</v>
      </c>
      <c r="SY14" s="107">
        <v>32.01</v>
      </c>
      <c r="SZ14" s="107">
        <v>32.01</v>
      </c>
      <c r="TA14" s="107">
        <v>32.01</v>
      </c>
      <c r="TB14" s="107">
        <v>32.01</v>
      </c>
      <c r="TC14" s="107">
        <v>32.01</v>
      </c>
      <c r="TD14" s="107">
        <v>32.01</v>
      </c>
      <c r="TE14" s="107">
        <v>32.01</v>
      </c>
      <c r="TF14" s="107">
        <v>32.01</v>
      </c>
      <c r="TG14" s="107">
        <v>32.01</v>
      </c>
      <c r="TH14" s="107">
        <v>32.01</v>
      </c>
      <c r="TI14" s="107">
        <v>32.01</v>
      </c>
      <c r="TJ14" s="107">
        <v>32.01</v>
      </c>
      <c r="TK14" s="107">
        <v>32.01</v>
      </c>
      <c r="TL14" s="107">
        <v>32.01</v>
      </c>
      <c r="TM14" s="107">
        <v>32.01</v>
      </c>
      <c r="TN14" s="107">
        <v>32.01</v>
      </c>
      <c r="TO14" s="107">
        <v>32.01</v>
      </c>
      <c r="TP14" s="107">
        <v>32.01</v>
      </c>
      <c r="TQ14" s="107">
        <v>32.01</v>
      </c>
      <c r="TR14" s="107">
        <v>32.01</v>
      </c>
      <c r="TS14" s="107">
        <v>32.01</v>
      </c>
      <c r="TT14" s="107">
        <v>32.01</v>
      </c>
      <c r="TU14" s="107">
        <v>32.01</v>
      </c>
      <c r="TV14" s="107">
        <v>32.01</v>
      </c>
      <c r="UO14" s="107">
        <v>32.01</v>
      </c>
      <c r="UU14" s="107">
        <v>32.01</v>
      </c>
      <c r="UW14" s="107">
        <v>32.01</v>
      </c>
      <c r="UX14" s="107">
        <v>32.01</v>
      </c>
      <c r="UY14" s="107">
        <v>32.01</v>
      </c>
      <c r="UZ14" s="107">
        <v>32.01</v>
      </c>
      <c r="VA14" s="107">
        <v>32.01</v>
      </c>
      <c r="VC14" s="107">
        <v>32.01</v>
      </c>
      <c r="VD14" s="107">
        <v>32.01</v>
      </c>
      <c r="VF14" s="107">
        <v>32.01</v>
      </c>
      <c r="VG14" s="107">
        <v>32.01</v>
      </c>
      <c r="VH14" s="107">
        <v>32.01</v>
      </c>
      <c r="VK14" s="107">
        <v>32.01</v>
      </c>
      <c r="VL14" s="107">
        <v>32.01</v>
      </c>
      <c r="VM14" s="107">
        <v>32.01</v>
      </c>
      <c r="VO14" s="107">
        <v>32.01</v>
      </c>
      <c r="VP14" s="107">
        <v>32.01</v>
      </c>
      <c r="VQ14" s="107">
        <v>32.01</v>
      </c>
      <c r="VR14" s="107">
        <v>32.01</v>
      </c>
      <c r="VS14" s="107">
        <v>32.01</v>
      </c>
      <c r="VT14" s="107">
        <v>32.01</v>
      </c>
      <c r="VU14" s="107">
        <v>32.01</v>
      </c>
      <c r="VV14" s="107">
        <v>32.01</v>
      </c>
      <c r="VW14" s="107">
        <v>32.01</v>
      </c>
      <c r="VX14" s="107">
        <v>32.01</v>
      </c>
      <c r="VY14" s="107">
        <v>32.01</v>
      </c>
      <c r="VZ14" s="107">
        <v>32.01</v>
      </c>
      <c r="WA14" s="107">
        <v>32.01</v>
      </c>
      <c r="WB14" s="107">
        <v>32.01</v>
      </c>
      <c r="WC14" s="107">
        <v>32.01</v>
      </c>
      <c r="WD14" s="107">
        <v>32.01</v>
      </c>
      <c r="WE14" s="107">
        <v>32.01</v>
      </c>
      <c r="WF14" s="107">
        <v>32.01</v>
      </c>
      <c r="WG14" s="107">
        <v>32.01</v>
      </c>
      <c r="WH14" s="107">
        <v>32.01</v>
      </c>
      <c r="WI14" s="107">
        <v>32.01</v>
      </c>
      <c r="WJ14" s="107">
        <v>32.01</v>
      </c>
      <c r="WK14" s="107">
        <v>32.01</v>
      </c>
      <c r="WL14" s="107">
        <v>32.01</v>
      </c>
      <c r="WM14" s="107">
        <v>32.01</v>
      </c>
      <c r="WN14" s="107">
        <v>32.01</v>
      </c>
      <c r="WO14" s="107">
        <v>32.01</v>
      </c>
      <c r="WP14" s="107">
        <v>32.01</v>
      </c>
      <c r="WQ14" s="107">
        <v>32.01</v>
      </c>
      <c r="WR14" s="107">
        <v>32.01</v>
      </c>
      <c r="WS14" s="107">
        <v>32.01</v>
      </c>
      <c r="WT14" s="107">
        <v>32.01</v>
      </c>
      <c r="WU14" s="107">
        <v>32.01</v>
      </c>
      <c r="WV14" s="107">
        <v>32.01</v>
      </c>
      <c r="WW14" s="107">
        <v>32.01</v>
      </c>
      <c r="XQ14" s="107">
        <v>32.01</v>
      </c>
      <c r="XW14" s="107">
        <v>32.01</v>
      </c>
      <c r="XY14" s="107">
        <v>32.01</v>
      </c>
      <c r="XZ14" s="107">
        <v>32.01</v>
      </c>
      <c r="YA14" s="107">
        <v>32.01</v>
      </c>
      <c r="YB14" s="107">
        <v>32.01</v>
      </c>
      <c r="YC14" s="107">
        <v>32.01</v>
      </c>
      <c r="YE14" s="107">
        <v>32.01</v>
      </c>
      <c r="YF14" s="107">
        <v>32.01</v>
      </c>
      <c r="YH14" s="107">
        <v>32.01</v>
      </c>
      <c r="YI14" s="107">
        <v>32.01</v>
      </c>
      <c r="YJ14" s="107">
        <v>32.01</v>
      </c>
      <c r="YM14" s="107">
        <v>32.01</v>
      </c>
      <c r="YN14" s="107">
        <v>32.01</v>
      </c>
      <c r="YO14" s="107">
        <v>32.01</v>
      </c>
      <c r="YQ14" s="107">
        <v>32.01</v>
      </c>
      <c r="YR14" s="107">
        <v>32.01</v>
      </c>
      <c r="YS14" s="107">
        <v>32.01</v>
      </c>
      <c r="YT14" s="107">
        <v>32.01</v>
      </c>
      <c r="YU14" s="107">
        <v>32.01</v>
      </c>
      <c r="YV14" s="107">
        <v>32.01</v>
      </c>
      <c r="YW14" s="107">
        <v>32.01</v>
      </c>
      <c r="YX14" s="107">
        <v>32.01</v>
      </c>
      <c r="YY14" s="107">
        <v>32.01</v>
      </c>
      <c r="YZ14" s="107">
        <v>32.01</v>
      </c>
      <c r="ZA14" s="107">
        <v>32.01</v>
      </c>
      <c r="ZB14" s="107">
        <v>32.01</v>
      </c>
      <c r="ZC14" s="107">
        <v>32.01</v>
      </c>
      <c r="ZD14" s="107">
        <v>32.01</v>
      </c>
      <c r="ZE14" s="107">
        <v>32.01</v>
      </c>
      <c r="ZF14" s="107">
        <v>32.01</v>
      </c>
      <c r="ZG14" s="107">
        <v>32.01</v>
      </c>
      <c r="ZH14" s="107">
        <v>32.01</v>
      </c>
      <c r="ZI14" s="107">
        <v>32.01</v>
      </c>
      <c r="ZJ14" s="107">
        <v>32.01</v>
      </c>
      <c r="ZK14" s="107">
        <v>32.01</v>
      </c>
      <c r="ZL14" s="107">
        <v>32.01</v>
      </c>
      <c r="ZM14" s="107">
        <v>32.01</v>
      </c>
      <c r="ZN14" s="107">
        <v>32.01</v>
      </c>
      <c r="ZO14" s="107">
        <v>32.01</v>
      </c>
      <c r="ZP14" s="107">
        <v>32.01</v>
      </c>
      <c r="ZQ14" s="107">
        <v>32.01</v>
      </c>
      <c r="ZR14" s="107">
        <v>32.01</v>
      </c>
      <c r="ZS14" s="107">
        <v>32.01</v>
      </c>
      <c r="ZT14" s="107">
        <v>32.01</v>
      </c>
      <c r="ZU14" s="107">
        <v>32.01</v>
      </c>
      <c r="ZV14" s="107">
        <v>32.01</v>
      </c>
      <c r="ZW14" s="107">
        <v>32.01</v>
      </c>
      <c r="AAS14" s="107">
        <v>32.01</v>
      </c>
      <c r="AAY14" s="107">
        <v>32.01</v>
      </c>
      <c r="ABA14" s="107">
        <v>32.01</v>
      </c>
      <c r="ABB14" s="107">
        <v>32.01</v>
      </c>
      <c r="ABC14" s="107">
        <v>32.01</v>
      </c>
      <c r="ABD14" s="107">
        <v>32.01</v>
      </c>
      <c r="ABE14" s="107">
        <v>32.01</v>
      </c>
      <c r="ABG14" s="107">
        <v>32.01</v>
      </c>
      <c r="ABH14" s="107">
        <v>32.01</v>
      </c>
      <c r="ABJ14" s="107">
        <v>32.01</v>
      </c>
      <c r="ABK14" s="107">
        <v>32.01</v>
      </c>
      <c r="ABN14" s="107">
        <v>32.01</v>
      </c>
      <c r="ABO14" s="107">
        <v>32.01</v>
      </c>
      <c r="ABP14" s="107">
        <v>32.01</v>
      </c>
      <c r="ABR14" s="107">
        <v>32.01</v>
      </c>
      <c r="ABS14" s="107">
        <v>32.01</v>
      </c>
      <c r="ABT14" s="107">
        <v>32.01</v>
      </c>
      <c r="ABU14" s="107">
        <v>32.01</v>
      </c>
      <c r="ABV14" s="107">
        <v>32.01</v>
      </c>
      <c r="ABW14" s="107">
        <v>32.01</v>
      </c>
      <c r="ABX14" s="107">
        <v>32.01</v>
      </c>
      <c r="ABY14" s="107">
        <v>32.01</v>
      </c>
      <c r="ABZ14" s="107">
        <v>32.01</v>
      </c>
      <c r="ACA14" s="107">
        <v>32.01</v>
      </c>
      <c r="ACB14" s="107">
        <v>32.01</v>
      </c>
      <c r="ACC14" s="107">
        <v>32.01</v>
      </c>
      <c r="ACD14" s="107">
        <v>32.01</v>
      </c>
      <c r="ACE14" s="107">
        <v>32.01</v>
      </c>
      <c r="ACF14" s="107">
        <v>32.01</v>
      </c>
      <c r="ACG14" s="107">
        <v>32.01</v>
      </c>
      <c r="ACH14" s="107">
        <v>32.01</v>
      </c>
      <c r="ACI14" s="107">
        <v>32.01</v>
      </c>
      <c r="ACJ14" s="107">
        <v>32.01</v>
      </c>
      <c r="ACK14" s="107">
        <v>32.01</v>
      </c>
      <c r="ACL14" s="107">
        <v>32.01</v>
      </c>
      <c r="ACM14" s="107">
        <v>32.01</v>
      </c>
      <c r="ACN14" s="107">
        <v>32.01</v>
      </c>
      <c r="ACO14" s="107">
        <v>32.01</v>
      </c>
      <c r="ACP14" s="107">
        <v>32.01</v>
      </c>
      <c r="ACQ14" s="107">
        <v>32.01</v>
      </c>
      <c r="ACR14" s="107">
        <v>32.01</v>
      </c>
      <c r="ACS14" s="107">
        <v>32.01</v>
      </c>
      <c r="ACT14" s="107">
        <v>32.01</v>
      </c>
      <c r="ACU14" s="107">
        <v>32.01</v>
      </c>
      <c r="ACV14" s="107">
        <v>32.01</v>
      </c>
      <c r="ACW14" s="107">
        <v>32.01</v>
      </c>
      <c r="ACX14" s="107">
        <v>32.01</v>
      </c>
      <c r="ADU14" s="107">
        <v>32.01</v>
      </c>
      <c r="ADZ14" s="107">
        <v>32.01</v>
      </c>
      <c r="AEB14" s="107">
        <v>32.01</v>
      </c>
      <c r="AEC14" s="107">
        <v>32.01</v>
      </c>
      <c r="AED14" s="107">
        <v>32.01</v>
      </c>
      <c r="AEE14" s="107">
        <v>32.01</v>
      </c>
      <c r="AEF14" s="107">
        <v>32.01</v>
      </c>
      <c r="AEH14" s="107">
        <v>32.01</v>
      </c>
      <c r="AEI14" s="107">
        <v>32.01</v>
      </c>
      <c r="AEK14" s="107">
        <v>32.01</v>
      </c>
      <c r="AEL14" s="107">
        <v>32.01</v>
      </c>
      <c r="AEO14" s="107">
        <v>32.01</v>
      </c>
      <c r="AEP14" s="107">
        <v>32.01</v>
      </c>
      <c r="AEQ14" s="107">
        <v>32.01</v>
      </c>
      <c r="AES14" s="107">
        <v>32.01</v>
      </c>
      <c r="AET14" s="107">
        <v>32.01</v>
      </c>
      <c r="AEU14" s="107">
        <v>32.01</v>
      </c>
      <c r="AEV14" s="107">
        <v>32.01</v>
      </c>
      <c r="AEW14" s="107">
        <v>32.01</v>
      </c>
      <c r="AEX14" s="107">
        <v>32.01</v>
      </c>
      <c r="AEY14" s="107">
        <v>32.01</v>
      </c>
      <c r="AEZ14" s="107">
        <v>32.01</v>
      </c>
      <c r="AFA14" s="107">
        <v>32.01</v>
      </c>
      <c r="AFB14" s="107">
        <v>32.01</v>
      </c>
      <c r="AFC14" s="107">
        <v>32.01</v>
      </c>
      <c r="AFD14" s="107">
        <v>32.01</v>
      </c>
      <c r="AFE14" s="107">
        <v>32.01</v>
      </c>
      <c r="AFF14" s="107">
        <v>32.01</v>
      </c>
      <c r="AFG14" s="107">
        <v>32.01</v>
      </c>
      <c r="AFH14" s="107">
        <v>32.01</v>
      </c>
      <c r="AFI14" s="107">
        <v>32.01</v>
      </c>
      <c r="AFJ14" s="107">
        <v>32.01</v>
      </c>
      <c r="AFK14" s="107">
        <v>32.01</v>
      </c>
      <c r="AFL14" s="107">
        <v>32.01</v>
      </c>
      <c r="AFM14" s="107">
        <v>32.01</v>
      </c>
      <c r="AFN14" s="107">
        <v>32.01</v>
      </c>
      <c r="AFO14" s="107">
        <v>32.01</v>
      </c>
      <c r="AFP14" s="107">
        <v>32.01</v>
      </c>
      <c r="AFQ14" s="107">
        <v>32.01</v>
      </c>
      <c r="AFR14" s="107">
        <v>32.01</v>
      </c>
      <c r="AFS14" s="107">
        <v>32.01</v>
      </c>
      <c r="AFT14" s="107">
        <v>32.01</v>
      </c>
      <c r="AFU14" s="107">
        <v>32.01</v>
      </c>
      <c r="AFV14" s="107">
        <v>32.01</v>
      </c>
      <c r="AFW14" s="107">
        <v>32.01</v>
      </c>
      <c r="AFX14" s="107">
        <v>32.01</v>
      </c>
      <c r="AFY14" s="107">
        <v>32.01</v>
      </c>
      <c r="AGW14" s="107">
        <v>32.01</v>
      </c>
      <c r="AHB14" s="107">
        <v>32.01</v>
      </c>
      <c r="AHD14" s="107">
        <v>32.01</v>
      </c>
      <c r="AHE14" s="107">
        <v>32.01</v>
      </c>
      <c r="AHF14" s="107">
        <v>32.01</v>
      </c>
      <c r="AHG14" s="107">
        <v>32.01</v>
      </c>
      <c r="AHH14" s="107">
        <v>32.01</v>
      </c>
      <c r="AHJ14" s="107">
        <v>32.01</v>
      </c>
      <c r="AHK14" s="107">
        <v>32.01</v>
      </c>
      <c r="AHM14" s="107">
        <v>32.01</v>
      </c>
      <c r="AHN14" s="107">
        <v>32.01</v>
      </c>
      <c r="AHQ14" s="107">
        <v>32.01</v>
      </c>
      <c r="AHR14" s="107">
        <v>32.01</v>
      </c>
      <c r="AHS14" s="107">
        <v>32.01</v>
      </c>
      <c r="AHU14" s="107">
        <v>32.01</v>
      </c>
      <c r="AHV14" s="107">
        <v>32.01</v>
      </c>
      <c r="AHW14" s="107">
        <v>32.01</v>
      </c>
      <c r="AHX14" s="107">
        <v>32.01</v>
      </c>
      <c r="AHY14" s="107">
        <v>32.01</v>
      </c>
      <c r="AHZ14" s="107">
        <v>32.01</v>
      </c>
      <c r="AIA14" s="107">
        <v>32.01</v>
      </c>
      <c r="AIB14" s="107">
        <v>32.01</v>
      </c>
      <c r="AIC14" s="107">
        <v>32.01</v>
      </c>
      <c r="AID14" s="107">
        <v>32.01</v>
      </c>
      <c r="AIE14" s="107">
        <v>32.01</v>
      </c>
      <c r="AIF14" s="107">
        <v>32.01</v>
      </c>
      <c r="AIG14" s="107">
        <v>32.01</v>
      </c>
      <c r="AIH14" s="107">
        <v>32.01</v>
      </c>
      <c r="AII14" s="107">
        <v>32.01</v>
      </c>
      <c r="AIJ14" s="107">
        <v>32.01</v>
      </c>
      <c r="AIK14" s="107">
        <v>32.01</v>
      </c>
      <c r="AIL14" s="107">
        <v>32.01</v>
      </c>
      <c r="AIM14" s="107">
        <v>32.01</v>
      </c>
      <c r="AIN14" s="107">
        <v>32.01</v>
      </c>
      <c r="AIO14" s="107">
        <v>32.01</v>
      </c>
      <c r="AIP14" s="107">
        <v>32.01</v>
      </c>
      <c r="AIQ14" s="107">
        <v>32.01</v>
      </c>
      <c r="AIR14" s="107">
        <v>32.01</v>
      </c>
      <c r="AIS14" s="107">
        <v>32.01</v>
      </c>
      <c r="AIT14" s="107">
        <v>32.01</v>
      </c>
      <c r="AIU14" s="107">
        <v>32.01</v>
      </c>
      <c r="AIV14" s="107">
        <v>32.01</v>
      </c>
      <c r="AIW14" s="107">
        <v>32.01</v>
      </c>
      <c r="AIX14" s="107">
        <v>32.01</v>
      </c>
      <c r="AIY14" s="107">
        <v>32.01</v>
      </c>
      <c r="AIZ14" s="107">
        <v>32.01</v>
      </c>
    </row>
    <row r="15" spans="1:961">
      <c r="E15" s="107">
        <v>10</v>
      </c>
      <c r="K15" s="107">
        <v>10</v>
      </c>
      <c r="M15" s="107">
        <v>10</v>
      </c>
      <c r="N15" s="107">
        <v>10</v>
      </c>
      <c r="O15" s="107">
        <v>10</v>
      </c>
      <c r="Q15" s="107">
        <v>10</v>
      </c>
      <c r="R15" s="107">
        <v>10</v>
      </c>
      <c r="V15" s="107">
        <v>10</v>
      </c>
      <c r="W15" s="107">
        <v>10</v>
      </c>
      <c r="X15" s="107">
        <v>10</v>
      </c>
      <c r="Z15" s="107">
        <v>10</v>
      </c>
      <c r="AA15" s="107">
        <v>10</v>
      </c>
      <c r="AB15" s="107">
        <v>10</v>
      </c>
      <c r="AC15" s="107">
        <v>10</v>
      </c>
      <c r="AD15" s="107">
        <v>10</v>
      </c>
      <c r="AE15" s="107">
        <v>10</v>
      </c>
      <c r="AF15" s="107">
        <v>10</v>
      </c>
      <c r="AH15" s="107">
        <v>10</v>
      </c>
      <c r="AI15" s="107">
        <v>10</v>
      </c>
      <c r="AJ15" s="107">
        <v>10</v>
      </c>
      <c r="AK15" s="107">
        <v>10</v>
      </c>
      <c r="AL15" s="107">
        <v>10</v>
      </c>
      <c r="AM15" s="107">
        <v>10</v>
      </c>
      <c r="AN15" s="107">
        <v>10</v>
      </c>
      <c r="AO15" s="107">
        <v>10</v>
      </c>
      <c r="AP15" s="107">
        <v>10</v>
      </c>
      <c r="AQ15" s="107">
        <v>10</v>
      </c>
      <c r="AR15" s="107">
        <v>10</v>
      </c>
      <c r="AS15" s="107">
        <v>10</v>
      </c>
      <c r="AT15" s="107">
        <v>10</v>
      </c>
      <c r="AU15" s="107">
        <v>10</v>
      </c>
      <c r="AV15" s="107">
        <v>10</v>
      </c>
      <c r="AW15" s="107">
        <v>10</v>
      </c>
      <c r="AX15" s="107">
        <v>10</v>
      </c>
      <c r="AY15" s="107">
        <v>10</v>
      </c>
      <c r="AZ15" s="107">
        <v>10</v>
      </c>
      <c r="CP15" s="107">
        <v>10</v>
      </c>
      <c r="CQ15" s="107">
        <v>10</v>
      </c>
      <c r="CR15" s="107">
        <v>10</v>
      </c>
      <c r="CT15" s="107">
        <v>10</v>
      </c>
      <c r="CU15" s="107">
        <v>10</v>
      </c>
      <c r="CV15" s="107">
        <v>10</v>
      </c>
      <c r="CY15" s="107">
        <v>10</v>
      </c>
      <c r="CZ15" s="107">
        <v>10</v>
      </c>
      <c r="DA15" s="107">
        <v>10</v>
      </c>
      <c r="DC15" s="107">
        <v>10</v>
      </c>
      <c r="DD15" s="107">
        <v>10</v>
      </c>
      <c r="DE15" s="107">
        <v>10</v>
      </c>
      <c r="DF15" s="107">
        <v>10</v>
      </c>
      <c r="DG15" s="107">
        <v>10</v>
      </c>
      <c r="DH15" s="107">
        <v>10</v>
      </c>
      <c r="DI15" s="107">
        <v>10</v>
      </c>
      <c r="DJ15" s="107">
        <v>10</v>
      </c>
      <c r="DK15" s="107">
        <v>10</v>
      </c>
      <c r="DL15" s="107">
        <v>10</v>
      </c>
      <c r="DM15" s="107">
        <v>10</v>
      </c>
      <c r="DN15" s="107">
        <v>10</v>
      </c>
      <c r="DO15" s="107">
        <v>10</v>
      </c>
      <c r="DP15" s="107">
        <v>10</v>
      </c>
      <c r="DQ15" s="107">
        <v>10</v>
      </c>
      <c r="DR15" s="107">
        <v>10</v>
      </c>
      <c r="DS15" s="107">
        <v>10</v>
      </c>
      <c r="DT15" s="107">
        <v>10</v>
      </c>
      <c r="DU15" s="107">
        <v>10</v>
      </c>
      <c r="DV15" s="107">
        <v>10</v>
      </c>
      <c r="DW15" s="107">
        <v>10</v>
      </c>
      <c r="DX15" s="107">
        <v>10</v>
      </c>
      <c r="DY15" s="107">
        <v>10</v>
      </c>
      <c r="DZ15" s="107">
        <v>10</v>
      </c>
      <c r="EA15" s="107">
        <v>10</v>
      </c>
      <c r="EB15" s="107">
        <v>10</v>
      </c>
      <c r="EC15" s="107">
        <v>10</v>
      </c>
      <c r="ED15" s="107">
        <v>10</v>
      </c>
      <c r="EF15" s="107">
        <v>10</v>
      </c>
      <c r="EG15" s="107">
        <v>10</v>
      </c>
      <c r="EH15" s="107">
        <v>10</v>
      </c>
      <c r="EI15" s="107">
        <v>10</v>
      </c>
      <c r="FE15" s="107">
        <v>10</v>
      </c>
      <c r="FS15" s="107">
        <v>10</v>
      </c>
      <c r="FT15" s="107">
        <v>10</v>
      </c>
      <c r="FU15" s="107">
        <v>10</v>
      </c>
      <c r="FW15" s="107">
        <v>10</v>
      </c>
      <c r="FX15" s="107">
        <v>10</v>
      </c>
      <c r="FY15" s="107">
        <v>10</v>
      </c>
      <c r="GB15" s="107">
        <v>10</v>
      </c>
      <c r="GC15" s="107">
        <v>10</v>
      </c>
      <c r="GD15" s="107">
        <v>10</v>
      </c>
      <c r="GF15" s="107">
        <v>10</v>
      </c>
      <c r="GG15" s="107">
        <v>10</v>
      </c>
      <c r="GH15" s="107">
        <v>10</v>
      </c>
      <c r="GI15" s="107">
        <v>10</v>
      </c>
      <c r="GJ15" s="107">
        <v>10</v>
      </c>
      <c r="GK15" s="107">
        <v>10</v>
      </c>
      <c r="GL15" s="107">
        <v>10</v>
      </c>
      <c r="GM15" s="107">
        <v>10</v>
      </c>
      <c r="GN15" s="107">
        <v>10</v>
      </c>
      <c r="GO15" s="107">
        <v>10</v>
      </c>
      <c r="GP15" s="107">
        <v>10</v>
      </c>
      <c r="GQ15" s="107">
        <v>10</v>
      </c>
      <c r="GR15" s="107">
        <v>10</v>
      </c>
      <c r="GS15" s="107">
        <v>10</v>
      </c>
      <c r="GT15" s="107">
        <v>10</v>
      </c>
      <c r="GU15" s="107">
        <v>10</v>
      </c>
      <c r="GV15" s="107">
        <v>10</v>
      </c>
      <c r="GW15" s="107">
        <v>10</v>
      </c>
      <c r="GX15" s="107">
        <v>10</v>
      </c>
      <c r="GY15" s="107">
        <v>10</v>
      </c>
      <c r="GZ15" s="107">
        <v>10</v>
      </c>
      <c r="HA15" s="107">
        <v>10</v>
      </c>
      <c r="HB15" s="107">
        <v>10</v>
      </c>
      <c r="HC15" s="107">
        <v>10</v>
      </c>
      <c r="HD15" s="107">
        <v>10</v>
      </c>
      <c r="HE15" s="107">
        <v>10</v>
      </c>
      <c r="HF15" s="107">
        <v>10</v>
      </c>
      <c r="HG15" s="107">
        <v>10</v>
      </c>
      <c r="HH15" s="107">
        <v>10</v>
      </c>
      <c r="HJ15" s="107">
        <v>10</v>
      </c>
      <c r="HK15" s="107">
        <v>10</v>
      </c>
      <c r="HL15" s="107">
        <v>10</v>
      </c>
      <c r="IG15" s="107">
        <v>10</v>
      </c>
      <c r="IU15" s="107">
        <v>10</v>
      </c>
      <c r="IV15" s="107">
        <v>10</v>
      </c>
      <c r="IW15" s="107">
        <v>10</v>
      </c>
      <c r="IZ15" s="107">
        <v>10</v>
      </c>
      <c r="JA15" s="107">
        <v>10</v>
      </c>
      <c r="JD15" s="107">
        <v>10</v>
      </c>
      <c r="JE15" s="107">
        <v>10</v>
      </c>
      <c r="JF15" s="107">
        <v>10</v>
      </c>
      <c r="JH15" s="107">
        <v>10</v>
      </c>
      <c r="JI15" s="107">
        <v>10</v>
      </c>
      <c r="JJ15" s="107">
        <v>10</v>
      </c>
      <c r="JK15" s="107">
        <v>10</v>
      </c>
      <c r="JL15" s="107">
        <v>10</v>
      </c>
      <c r="JM15" s="107">
        <v>10</v>
      </c>
      <c r="JN15" s="107">
        <v>10</v>
      </c>
      <c r="JO15" s="107">
        <v>10</v>
      </c>
      <c r="JP15" s="107">
        <v>10</v>
      </c>
      <c r="JQ15" s="107">
        <v>10</v>
      </c>
      <c r="JR15" s="107">
        <v>10</v>
      </c>
      <c r="JS15" s="107">
        <v>10</v>
      </c>
      <c r="JT15" s="107">
        <v>10</v>
      </c>
      <c r="JU15" s="107">
        <v>10</v>
      </c>
      <c r="JV15" s="107">
        <v>10</v>
      </c>
      <c r="JW15" s="107">
        <v>10</v>
      </c>
      <c r="JX15" s="107">
        <v>10</v>
      </c>
      <c r="JY15" s="107">
        <v>10</v>
      </c>
      <c r="JZ15" s="107">
        <v>10</v>
      </c>
      <c r="KA15" s="107">
        <v>10</v>
      </c>
      <c r="KB15" s="107">
        <v>10</v>
      </c>
      <c r="KC15" s="107">
        <v>10</v>
      </c>
      <c r="KD15" s="107">
        <v>10</v>
      </c>
      <c r="KE15" s="107">
        <v>10</v>
      </c>
      <c r="KF15" s="107">
        <v>10</v>
      </c>
      <c r="KG15" s="107">
        <v>10</v>
      </c>
      <c r="KH15" s="107">
        <v>10</v>
      </c>
      <c r="KI15" s="107">
        <v>10</v>
      </c>
      <c r="KJ15" s="107">
        <v>10</v>
      </c>
      <c r="KL15" s="107">
        <v>10</v>
      </c>
      <c r="KM15" s="107">
        <v>10</v>
      </c>
      <c r="KN15" s="107">
        <v>10</v>
      </c>
      <c r="LI15" s="107">
        <v>10</v>
      </c>
      <c r="LW15" s="107">
        <v>10</v>
      </c>
      <c r="LX15" s="107">
        <v>10</v>
      </c>
      <c r="LY15" s="107">
        <v>10</v>
      </c>
      <c r="MA15" s="107">
        <v>10</v>
      </c>
      <c r="MB15" s="107">
        <v>10</v>
      </c>
      <c r="MF15" s="107">
        <v>10</v>
      </c>
      <c r="MG15" s="107">
        <v>10</v>
      </c>
      <c r="MH15" s="107">
        <v>10</v>
      </c>
      <c r="MJ15" s="107">
        <v>10</v>
      </c>
      <c r="MK15" s="107">
        <v>10</v>
      </c>
      <c r="ML15" s="107">
        <v>10</v>
      </c>
      <c r="MM15" s="107">
        <v>10</v>
      </c>
      <c r="MN15" s="107">
        <v>10</v>
      </c>
      <c r="MO15" s="107">
        <v>10</v>
      </c>
      <c r="MP15" s="107">
        <v>10</v>
      </c>
      <c r="MQ15" s="107">
        <v>10</v>
      </c>
      <c r="MR15" s="107">
        <v>10</v>
      </c>
      <c r="MS15" s="107">
        <v>10</v>
      </c>
      <c r="MT15" s="107">
        <v>10</v>
      </c>
      <c r="MU15" s="107">
        <v>10</v>
      </c>
      <c r="MV15" s="107">
        <v>10</v>
      </c>
      <c r="MW15" s="107">
        <v>10</v>
      </c>
      <c r="MX15" s="107">
        <v>10</v>
      </c>
      <c r="MY15" s="107">
        <v>10</v>
      </c>
      <c r="MZ15" s="107">
        <v>10</v>
      </c>
      <c r="NA15" s="107">
        <v>10</v>
      </c>
      <c r="NB15" s="107">
        <v>10</v>
      </c>
      <c r="NC15" s="107">
        <v>10</v>
      </c>
      <c r="ND15" s="107">
        <v>10</v>
      </c>
      <c r="NE15" s="107">
        <v>10</v>
      </c>
      <c r="NF15" s="107">
        <v>10</v>
      </c>
      <c r="NG15" s="107">
        <v>10</v>
      </c>
      <c r="NH15" s="107">
        <v>10</v>
      </c>
      <c r="NI15" s="107">
        <v>10</v>
      </c>
      <c r="NJ15" s="107">
        <v>10</v>
      </c>
      <c r="NK15" s="107">
        <v>10</v>
      </c>
      <c r="NL15" s="107">
        <v>10</v>
      </c>
      <c r="NM15" s="107">
        <v>10</v>
      </c>
      <c r="NN15" s="107">
        <v>10</v>
      </c>
      <c r="NP15" s="107">
        <v>10</v>
      </c>
      <c r="NQ15" s="107">
        <v>10</v>
      </c>
      <c r="NR15" s="107">
        <v>10</v>
      </c>
      <c r="OK15" s="107">
        <v>10</v>
      </c>
      <c r="OY15" s="107">
        <v>10</v>
      </c>
      <c r="OZ15" s="107">
        <v>10</v>
      </c>
      <c r="PA15" s="107">
        <v>10</v>
      </c>
      <c r="PC15" s="107">
        <v>10</v>
      </c>
      <c r="PD15" s="107">
        <v>10</v>
      </c>
      <c r="PE15" s="107">
        <v>10</v>
      </c>
      <c r="PH15" s="107">
        <v>10</v>
      </c>
      <c r="PI15" s="107">
        <v>10</v>
      </c>
      <c r="PJ15" s="107">
        <v>10</v>
      </c>
      <c r="PL15" s="107">
        <v>10</v>
      </c>
      <c r="PM15" s="107">
        <v>10</v>
      </c>
      <c r="PN15" s="107">
        <v>10</v>
      </c>
      <c r="PO15" s="107">
        <v>10</v>
      </c>
      <c r="PP15" s="107">
        <v>10</v>
      </c>
      <c r="PQ15" s="107">
        <v>10</v>
      </c>
      <c r="PR15" s="107">
        <v>10</v>
      </c>
      <c r="PS15" s="107">
        <v>10</v>
      </c>
      <c r="PT15" s="107">
        <v>10</v>
      </c>
      <c r="PU15" s="107">
        <v>10</v>
      </c>
      <c r="PV15" s="107">
        <v>10</v>
      </c>
      <c r="PW15" s="107">
        <v>10</v>
      </c>
      <c r="PX15" s="107">
        <v>10</v>
      </c>
      <c r="PY15" s="107">
        <v>10</v>
      </c>
      <c r="PZ15" s="107">
        <v>10</v>
      </c>
      <c r="QA15" s="107">
        <v>10</v>
      </c>
      <c r="QB15" s="107">
        <v>10</v>
      </c>
      <c r="QC15" s="107">
        <v>10</v>
      </c>
      <c r="QD15" s="107">
        <v>10</v>
      </c>
      <c r="QE15" s="107">
        <v>10</v>
      </c>
      <c r="QF15" s="107">
        <v>10</v>
      </c>
      <c r="QG15" s="107">
        <v>10</v>
      </c>
      <c r="QH15" s="107">
        <v>10</v>
      </c>
      <c r="QI15" s="107">
        <v>10</v>
      </c>
      <c r="QJ15" s="107">
        <v>10</v>
      </c>
      <c r="QK15" s="107">
        <v>10</v>
      </c>
      <c r="QL15" s="107">
        <v>10</v>
      </c>
      <c r="QM15" s="107">
        <v>10</v>
      </c>
      <c r="QN15" s="107">
        <v>10</v>
      </c>
      <c r="QO15" s="107">
        <v>10</v>
      </c>
      <c r="QP15" s="107">
        <v>10</v>
      </c>
      <c r="QR15" s="107">
        <v>10</v>
      </c>
      <c r="QS15" s="107">
        <v>10</v>
      </c>
      <c r="QT15" s="107">
        <v>10</v>
      </c>
      <c r="RM15" s="107">
        <v>10</v>
      </c>
      <c r="SA15" s="107">
        <v>10</v>
      </c>
      <c r="SB15" s="107">
        <v>10</v>
      </c>
      <c r="SC15" s="107">
        <v>10</v>
      </c>
      <c r="SE15" s="107">
        <v>10</v>
      </c>
      <c r="SF15" s="107">
        <v>10</v>
      </c>
      <c r="SG15" s="107">
        <v>10</v>
      </c>
      <c r="SJ15" s="107">
        <v>10</v>
      </c>
      <c r="SK15" s="107">
        <v>10</v>
      </c>
      <c r="SL15" s="107">
        <v>10</v>
      </c>
      <c r="SN15" s="107">
        <v>10</v>
      </c>
      <c r="SO15" s="107">
        <v>10</v>
      </c>
      <c r="SP15" s="107">
        <v>10</v>
      </c>
      <c r="SQ15" s="107">
        <v>10</v>
      </c>
      <c r="SR15" s="107">
        <v>10</v>
      </c>
      <c r="SS15" s="107">
        <v>10</v>
      </c>
      <c r="ST15" s="107">
        <v>10</v>
      </c>
      <c r="SU15" s="107">
        <v>10</v>
      </c>
      <c r="SV15" s="107">
        <v>10</v>
      </c>
      <c r="SW15" s="107">
        <v>10</v>
      </c>
      <c r="SX15" s="107">
        <v>10</v>
      </c>
      <c r="SY15" s="107">
        <v>10</v>
      </c>
      <c r="SZ15" s="107">
        <v>10</v>
      </c>
      <c r="TA15" s="107">
        <v>10</v>
      </c>
      <c r="TB15" s="107">
        <v>10</v>
      </c>
      <c r="TC15" s="107">
        <v>10</v>
      </c>
      <c r="TD15" s="107">
        <v>10</v>
      </c>
      <c r="TE15" s="107">
        <v>10</v>
      </c>
      <c r="TF15" s="107">
        <v>10</v>
      </c>
      <c r="TG15" s="107">
        <v>10</v>
      </c>
      <c r="TH15" s="107">
        <v>10</v>
      </c>
      <c r="TI15" s="107">
        <v>10</v>
      </c>
      <c r="TJ15" s="107">
        <v>10</v>
      </c>
      <c r="TK15" s="107">
        <v>10</v>
      </c>
      <c r="TL15" s="107">
        <v>10</v>
      </c>
      <c r="TM15" s="107">
        <v>10</v>
      </c>
      <c r="TN15" s="107">
        <v>10</v>
      </c>
      <c r="TO15" s="107">
        <v>10</v>
      </c>
      <c r="TP15" s="107">
        <v>10</v>
      </c>
      <c r="TQ15" s="107">
        <v>10</v>
      </c>
      <c r="TR15" s="107">
        <v>10</v>
      </c>
      <c r="TT15" s="107">
        <v>10</v>
      </c>
      <c r="TU15" s="107">
        <v>10</v>
      </c>
      <c r="TV15" s="107">
        <v>10</v>
      </c>
      <c r="UO15" s="107">
        <v>10</v>
      </c>
      <c r="VC15" s="107">
        <v>10</v>
      </c>
      <c r="VD15" s="107">
        <v>10</v>
      </c>
      <c r="VF15" s="107">
        <v>10</v>
      </c>
      <c r="VG15" s="107">
        <v>10</v>
      </c>
      <c r="VH15" s="107">
        <v>10</v>
      </c>
      <c r="VK15" s="107">
        <v>10</v>
      </c>
      <c r="VL15" s="107">
        <v>10</v>
      </c>
      <c r="VM15" s="107">
        <v>10</v>
      </c>
      <c r="VO15" s="107">
        <v>10</v>
      </c>
      <c r="VP15" s="107">
        <v>10</v>
      </c>
      <c r="VQ15" s="107">
        <v>10</v>
      </c>
      <c r="VR15" s="107">
        <v>10</v>
      </c>
      <c r="VS15" s="107">
        <v>10</v>
      </c>
      <c r="VT15" s="107">
        <v>10</v>
      </c>
      <c r="VU15" s="107">
        <v>10</v>
      </c>
      <c r="VV15" s="107">
        <v>10</v>
      </c>
      <c r="VW15" s="107">
        <v>10</v>
      </c>
      <c r="VX15" s="107">
        <v>10</v>
      </c>
      <c r="VY15" s="107">
        <v>10</v>
      </c>
      <c r="VZ15" s="107">
        <v>10</v>
      </c>
      <c r="WA15" s="107">
        <v>10</v>
      </c>
      <c r="WB15" s="107">
        <v>10</v>
      </c>
      <c r="WC15" s="107">
        <v>10</v>
      </c>
      <c r="WD15" s="107">
        <v>10</v>
      </c>
      <c r="WE15" s="107">
        <v>10</v>
      </c>
      <c r="WF15" s="107">
        <v>10</v>
      </c>
      <c r="WG15" s="107">
        <v>10</v>
      </c>
      <c r="WH15" s="107">
        <v>10</v>
      </c>
      <c r="WI15" s="107">
        <v>10</v>
      </c>
      <c r="WJ15" s="107">
        <v>10</v>
      </c>
      <c r="WK15" s="107">
        <v>10</v>
      </c>
      <c r="WL15" s="107">
        <v>10</v>
      </c>
      <c r="WM15" s="107">
        <v>10</v>
      </c>
      <c r="WN15" s="107">
        <v>10</v>
      </c>
      <c r="WO15" s="107">
        <v>10</v>
      </c>
      <c r="WP15" s="107">
        <v>10</v>
      </c>
      <c r="WQ15" s="107">
        <v>10</v>
      </c>
      <c r="WR15" s="107">
        <v>10</v>
      </c>
      <c r="WS15" s="107">
        <v>10</v>
      </c>
      <c r="WU15" s="107">
        <v>10</v>
      </c>
      <c r="WV15" s="107">
        <v>10</v>
      </c>
      <c r="WW15" s="107">
        <v>10</v>
      </c>
      <c r="XQ15" s="107">
        <v>10</v>
      </c>
      <c r="YE15" s="107">
        <v>10</v>
      </c>
      <c r="YF15" s="107">
        <v>10</v>
      </c>
      <c r="YH15" s="107">
        <v>10</v>
      </c>
      <c r="YI15" s="107">
        <v>10</v>
      </c>
      <c r="YJ15" s="107">
        <v>10</v>
      </c>
      <c r="YM15" s="107">
        <v>10</v>
      </c>
      <c r="YN15" s="107">
        <v>10</v>
      </c>
      <c r="YO15" s="107">
        <v>10</v>
      </c>
      <c r="YQ15" s="107">
        <v>10</v>
      </c>
      <c r="YR15" s="107">
        <v>10</v>
      </c>
      <c r="YS15" s="107">
        <v>10</v>
      </c>
      <c r="YT15" s="107">
        <v>10</v>
      </c>
      <c r="YU15" s="107">
        <v>10</v>
      </c>
      <c r="YV15" s="107">
        <v>10</v>
      </c>
      <c r="YW15" s="107">
        <v>10</v>
      </c>
      <c r="YX15" s="107">
        <v>10</v>
      </c>
      <c r="YY15" s="107">
        <v>10</v>
      </c>
      <c r="YZ15" s="107">
        <v>10</v>
      </c>
      <c r="ZA15" s="107">
        <v>10</v>
      </c>
      <c r="ZB15" s="107">
        <v>10</v>
      </c>
      <c r="ZC15" s="107">
        <v>10</v>
      </c>
      <c r="ZD15" s="107">
        <v>10</v>
      </c>
      <c r="ZE15" s="107">
        <v>10</v>
      </c>
      <c r="ZF15" s="107">
        <v>10</v>
      </c>
      <c r="ZG15" s="107">
        <v>10</v>
      </c>
      <c r="ZH15" s="107">
        <v>10</v>
      </c>
      <c r="ZI15" s="107">
        <v>10</v>
      </c>
      <c r="ZJ15" s="107">
        <v>10</v>
      </c>
      <c r="ZK15" s="107">
        <v>10</v>
      </c>
      <c r="ZL15" s="107">
        <v>10</v>
      </c>
      <c r="ZM15" s="107">
        <v>10</v>
      </c>
      <c r="ZN15" s="107">
        <v>10</v>
      </c>
      <c r="ZO15" s="107">
        <v>10</v>
      </c>
      <c r="ZP15" s="107">
        <v>10</v>
      </c>
      <c r="ZQ15" s="107">
        <v>10</v>
      </c>
      <c r="ZR15" s="107">
        <v>10</v>
      </c>
      <c r="ZS15" s="107">
        <v>10</v>
      </c>
      <c r="ZU15" s="107">
        <v>10</v>
      </c>
      <c r="ZV15" s="107">
        <v>10</v>
      </c>
      <c r="ZW15" s="107">
        <v>10</v>
      </c>
      <c r="AAS15" s="107">
        <v>10</v>
      </c>
      <c r="ABG15" s="107">
        <v>10</v>
      </c>
      <c r="ABH15" s="107">
        <v>10</v>
      </c>
      <c r="ABJ15" s="107">
        <v>10</v>
      </c>
      <c r="ABK15" s="107">
        <v>10</v>
      </c>
      <c r="ABN15" s="107">
        <v>10</v>
      </c>
      <c r="ABO15" s="107">
        <v>10</v>
      </c>
      <c r="ABP15" s="107">
        <v>10</v>
      </c>
      <c r="ABR15" s="107">
        <v>10</v>
      </c>
      <c r="ABS15" s="107">
        <v>10</v>
      </c>
      <c r="ABT15" s="107">
        <v>10</v>
      </c>
      <c r="ABU15" s="107">
        <v>10</v>
      </c>
      <c r="ABV15" s="107">
        <v>10</v>
      </c>
      <c r="ABW15" s="107">
        <v>10</v>
      </c>
      <c r="ABX15" s="107">
        <v>10</v>
      </c>
      <c r="ABY15" s="107">
        <v>10</v>
      </c>
      <c r="ABZ15" s="107">
        <v>10</v>
      </c>
      <c r="ACA15" s="107">
        <v>10</v>
      </c>
      <c r="ACB15" s="107">
        <v>10</v>
      </c>
      <c r="ACC15" s="107">
        <v>10</v>
      </c>
      <c r="ACD15" s="107">
        <v>10</v>
      </c>
      <c r="ACE15" s="107">
        <v>10</v>
      </c>
      <c r="ACF15" s="107">
        <v>10</v>
      </c>
      <c r="ACG15" s="107">
        <v>10</v>
      </c>
      <c r="ACH15" s="107">
        <v>10</v>
      </c>
      <c r="ACI15" s="107">
        <v>10</v>
      </c>
      <c r="ACJ15" s="107">
        <v>10</v>
      </c>
      <c r="ACK15" s="107">
        <v>10</v>
      </c>
      <c r="ACL15" s="107">
        <v>10</v>
      </c>
      <c r="ACM15" s="107">
        <v>10</v>
      </c>
      <c r="ACN15" s="107">
        <v>10</v>
      </c>
      <c r="ACO15" s="107">
        <v>10</v>
      </c>
      <c r="ACP15" s="107">
        <v>10</v>
      </c>
      <c r="ACQ15" s="107">
        <v>10</v>
      </c>
      <c r="ACR15" s="107">
        <v>10</v>
      </c>
      <c r="ACS15" s="107">
        <v>10</v>
      </c>
      <c r="ACT15" s="107">
        <v>10</v>
      </c>
      <c r="ACV15" s="107">
        <v>10</v>
      </c>
      <c r="ACW15" s="107">
        <v>10</v>
      </c>
      <c r="ACX15" s="107">
        <v>10</v>
      </c>
      <c r="ADU15" s="107">
        <v>10</v>
      </c>
      <c r="AEH15" s="107">
        <v>10</v>
      </c>
      <c r="AEI15" s="107">
        <v>10</v>
      </c>
      <c r="AEK15" s="107">
        <v>10</v>
      </c>
      <c r="AEL15" s="107">
        <v>10</v>
      </c>
      <c r="AEO15" s="107">
        <v>10</v>
      </c>
      <c r="AEP15" s="107">
        <v>10</v>
      </c>
      <c r="AEQ15" s="107">
        <v>10</v>
      </c>
      <c r="AES15" s="107">
        <v>10</v>
      </c>
      <c r="AET15" s="107">
        <v>10</v>
      </c>
      <c r="AEU15" s="107">
        <v>10</v>
      </c>
      <c r="AEV15" s="107">
        <v>10</v>
      </c>
      <c r="AEW15" s="107">
        <v>10</v>
      </c>
      <c r="AEX15" s="107">
        <v>10</v>
      </c>
      <c r="AEY15" s="107">
        <v>10</v>
      </c>
      <c r="AEZ15" s="107">
        <v>10</v>
      </c>
      <c r="AFA15" s="107">
        <v>10</v>
      </c>
      <c r="AFB15" s="107">
        <v>10</v>
      </c>
      <c r="AFC15" s="107">
        <v>10</v>
      </c>
      <c r="AFD15" s="107">
        <v>10</v>
      </c>
      <c r="AFE15" s="107">
        <v>10</v>
      </c>
      <c r="AFF15" s="107">
        <v>10</v>
      </c>
      <c r="AFG15" s="107">
        <v>10</v>
      </c>
      <c r="AFH15" s="107">
        <v>10</v>
      </c>
      <c r="AFI15" s="107">
        <v>10</v>
      </c>
      <c r="AFJ15" s="107">
        <v>10</v>
      </c>
      <c r="AFK15" s="107">
        <v>10</v>
      </c>
      <c r="AFL15" s="107">
        <v>10</v>
      </c>
      <c r="AFM15" s="107">
        <v>10</v>
      </c>
      <c r="AFN15" s="107">
        <v>10</v>
      </c>
      <c r="AFO15" s="107">
        <v>10</v>
      </c>
      <c r="AFP15" s="107">
        <v>10</v>
      </c>
      <c r="AFQ15" s="107">
        <v>10</v>
      </c>
      <c r="AFR15" s="107">
        <v>10</v>
      </c>
      <c r="AFS15" s="107">
        <v>10</v>
      </c>
      <c r="AFT15" s="107">
        <v>10</v>
      </c>
      <c r="AFU15" s="107">
        <v>10</v>
      </c>
      <c r="AFW15" s="107">
        <v>10</v>
      </c>
      <c r="AFX15" s="107">
        <v>10</v>
      </c>
      <c r="AFY15" s="107">
        <v>10</v>
      </c>
      <c r="AGW15" s="107">
        <v>10</v>
      </c>
      <c r="AHJ15" s="107">
        <v>10</v>
      </c>
      <c r="AHK15" s="107">
        <v>10</v>
      </c>
      <c r="AHM15" s="107">
        <v>10</v>
      </c>
      <c r="AHN15" s="107">
        <v>10</v>
      </c>
      <c r="AHQ15" s="107">
        <v>10</v>
      </c>
      <c r="AHR15" s="107">
        <v>10</v>
      </c>
      <c r="AHS15" s="107">
        <v>10</v>
      </c>
      <c r="AHU15" s="107">
        <v>10</v>
      </c>
      <c r="AHV15" s="107">
        <v>10</v>
      </c>
      <c r="AHW15" s="107">
        <v>10</v>
      </c>
      <c r="AHX15" s="107">
        <v>10</v>
      </c>
      <c r="AHY15" s="107">
        <v>10</v>
      </c>
      <c r="AHZ15" s="107">
        <v>10</v>
      </c>
      <c r="AIA15" s="107">
        <v>10</v>
      </c>
      <c r="AIB15" s="107">
        <v>10</v>
      </c>
      <c r="AIC15" s="107">
        <v>10</v>
      </c>
      <c r="AID15" s="107">
        <v>10</v>
      </c>
      <c r="AIE15" s="107">
        <v>10</v>
      </c>
      <c r="AIF15" s="107">
        <v>10</v>
      </c>
      <c r="AIG15" s="107">
        <v>10</v>
      </c>
      <c r="AIH15" s="107">
        <v>10</v>
      </c>
      <c r="AII15" s="107">
        <v>10</v>
      </c>
      <c r="AIJ15" s="107">
        <v>10</v>
      </c>
      <c r="AIK15" s="107">
        <v>10</v>
      </c>
      <c r="AIL15" s="107">
        <v>10</v>
      </c>
      <c r="AIM15" s="107">
        <v>10</v>
      </c>
      <c r="AIN15" s="107">
        <v>10</v>
      </c>
      <c r="AIO15" s="107">
        <v>10</v>
      </c>
      <c r="AIP15" s="107">
        <v>10</v>
      </c>
      <c r="AIQ15" s="107">
        <v>10</v>
      </c>
      <c r="AIR15" s="107">
        <v>10</v>
      </c>
      <c r="AIS15" s="107">
        <v>10</v>
      </c>
      <c r="AIT15" s="107">
        <v>10</v>
      </c>
      <c r="AIU15" s="107">
        <v>10</v>
      </c>
      <c r="AIV15" s="107">
        <v>10</v>
      </c>
      <c r="AIW15" s="107">
        <v>10</v>
      </c>
      <c r="AIY15" s="107">
        <v>10</v>
      </c>
      <c r="AIZ15" s="107">
        <v>10</v>
      </c>
    </row>
  </sheetData>
  <sheetProtection algorithmName="SHA-512" hashValue="HcyXg55v8YhKSk7gdGxT3LJkHrKNOprBIuBKSgbNsfMe7/uVz4IQKnuEfGM45SobRTA18GTuITsJ9AFvf2wLdg==" saltValue="6P2t4kvFuUg/9XshvrqnEQ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5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469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470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470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471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472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473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474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475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476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469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479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480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481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482</v>
      </c>
      <c r="D17" t="s">
        <v>483</v>
      </c>
      <c r="E17" t="s">
        <v>4</v>
      </c>
    </row>
    <row r="18" spans="1:5">
      <c r="A18">
        <v>2026</v>
      </c>
      <c r="B18">
        <v>4</v>
      </c>
      <c r="C18" t="s">
        <v>484</v>
      </c>
      <c r="D18" t="s">
        <v>483</v>
      </c>
      <c r="E18" t="s">
        <v>5</v>
      </c>
    </row>
    <row r="19" spans="1:5">
      <c r="A19">
        <v>2026</v>
      </c>
      <c r="B19">
        <v>1</v>
      </c>
      <c r="C19" t="s">
        <v>482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482</v>
      </c>
      <c r="D20" t="s">
        <v>483</v>
      </c>
      <c r="E20" t="s">
        <v>2</v>
      </c>
    </row>
    <row r="21" spans="1:5">
      <c r="A21">
        <v>2026</v>
      </c>
      <c r="B21">
        <v>1</v>
      </c>
      <c r="C21" t="s">
        <v>480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486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486</v>
      </c>
      <c r="D23" t="s">
        <v>483</v>
      </c>
      <c r="E23" t="s">
        <v>10</v>
      </c>
    </row>
    <row r="24" spans="1:5">
      <c r="A24">
        <v>2026</v>
      </c>
      <c r="B24">
        <v>6</v>
      </c>
      <c r="C24" t="s">
        <v>487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488</v>
      </c>
      <c r="D25" t="s">
        <v>483</v>
      </c>
      <c r="E25" t="s">
        <v>13</v>
      </c>
    </row>
  </sheetData>
  <sheetProtection algorithmName="SHA-512" hashValue="AOvHBkHFsEeIlwqyVfHqZURMpj5jkFbAPWQw6OI50gjc+OHVxY23vTNaF6OHj/QreqE6ZVse9cYSnDuSyBpF/g==" saltValue="ogHVyfSwVruNevktoxs1q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721</vt:i4>
      </vt:variant>
    </vt:vector>
  </HeadingPairs>
  <TitlesOfParts>
    <vt:vector size="738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2026-05-22T10:59:42Z</dcterms:modified>
  <cp:category/>
  <cp:contentStatus/>
</cp:coreProperties>
</file>
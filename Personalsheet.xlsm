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03D7E246-11F1-A845-BE83-BE0E07B45CAA}" xr6:coauthVersionLast="47" xr6:coauthVersionMax="47" xr10:uidLastSave="{00000000-0000-0000-0000-000000000000}"/>
  <bookViews>
    <workbookView xWindow="80" yWindow="780" windowWidth="34040" windowHeight="19900" tabRatio="677" firstSheet="2" activeTab="5"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59">KV_DROPDOWN_HELPER!$KK$1:$KK$13</definedName>
    <definedName name="KV_DD_APRIL_6">KV_DROPDOWN_HELPER!$IJ$1:$IJ$13</definedName>
    <definedName name="KV_DD_APRIL_60">KV_DROPDOWN_HELPER!$KL$1:$KL$13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58">KV_DROPDOWN_HELPER!$WR$1:$WR$13</definedName>
    <definedName name="KV_DD_AUGUST_59">KV_DROPDOWN_HELPER!$WS$1:$WS$13</definedName>
    <definedName name="KV_DD_AUGUST_6">KV_DROPDOWN_HELPER!$UR$1:$UR$13</definedName>
    <definedName name="KV_DD_AUGUST_60">KV_DROPDOWN_HELPER!$WT$1:$WT$13</definedName>
    <definedName name="KV_DD_AUGUST_61">KV_DROPDOWN_HELPER!$WU$1:$WU$13</definedName>
    <definedName name="KV_DD_AUGUST_62">KV_DROPDOWN_HELPER!$WV$1:$WV$13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57">KV_DROPDOWN_HELPER!$AIY$1:$AIY$13</definedName>
    <definedName name="KV_DD_DEZEMBER_58">KV_DROPDOWN_HELPER!$AIZ$1:$AIZ$13</definedName>
    <definedName name="KV_DD_DEZEMBER_59">KV_DROPDOWN_HELPER!$AJA$1:$AJA$13</definedName>
    <definedName name="KV_DD_DEZEMBER_6">KV_DROPDOWN_HELPER!$AGZ$1:$AGZ$13</definedName>
    <definedName name="KV_DD_DEZEMBER_60">KV_DROPDOWN_HELPER!$AJB$1:$AJB$13</definedName>
    <definedName name="KV_DD_DEZEMBER_61">KV_DROPDOWN_HELPER!$AJC$1:$AJC$13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58">KV_DROPDOWN_HELPER!$TP$1:$TP$13</definedName>
    <definedName name="KV_DD_JULI_59">KV_DROPDOWN_HELPER!$TQ$1:$TQ$13</definedName>
    <definedName name="KV_DD_JULI_6">KV_DROPDOWN_HELPER!$RP$1:$RP$13</definedName>
    <definedName name="KV_DD_JULI_60">KV_DROPDOWN_HELPER!$TR$1:$TR$13</definedName>
    <definedName name="KV_DD_JULI_61">KV_DROPDOWN_HELPER!$TS$1:$TS$13</definedName>
    <definedName name="KV_DD_JULI_62">KV_DROPDOWN_HELPER!$TT$1:$TT$13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58">KV_DROPDOWN_HELPER!$QN$1:$QN$13</definedName>
    <definedName name="KV_DD_JUNI_59">KV_DROPDOWN_HELPER!$QO$1:$QO$13</definedName>
    <definedName name="KV_DD_JUNI_6">KV_DROPDOWN_HELPER!$ON$1:$ON$13</definedName>
    <definedName name="KV_DD_JUNI_60">KV_DROPDOWN_HELPER!$QP$1:$QP$13</definedName>
    <definedName name="KV_DD_JUNI_61">KV_DROPDOWN_HELPER!$QQ$1:$QQ$13</definedName>
    <definedName name="KV_DD_JUNI_62">KV_DROPDOWN_HELPER!$QR$1:$QR$13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58">KV_DROPDOWN_HELPER!$NL$1:$NL$13</definedName>
    <definedName name="KV_DD_MAI_59">KV_DROPDOWN_HELPER!$NM$1:$NM$13</definedName>
    <definedName name="KV_DD_MAI_6">KV_DROPDOWN_HELPER!$LL$1:$LL$13</definedName>
    <definedName name="KV_DD_MAI_60">KV_DROPDOWN_HELPER!$NN$1:$NN$13</definedName>
    <definedName name="KV_DD_MAI_61">KV_DROPDOWN_HELPER!$NO$1:$NO$13</definedName>
    <definedName name="KV_DD_MAI_62">KV_DROPDOWN_HELPER!$NP$1:$NP$13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57">KV_DROPDOWN_HELPER!$AFW$1:$AFW$13</definedName>
    <definedName name="KV_DD_NOVEMBER_58">KV_DROPDOWN_HELPER!$AFX$1:$AFX$13</definedName>
    <definedName name="KV_DD_NOVEMBER_59">KV_DROPDOWN_HELPER!$AFY$1:$AFY$13</definedName>
    <definedName name="KV_DD_NOVEMBER_6">KV_DROPDOWN_HELPER!$ADX$1:$ADX$13</definedName>
    <definedName name="KV_DD_NOVEMBER_60">KV_DROPDOWN_HELPER!$AFZ$1:$AFZ$13</definedName>
    <definedName name="KV_DD_NOVEMBER_61">KV_DROPDOWN_HELPER!$AGA$1:$AGA$13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57">KV_DROPDOWN_HELPER!$ACU$1:$ACU$13</definedName>
    <definedName name="KV_DD_OKTOBER_58">KV_DROPDOWN_HELPER!$ACV$1:$ACV$13</definedName>
    <definedName name="KV_DD_OKTOBER_59">KV_DROPDOWN_HELPER!$ACW$1:$ACW$13</definedName>
    <definedName name="KV_DD_OKTOBER_6">KV_DROPDOWN_HELPER!$AAV$1:$AAV$13</definedName>
    <definedName name="KV_DD_OKTOBER_60">KV_DROPDOWN_HELPER!$ACX$1:$ACX$13</definedName>
    <definedName name="KV_DD_OKTOBER_61">KV_DROPDOWN_HELPER!$ACY$1:$ACY$13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57">KV_DROPDOWN_HELPER!$ZS$1:$ZS$13</definedName>
    <definedName name="KV_DD_SEPTEMBER_58">KV_DROPDOWN_HELPER!$ZT$1:$ZT$13</definedName>
    <definedName name="KV_DD_SEPTEMBER_59">KV_DROPDOWN_HELPER!$ZU$1:$ZU$13</definedName>
    <definedName name="KV_DD_SEPTEMBER_6">KV_DROPDOWN_HELPER!$XT$1:$XT$13</definedName>
    <definedName name="KV_DD_SEPTEMBER_60">KV_DROPDOWN_HELPER!$ZV$1:$ZV$13</definedName>
    <definedName name="KV_DD_SEPTEMBER_61">KV_DROPDOWN_HELPER!$ZW$1:$ZW$13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3" i="30"/>
  <c r="L3" i="30" s="1"/>
  <c r="K4" i="30"/>
  <c r="L4" i="30" s="1"/>
  <c r="K5" i="30"/>
  <c r="L5" i="30" s="1"/>
  <c r="K6" i="30"/>
  <c r="L6" i="30" s="1"/>
  <c r="K7" i="30"/>
  <c r="L7" i="30" s="1"/>
  <c r="K8" i="30"/>
  <c r="L8" i="30" s="1"/>
  <c r="K9" i="30"/>
  <c r="L9" i="30" s="1"/>
  <c r="K10" i="30"/>
  <c r="L10" i="30" s="1"/>
  <c r="K11" i="30"/>
  <c r="L11" i="30" s="1"/>
  <c r="K12" i="30"/>
  <c r="L12" i="30" s="1"/>
  <c r="K13" i="30"/>
  <c r="L13" i="30" s="1"/>
  <c r="K14" i="30"/>
  <c r="L14" i="30" s="1"/>
  <c r="K15" i="30"/>
  <c r="L15" i="30" s="1"/>
  <c r="K16" i="30"/>
  <c r="L16" i="30" s="1"/>
  <c r="K17" i="30"/>
  <c r="L17" i="30" s="1"/>
  <c r="K18" i="30"/>
  <c r="L18" i="30" s="1"/>
  <c r="K19" i="30"/>
  <c r="L19" i="30" s="1"/>
  <c r="K20" i="30"/>
  <c r="L20" i="30" s="1"/>
  <c r="K21" i="30"/>
  <c r="L21" i="30" s="1"/>
  <c r="K22" i="30"/>
  <c r="L22" i="30" s="1"/>
  <c r="K23" i="30"/>
  <c r="L23" i="30" s="1"/>
  <c r="K24" i="30"/>
  <c r="L24" i="30" s="1"/>
  <c r="K25" i="30"/>
  <c r="L25" i="30" s="1"/>
  <c r="K26" i="30"/>
  <c r="L26" i="30" s="1"/>
  <c r="K27" i="30"/>
  <c r="L27" i="30" s="1"/>
  <c r="K28" i="30"/>
  <c r="L28" i="30" s="1"/>
  <c r="K29" i="30"/>
  <c r="L29" i="30" s="1"/>
  <c r="K30" i="30"/>
  <c r="L30" i="30" s="1"/>
  <c r="K31" i="30"/>
  <c r="L31" i="30" s="1"/>
  <c r="K32" i="30"/>
  <c r="L32" i="30" s="1"/>
  <c r="K33" i="30"/>
  <c r="L33" i="30" s="1"/>
  <c r="K34" i="30"/>
  <c r="L34" i="30" s="1"/>
  <c r="K35" i="30"/>
  <c r="L35" i="30" s="1"/>
  <c r="K36" i="30"/>
  <c r="L36" i="30" s="1"/>
  <c r="K37" i="30"/>
  <c r="L37" i="30" s="1"/>
  <c r="K38" i="30"/>
  <c r="L38" i="30" s="1"/>
  <c r="K39" i="30"/>
  <c r="L39" i="30" s="1"/>
  <c r="K40" i="30"/>
  <c r="L40" i="30" s="1"/>
  <c r="K41" i="30"/>
  <c r="L41" i="30" s="1"/>
  <c r="K42" i="30"/>
  <c r="L42" i="30" s="1"/>
  <c r="K43" i="30"/>
  <c r="L43" i="30" s="1"/>
  <c r="K44" i="30"/>
  <c r="L44" i="30" s="1"/>
  <c r="K45" i="30"/>
  <c r="L45" i="30" s="1"/>
  <c r="K46" i="30"/>
  <c r="L46" i="30" s="1"/>
  <c r="K47" i="30"/>
  <c r="L47" i="30" s="1"/>
  <c r="K48" i="30"/>
  <c r="L48" i="30" s="1"/>
  <c r="K49" i="30"/>
  <c r="L49" i="30" s="1"/>
  <c r="K50" i="30"/>
  <c r="L50" i="30" s="1"/>
  <c r="K51" i="30"/>
  <c r="L51" i="30" s="1"/>
  <c r="K52" i="30"/>
  <c r="L52" i="30" s="1"/>
  <c r="K53" i="30"/>
  <c r="L53" i="30" s="1"/>
  <c r="K54" i="30"/>
  <c r="L54" i="30" s="1"/>
  <c r="K55" i="30"/>
  <c r="L55" i="30" s="1"/>
  <c r="K56" i="30"/>
  <c r="L56" i="30" s="1"/>
  <c r="K57" i="30"/>
  <c r="L57" i="30" s="1"/>
  <c r="K58" i="30"/>
  <c r="L58" i="30" s="1"/>
  <c r="K59" i="30"/>
  <c r="L59" i="30" s="1"/>
  <c r="K60" i="30"/>
  <c r="L60" i="30" s="1"/>
  <c r="K61" i="30"/>
  <c r="L61" i="30" s="1"/>
  <c r="K62" i="30"/>
  <c r="L62" i="30" s="1"/>
  <c r="K63" i="30"/>
  <c r="L63" i="30" s="1"/>
  <c r="K64" i="30"/>
  <c r="L64" i="30" s="1"/>
  <c r="K65" i="30"/>
  <c r="L65" i="30" s="1"/>
  <c r="K66" i="30"/>
  <c r="L66" i="30" s="1"/>
  <c r="K67" i="30"/>
  <c r="L67" i="30" s="1"/>
  <c r="K68" i="30"/>
  <c r="L68" i="30" s="1"/>
  <c r="K69" i="30"/>
  <c r="L69" i="30" s="1"/>
  <c r="K70" i="30"/>
  <c r="L70" i="30" s="1"/>
  <c r="K71" i="30"/>
  <c r="L71" i="30" s="1"/>
  <c r="K72" i="30"/>
  <c r="L72" i="30" s="1"/>
  <c r="K73" i="30"/>
  <c r="L73" i="30" s="1"/>
  <c r="K74" i="30"/>
  <c r="L74" i="30" s="1"/>
  <c r="K75" i="30"/>
  <c r="L75" i="30" s="1"/>
  <c r="K76" i="30"/>
  <c r="L76" i="30" s="1"/>
  <c r="K77" i="30"/>
  <c r="L77" i="30" s="1"/>
  <c r="K78" i="30"/>
  <c r="L78" i="30" s="1"/>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9" i="37"/>
  <c r="L25" i="37"/>
  <c r="L41" i="37"/>
  <c r="K3" i="37"/>
  <c r="L3" i="37" s="1"/>
  <c r="K4" i="37"/>
  <c r="L4" i="37" s="1"/>
  <c r="K5" i="37"/>
  <c r="L5" i="37" s="1"/>
  <c r="K6" i="37"/>
  <c r="L6" i="37" s="1"/>
  <c r="K7" i="37"/>
  <c r="L7" i="37" s="1"/>
  <c r="K8" i="37"/>
  <c r="L8" i="37" s="1"/>
  <c r="K9" i="37"/>
  <c r="K10" i="37"/>
  <c r="L10" i="37" s="1"/>
  <c r="K11" i="37"/>
  <c r="L11" i="37" s="1"/>
  <c r="K12" i="37"/>
  <c r="L12" i="37" s="1"/>
  <c r="K13" i="37"/>
  <c r="L13" i="37" s="1"/>
  <c r="K14" i="37"/>
  <c r="L14" i="37" s="1"/>
  <c r="K15" i="37"/>
  <c r="L15" i="37" s="1"/>
  <c r="K16" i="37"/>
  <c r="L16" i="37" s="1"/>
  <c r="K17" i="37"/>
  <c r="L17" i="37" s="1"/>
  <c r="K18" i="37"/>
  <c r="L18" i="37" s="1"/>
  <c r="K19" i="37"/>
  <c r="L19" i="37" s="1"/>
  <c r="K20" i="37"/>
  <c r="L20" i="37" s="1"/>
  <c r="K21" i="37"/>
  <c r="L21" i="37" s="1"/>
  <c r="K22" i="37"/>
  <c r="L22" i="37" s="1"/>
  <c r="K23" i="37"/>
  <c r="L23" i="37" s="1"/>
  <c r="K24" i="37"/>
  <c r="L24" i="37" s="1"/>
  <c r="K25" i="37"/>
  <c r="K26" i="37"/>
  <c r="L26" i="37" s="1"/>
  <c r="K27" i="37"/>
  <c r="L27" i="37" s="1"/>
  <c r="K28" i="37"/>
  <c r="L28" i="37" s="1"/>
  <c r="K29" i="37"/>
  <c r="L29" i="37" s="1"/>
  <c r="K30" i="37"/>
  <c r="L30" i="37" s="1"/>
  <c r="K31" i="37"/>
  <c r="L31" i="37" s="1"/>
  <c r="K32" i="37"/>
  <c r="L32" i="37" s="1"/>
  <c r="K33" i="37"/>
  <c r="L33" i="37" s="1"/>
  <c r="K34" i="37"/>
  <c r="L34" i="37" s="1"/>
  <c r="K35" i="37"/>
  <c r="L35" i="37" s="1"/>
  <c r="K36" i="37"/>
  <c r="L36" i="37" s="1"/>
  <c r="K37" i="37"/>
  <c r="L37" i="37" s="1"/>
  <c r="K38" i="37"/>
  <c r="L38" i="37" s="1"/>
  <c r="K39" i="37"/>
  <c r="L39" i="37" s="1"/>
  <c r="K40" i="37"/>
  <c r="L40" i="37" s="1"/>
  <c r="K41" i="37"/>
  <c r="K42" i="37"/>
  <c r="L42" i="37" s="1"/>
  <c r="K43" i="37"/>
  <c r="L43" i="37" s="1"/>
  <c r="K44" i="37"/>
  <c r="L44" i="37" s="1"/>
  <c r="K45" i="37"/>
  <c r="L45" i="37" s="1"/>
  <c r="K46" i="37"/>
  <c r="L46" i="37" s="1"/>
  <c r="K47" i="37"/>
  <c r="L47" i="37" s="1"/>
  <c r="K48" i="37"/>
  <c r="L48" i="37" s="1"/>
  <c r="K49" i="37"/>
  <c r="L49" i="37" s="1"/>
  <c r="K50" i="37"/>
  <c r="L50" i="37" s="1"/>
  <c r="K51" i="37"/>
  <c r="L51" i="37" s="1"/>
  <c r="K52" i="37"/>
  <c r="L52" i="37" s="1"/>
  <c r="K53" i="37"/>
  <c r="L53" i="37" s="1"/>
  <c r="K54" i="37"/>
  <c r="L54" i="37" s="1"/>
  <c r="K55" i="37"/>
  <c r="L55" i="37" s="1"/>
  <c r="K56" i="37"/>
  <c r="L56" i="37" s="1"/>
  <c r="K57" i="37"/>
  <c r="L57" i="37" s="1"/>
  <c r="K58" i="37"/>
  <c r="L58" i="37" s="1"/>
  <c r="K59" i="37"/>
  <c r="L59" i="37" s="1"/>
  <c r="K60" i="37"/>
  <c r="L60" i="37" s="1"/>
  <c r="K61" i="37"/>
  <c r="L61" i="37" s="1"/>
  <c r="K62" i="37"/>
  <c r="L62" i="37" s="1"/>
  <c r="K63" i="37"/>
  <c r="L63" i="37" s="1"/>
  <c r="K64" i="37"/>
  <c r="L64" i="37" s="1"/>
  <c r="K65" i="37"/>
  <c r="L65" i="37" s="1"/>
  <c r="K66" i="37"/>
  <c r="L66" i="37" s="1"/>
  <c r="K67" i="37"/>
  <c r="L67" i="37" s="1"/>
  <c r="K68" i="37"/>
  <c r="L68" i="37" s="1"/>
  <c r="K69" i="37"/>
  <c r="L69" i="37" s="1"/>
  <c r="K70" i="37"/>
  <c r="L70" i="37" s="1"/>
  <c r="K71" i="37"/>
  <c r="L71" i="37" s="1"/>
  <c r="K72" i="37"/>
  <c r="L72" i="37" s="1"/>
  <c r="K73" i="37"/>
  <c r="L73" i="37" s="1"/>
  <c r="K74" i="37"/>
  <c r="L74" i="37" s="1"/>
  <c r="K75" i="37"/>
  <c r="L75" i="37" s="1"/>
  <c r="K76" i="37"/>
  <c r="L76" i="37" s="1"/>
  <c r="K77" i="37"/>
  <c r="L77" i="37" s="1"/>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9" i="28"/>
  <c r="L25" i="28"/>
  <c r="L41" i="28"/>
  <c r="L57" i="28"/>
  <c r="K3" i="28"/>
  <c r="L3" i="28" s="1"/>
  <c r="K4" i="28"/>
  <c r="L4" i="28" s="1"/>
  <c r="K5" i="28"/>
  <c r="L5" i="28" s="1"/>
  <c r="K6" i="28"/>
  <c r="L6" i="28" s="1"/>
  <c r="K7" i="28"/>
  <c r="L7" i="28" s="1"/>
  <c r="K8" i="28"/>
  <c r="L8" i="28" s="1"/>
  <c r="K9" i="28"/>
  <c r="K10" i="28"/>
  <c r="L10" i="28" s="1"/>
  <c r="K11" i="28"/>
  <c r="L11" i="28" s="1"/>
  <c r="K12" i="28"/>
  <c r="L12" i="28" s="1"/>
  <c r="K13" i="28"/>
  <c r="L13" i="28" s="1"/>
  <c r="K14" i="28"/>
  <c r="L14" i="28" s="1"/>
  <c r="K15" i="28"/>
  <c r="L15" i="28" s="1"/>
  <c r="K16" i="28"/>
  <c r="L16" i="28" s="1"/>
  <c r="K17" i="28"/>
  <c r="L17" i="28" s="1"/>
  <c r="K18" i="28"/>
  <c r="L18" i="28" s="1"/>
  <c r="K19" i="28"/>
  <c r="L19" i="28" s="1"/>
  <c r="K20" i="28"/>
  <c r="L20" i="28" s="1"/>
  <c r="K21" i="28"/>
  <c r="L21" i="28" s="1"/>
  <c r="K22" i="28"/>
  <c r="L22" i="28" s="1"/>
  <c r="K23" i="28"/>
  <c r="L23" i="28" s="1"/>
  <c r="K24" i="28"/>
  <c r="L24" i="28" s="1"/>
  <c r="K25" i="28"/>
  <c r="K26" i="28"/>
  <c r="L26" i="28" s="1"/>
  <c r="K27" i="28"/>
  <c r="L27" i="28" s="1"/>
  <c r="K28" i="28"/>
  <c r="L28" i="28" s="1"/>
  <c r="K29" i="28"/>
  <c r="L29" i="28" s="1"/>
  <c r="K30" i="28"/>
  <c r="L30" i="28" s="1"/>
  <c r="K31" i="28"/>
  <c r="L31" i="28" s="1"/>
  <c r="K32" i="28"/>
  <c r="L32" i="28" s="1"/>
  <c r="K33" i="28"/>
  <c r="L33" i="28" s="1"/>
  <c r="K34" i="28"/>
  <c r="L34" i="28" s="1"/>
  <c r="K35" i="28"/>
  <c r="L35" i="28" s="1"/>
  <c r="K36" i="28"/>
  <c r="L36" i="28" s="1"/>
  <c r="K37" i="28"/>
  <c r="L37" i="28" s="1"/>
  <c r="K38" i="28"/>
  <c r="L38" i="28" s="1"/>
  <c r="K39" i="28"/>
  <c r="L39" i="28" s="1"/>
  <c r="K40" i="28"/>
  <c r="L40" i="28" s="1"/>
  <c r="K41" i="28"/>
  <c r="K42" i="28"/>
  <c r="L42" i="28" s="1"/>
  <c r="K43" i="28"/>
  <c r="L43" i="28" s="1"/>
  <c r="K44" i="28"/>
  <c r="L44" i="28" s="1"/>
  <c r="K45" i="28"/>
  <c r="L45" i="28" s="1"/>
  <c r="K46" i="28"/>
  <c r="L46" i="28" s="1"/>
  <c r="K47" i="28"/>
  <c r="L47" i="28" s="1"/>
  <c r="K48" i="28"/>
  <c r="L48" i="28" s="1"/>
  <c r="K49" i="28"/>
  <c r="L49" i="28" s="1"/>
  <c r="K50" i="28"/>
  <c r="L50" i="28" s="1"/>
  <c r="K51" i="28"/>
  <c r="L51" i="28" s="1"/>
  <c r="K52" i="28"/>
  <c r="L52" i="28" s="1"/>
  <c r="K53" i="28"/>
  <c r="L53" i="28" s="1"/>
  <c r="K54" i="28"/>
  <c r="L54" i="28" s="1"/>
  <c r="K55" i="28"/>
  <c r="L55" i="28" s="1"/>
  <c r="K56" i="28"/>
  <c r="L56" i="28" s="1"/>
  <c r="K57" i="28"/>
  <c r="K58" i="28"/>
  <c r="L58" i="28" s="1"/>
  <c r="K59" i="28"/>
  <c r="L59" i="28" s="1"/>
  <c r="K60" i="28"/>
  <c r="L60" i="28" s="1"/>
  <c r="K61" i="28"/>
  <c r="L61" i="28" s="1"/>
  <c r="K62" i="28"/>
  <c r="L62" i="28" s="1"/>
  <c r="K63" i="28"/>
  <c r="L63" i="28" s="1"/>
  <c r="K64" i="28"/>
  <c r="L64" i="28" s="1"/>
  <c r="K65" i="28"/>
  <c r="L65" i="28" s="1"/>
  <c r="K66" i="28"/>
  <c r="L66" i="28" s="1"/>
  <c r="K67" i="28"/>
  <c r="L67" i="28" s="1"/>
  <c r="K68" i="28"/>
  <c r="L68" i="28" s="1"/>
  <c r="K69" i="28"/>
  <c r="L69" i="28" s="1"/>
  <c r="K70" i="28"/>
  <c r="L70" i="28" s="1"/>
  <c r="K71" i="28"/>
  <c r="L71" i="28" s="1"/>
  <c r="K72" i="28"/>
  <c r="L72" i="28" s="1"/>
  <c r="K73" i="28"/>
  <c r="L73" i="28" s="1"/>
  <c r="K74" i="28"/>
  <c r="L74" i="28" s="1"/>
  <c r="K75" i="28"/>
  <c r="L75" i="28" s="1"/>
  <c r="K76" i="28"/>
  <c r="L76" i="28" s="1"/>
  <c r="K77" i="28"/>
  <c r="L77" i="28" s="1"/>
  <c r="K78" i="28"/>
  <c r="L78" i="28" s="1"/>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9" i="27"/>
  <c r="L11" i="27"/>
  <c r="L23" i="27"/>
  <c r="L25" i="27"/>
  <c r="L27" i="27"/>
  <c r="L35" i="27"/>
  <c r="L36" i="27"/>
  <c r="K3" i="27"/>
  <c r="L3" i="27" s="1"/>
  <c r="K4" i="27"/>
  <c r="L4" i="27" s="1"/>
  <c r="K5" i="27"/>
  <c r="L5" i="27" s="1"/>
  <c r="K6" i="27"/>
  <c r="L6" i="27" s="1"/>
  <c r="K7" i="27"/>
  <c r="L7" i="27" s="1"/>
  <c r="K8" i="27"/>
  <c r="L8" i="27" s="1"/>
  <c r="K9" i="27"/>
  <c r="K10" i="27"/>
  <c r="L10" i="27" s="1"/>
  <c r="K11" i="27"/>
  <c r="K12" i="27"/>
  <c r="L12" i="27" s="1"/>
  <c r="K13" i="27"/>
  <c r="L13" i="27" s="1"/>
  <c r="K14" i="27"/>
  <c r="L14" i="27" s="1"/>
  <c r="K15" i="27"/>
  <c r="L15" i="27" s="1"/>
  <c r="K16" i="27"/>
  <c r="L16" i="27" s="1"/>
  <c r="K17" i="27"/>
  <c r="L17" i="27" s="1"/>
  <c r="K18" i="27"/>
  <c r="L18" i="27" s="1"/>
  <c r="K19" i="27"/>
  <c r="L19" i="27" s="1"/>
  <c r="K20" i="27"/>
  <c r="L20" i="27" s="1"/>
  <c r="K21" i="27"/>
  <c r="L21" i="27" s="1"/>
  <c r="K22" i="27"/>
  <c r="L22" i="27" s="1"/>
  <c r="K23" i="27"/>
  <c r="K24" i="27"/>
  <c r="L24" i="27" s="1"/>
  <c r="K25" i="27"/>
  <c r="K26" i="27"/>
  <c r="L26" i="27" s="1"/>
  <c r="K27" i="27"/>
  <c r="K28" i="27"/>
  <c r="L28" i="27" s="1"/>
  <c r="K29" i="27"/>
  <c r="L29" i="27" s="1"/>
  <c r="K30" i="27"/>
  <c r="L30" i="27" s="1"/>
  <c r="K31" i="27"/>
  <c r="L31" i="27" s="1"/>
  <c r="K32" i="27"/>
  <c r="L32" i="27" s="1"/>
  <c r="K33" i="27"/>
  <c r="L33" i="27" s="1"/>
  <c r="K34" i="27"/>
  <c r="L34" i="27" s="1"/>
  <c r="K35" i="27"/>
  <c r="K36" i="27"/>
  <c r="K37" i="27"/>
  <c r="L37" i="27" s="1"/>
  <c r="K38" i="27"/>
  <c r="L38" i="27" s="1"/>
  <c r="K39" i="27"/>
  <c r="L39" i="27" s="1"/>
  <c r="K40" i="27"/>
  <c r="L40" i="27" s="1"/>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L17" i="26" s="1"/>
  <c r="K18" i="26"/>
  <c r="L18" i="26" s="1"/>
  <c r="K19" i="26"/>
  <c r="L19" i="26" s="1"/>
  <c r="K20" i="26"/>
  <c r="L20" i="26" s="1"/>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7" a="1"/>
  <c r="S36" i="26" a="1"/>
  <c r="S36" i="25"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0" a="1"/>
  <c r="S36" i="35" a="1"/>
  <c r="S36" i="33" a="1"/>
  <c r="S36" i="28" a="1"/>
  <c r="S36" i="32" a="1"/>
  <c r="S36" i="31" a="1"/>
  <c r="S36" i="36"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<sst xmlns="http://schemas.openxmlformats.org/spreadsheetml/2006/main" count="5791" uniqueCount="388">
  <si>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</si>
  <si>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</si>
  <si>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</si>
  <si>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</si>
  <si>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</si>
  <si>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</si>
  <si>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</si>
  <si>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</si>
  <si>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</si>
  <si>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</si>
  <si>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</si>
  <si>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</si>
  <si>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</si>
  <si>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</si>
  <si>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</si>
  <si>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</si>
  <si>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</si>
  <si>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</si>
  <si>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</si>
  <si>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</si>
  <si>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</si>
  <si>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</si>
  <si>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</si>
  <si>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</si>
  <si>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</si>
  <si>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</si>
  <si>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</si>
  <si>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</si>
  <si>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</si>
  <si>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</si>
  <si>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</si>
  <si>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</si>
  <si>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</si>
  <si>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</si>
  <si>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</si>
  <si>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</si>
  <si>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</si>
  <si>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</si>
  <si>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</si>
  <si>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</si>
  <si>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</si>
  <si>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</si>
  <si>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</si>
  <si>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</si>
  <si>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</si>
  <si>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</si>
  <si>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</si>
  <si>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</si>
  <si>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</si>
  <si>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</si>
  <si>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</si>
  <si>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</si>
  <si>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</si>
  <si>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</si>
  <si>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</si>
  <si>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</si>
  <si>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</si>
  <si>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</si>
  <si>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</si>
  <si>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</si>
  <si>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</si>
  <si>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</si>
  <si>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</si>
  <si>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</si>
  <si>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</si>
  <si>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</si>
  <si>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</si>
  <si>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</si>
  <si>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</si>
  <si>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</si>
  <si>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</si>
  <si>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</si>
  <si>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</si>
  <si>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</si>
  <si>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</si>
  <si>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</si>
  <si>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</si>
  <si>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</si>
  <si>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</si>
  <si>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</si>
  <si>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</si>
  <si>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</si>
  <si>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</si>
  <si>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</si>
  <si>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</si>
  <si>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</si>
  <si>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</si>
  <si>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</si>
  <si>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</si>
  <si>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</si>
  <si>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</si>
  <si>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</si>
  <si>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</si>
  <si>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</si>
  <si>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</si>
  <si>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</si>
  <si>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</si>
  <si>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</si>
  <si>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</si>
  <si>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</si>
  <si>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</si>
  <si>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</si>
  <si>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</si>
  <si>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</si>
  <si>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</si>
  <si>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</si>
  <si>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</si>
  <si>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</si>
  <si>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</si>
  <si>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</si>
  <si>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</si>
  <si>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</si>
  <si>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</si>
  <si>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</si>
  <si>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</si>
  <si>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</si>
  <si>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</si>
  <si>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</si>
  <si>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</si>
  <si>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</si>
  <si>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</si>
  <si>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</si>
  <si>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</si>
  <si>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</si>
  <si>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</si>
  <si>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</si>
  <si>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</si>
  <si>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</si>
  <si>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</si>
  <si>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</si>
  <si>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</si>
  <si>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</si>
  <si>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</si>
  <si>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</si>
  <si>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</si>
  <si>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</si>
  <si>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</si>
  <si>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</si>
  <si>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</si>
  <si>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</si>
  <si>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</si>
  <si>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</si>
  <si>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</si>
  <si>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</si>
  <si>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</si>
  <si>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</si>
  <si>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</si>
  <si>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</si>
  <si>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</si>
  <si>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</si>
  <si>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</si>
  <si>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</si>
  <si>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</si>
  <si>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</si>
  <si>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</si>
  <si>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</si>
  <si>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</si>
  <si>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</si>
  <si>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</si>
  <si>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</si>
  <si>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</si>
  <si>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</si>
  <si>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</si>
  <si>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</si>
  <si>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</si>
  <si>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</si>
  <si>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</si>
  <si>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</si>
  <si>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</si>
  <si>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</si>
  <si>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</si>
  <si>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</si>
  <si>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</si>
  <si>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</si>
  <si>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</si>
  <si>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</si>
  <si>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</si>
  <si>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</si>
  <si>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</si>
  <si>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</si>
  <si>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</si>
  <si>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</si>
  <si>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</si>
  <si>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</si>
  <si>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</si>
  <si>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</si>
  <si>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</si>
  <si>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</si>
  <si>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</si>
  <si>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</si>
  <si>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</si>
  <si>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</si>
  <si>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</si>
  <si>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</si>
  <si>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</si>
  <si>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</si>
  <si>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</si>
  <si>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</si>
  <si>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</si>
  <si>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</si>
  <si>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</si>
  <si>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</si>
  <si>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</si>
  <si>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</si>
  <si>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</si>
  <si>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</si>
  <si>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</si>
  <si>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</si>
  <si>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</si>
  <si>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</si>
  <si>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</si>
  <si>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</si>
  <si>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</si>
  <si>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</si>
  <si>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</si>
  <si>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</si>
  <si>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</si>
  <si>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</si>
  <si>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</si>
  <si>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</si>
  <si>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</si>
  <si>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</si>
  <si>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</si>
  <si>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</si>
  <si>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</si>
  <si>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</si>
  <si>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</si>
  <si>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</si>
  <si>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</si>
  <si>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</si>
  <si>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</si>
  <si>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</si>
  <si>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</si>
  <si>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</si>
  <si>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</si>
  <si>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</si>
  <si>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</si>
  <si>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</si>
  <si>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</si>
  <si>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</si>
  <si>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</si>
  <si>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</si>
  <si>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</si>
  <si>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</si>
  <si>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</si>
  <si>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</si>
  <si>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</si>
  <si>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</si>
  <si>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</si>
  <si>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</si>
  <si>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</si>
  <si>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</si>
  <si>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</si>
  <si>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</si>
  <si>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</si>
  <si>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</si>
  <si>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</si>
  <si>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</si>
  <si>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</si>
  <si>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</si>
  <si>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</si>
  <si>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</si>
  <si>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</si>
  <si>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</si>
  <si>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</si>
  <si>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</si>
  <si>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</si>
  <si>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</si>
  <si>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</si>
  <si>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</si>
  <si>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</si>
  <si>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</si>
  <si>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</si>
  <si>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</si>
  <si>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</si>
  <si>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</si>
  <si>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</si>
  <si>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</si>
  <si>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</si>
  <si>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</si>
  <si>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</si>
  <si>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</si>
  <si>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</si>
  <si>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</si>
  <si>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</si>
  <si>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</si>
  <si>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</si>
  <si>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</si>
  <si>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</si>
  <si>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</si>
  <si>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</si>
  <si>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</si>
  <si>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</si>
  <si>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</si>
  <si>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</si>
  <si>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</si>
  <si>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</si>
  <si>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</si>
  <si>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</si>
  <si>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</si>
  <si>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</si>
  <si>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</si>
  <si>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</si>
  <si>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</si>
  <si>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</si>
  <si>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</si>
  <si>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</si>
  <si>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</si>
  <si>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</si>
  <si>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</si>
  <si>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</si>
  <si>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</si>
  <si>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</si>
  <si>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</si>
  <si>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</si>
  <si>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</si>
  <si>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</si>
  <si>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</si>
  <si>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</si>
  <si>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</si>
  <si>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</si>
  <si>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</si>
  <si>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</si>
  <si>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</si>
  <si>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</si>
  <si>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</si>
  <si>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</si>
  <si>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</si>
  <si>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</si>
  <si>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</si>
  <si>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</si>
  <si>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</si>
  <si>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</si>
  <si>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</si>
  <si>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</si>
  <si>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</si>
  <si>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</si>
  <si>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</si>
  <si>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</si>
  <si>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</si>
  <si>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</si>
  <si>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</si>
  <si>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</si>
  <si>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</si>
  <si>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</si>
  <si>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</si>
  <si>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</si>
  <si>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</si>
  <si>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</si>
  <si>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</si>
  <si>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</si>
  <si>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</si>
  <si>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</si>
  <si>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</si>
  <si>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</si>
  <si>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</si>
  <si>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</si>
  <si>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</si>
  <si>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</si>
  <si>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</si>
  <si>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</si>
  <si>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</si>
  <si>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</si>
  <si>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</si>
  <si>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</si>
  <si>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</si>
  <si>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</si>
  <si>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</si>
  <si>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Die Fluktuation ist vorhanden, aber aktuell nicht kritisch. Entwicklung weiter beobachten.</t>
  </si>
  <si>
    <t>teszt karcsi</t>
  </si>
  <si>
    <t>asd</t>
  </si>
  <si>
    <t>Marz</t>
  </si>
  <si>
    <t>Dienstnehmer Kuendigung</t>
  </si>
  <si>
    <t>Erste 90 Tage</t>
  </si>
  <si>
    <t>Dienstnehmer Kuendigung (1)</t>
  </si>
  <si>
    <t>Austritt in den ersten 90 Tagen. Onboarding, Training und erste Dienstplaene pruefen.</t>
  </si>
  <si>
    <t>Rigo Janos</t>
  </si>
  <si>
    <t>Mittel</t>
  </si>
  <si>
    <t>Wichtiger Austritt. Arbeitsklima, Fuehrung und Kommunikation pruefen.</t>
  </si>
  <si>
    <t>Aprilisban Jottem</t>
  </si>
  <si>
    <t>Majus Mate</t>
  </si>
  <si>
    <t>Vadiuj Test</t>
  </si>
  <si>
    <t>vegso teszt</t>
  </si>
  <si>
    <t>Marika</t>
  </si>
  <si>
    <t>Janoska</t>
  </si>
  <si>
    <t>Ferike</t>
  </si>
  <si>
    <t>Janika</t>
  </si>
  <si>
    <t>GERGO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</si>
</sst>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13"/>
      <color rgb="FF9C6500"/>
      <name val="Calibri"/>
      <family val="2"/>
      <scheme val="minor"/>
    </font>
    <font>
      <b/>
      <sz val="20"/>
      <color rgb="FFC0504D"/>
      <name val="Aptos Narrow"/>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9" fillId="23" borderId="75" xfId="0" applyFont="1" applyFill="1" applyBorder="1" applyAlignment="1">
      <alignment horizontal="center" vertic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0" fontId="5" fillId="4" borderId="36" xfId="0" applyFont="1" applyFill="1" applyBorder="1" applyAlignment="1">
      <alignment horizontal="left"/>
    </xf>
    <xf numFmtId="0" fontId="5" fillId="4" borderId="14" xfId="0" applyFont="1" applyFill="1" applyBorder="1" applyAlignment="1">
      <alignment horizontal="left"/>
    </xf>
    <xf numFmtId="166" fontId="5" fillId="4" borderId="12" xfId="0" applyNumberFormat="1" applyFont="1" applyFill="1" applyBorder="1" applyAlignment="1">
      <alignment horizontal="center"/>
    </xf>
    <xf numFmtId="166" fontId="5" fillId="4" borderId="14" xfId="0" applyNumberFormat="1"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5" fillId="6" borderId="36" xfId="0" applyFont="1" applyFill="1" applyBorder="1" applyAlignment="1">
      <alignment horizontal="left"/>
    </xf>
    <xf numFmtId="0" fontId="5" fillId="6" borderId="14" xfId="0" applyFont="1" applyFill="1" applyBorder="1" applyAlignment="1">
      <alignment horizontal="left"/>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30" fillId="0" borderId="35" xfId="0" applyFont="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35" xfId="0" applyFont="1" applyFill="1" applyBorder="1" applyAlignment="1">
      <alignment horizontal="center"/>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46" fillId="10" borderId="35"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0" fontId="5" fillId="7" borderId="19"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0" fontId="5" fillId="7" borderId="14"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0" fontId="46" fillId="10" borderId="36" xfId="0" applyFont="1" applyFill="1" applyBorder="1" applyAlignment="1" applyProtection="1">
      <alignment horizontal="left"/>
      <protection locked="0"/>
    </xf>
    <xf numFmtId="0" fontId="46" fillId="10" borderId="14"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0" fontId="36" fillId="0" borderId="8" xfId="0" applyFont="1" applyBorder="1" applyAlignment="1">
      <alignment horizontal="center"/>
    </xf>
    <xf numFmtId="0" fontId="36" fillId="0" borderId="0" xfId="0" applyFont="1" applyAlignment="1">
      <alignment horizontal="center"/>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10" fontId="5" fillId="8" borderId="14"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5" fillId="7" borderId="36" xfId="0" applyFont="1" applyFill="1" applyBorder="1" applyAlignment="1" applyProtection="1">
      <alignment horizontal="left"/>
      <protection locked="0"/>
    </xf>
    <xf numFmtId="0" fontId="5" fillId="7" borderId="14"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5" fillId="7" borderId="40" xfId="0" applyFont="1" applyFill="1" applyBorder="1" applyAlignment="1" applyProtection="1">
      <alignment horizontal="left"/>
      <protection locked="0"/>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0" fontId="5" fillId="7" borderId="26"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1" xfId="0" applyFont="1" applyFill="1" applyBorder="1" applyAlignment="1">
      <alignment horizontal="left"/>
    </xf>
    <xf numFmtId="166" fontId="5" fillId="4" borderId="36" xfId="0" applyNumberFormat="1" applyFont="1" applyFill="1" applyBorder="1" applyAlignment="1">
      <alignment horizontal="center"/>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10" fontId="5" fillId="17" borderId="1" xfId="0" applyNumberFormat="1"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7" fillId="0" borderId="0" xfId="0" applyFont="1" applyAlignment="1">
      <alignment horizont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5" fillId="0" borderId="28" xfId="0" applyNumberFormat="1"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0" fontId="5" fillId="7" borderId="1" xfId="0" applyFont="1" applyFill="1" applyBorder="1" applyAlignment="1" applyProtection="1">
      <alignment horizontal="left"/>
      <protection locked="0"/>
    </xf>
    <xf numFmtId="166" fontId="5" fillId="0" borderId="1"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2" fontId="5" fillId="12" borderId="1" xfId="0" applyNumberFormat="1" applyFont="1" applyFill="1" applyBorder="1" applyAlignment="1" applyProtection="1">
      <alignment horizontal="center"/>
      <protection locked="0"/>
    </xf>
    <xf numFmtId="166" fontId="5" fillId="7" borderId="1" xfId="0" applyNumberFormat="1" applyFont="1" applyFill="1" applyBorder="1" applyAlignment="1">
      <alignment horizontal="center"/>
    </xf>
    <xf numFmtId="10" fontId="5" fillId="4" borderId="1" xfId="0" applyNumberFormat="1" applyFont="1" applyFill="1" applyBorder="1" applyAlignment="1">
      <alignment horizont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30" fillId="0" borderId="36" xfId="0" applyFont="1" applyBorder="1" applyAlignment="1">
      <alignment horizontal="center"/>
    </xf>
    <xf numFmtId="0" fontId="5" fillId="7" borderId="1" xfId="0" applyFont="1" applyFill="1" applyBorder="1" applyAlignment="1">
      <alignment horizontal="left"/>
    </xf>
    <xf numFmtId="166" fontId="46" fillId="11" borderId="1" xfId="0" applyNumberFormat="1" applyFont="1" applyFill="1" applyBorder="1" applyAlignment="1" applyProtection="1">
      <alignment horizontal="center"/>
      <protection locked="0"/>
    </xf>
    <xf numFmtId="0" fontId="46" fillId="10" borderId="1"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51" fillId="0" borderId="76" xfId="0" applyFont="1" applyBorder="1" applyAlignment="1">
      <alignment vertical="center" wrapText="1"/>
    </xf>
    <xf numFmtId="0" fontId="54" fillId="0" borderId="0" xfId="0" applyFont="1" applyAlignment="1">
      <alignment horizontal="center" vertical="center"/>
    </xf>
    <xf numFmtId="0" fontId="51" fillId="0" borderId="0" xfId="0" applyFont="1" applyAlignment="1">
      <alignment horizontal="center" vertical="center"/>
    </xf>
    <xf numFmtId="0" fontId="53" fillId="0" borderId="76" xfId="0" applyFont="1" applyBorder="1" applyAlignment="1">
      <alignment vertical="center"/>
    </xf>
    <xf numFmtId="0" fontId="51" fillId="0" borderId="76" xfId="0" applyFont="1" applyBorder="1" applyAlignment="1">
      <alignment vertical="center"/>
    </xf>
    <xf numFmtId="0" fontId="51" fillId="0" borderId="76" xfId="0" applyFont="1" applyBorder="1" applyAlignment="1">
      <alignment horizontal="left" vertical="center" wrapText="1"/>
    </xf>
    <xf numFmtId="0" fontId="21" fillId="0" borderId="76" xfId="0" applyFont="1" applyBorder="1" applyAlignment="1">
      <alignment vertical="center"/>
    </xf>
    <xf numFmtId="0" fontId="52"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316" t="s">
        <v>0</v>
      </c>
      <c r="B1" s="318" t="s">
        <v>1</v>
      </c>
      <c r="C1" s="320" t="s">
        <v>2</v>
      </c>
      <c r="D1" s="320"/>
      <c r="I1" s="18" t="s">
        <v>3</v>
      </c>
      <c r="J1" s="323"/>
      <c r="K1" s="323"/>
      <c r="L1" s="323"/>
      <c r="M1" s="323"/>
      <c r="O1" s="177" t="s">
        <v>208</v>
      </c>
      <c r="P1" s="177" t="s">
        <v>212</v>
      </c>
    </row>
    <row r="2" spans="1:18" ht="22" thickBot="1">
      <c r="A2" s="317"/>
      <c r="B2" s="319"/>
      <c r="C2" s="54" t="str">
        <f>G3-1&amp;"/"&amp;G3</f>
        <v>2025/2026</v>
      </c>
      <c r="D2" s="54" t="str">
        <f>G3 &amp; "/" &amp; G3+1</f>
        <v>2026/2027</v>
      </c>
      <c r="I2" s="14"/>
      <c r="J2" s="324" t="s">
        <v>204</v>
      </c>
      <c r="K2" s="324"/>
      <c r="L2" s="324"/>
      <c r="M2" s="324"/>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21" t="s">
        <v>202</v>
      </c>
      <c r="J17" s="322"/>
      <c r="K17" s="322"/>
      <c r="L17" s="322"/>
      <c r="M17" s="322"/>
      <c r="N17" s="124"/>
      <c r="O17" s="176" t="s">
        <v>224</v>
      </c>
      <c r="P17" s="175">
        <v>0.3</v>
      </c>
      <c r="Q17" s="13" t="s">
        <v>24</v>
      </c>
      <c r="R17" s="13"/>
    </row>
    <row r="18" spans="1:18" ht="17">
      <c r="A18" s="21" t="s">
        <v>8</v>
      </c>
      <c r="B18" s="22">
        <v>138.4</v>
      </c>
      <c r="C18" s="103">
        <v>1665.6</v>
      </c>
      <c r="D18" s="104">
        <v>1665.6</v>
      </c>
      <c r="I18" s="321"/>
      <c r="J18" s="322"/>
      <c r="K18" s="322"/>
      <c r="L18" s="322"/>
      <c r="M18" s="322"/>
      <c r="N18" s="124"/>
      <c r="O18" s="176" t="s">
        <v>225</v>
      </c>
      <c r="P18" s="175">
        <v>0.5</v>
      </c>
      <c r="Q18" s="13"/>
      <c r="R18" s="13"/>
    </row>
    <row r="19" spans="1:18" ht="17">
      <c r="A19" s="21" t="s">
        <v>8</v>
      </c>
      <c r="B19" s="22">
        <v>129.75</v>
      </c>
      <c r="C19" s="103">
        <v>1561.5</v>
      </c>
      <c r="D19" s="104">
        <v>1561.5</v>
      </c>
      <c r="I19" s="321"/>
      <c r="J19" s="322"/>
      <c r="K19" s="322"/>
      <c r="L19" s="322"/>
      <c r="M19" s="322"/>
      <c r="N19" s="124"/>
      <c r="O19" s="176" t="s">
        <v>226</v>
      </c>
      <c r="P19" s="175">
        <v>0.75</v>
      </c>
      <c r="Q19" s="13"/>
      <c r="R19" s="13"/>
    </row>
    <row r="20" spans="1:18" ht="17">
      <c r="A20" s="21" t="s">
        <v>8</v>
      </c>
      <c r="B20" s="22">
        <v>108.13</v>
      </c>
      <c r="C20" s="103">
        <v>1301.25</v>
      </c>
      <c r="D20" s="104">
        <v>1301.25</v>
      </c>
      <c r="I20" s="321"/>
      <c r="J20" s="322"/>
      <c r="K20" s="322"/>
      <c r="L20" s="322"/>
      <c r="M20" s="322"/>
      <c r="N20" s="124"/>
      <c r="O20" s="176" t="s">
        <v>227</v>
      </c>
      <c r="P20" s="175">
        <v>1</v>
      </c>
    </row>
    <row r="21" spans="1:18" ht="17">
      <c r="A21" s="21" t="s">
        <v>8</v>
      </c>
      <c r="B21" s="22">
        <v>103.8</v>
      </c>
      <c r="C21" s="103">
        <v>1249.2</v>
      </c>
      <c r="D21" s="104">
        <v>1249.2</v>
      </c>
      <c r="I21" s="321"/>
      <c r="J21" s="322"/>
      <c r="K21" s="322"/>
      <c r="L21" s="322"/>
      <c r="M21" s="322"/>
      <c r="N21" s="124"/>
      <c r="O21" s="176" t="s">
        <v>228</v>
      </c>
      <c r="P21" s="175">
        <v>1.25</v>
      </c>
    </row>
    <row r="22" spans="1:18" ht="17">
      <c r="A22" s="21" t="s">
        <v>8</v>
      </c>
      <c r="B22" s="22">
        <v>86.5</v>
      </c>
      <c r="C22" s="103">
        <v>1041.2</v>
      </c>
      <c r="D22" s="104">
        <v>1041.2</v>
      </c>
      <c r="I22" s="321"/>
      <c r="J22" s="322"/>
      <c r="K22" s="322"/>
      <c r="L22" s="322"/>
      <c r="M22" s="322"/>
      <c r="N22" s="124"/>
      <c r="O22" s="176" t="s">
        <v>229</v>
      </c>
      <c r="P22" s="175">
        <v>1.5</v>
      </c>
    </row>
    <row r="23" spans="1:18" ht="17">
      <c r="A23" s="21" t="s">
        <v>8</v>
      </c>
      <c r="B23" s="22">
        <v>69.2</v>
      </c>
      <c r="C23" s="103">
        <v>832.8</v>
      </c>
      <c r="D23" s="104">
        <v>832.8</v>
      </c>
      <c r="I23" s="321"/>
      <c r="J23" s="322"/>
      <c r="K23" s="322"/>
      <c r="L23" s="322"/>
      <c r="M23" s="322"/>
      <c r="N23" s="124"/>
      <c r="O23" s="176" t="s">
        <v>230</v>
      </c>
      <c r="P23" s="175">
        <v>2</v>
      </c>
    </row>
    <row r="24" spans="1:18">
      <c r="A24" s="21" t="s">
        <v>8</v>
      </c>
      <c r="B24" s="22">
        <v>51.9</v>
      </c>
      <c r="C24" s="103">
        <v>624.6</v>
      </c>
      <c r="D24" s="104">
        <v>624.6</v>
      </c>
      <c r="I24" s="321"/>
      <c r="J24" s="322"/>
      <c r="K24" s="322"/>
      <c r="L24" s="322"/>
      <c r="M24" s="322"/>
      <c r="N24" s="124"/>
      <c r="O24" s="124"/>
    </row>
    <row r="25" spans="1:18">
      <c r="A25" s="21" t="s">
        <v>8</v>
      </c>
      <c r="B25" s="22">
        <v>47.58</v>
      </c>
      <c r="C25" s="103">
        <v>575.54999999999995</v>
      </c>
      <c r="D25" s="104">
        <v>575.54999999999995</v>
      </c>
      <c r="I25" s="321"/>
      <c r="J25" s="322"/>
      <c r="K25" s="322"/>
      <c r="L25" s="322"/>
      <c r="M25" s="322"/>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W3i5gtrBE6s2t44eHEyN456DIrKAiYwVxVmS3ntE0Z6ZzCe4oxedvvQdgM8pasFo3amSORxHdUnC88w5QXEtg==" saltValue="u14HGlyYWa6dQOJicYCn2Q=="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L311" sqref="L311"/>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29" t="s">
        <v>320</v>
      </c>
      <c r="B1" s="330"/>
      <c r="C1" s="330"/>
      <c r="D1" s="330"/>
      <c r="E1" s="330"/>
      <c r="F1" s="330"/>
      <c r="G1" s="330"/>
      <c r="H1" s="330"/>
      <c r="I1" s="330"/>
      <c r="J1" s="330"/>
    </row>
    <row r="2" spans="1:10" ht="36" customHeight="1">
      <c r="A2" s="331" t="s">
        <v>336</v>
      </c>
      <c r="B2" s="331"/>
      <c r="C2" s="331"/>
      <c r="D2" s="331"/>
      <c r="E2" s="331"/>
      <c r="F2" s="331"/>
      <c r="G2" s="331"/>
      <c r="H2" s="331"/>
      <c r="I2" s="331"/>
      <c r="J2" s="331"/>
    </row>
    <row r="3" spans="1:10" ht="24" customHeight="1">
      <c r="A3" s="184" t="s">
        <v>325</v>
      </c>
      <c r="B3" s="184" t="s">
        <v>337</v>
      </c>
      <c r="C3" s="184" t="s">
        <v>338</v>
      </c>
      <c r="D3" s="184" t="s">
        <v>330</v>
      </c>
      <c r="E3" s="184" t="s">
        <v>326</v>
      </c>
      <c r="F3" s="184" t="s">
        <v>339</v>
      </c>
      <c r="G3" s="184" t="s">
        <v>327</v>
      </c>
      <c r="H3" s="197" t="s">
        <v>2</v>
      </c>
      <c r="I3" s="184" t="s">
        <v>328</v>
      </c>
      <c r="J3" s="184" t="s">
        <v>340</v>
      </c>
    </row>
    <row r="4" spans="1:10" ht="24" customHeight="1">
      <c r="A4" s="325" t="s">
        <v>341</v>
      </c>
      <c r="B4" s="326"/>
      <c r="C4" s="326"/>
      <c r="D4" s="325"/>
      <c r="E4" s="325"/>
      <c r="F4" s="325"/>
      <c r="G4" s="327"/>
      <c r="H4" s="328"/>
      <c r="I4" s="325"/>
      <c r="J4" s="325"/>
    </row>
    <row r="5" spans="1:10" ht="18" customHeight="1">
      <c r="A5" s="185" t="s">
        <v>342</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198"/>
      <c r="I6" s="185" t="str">
        <f t="shared" si="0"/>
        <v>Werte fehlen</v>
      </c>
      <c r="J6" s="185" t="str">
        <f t="shared" si="1"/>
        <v/>
      </c>
    </row>
    <row r="7" spans="1:10" ht="18" customHeight="1">
      <c r="A7" s="185" t="s">
        <v>342</v>
      </c>
      <c r="B7" s="187">
        <v>46874</v>
      </c>
      <c r="C7" s="187">
        <v>47238</v>
      </c>
      <c r="D7" s="185" t="s">
        <v>331</v>
      </c>
      <c r="E7" s="185" t="s">
        <v>4</v>
      </c>
      <c r="F7" s="185" t="s">
        <v>321</v>
      </c>
      <c r="G7" s="189"/>
      <c r="H7" s="198"/>
      <c r="I7" s="185" t="str">
        <f t="shared" si="0"/>
        <v>Werte fehlen</v>
      </c>
      <c r="J7" s="185" t="str">
        <f t="shared" si="1"/>
        <v/>
      </c>
    </row>
    <row r="8" spans="1:10" ht="18" customHeight="1">
      <c r="A8" s="185" t="s">
        <v>342</v>
      </c>
      <c r="B8" s="187">
        <v>46874</v>
      </c>
      <c r="C8" s="187">
        <v>47238</v>
      </c>
      <c r="D8" s="185" t="s">
        <v>331</v>
      </c>
      <c r="E8" s="185" t="s">
        <v>4</v>
      </c>
      <c r="F8" s="185" t="s">
        <v>321</v>
      </c>
      <c r="G8" s="189"/>
      <c r="H8" s="198"/>
      <c r="I8" s="185" t="str">
        <f t="shared" si="0"/>
        <v>Werte fehlen</v>
      </c>
      <c r="J8" s="185" t="str">
        <f t="shared" si="1"/>
        <v/>
      </c>
    </row>
    <row r="9" spans="1:10" ht="18" customHeight="1">
      <c r="A9" s="185" t="s">
        <v>342</v>
      </c>
      <c r="B9" s="187">
        <v>46874</v>
      </c>
      <c r="C9" s="187">
        <v>47238</v>
      </c>
      <c r="D9" s="185" t="s">
        <v>331</v>
      </c>
      <c r="E9" s="185" t="s">
        <v>4</v>
      </c>
      <c r="F9" s="185" t="s">
        <v>321</v>
      </c>
      <c r="G9" s="189"/>
      <c r="H9" s="198"/>
      <c r="I9" s="185" t="str">
        <f t="shared" si="0"/>
        <v>Werte fehlen</v>
      </c>
      <c r="J9" s="185" t="str">
        <f t="shared" si="1"/>
        <v/>
      </c>
    </row>
    <row r="10" spans="1:10" ht="18" customHeight="1">
      <c r="A10" s="185" t="s">
        <v>342</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342</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342</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342</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342</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342</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342</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342</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342</v>
      </c>
      <c r="B18" s="187">
        <v>46874</v>
      </c>
      <c r="C18" s="187">
        <v>47238</v>
      </c>
      <c r="D18" s="185" t="s">
        <v>8</v>
      </c>
      <c r="E18" s="185" t="s">
        <v>4</v>
      </c>
      <c r="F18" s="185" t="s">
        <v>322</v>
      </c>
      <c r="G18" s="189"/>
      <c r="H18" s="198"/>
      <c r="I18" s="185" t="str">
        <f t="shared" si="0"/>
        <v>Werte fehlen</v>
      </c>
      <c r="J18" s="185" t="str">
        <f t="shared" si="1"/>
        <v/>
      </c>
    </row>
    <row r="19" spans="1:10" ht="18" customHeight="1">
      <c r="A19" s="185" t="s">
        <v>342</v>
      </c>
      <c r="B19" s="187">
        <v>46874</v>
      </c>
      <c r="C19" s="187">
        <v>47238</v>
      </c>
      <c r="D19" s="185" t="s">
        <v>8</v>
      </c>
      <c r="E19" s="185" t="s">
        <v>4</v>
      </c>
      <c r="F19" s="185" t="s">
        <v>322</v>
      </c>
      <c r="G19" s="189"/>
      <c r="H19" s="198"/>
      <c r="I19" s="185" t="str">
        <f t="shared" si="0"/>
        <v>Werte fehlen</v>
      </c>
      <c r="J19" s="185" t="str">
        <f t="shared" si="1"/>
        <v/>
      </c>
    </row>
    <row r="20" spans="1:10" ht="18" customHeight="1">
      <c r="A20" s="185" t="s">
        <v>342</v>
      </c>
      <c r="B20" s="187">
        <v>46874</v>
      </c>
      <c r="C20" s="187">
        <v>47238</v>
      </c>
      <c r="D20" s="185" t="s">
        <v>8</v>
      </c>
      <c r="E20" s="185" t="s">
        <v>4</v>
      </c>
      <c r="F20" s="185" t="s">
        <v>322</v>
      </c>
      <c r="G20" s="189"/>
      <c r="H20" s="198"/>
      <c r="I20" s="185" t="str">
        <f t="shared" si="0"/>
        <v>Werte fehlen</v>
      </c>
      <c r="J20" s="185" t="str">
        <f t="shared" si="1"/>
        <v/>
      </c>
    </row>
    <row r="21" spans="1:10" ht="18" customHeight="1">
      <c r="A21" s="185" t="s">
        <v>342</v>
      </c>
      <c r="B21" s="187">
        <v>46874</v>
      </c>
      <c r="C21" s="187">
        <v>47238</v>
      </c>
      <c r="D21" s="185" t="s">
        <v>8</v>
      </c>
      <c r="E21" s="185" t="s">
        <v>4</v>
      </c>
      <c r="F21" s="185" t="s">
        <v>322</v>
      </c>
      <c r="G21" s="189"/>
      <c r="H21" s="198"/>
      <c r="I21" s="185" t="str">
        <f t="shared" si="0"/>
        <v>Werte fehlen</v>
      </c>
      <c r="J21" s="185" t="str">
        <f t="shared" si="1"/>
        <v/>
      </c>
    </row>
    <row r="22" spans="1:10" ht="18" customHeight="1">
      <c r="A22" s="185" t="s">
        <v>342</v>
      </c>
      <c r="B22" s="187">
        <v>46874</v>
      </c>
      <c r="C22" s="187">
        <v>47238</v>
      </c>
      <c r="D22" s="185" t="s">
        <v>8</v>
      </c>
      <c r="E22" s="185" t="s">
        <v>4</v>
      </c>
      <c r="F22" s="185" t="s">
        <v>322</v>
      </c>
      <c r="G22" s="189"/>
      <c r="H22" s="198"/>
      <c r="I22" s="185" t="str">
        <f t="shared" si="0"/>
        <v>Werte fehlen</v>
      </c>
      <c r="J22" s="185" t="str">
        <f t="shared" si="1"/>
        <v/>
      </c>
    </row>
    <row r="23" spans="1:10" ht="18" customHeight="1">
      <c r="A23" s="185" t="s">
        <v>342</v>
      </c>
      <c r="B23" s="187">
        <v>46874</v>
      </c>
      <c r="C23" s="187">
        <v>47238</v>
      </c>
      <c r="D23" s="185" t="s">
        <v>8</v>
      </c>
      <c r="E23" s="185" t="s">
        <v>4</v>
      </c>
      <c r="F23" s="185" t="s">
        <v>322</v>
      </c>
      <c r="G23" s="189"/>
      <c r="H23" s="198"/>
      <c r="I23" s="185" t="str">
        <f t="shared" si="0"/>
        <v>Werte fehlen</v>
      </c>
      <c r="J23" s="185" t="str">
        <f t="shared" si="1"/>
        <v/>
      </c>
    </row>
    <row r="24" spans="1:10" ht="18" customHeight="1">
      <c r="A24" s="185" t="s">
        <v>342</v>
      </c>
      <c r="B24" s="187">
        <v>46874</v>
      </c>
      <c r="C24" s="187">
        <v>47238</v>
      </c>
      <c r="D24" s="185" t="s">
        <v>8</v>
      </c>
      <c r="E24" s="185" t="s">
        <v>4</v>
      </c>
      <c r="F24" s="185" t="s">
        <v>322</v>
      </c>
      <c r="G24" s="189"/>
      <c r="H24" s="198"/>
      <c r="I24" s="185" t="str">
        <f t="shared" si="0"/>
        <v>Werte fehlen</v>
      </c>
      <c r="J24" s="185" t="str">
        <f t="shared" si="1"/>
        <v/>
      </c>
    </row>
    <row r="25" spans="1:10" ht="18" customHeight="1">
      <c r="A25" s="185" t="s">
        <v>342</v>
      </c>
      <c r="B25" s="187">
        <v>46874</v>
      </c>
      <c r="C25" s="187">
        <v>47238</v>
      </c>
      <c r="D25" s="185" t="s">
        <v>8</v>
      </c>
      <c r="E25" s="185" t="s">
        <v>4</v>
      </c>
      <c r="F25" s="185" t="s">
        <v>322</v>
      </c>
      <c r="G25" s="189"/>
      <c r="H25" s="198"/>
      <c r="I25" s="185" t="str">
        <f t="shared" si="0"/>
        <v>Werte fehlen</v>
      </c>
      <c r="J25" s="185" t="str">
        <f t="shared" si="1"/>
        <v/>
      </c>
    </row>
    <row r="26" spans="1:10" ht="18" customHeight="1">
      <c r="A26" s="185" t="s">
        <v>342</v>
      </c>
      <c r="B26" s="187">
        <v>46874</v>
      </c>
      <c r="C26" s="187">
        <v>47238</v>
      </c>
      <c r="D26" s="185" t="s">
        <v>8</v>
      </c>
      <c r="E26" s="185" t="s">
        <v>4</v>
      </c>
      <c r="F26" s="185" t="s">
        <v>322</v>
      </c>
      <c r="G26" s="189"/>
      <c r="H26" s="198"/>
      <c r="I26" s="185" t="str">
        <f t="shared" si="0"/>
        <v>Werte fehlen</v>
      </c>
      <c r="J26" s="185" t="str">
        <f t="shared" si="1"/>
        <v/>
      </c>
    </row>
    <row r="27" spans="1:10" ht="18" customHeight="1">
      <c r="A27" s="185" t="s">
        <v>342</v>
      </c>
      <c r="B27" s="187">
        <v>46874</v>
      </c>
      <c r="C27" s="187">
        <v>47238</v>
      </c>
      <c r="D27" s="185" t="s">
        <v>8</v>
      </c>
      <c r="E27" s="185" t="s">
        <v>4</v>
      </c>
      <c r="F27" s="185" t="s">
        <v>322</v>
      </c>
      <c r="G27" s="189"/>
      <c r="H27" s="198"/>
      <c r="I27" s="185" t="str">
        <f t="shared" si="0"/>
        <v>Werte fehlen</v>
      </c>
      <c r="J27" s="185" t="str">
        <f t="shared" si="1"/>
        <v/>
      </c>
    </row>
    <row r="28" spans="1:10" ht="18" customHeight="1">
      <c r="A28" s="185" t="s">
        <v>342</v>
      </c>
      <c r="B28" s="187">
        <v>46874</v>
      </c>
      <c r="C28" s="187">
        <v>47238</v>
      </c>
      <c r="D28" s="185" t="s">
        <v>8</v>
      </c>
      <c r="E28" s="185" t="s">
        <v>4</v>
      </c>
      <c r="F28" s="185" t="s">
        <v>322</v>
      </c>
      <c r="G28" s="189"/>
      <c r="H28" s="198"/>
      <c r="I28" s="185" t="str">
        <f t="shared" si="0"/>
        <v>Werte fehlen</v>
      </c>
      <c r="J28" s="185" t="str">
        <f t="shared" si="1"/>
        <v/>
      </c>
    </row>
    <row r="29" spans="1:10" ht="18" customHeight="1">
      <c r="A29" s="185" t="s">
        <v>342</v>
      </c>
      <c r="B29" s="187">
        <v>46874</v>
      </c>
      <c r="C29" s="187">
        <v>47238</v>
      </c>
      <c r="D29" s="185" t="s">
        <v>8</v>
      </c>
      <c r="E29" s="185" t="s">
        <v>4</v>
      </c>
      <c r="F29" s="185" t="s">
        <v>322</v>
      </c>
      <c r="G29" s="189"/>
      <c r="H29" s="198"/>
      <c r="I29" s="185" t="str">
        <f t="shared" si="0"/>
        <v>Werte fehlen</v>
      </c>
      <c r="J29" s="185" t="str">
        <f t="shared" si="1"/>
        <v/>
      </c>
    </row>
    <row r="30" spans="1:10" ht="18" customHeight="1">
      <c r="A30" s="185" t="s">
        <v>342</v>
      </c>
      <c r="B30" s="187">
        <v>46874</v>
      </c>
      <c r="C30" s="187">
        <v>47238</v>
      </c>
      <c r="D30" s="185" t="s">
        <v>8</v>
      </c>
      <c r="E30" s="185" t="s">
        <v>4</v>
      </c>
      <c r="F30" s="185" t="s">
        <v>322</v>
      </c>
      <c r="G30" s="189"/>
      <c r="H30" s="198"/>
      <c r="I30" s="185" t="str">
        <f t="shared" si="0"/>
        <v>Werte fehlen</v>
      </c>
      <c r="J30" s="185" t="str">
        <f t="shared" si="1"/>
        <v/>
      </c>
    </row>
    <row r="31" spans="1:10" ht="18" customHeight="1">
      <c r="A31" s="185" t="s">
        <v>342</v>
      </c>
      <c r="B31" s="187">
        <v>46874</v>
      </c>
      <c r="C31" s="187">
        <v>47238</v>
      </c>
      <c r="D31" s="185" t="s">
        <v>10</v>
      </c>
      <c r="E31" s="185" t="s">
        <v>4</v>
      </c>
      <c r="F31" s="185" t="s">
        <v>323</v>
      </c>
      <c r="G31" s="189"/>
      <c r="H31" s="198"/>
      <c r="I31" s="185" t="str">
        <f t="shared" si="0"/>
        <v>Werte fehlen</v>
      </c>
      <c r="J31" s="185" t="str">
        <f t="shared" si="1"/>
        <v/>
      </c>
    </row>
    <row r="32" spans="1:10" ht="18" customHeight="1">
      <c r="A32" s="185" t="s">
        <v>342</v>
      </c>
      <c r="B32" s="187">
        <v>46874</v>
      </c>
      <c r="C32" s="187">
        <v>47238</v>
      </c>
      <c r="D32" s="185" t="s">
        <v>10</v>
      </c>
      <c r="E32" s="185" t="s">
        <v>4</v>
      </c>
      <c r="F32" s="185" t="s">
        <v>323</v>
      </c>
      <c r="G32" s="189"/>
      <c r="H32" s="198"/>
      <c r="I32" s="185" t="str">
        <f t="shared" si="0"/>
        <v>Werte fehlen</v>
      </c>
      <c r="J32" s="185" t="str">
        <f t="shared" si="1"/>
        <v/>
      </c>
    </row>
    <row r="33" spans="1:10" ht="18" customHeight="1">
      <c r="A33" s="185" t="s">
        <v>342</v>
      </c>
      <c r="B33" s="187">
        <v>46874</v>
      </c>
      <c r="C33" s="187">
        <v>47238</v>
      </c>
      <c r="D33" s="185" t="s">
        <v>10</v>
      </c>
      <c r="E33" s="185" t="s">
        <v>4</v>
      </c>
      <c r="F33" s="185" t="s">
        <v>323</v>
      </c>
      <c r="G33" s="189"/>
      <c r="H33" s="198"/>
      <c r="I33" s="185" t="str">
        <f t="shared" si="0"/>
        <v>Werte fehlen</v>
      </c>
      <c r="J33" s="185" t="str">
        <f t="shared" si="1"/>
        <v/>
      </c>
    </row>
    <row r="34" spans="1:10" ht="18" customHeight="1">
      <c r="A34" s="185" t="s">
        <v>342</v>
      </c>
      <c r="B34" s="187">
        <v>46874</v>
      </c>
      <c r="C34" s="187">
        <v>47238</v>
      </c>
      <c r="D34" s="185" t="s">
        <v>10</v>
      </c>
      <c r="E34" s="185" t="s">
        <v>4</v>
      </c>
      <c r="F34" s="185" t="s">
        <v>323</v>
      </c>
      <c r="G34" s="189"/>
      <c r="H34" s="198"/>
      <c r="I34" s="185" t="str">
        <f t="shared" si="0"/>
        <v>Werte fehlen</v>
      </c>
      <c r="J34" s="185" t="str">
        <f t="shared" si="1"/>
        <v/>
      </c>
    </row>
    <row r="35" spans="1:10" ht="18" customHeight="1">
      <c r="A35" s="185" t="s">
        <v>342</v>
      </c>
      <c r="B35" s="187">
        <v>46874</v>
      </c>
      <c r="C35" s="187">
        <v>47238</v>
      </c>
      <c r="D35" s="185" t="s">
        <v>10</v>
      </c>
      <c r="E35" s="185" t="s">
        <v>4</v>
      </c>
      <c r="F35" s="185" t="s">
        <v>323</v>
      </c>
      <c r="G35" s="189"/>
      <c r="H35" s="198"/>
      <c r="I35" s="185" t="str">
        <f t="shared" si="0"/>
        <v>Werte fehlen</v>
      </c>
      <c r="J35" s="185" t="str">
        <f t="shared" si="1"/>
        <v/>
      </c>
    </row>
    <row r="36" spans="1:10" ht="18" customHeight="1">
      <c r="A36" s="185" t="s">
        <v>342</v>
      </c>
      <c r="B36" s="187">
        <v>46874</v>
      </c>
      <c r="C36" s="187">
        <v>47238</v>
      </c>
      <c r="D36" s="185" t="s">
        <v>10</v>
      </c>
      <c r="E36" s="185" t="s">
        <v>4</v>
      </c>
      <c r="F36" s="185" t="s">
        <v>323</v>
      </c>
      <c r="G36" s="189"/>
      <c r="H36" s="198"/>
      <c r="I36" s="185" t="str">
        <f t="shared" si="0"/>
        <v>Werte fehlen</v>
      </c>
      <c r="J36" s="185" t="str">
        <f t="shared" si="1"/>
        <v/>
      </c>
    </row>
    <row r="37" spans="1:10" ht="18" customHeight="1">
      <c r="A37" s="185" t="s">
        <v>342</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198"/>
      <c r="I38" s="185" t="str">
        <f t="shared" si="2"/>
        <v>Werte fehlen</v>
      </c>
      <c r="J38" s="185" t="str">
        <f t="shared" si="3"/>
        <v/>
      </c>
    </row>
    <row r="39" spans="1:10" ht="18" customHeight="1">
      <c r="A39" s="185" t="s">
        <v>342</v>
      </c>
      <c r="B39" s="187">
        <v>46874</v>
      </c>
      <c r="C39" s="187">
        <v>47238</v>
      </c>
      <c r="D39" s="185" t="s">
        <v>10</v>
      </c>
      <c r="E39" s="185" t="s">
        <v>4</v>
      </c>
      <c r="F39" s="185" t="s">
        <v>323</v>
      </c>
      <c r="G39" s="189"/>
      <c r="H39" s="198"/>
      <c r="I39" s="185" t="str">
        <f t="shared" si="2"/>
        <v>Werte fehlen</v>
      </c>
      <c r="J39" s="185" t="str">
        <f t="shared" si="3"/>
        <v/>
      </c>
    </row>
    <row r="40" spans="1:10" ht="18" customHeight="1">
      <c r="A40" s="185" t="s">
        <v>342</v>
      </c>
      <c r="B40" s="187">
        <v>46874</v>
      </c>
      <c r="C40" s="187">
        <v>47238</v>
      </c>
      <c r="D40" s="185" t="s">
        <v>10</v>
      </c>
      <c r="E40" s="185" t="s">
        <v>4</v>
      </c>
      <c r="F40" s="185" t="s">
        <v>323</v>
      </c>
      <c r="G40" s="189"/>
      <c r="H40" s="198"/>
      <c r="I40" s="185" t="str">
        <f t="shared" si="2"/>
        <v>Werte fehlen</v>
      </c>
      <c r="J40" s="185" t="str">
        <f t="shared" si="3"/>
        <v/>
      </c>
    </row>
    <row r="41" spans="1:10" ht="18" customHeight="1">
      <c r="A41" s="185" t="s">
        <v>342</v>
      </c>
      <c r="B41" s="187">
        <v>46874</v>
      </c>
      <c r="C41" s="187">
        <v>47238</v>
      </c>
      <c r="D41" s="185" t="s">
        <v>10</v>
      </c>
      <c r="E41" s="185" t="s">
        <v>4</v>
      </c>
      <c r="F41" s="185" t="s">
        <v>323</v>
      </c>
      <c r="G41" s="189"/>
      <c r="H41" s="198"/>
      <c r="I41" s="185" t="str">
        <f t="shared" si="2"/>
        <v>Werte fehlen</v>
      </c>
      <c r="J41" s="185" t="str">
        <f t="shared" si="3"/>
        <v/>
      </c>
    </row>
    <row r="42" spans="1:10" ht="18" customHeight="1">
      <c r="A42" s="185" t="s">
        <v>342</v>
      </c>
      <c r="B42" s="187">
        <v>46874</v>
      </c>
      <c r="C42" s="187">
        <v>47238</v>
      </c>
      <c r="D42" s="185" t="s">
        <v>10</v>
      </c>
      <c r="E42" s="185" t="s">
        <v>4</v>
      </c>
      <c r="F42" s="185" t="s">
        <v>323</v>
      </c>
      <c r="G42" s="189"/>
      <c r="H42" s="198"/>
      <c r="I42" s="185" t="str">
        <f t="shared" si="2"/>
        <v>Werte fehlen</v>
      </c>
      <c r="J42" s="185" t="str">
        <f t="shared" si="3"/>
        <v/>
      </c>
    </row>
    <row r="43" spans="1:10" ht="18" customHeight="1">
      <c r="A43" s="185" t="s">
        <v>342</v>
      </c>
      <c r="B43" s="187">
        <v>46874</v>
      </c>
      <c r="C43" s="187">
        <v>47238</v>
      </c>
      <c r="D43" s="185" t="s">
        <v>10</v>
      </c>
      <c r="E43" s="185" t="s">
        <v>4</v>
      </c>
      <c r="F43" s="185" t="s">
        <v>323</v>
      </c>
      <c r="G43" s="189"/>
      <c r="H43" s="198"/>
      <c r="I43" s="185" t="str">
        <f t="shared" si="2"/>
        <v>Werte fehlen</v>
      </c>
      <c r="J43" s="185" t="str">
        <f t="shared" si="3"/>
        <v/>
      </c>
    </row>
    <row r="44" spans="1:10" ht="18" customHeight="1">
      <c r="A44" s="185" t="s">
        <v>342</v>
      </c>
      <c r="B44" s="187">
        <v>46874</v>
      </c>
      <c r="C44" s="187">
        <v>47238</v>
      </c>
      <c r="D44" s="185" t="s">
        <v>12</v>
      </c>
      <c r="E44" s="185" t="s">
        <v>4</v>
      </c>
      <c r="F44" s="185" t="s">
        <v>343</v>
      </c>
      <c r="G44" s="189"/>
      <c r="H44" s="198"/>
      <c r="I44" s="185" t="str">
        <f t="shared" si="2"/>
        <v>Werte fehlen</v>
      </c>
      <c r="J44" s="185" t="str">
        <f t="shared" si="3"/>
        <v/>
      </c>
    </row>
    <row r="45" spans="1:10" ht="18" customHeight="1">
      <c r="A45" s="185" t="s">
        <v>342</v>
      </c>
      <c r="B45" s="187">
        <v>46874</v>
      </c>
      <c r="C45" s="187">
        <v>47238</v>
      </c>
      <c r="D45" s="185" t="s">
        <v>12</v>
      </c>
      <c r="E45" s="185" t="s">
        <v>4</v>
      </c>
      <c r="F45" s="185" t="s">
        <v>343</v>
      </c>
      <c r="G45" s="189"/>
      <c r="H45" s="198"/>
      <c r="I45" s="185" t="str">
        <f t="shared" si="2"/>
        <v>Werte fehlen</v>
      </c>
      <c r="J45" s="185" t="str">
        <f t="shared" si="3"/>
        <v/>
      </c>
    </row>
    <row r="46" spans="1:10" ht="18" customHeight="1">
      <c r="A46" s="185" t="s">
        <v>342</v>
      </c>
      <c r="B46" s="187">
        <v>46874</v>
      </c>
      <c r="C46" s="187">
        <v>47238</v>
      </c>
      <c r="D46" s="185" t="s">
        <v>12</v>
      </c>
      <c r="E46" s="185" t="s">
        <v>4</v>
      </c>
      <c r="F46" s="185" t="s">
        <v>343</v>
      </c>
      <c r="G46" s="189"/>
      <c r="H46" s="198"/>
      <c r="I46" s="185" t="str">
        <f t="shared" si="2"/>
        <v>Werte fehlen</v>
      </c>
      <c r="J46" s="185" t="str">
        <f t="shared" si="3"/>
        <v/>
      </c>
    </row>
    <row r="47" spans="1:10" ht="18" customHeight="1">
      <c r="A47" s="185" t="s">
        <v>342</v>
      </c>
      <c r="B47" s="187">
        <v>46874</v>
      </c>
      <c r="C47" s="187">
        <v>47238</v>
      </c>
      <c r="D47" s="185" t="s">
        <v>12</v>
      </c>
      <c r="E47" s="185" t="s">
        <v>4</v>
      </c>
      <c r="F47" s="185" t="s">
        <v>343</v>
      </c>
      <c r="G47" s="189"/>
      <c r="H47" s="198"/>
      <c r="I47" s="185" t="str">
        <f t="shared" si="2"/>
        <v>Werte fehlen</v>
      </c>
      <c r="J47" s="185" t="str">
        <f t="shared" si="3"/>
        <v/>
      </c>
    </row>
    <row r="48" spans="1:10" ht="18" customHeight="1">
      <c r="A48" s="185" t="s">
        <v>342</v>
      </c>
      <c r="B48" s="187">
        <v>46874</v>
      </c>
      <c r="C48" s="187">
        <v>47238</v>
      </c>
      <c r="D48" s="185" t="s">
        <v>12</v>
      </c>
      <c r="E48" s="185" t="s">
        <v>4</v>
      </c>
      <c r="F48" s="185" t="s">
        <v>343</v>
      </c>
      <c r="G48" s="189"/>
      <c r="H48" s="198"/>
      <c r="I48" s="185" t="str">
        <f t="shared" si="2"/>
        <v>Werte fehlen</v>
      </c>
      <c r="J48" s="185" t="str">
        <f t="shared" si="3"/>
        <v/>
      </c>
    </row>
    <row r="49" spans="1:10" ht="18" customHeight="1">
      <c r="A49" s="185" t="s">
        <v>342</v>
      </c>
      <c r="B49" s="187">
        <v>46874</v>
      </c>
      <c r="C49" s="187">
        <v>47238</v>
      </c>
      <c r="D49" s="185" t="s">
        <v>12</v>
      </c>
      <c r="E49" s="185" t="s">
        <v>4</v>
      </c>
      <c r="F49" s="185" t="s">
        <v>343</v>
      </c>
      <c r="G49" s="189"/>
      <c r="H49" s="198"/>
      <c r="I49" s="185" t="str">
        <f t="shared" si="2"/>
        <v>Werte fehlen</v>
      </c>
      <c r="J49" s="185" t="str">
        <f t="shared" si="3"/>
        <v/>
      </c>
    </row>
    <row r="50" spans="1:10" ht="18" customHeight="1">
      <c r="A50" s="185" t="s">
        <v>342</v>
      </c>
      <c r="B50" s="187">
        <v>46874</v>
      </c>
      <c r="C50" s="187">
        <v>47238</v>
      </c>
      <c r="D50" s="185" t="s">
        <v>12</v>
      </c>
      <c r="E50" s="185" t="s">
        <v>4</v>
      </c>
      <c r="F50" s="185" t="s">
        <v>343</v>
      </c>
      <c r="G50" s="189"/>
      <c r="H50" s="198"/>
      <c r="I50" s="185" t="str">
        <f t="shared" si="2"/>
        <v>Werte fehlen</v>
      </c>
      <c r="J50" s="185" t="str">
        <f t="shared" si="3"/>
        <v/>
      </c>
    </row>
    <row r="51" spans="1:10" ht="18" customHeight="1">
      <c r="A51" s="185" t="s">
        <v>342</v>
      </c>
      <c r="B51" s="187">
        <v>46874</v>
      </c>
      <c r="C51" s="187">
        <v>47238</v>
      </c>
      <c r="D51" s="185" t="s">
        <v>12</v>
      </c>
      <c r="E51" s="185" t="s">
        <v>4</v>
      </c>
      <c r="F51" s="185" t="s">
        <v>343</v>
      </c>
      <c r="G51" s="189"/>
      <c r="H51" s="198"/>
      <c r="I51" s="185" t="str">
        <f t="shared" si="2"/>
        <v>Werte fehlen</v>
      </c>
      <c r="J51" s="185" t="str">
        <f t="shared" si="3"/>
        <v/>
      </c>
    </row>
    <row r="52" spans="1:10" ht="18" customHeight="1">
      <c r="A52" s="185" t="s">
        <v>342</v>
      </c>
      <c r="B52" s="187">
        <v>46874</v>
      </c>
      <c r="C52" s="187">
        <v>47238</v>
      </c>
      <c r="D52" s="185" t="s">
        <v>12</v>
      </c>
      <c r="E52" s="185" t="s">
        <v>4</v>
      </c>
      <c r="F52" s="185" t="s">
        <v>343</v>
      </c>
      <c r="G52" s="189"/>
      <c r="H52" s="198"/>
      <c r="I52" s="185" t="str">
        <f t="shared" si="2"/>
        <v>Werte fehlen</v>
      </c>
      <c r="J52" s="185" t="str">
        <f t="shared" si="3"/>
        <v/>
      </c>
    </row>
    <row r="53" spans="1:10" ht="18" customHeight="1">
      <c r="A53" s="185" t="s">
        <v>342</v>
      </c>
      <c r="B53" s="187">
        <v>46874</v>
      </c>
      <c r="C53" s="187">
        <v>47238</v>
      </c>
      <c r="D53" s="185" t="s">
        <v>12</v>
      </c>
      <c r="E53" s="185" t="s">
        <v>4</v>
      </c>
      <c r="F53" s="185" t="s">
        <v>343</v>
      </c>
      <c r="G53" s="189"/>
      <c r="H53" s="198"/>
      <c r="I53" s="185" t="str">
        <f t="shared" si="2"/>
        <v>Werte fehlen</v>
      </c>
      <c r="J53" s="185" t="str">
        <f t="shared" si="3"/>
        <v/>
      </c>
    </row>
    <row r="54" spans="1:10" ht="18" customHeight="1">
      <c r="A54" s="185" t="s">
        <v>342</v>
      </c>
      <c r="B54" s="187">
        <v>46874</v>
      </c>
      <c r="C54" s="187">
        <v>47238</v>
      </c>
      <c r="D54" s="185" t="s">
        <v>12</v>
      </c>
      <c r="E54" s="185" t="s">
        <v>4</v>
      </c>
      <c r="F54" s="185" t="s">
        <v>343</v>
      </c>
      <c r="G54" s="189"/>
      <c r="H54" s="198"/>
      <c r="I54" s="185" t="str">
        <f t="shared" si="2"/>
        <v>Werte fehlen</v>
      </c>
      <c r="J54" s="185" t="str">
        <f t="shared" si="3"/>
        <v/>
      </c>
    </row>
    <row r="55" spans="1:10" ht="18" customHeight="1">
      <c r="A55" s="185" t="s">
        <v>342</v>
      </c>
      <c r="B55" s="187">
        <v>46874</v>
      </c>
      <c r="C55" s="187">
        <v>47238</v>
      </c>
      <c r="D55" s="185" t="s">
        <v>12</v>
      </c>
      <c r="E55" s="185" t="s">
        <v>4</v>
      </c>
      <c r="F55" s="185" t="s">
        <v>343</v>
      </c>
      <c r="G55" s="189"/>
      <c r="H55" s="198"/>
      <c r="I55" s="185" t="str">
        <f t="shared" si="2"/>
        <v>Werte fehlen</v>
      </c>
      <c r="J55" s="185" t="str">
        <f t="shared" si="3"/>
        <v/>
      </c>
    </row>
    <row r="56" spans="1:10" ht="18" customHeight="1">
      <c r="A56" s="185" t="s">
        <v>342</v>
      </c>
      <c r="B56" s="187">
        <v>46874</v>
      </c>
      <c r="C56" s="187">
        <v>47238</v>
      </c>
      <c r="D56" s="185" t="s">
        <v>12</v>
      </c>
      <c r="E56" s="185" t="s">
        <v>4</v>
      </c>
      <c r="F56" s="185" t="s">
        <v>343</v>
      </c>
      <c r="G56" s="189"/>
      <c r="H56" s="198"/>
      <c r="I56" s="185" t="str">
        <f t="shared" si="2"/>
        <v>Werte fehlen</v>
      </c>
      <c r="J56" s="185" t="str">
        <f t="shared" si="3"/>
        <v/>
      </c>
    </row>
    <row r="57" spans="1:10" ht="18" customHeight="1">
      <c r="A57" s="185" t="s">
        <v>342</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342</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342</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342</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342</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342</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342</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342</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342</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342</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342</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342</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342</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342</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342</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342</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342</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342</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342</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342</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342</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342</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342</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342</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342</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342</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342</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342</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342</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342</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342</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342</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342</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342</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342</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342</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342</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342</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342</v>
      </c>
      <c r="B96" s="187">
        <v>46874</v>
      </c>
      <c r="C96" s="187">
        <v>47238</v>
      </c>
      <c r="D96" s="185" t="s">
        <v>19</v>
      </c>
      <c r="E96" s="185" t="s">
        <v>13</v>
      </c>
      <c r="F96" s="185" t="s">
        <v>343</v>
      </c>
      <c r="G96" s="189"/>
      <c r="H96" s="198"/>
      <c r="I96" s="185" t="str">
        <f t="shared" si="4"/>
        <v>Werte fehlen</v>
      </c>
      <c r="J96" s="185" t="str">
        <f t="shared" si="5"/>
        <v/>
      </c>
    </row>
    <row r="97" spans="1:10" ht="18" customHeight="1">
      <c r="A97" s="185" t="s">
        <v>342</v>
      </c>
      <c r="B97" s="187">
        <v>46874</v>
      </c>
      <c r="C97" s="187">
        <v>47238</v>
      </c>
      <c r="D97" s="185" t="s">
        <v>19</v>
      </c>
      <c r="E97" s="185" t="s">
        <v>13</v>
      </c>
      <c r="F97" s="185" t="s">
        <v>343</v>
      </c>
      <c r="G97" s="189"/>
      <c r="H97" s="198"/>
      <c r="I97" s="185" t="str">
        <f t="shared" si="4"/>
        <v>Werte fehlen</v>
      </c>
      <c r="J97" s="185" t="str">
        <f t="shared" si="5"/>
        <v/>
      </c>
    </row>
    <row r="98" spans="1:10" ht="18" customHeight="1">
      <c r="A98" s="185" t="s">
        <v>342</v>
      </c>
      <c r="B98" s="187">
        <v>46874</v>
      </c>
      <c r="C98" s="187">
        <v>47238</v>
      </c>
      <c r="D98" s="185" t="s">
        <v>19</v>
      </c>
      <c r="E98" s="185" t="s">
        <v>13</v>
      </c>
      <c r="F98" s="185" t="s">
        <v>343</v>
      </c>
      <c r="G98" s="189"/>
      <c r="H98" s="198"/>
      <c r="I98" s="185" t="str">
        <f t="shared" si="4"/>
        <v>Werte fehlen</v>
      </c>
      <c r="J98" s="185" t="str">
        <f t="shared" si="5"/>
        <v/>
      </c>
    </row>
    <row r="99" spans="1:10" ht="18" customHeight="1">
      <c r="A99" s="185" t="s">
        <v>342</v>
      </c>
      <c r="B99" s="187">
        <v>46874</v>
      </c>
      <c r="C99" s="187">
        <v>47238</v>
      </c>
      <c r="D99" s="185" t="s">
        <v>19</v>
      </c>
      <c r="E99" s="185" t="s">
        <v>13</v>
      </c>
      <c r="F99" s="185" t="s">
        <v>343</v>
      </c>
      <c r="G99" s="189"/>
      <c r="H99" s="198"/>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198"/>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198"/>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198"/>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198"/>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198"/>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198"/>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198"/>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198"/>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198"/>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198"/>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198"/>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198"/>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198"/>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198"/>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198"/>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198"/>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198"/>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198"/>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198"/>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198"/>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325" t="s">
        <v>344</v>
      </c>
      <c r="B162" s="326"/>
      <c r="C162" s="326"/>
      <c r="D162" s="325"/>
      <c r="E162" s="325"/>
      <c r="F162" s="325"/>
      <c r="G162" s="327"/>
      <c r="H162" s="328"/>
      <c r="I162" s="325"/>
      <c r="J162" s="325"/>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325" t="s">
        <v>345</v>
      </c>
      <c r="B319" s="326"/>
      <c r="C319" s="326"/>
      <c r="D319" s="325"/>
      <c r="E319" s="325"/>
      <c r="F319" s="325"/>
      <c r="G319" s="327"/>
      <c r="H319" s="328"/>
      <c r="I319" s="325"/>
      <c r="J319" s="325"/>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325" t="s">
        <v>346</v>
      </c>
      <c r="B476" s="326"/>
      <c r="C476" s="326"/>
      <c r="D476" s="325"/>
      <c r="E476" s="325"/>
      <c r="F476" s="325"/>
      <c r="G476" s="327"/>
      <c r="H476" s="328"/>
      <c r="I476" s="325"/>
      <c r="J476" s="325"/>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algorithmName="SHA-512" hashValue="L/VKqKVIbVMBjH5mrg1ypPRCIX9hKUE6v2QmSq5k9FtrQ0l5oUYcbzo3+YQ3phEt2Iq302nMlKnMtUt1bp5L0g==" saltValue="3jGXNEbdSJEG7NR9KGgBWQ=="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32" t="s">
        <v>25</v>
      </c>
      <c r="C1" s="332"/>
      <c r="D1" s="332"/>
      <c r="E1" s="332"/>
      <c r="F1" s="332"/>
      <c r="G1" s="332"/>
      <c r="H1" s="332"/>
      <c r="I1" s="332"/>
      <c r="J1" s="332"/>
      <c r="K1" s="332"/>
      <c r="L1" s="332"/>
      <c r="M1" s="332"/>
      <c r="N1" s="332"/>
      <c r="O1" s="332"/>
    </row>
    <row r="2" spans="2:15" ht="17.25" customHeight="1">
      <c r="B2" s="332"/>
      <c r="C2" s="332"/>
      <c r="D2" s="332"/>
      <c r="E2" s="332"/>
      <c r="F2" s="332"/>
      <c r="G2" s="332"/>
      <c r="H2" s="332"/>
      <c r="I2" s="332"/>
      <c r="J2" s="332"/>
      <c r="K2" s="332"/>
      <c r="L2" s="332"/>
      <c r="M2" s="332"/>
      <c r="N2" s="332"/>
      <c r="O2" s="332"/>
    </row>
    <row r="3" spans="2:15" ht="18" customHeight="1">
      <c r="B3" s="337" t="s">
        <v>26</v>
      </c>
      <c r="C3" s="337"/>
      <c r="D3" s="337"/>
      <c r="E3" s="337"/>
      <c r="F3" s="337"/>
      <c r="H3" s="334" t="s">
        <v>27</v>
      </c>
      <c r="I3" s="334"/>
      <c r="K3" s="336" t="s">
        <v>28</v>
      </c>
      <c r="L3" s="336"/>
      <c r="N3" s="334" t="s">
        <v>29</v>
      </c>
      <c r="O3" s="334"/>
    </row>
    <row r="4" spans="2:15" ht="15" customHeight="1">
      <c r="B4" s="337"/>
      <c r="C4" s="337"/>
      <c r="D4" s="337"/>
      <c r="E4" s="337"/>
      <c r="F4" s="337"/>
      <c r="H4" s="334"/>
      <c r="I4" s="334"/>
      <c r="K4" s="336"/>
      <c r="L4" s="336"/>
      <c r="N4" s="334"/>
      <c r="O4" s="334"/>
    </row>
    <row r="5" spans="2:15">
      <c r="B5" s="56"/>
      <c r="C5" s="56" t="s">
        <v>30</v>
      </c>
      <c r="D5" s="56" t="s">
        <v>31</v>
      </c>
      <c r="E5" s="56" t="s">
        <v>32</v>
      </c>
      <c r="F5" s="56" t="s">
        <v>33</v>
      </c>
      <c r="H5" s="335" t="s">
        <v>34</v>
      </c>
      <c r="I5" s="335"/>
      <c r="K5" s="335" t="s">
        <v>34</v>
      </c>
      <c r="L5" s="335"/>
      <c r="N5" s="335" t="s">
        <v>35</v>
      </c>
      <c r="O5" s="335"/>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33" t="s">
        <v>49</v>
      </c>
      <c r="C19" s="333"/>
      <c r="D19" s="333"/>
      <c r="E19" s="333"/>
      <c r="F19" s="333"/>
      <c r="H19" s="334" t="s">
        <v>50</v>
      </c>
      <c r="I19" s="334"/>
      <c r="K19" s="336" t="s">
        <v>51</v>
      </c>
      <c r="L19" s="336"/>
      <c r="N19" s="338" t="s">
        <v>203</v>
      </c>
      <c r="O19" s="338"/>
      <c r="P19" s="338"/>
      <c r="Q19" s="338"/>
      <c r="R19" s="338"/>
      <c r="S19" s="338"/>
      <c r="T19" s="338"/>
      <c r="U19" s="338"/>
    </row>
    <row r="20" spans="2:21">
      <c r="B20" s="333"/>
      <c r="C20" s="333"/>
      <c r="D20" s="333"/>
      <c r="E20" s="333"/>
      <c r="F20" s="333"/>
      <c r="H20" s="334"/>
      <c r="I20" s="334"/>
      <c r="K20" s="336"/>
      <c r="L20" s="336"/>
      <c r="N20" s="338"/>
      <c r="O20" s="338"/>
      <c r="P20" s="338"/>
      <c r="Q20" s="338"/>
      <c r="R20" s="338"/>
      <c r="S20" s="338"/>
      <c r="T20" s="338"/>
      <c r="U20" s="338"/>
    </row>
    <row r="21" spans="2:21">
      <c r="B21" s="56"/>
      <c r="C21" s="56" t="s">
        <v>30</v>
      </c>
      <c r="D21" s="56" t="s">
        <v>31</v>
      </c>
      <c r="E21" s="56" t="s">
        <v>32</v>
      </c>
      <c r="F21" s="56" t="s">
        <v>33</v>
      </c>
      <c r="H21" s="335" t="s">
        <v>34</v>
      </c>
      <c r="I21" s="335"/>
      <c r="K21" s="335" t="s">
        <v>34</v>
      </c>
      <c r="L21" s="335"/>
      <c r="N21" s="338"/>
      <c r="O21" s="338"/>
      <c r="P21" s="338"/>
      <c r="Q21" s="338"/>
      <c r="R21" s="338"/>
      <c r="S21" s="338"/>
      <c r="T21" s="338"/>
      <c r="U21" s="338"/>
    </row>
    <row r="22" spans="2:21">
      <c r="B22" s="57" t="s">
        <v>36</v>
      </c>
      <c r="C22" s="3">
        <v>1</v>
      </c>
      <c r="D22" s="87">
        <f>UBERSICHT!G7</f>
        <v>95107.828800000003</v>
      </c>
      <c r="E22" s="58">
        <f>Januar!$S$37</f>
        <v>95107.828800000003</v>
      </c>
      <c r="F22" s="50">
        <v>1</v>
      </c>
      <c r="H22" s="59" t="s">
        <v>36</v>
      </c>
      <c r="I22" s="51">
        <v>1</v>
      </c>
      <c r="K22" s="59" t="s">
        <v>36</v>
      </c>
      <c r="L22" s="51">
        <v>1</v>
      </c>
      <c r="N22" s="338"/>
      <c r="O22" s="338"/>
      <c r="P22" s="338"/>
      <c r="Q22" s="338"/>
      <c r="R22" s="338"/>
      <c r="S22" s="338"/>
      <c r="T22" s="338"/>
      <c r="U22" s="338"/>
    </row>
    <row r="23" spans="2:21">
      <c r="B23" s="57" t="s">
        <v>37</v>
      </c>
      <c r="C23" s="3">
        <v>2</v>
      </c>
      <c r="D23" s="87">
        <f>UBERSICHT!G8</f>
        <v>108550</v>
      </c>
      <c r="E23" s="58">
        <f>Februar!$S$37</f>
        <v>54275</v>
      </c>
      <c r="F23" s="50">
        <v>2</v>
      </c>
      <c r="H23" s="59" t="s">
        <v>38</v>
      </c>
      <c r="I23" s="51">
        <v>2</v>
      </c>
      <c r="K23" s="59" t="s">
        <v>38</v>
      </c>
      <c r="L23" s="51">
        <v>2</v>
      </c>
      <c r="N23" s="338"/>
      <c r="O23" s="338"/>
      <c r="P23" s="338"/>
      <c r="Q23" s="338"/>
      <c r="R23" s="338"/>
      <c r="S23" s="338"/>
      <c r="T23" s="338"/>
      <c r="U23" s="338"/>
    </row>
    <row r="24" spans="2:21">
      <c r="B24" s="57" t="s">
        <v>39</v>
      </c>
      <c r="C24" s="3">
        <v>3</v>
      </c>
      <c r="D24" s="87">
        <f>UBERSICHT!G9</f>
        <v>108290.2258</v>
      </c>
      <c r="E24" s="58">
        <f>Marz!$S$37</f>
        <v>36096.741933333331</v>
      </c>
      <c r="F24" s="50">
        <v>3</v>
      </c>
      <c r="H24" s="59" t="s">
        <v>39</v>
      </c>
      <c r="I24" s="51">
        <v>3</v>
      </c>
      <c r="K24" s="59" t="s">
        <v>39</v>
      </c>
      <c r="L24" s="51">
        <v>3</v>
      </c>
      <c r="N24" s="338"/>
      <c r="O24" s="338"/>
      <c r="P24" s="338"/>
      <c r="Q24" s="338"/>
      <c r="R24" s="338"/>
      <c r="S24" s="338"/>
      <c r="T24" s="338"/>
      <c r="U24" s="338"/>
    </row>
    <row r="25" spans="2:21">
      <c r="B25" s="57" t="s">
        <v>40</v>
      </c>
      <c r="C25" s="3">
        <v>4</v>
      </c>
      <c r="D25" s="87">
        <f>UBERSICHT!G11</f>
        <v>108956.2</v>
      </c>
      <c r="E25" s="58">
        <f>April!$S$37</f>
        <v>27239.05</v>
      </c>
      <c r="F25" s="50">
        <v>4</v>
      </c>
      <c r="H25" s="59" t="s">
        <v>40</v>
      </c>
      <c r="I25" s="51">
        <v>4</v>
      </c>
      <c r="K25" s="59" t="s">
        <v>40</v>
      </c>
      <c r="L25" s="51">
        <v>4</v>
      </c>
      <c r="N25" s="338"/>
      <c r="O25" s="338"/>
      <c r="P25" s="338"/>
      <c r="Q25" s="338"/>
      <c r="R25" s="338"/>
      <c r="S25" s="338"/>
      <c r="T25" s="338"/>
      <c r="U25" s="338"/>
    </row>
    <row r="26" spans="2:21">
      <c r="B26" s="57" t="s">
        <v>41</v>
      </c>
      <c r="C26" s="3">
        <v>5</v>
      </c>
      <c r="D26" s="87">
        <f>UBERSICHT!G12</f>
        <v>148613.13709999999</v>
      </c>
      <c r="E26" s="58">
        <f>Mai!$S$37</f>
        <v>29722.627419999997</v>
      </c>
      <c r="F26" s="50">
        <v>5</v>
      </c>
      <c r="H26" s="59" t="s">
        <v>41</v>
      </c>
      <c r="I26" s="51">
        <v>5</v>
      </c>
      <c r="K26" s="59" t="s">
        <v>41</v>
      </c>
      <c r="L26" s="51">
        <v>5</v>
      </c>
      <c r="M26" s="77"/>
      <c r="N26" s="338"/>
      <c r="O26" s="338"/>
      <c r="P26" s="338"/>
      <c r="Q26" s="338"/>
      <c r="R26" s="338"/>
      <c r="S26" s="338"/>
      <c r="T26" s="338"/>
      <c r="U26" s="338"/>
    </row>
    <row r="27" spans="2:21">
      <c r="B27" s="57" t="s">
        <v>42</v>
      </c>
      <c r="C27" s="3">
        <v>6</v>
      </c>
      <c r="D27" s="87">
        <f>UBERSICHT!G13</f>
        <v>149065.75</v>
      </c>
      <c r="E27" s="58">
        <f>Juni!$S$37</f>
        <v>24844.291666666668</v>
      </c>
      <c r="F27" s="50">
        <v>6</v>
      </c>
      <c r="H27" s="59" t="s">
        <v>42</v>
      </c>
      <c r="I27" s="51">
        <v>6</v>
      </c>
      <c r="K27" s="59" t="s">
        <v>42</v>
      </c>
      <c r="L27" s="51">
        <v>6</v>
      </c>
      <c r="M27" s="77"/>
      <c r="N27" s="338"/>
      <c r="O27" s="338"/>
      <c r="P27" s="338"/>
      <c r="Q27" s="338"/>
      <c r="R27" s="338"/>
      <c r="S27" s="338"/>
      <c r="T27" s="338"/>
      <c r="U27" s="338"/>
    </row>
    <row r="28" spans="2:21">
      <c r="B28" s="57" t="s">
        <v>43</v>
      </c>
      <c r="C28" s="3">
        <v>7</v>
      </c>
      <c r="D28" s="87">
        <f>UBERSICHT!G15</f>
        <v>149066.75</v>
      </c>
      <c r="E28" s="58">
        <f>Juli!$S$37</f>
        <v>21295.25</v>
      </c>
      <c r="F28" s="50">
        <v>7</v>
      </c>
      <c r="H28" s="59" t="s">
        <v>43</v>
      </c>
      <c r="I28" s="51">
        <v>7</v>
      </c>
      <c r="K28" s="59" t="s">
        <v>43</v>
      </c>
      <c r="L28" s="51">
        <v>7</v>
      </c>
      <c r="M28" s="77"/>
      <c r="N28" s="338"/>
      <c r="O28" s="338"/>
      <c r="P28" s="338"/>
      <c r="Q28" s="338"/>
      <c r="R28" s="338"/>
      <c r="S28" s="338"/>
      <c r="T28" s="338"/>
      <c r="U28" s="338"/>
    </row>
    <row r="29" spans="2:21">
      <c r="B29" s="57" t="s">
        <v>44</v>
      </c>
      <c r="C29" s="3">
        <v>8</v>
      </c>
      <c r="D29" s="87">
        <f>UBERSICHT!G16</f>
        <v>148546.2016</v>
      </c>
      <c r="E29" s="58">
        <f>August!$S$37</f>
        <v>18568.2752</v>
      </c>
      <c r="F29" s="50">
        <v>8</v>
      </c>
      <c r="H29" s="59" t="s">
        <v>44</v>
      </c>
      <c r="I29" s="51">
        <v>8</v>
      </c>
      <c r="K29" s="59" t="s">
        <v>44</v>
      </c>
      <c r="L29" s="51">
        <v>8</v>
      </c>
      <c r="M29" s="77"/>
      <c r="N29" s="338"/>
      <c r="O29" s="338"/>
      <c r="P29" s="338"/>
      <c r="Q29" s="338"/>
      <c r="R29" s="338"/>
      <c r="S29" s="338"/>
      <c r="T29" s="338"/>
      <c r="U29" s="338"/>
    </row>
    <row r="30" spans="2:21">
      <c r="B30" s="57" t="s">
        <v>45</v>
      </c>
      <c r="C30" s="3">
        <v>9</v>
      </c>
      <c r="D30" s="87">
        <f>UBERSICHT!G17</f>
        <v>152026.75</v>
      </c>
      <c r="E30" s="58">
        <f>September!$S$37</f>
        <v>16891.861111111109</v>
      </c>
      <c r="F30" s="50">
        <v>9</v>
      </c>
      <c r="H30" s="59" t="s">
        <v>45</v>
      </c>
      <c r="I30" s="51">
        <v>9</v>
      </c>
      <c r="K30" s="59" t="s">
        <v>45</v>
      </c>
      <c r="L30" s="51">
        <v>9</v>
      </c>
      <c r="N30" s="338"/>
      <c r="O30" s="338"/>
      <c r="P30" s="338"/>
      <c r="Q30" s="338"/>
      <c r="R30" s="338"/>
      <c r="S30" s="338"/>
      <c r="T30" s="338"/>
      <c r="U30" s="338"/>
    </row>
    <row r="31" spans="2:21">
      <c r="B31" s="57" t="s">
        <v>46</v>
      </c>
      <c r="C31" s="3">
        <v>10</v>
      </c>
      <c r="D31" s="87">
        <f>UBERSICHT!G19</f>
        <v>148059.25</v>
      </c>
      <c r="E31" s="58">
        <f>Oktober!$S$37</f>
        <v>14805.924999999999</v>
      </c>
      <c r="F31" s="50">
        <v>10</v>
      </c>
      <c r="H31" s="59" t="s">
        <v>46</v>
      </c>
      <c r="I31" s="51">
        <v>10</v>
      </c>
      <c r="K31" s="59" t="s">
        <v>46</v>
      </c>
      <c r="L31" s="51">
        <v>10</v>
      </c>
      <c r="N31" s="338"/>
      <c r="O31" s="338"/>
      <c r="P31" s="338"/>
      <c r="Q31" s="338"/>
      <c r="R31" s="338"/>
      <c r="S31" s="338"/>
      <c r="T31" s="338"/>
      <c r="U31" s="338"/>
    </row>
    <row r="32" spans="2:21">
      <c r="B32" s="57" t="s">
        <v>47</v>
      </c>
      <c r="C32" s="3">
        <v>11</v>
      </c>
      <c r="D32" s="87">
        <f>UBERSICHT!G20</f>
        <v>148060.25</v>
      </c>
      <c r="E32" s="58">
        <f>November!$S$37</f>
        <v>13460.022727272728</v>
      </c>
      <c r="F32" s="50">
        <v>11</v>
      </c>
      <c r="H32" s="59" t="s">
        <v>47</v>
      </c>
      <c r="I32" s="51">
        <v>11</v>
      </c>
      <c r="K32" s="59" t="s">
        <v>47</v>
      </c>
      <c r="L32" s="51">
        <v>11</v>
      </c>
      <c r="N32" s="338"/>
      <c r="O32" s="338"/>
      <c r="P32" s="338"/>
      <c r="Q32" s="338"/>
      <c r="R32" s="338"/>
      <c r="S32" s="338"/>
      <c r="T32" s="338"/>
      <c r="U32" s="338"/>
    </row>
    <row r="33" spans="2:21">
      <c r="B33" s="57" t="s">
        <v>48</v>
      </c>
      <c r="C33" s="3">
        <v>12</v>
      </c>
      <c r="D33" s="87">
        <f>UBERSICHT!G21</f>
        <v>154014</v>
      </c>
      <c r="E33" s="58">
        <f>Dezember!$S$37</f>
        <v>12834.5</v>
      </c>
      <c r="F33" s="50">
        <v>12</v>
      </c>
      <c r="H33" s="59" t="s">
        <v>48</v>
      </c>
      <c r="I33" s="51">
        <v>12</v>
      </c>
      <c r="K33" s="59" t="s">
        <v>48</v>
      </c>
      <c r="L33" s="51">
        <v>12</v>
      </c>
      <c r="N33" s="338"/>
      <c r="O33" s="338"/>
      <c r="P33" s="338"/>
      <c r="Q33" s="338"/>
      <c r="R33" s="338"/>
      <c r="S33" s="338"/>
      <c r="T33" s="338"/>
      <c r="U33" s="338"/>
    </row>
    <row r="34" spans="2:21">
      <c r="N34" s="338"/>
      <c r="O34" s="338"/>
      <c r="P34" s="338"/>
      <c r="Q34" s="338"/>
      <c r="R34" s="338"/>
      <c r="S34" s="338"/>
      <c r="T34" s="338"/>
      <c r="U34" s="338"/>
    </row>
    <row r="35" spans="2:21" ht="14.5" customHeight="1">
      <c r="B35" s="324" t="s">
        <v>204</v>
      </c>
      <c r="C35" s="324"/>
      <c r="D35" s="324"/>
      <c r="E35" s="126"/>
      <c r="N35" s="338"/>
      <c r="O35" s="338"/>
      <c r="P35" s="338"/>
      <c r="Q35" s="338"/>
      <c r="R35" s="338"/>
      <c r="S35" s="338"/>
      <c r="T35" s="338"/>
      <c r="U35" s="338"/>
    </row>
    <row r="36" spans="2:21">
      <c r="B36" s="324"/>
      <c r="C36" s="324"/>
      <c r="D36" s="324"/>
      <c r="N36" s="338"/>
      <c r="O36" s="338"/>
      <c r="P36" s="338"/>
      <c r="Q36" s="338"/>
      <c r="R36" s="338"/>
      <c r="S36" s="338"/>
      <c r="T36" s="338"/>
      <c r="U36" s="338"/>
    </row>
    <row r="37" spans="2:21">
      <c r="N37" s="338"/>
      <c r="O37" s="338"/>
      <c r="P37" s="338"/>
      <c r="Q37" s="338"/>
      <c r="R37" s="338"/>
      <c r="S37" s="338"/>
      <c r="T37" s="338"/>
      <c r="U37" s="338"/>
    </row>
    <row r="38" spans="2:21">
      <c r="N38" s="338"/>
      <c r="O38" s="338"/>
      <c r="P38" s="338"/>
      <c r="Q38" s="338"/>
      <c r="R38" s="338"/>
      <c r="S38" s="338"/>
      <c r="T38" s="338"/>
      <c r="U38" s="338"/>
    </row>
    <row r="39" spans="2:21">
      <c r="N39" s="338"/>
      <c r="O39" s="338"/>
      <c r="P39" s="338"/>
      <c r="Q39" s="338"/>
      <c r="R39" s="338"/>
      <c r="S39" s="338"/>
      <c r="T39" s="338"/>
      <c r="U39" s="338"/>
    </row>
    <row r="40" spans="2:21">
      <c r="N40" s="338"/>
      <c r="O40" s="338"/>
      <c r="P40" s="338"/>
      <c r="Q40" s="338"/>
      <c r="R40" s="338"/>
      <c r="S40" s="338"/>
      <c r="T40" s="338"/>
      <c r="U40" s="338"/>
    </row>
    <row r="41" spans="2:21">
      <c r="N41" s="338"/>
      <c r="O41" s="338"/>
      <c r="P41" s="338"/>
      <c r="Q41" s="338"/>
      <c r="R41" s="338"/>
      <c r="S41" s="338"/>
      <c r="T41" s="338"/>
      <c r="U41" s="338"/>
    </row>
    <row r="42" spans="2:21">
      <c r="N42" s="338"/>
      <c r="O42" s="338"/>
      <c r="P42" s="338"/>
      <c r="Q42" s="338"/>
      <c r="R42" s="338"/>
      <c r="S42" s="338"/>
      <c r="T42" s="338"/>
      <c r="U42" s="338"/>
    </row>
  </sheetData>
  <sheetProtection algorithmName="SHA-512" hashValue="Zk9BWle9s/ybJNItPWu5Tj83LP2LYjfWkUTQ43yW/A4kWevpoJCkBdcBgts5W3RM9/EyW24QMMYvJKEjZW9dJw==" saltValue="yB5Be0GCJvymAL36T5h1k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46023</v>
      </c>
    </row>
    <row r="2" spans="1:28" ht="16" customHeight="1" thickBot="1">
      <c r="A2" s="129"/>
      <c r="B2" s="249"/>
      <c r="C2" s="258"/>
      <c r="D2" s="260"/>
      <c r="E2" s="260"/>
      <c r="F2" s="260"/>
      <c r="G2" s="262"/>
      <c r="H2" s="253"/>
      <c r="I2" s="228"/>
      <c r="J2" s="230"/>
      <c r="K2" s="232"/>
      <c r="L2" s="234"/>
      <c r="M2" s="236"/>
      <c r="N2" s="250"/>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43" t="s">
        <v>63</v>
      </c>
      <c r="R3" s="254"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44"/>
      <c r="R4" s="255"/>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7494.8</v>
      </c>
      <c r="R8" s="344"/>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EINSTELLUNG!L22</f>
        <v>1</v>
      </c>
      <c r="R9" s="344"/>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46" t="s">
        <v>74</v>
      </c>
      <c r="P10" s="343"/>
      <c r="Q10" s="344">
        <f>EINSTELLUNG!I22</f>
        <v>1</v>
      </c>
      <c r="R10" s="344"/>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1</v>
      </c>
      <c r="R11" s="344"/>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c r="R12" s="365"/>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46" t="s">
        <v>80</v>
      </c>
      <c r="P13" s="343"/>
      <c r="Q13" s="344">
        <f>Q8-Q9-Q10-Q11-Q12</f>
        <v>7491.8</v>
      </c>
      <c r="R13" s="344"/>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46" t="s">
        <v>82</v>
      </c>
      <c r="P14" s="343"/>
      <c r="Q14" s="344">
        <f>EINSTELLUNG!L6</f>
        <v>1</v>
      </c>
      <c r="R14" s="344"/>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46" t="s">
        <v>84</v>
      </c>
      <c r="P15" s="343"/>
      <c r="Q15" s="344">
        <f>Q13-Q14</f>
        <v>7490.8</v>
      </c>
      <c r="R15" s="344"/>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2" t="s">
        <v>87</v>
      </c>
      <c r="P17" s="372"/>
      <c r="Q17" s="366">
        <f>SUM(L3:L82)</f>
        <v>90106.82881720431</v>
      </c>
      <c r="R17" s="366"/>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94"/>
      <c r="P18" s="351"/>
      <c r="Q18" s="352"/>
      <c r="R18" s="352"/>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94"/>
      <c r="P19" s="351"/>
      <c r="Q19" s="352"/>
      <c r="R19" s="352"/>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94"/>
      <c r="P20" s="351"/>
      <c r="Q20" s="352"/>
      <c r="R20" s="352"/>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94" t="s">
        <v>370</v>
      </c>
      <c r="P21" s="351"/>
      <c r="Q21" s="352">
        <v>5000</v>
      </c>
      <c r="R21" s="352"/>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94"/>
      <c r="P22" s="351"/>
      <c r="Q22" s="352"/>
      <c r="R22" s="352"/>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94"/>
      <c r="P23" s="351"/>
      <c r="Q23" s="352"/>
      <c r="R23" s="352"/>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94"/>
      <c r="P24" s="351"/>
      <c r="Q24" s="352"/>
      <c r="R24" s="352"/>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57"/>
      <c r="P25" s="358"/>
      <c r="Q25" s="348"/>
      <c r="R25" s="348"/>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8"/>
      <c r="P26" s="359"/>
      <c r="Q26" s="349"/>
      <c r="R26" s="350"/>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94"/>
      <c r="P27" s="351"/>
      <c r="Q27" s="352"/>
      <c r="R27" s="353"/>
      <c r="S27" s="279" t="s">
        <v>99</v>
      </c>
      <c r="T27" s="280"/>
      <c r="U27" s="280"/>
      <c r="V27" s="280"/>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8"/>
      <c r="P28" s="354"/>
      <c r="Q28" s="355"/>
      <c r="R28" s="356"/>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02" t="s">
        <v>102</v>
      </c>
      <c r="P29" s="345"/>
      <c r="Q29" s="346">
        <f>EINSTELLUNG!O6</f>
        <v>1</v>
      </c>
      <c r="R29" s="347"/>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4">
        <v>0</v>
      </c>
      <c r="P31" s="360"/>
      <c r="Q31" s="361">
        <v>1.9607843137254902E-2</v>
      </c>
      <c r="R31" s="362"/>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63"/>
      <c r="P33" s="364"/>
      <c r="Q33" s="289" t="s">
        <v>108</v>
      </c>
      <c r="R33" s="290"/>
      <c r="S33" s="311" t="s">
        <v>109</v>
      </c>
      <c r="T33" s="312"/>
      <c r="U33" s="311" t="s">
        <v>110</v>
      </c>
      <c r="V33" s="312"/>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3"/>
      <c r="P34" s="364"/>
      <c r="Q34" s="291"/>
      <c r="R34" s="292"/>
      <c r="S34" s="313"/>
      <c r="T34" s="314"/>
      <c r="U34" s="313"/>
      <c r="V34" s="314"/>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24" t="s">
        <v>113</v>
      </c>
      <c r="P35" s="305"/>
      <c r="Q35" s="307">
        <f>EINSTELLUNG!C6</f>
        <v>1</v>
      </c>
      <c r="R35" s="307"/>
      <c r="S35" s="307">
        <f>EINSTELLUNG!C22</f>
        <v>1</v>
      </c>
      <c r="T35" s="307"/>
      <c r="U35" s="308">
        <f>S35-Q35</f>
        <v>0</v>
      </c>
      <c r="V35" s="308"/>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24" t="s">
        <v>115</v>
      </c>
      <c r="P36" s="305"/>
      <c r="Q36" s="307">
        <f>EINSTELLUNG!D6</f>
        <v>1</v>
      </c>
      <c r="R36" s="307"/>
      <c r="S36" s="307" cm="1">
        <f t="array" ref="S36">SumMergedCells(Q17:R29)</f>
        <v>95107.828800000003</v>
      </c>
      <c r="T36" s="307"/>
      <c r="U36" s="308">
        <f t="shared" ref="U36:U41" si="2">S36-Q36</f>
        <v>95106.828800000003</v>
      </c>
      <c r="V36" s="308"/>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24" t="s">
        <v>117</v>
      </c>
      <c r="P37" s="305"/>
      <c r="Q37" s="367">
        <f>IF(ISERROR(Q36/Q35), 0, Q36/Q35)</f>
        <v>1</v>
      </c>
      <c r="R37" s="367"/>
      <c r="S37" s="367">
        <f>IF(ISERROR(S36/S35), 0, S36/S35)</f>
        <v>95107.828800000003</v>
      </c>
      <c r="T37" s="367"/>
      <c r="U37" s="315">
        <f t="shared" si="2"/>
        <v>95106.828800000003</v>
      </c>
      <c r="V37" s="315"/>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24" t="s">
        <v>119</v>
      </c>
      <c r="P38" s="305"/>
      <c r="Q38" s="309">
        <f>EINSTELLUNG!F6</f>
        <v>1</v>
      </c>
      <c r="R38" s="309"/>
      <c r="S38" s="309">
        <f>EINSTELLUNG!F22</f>
        <v>1</v>
      </c>
      <c r="T38" s="309"/>
      <c r="U38" s="310">
        <f t="shared" si="2"/>
        <v>0</v>
      </c>
      <c r="V38" s="310"/>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1.3347927066926506E-4</v>
      </c>
      <c r="R40" s="307"/>
      <c r="S40" s="307">
        <f>IF(Q13=0, 0, S35/Q13)</f>
        <v>1.3347927066926506E-4</v>
      </c>
      <c r="T40" s="307"/>
      <c r="U40" s="308">
        <f t="shared" si="2"/>
        <v>0</v>
      </c>
      <c r="V40" s="308"/>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1.3347927066926506E-4</v>
      </c>
      <c r="R41" s="309"/>
      <c r="S41" s="309">
        <f>IF(Q13=0, 0, S38/Q13)</f>
        <v>1.3347927066926506E-4</v>
      </c>
      <c r="T41" s="309"/>
      <c r="U41" s="310">
        <f t="shared" si="2"/>
        <v>0</v>
      </c>
      <c r="V41" s="310"/>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12.022579497412114</v>
      </c>
      <c r="R42" s="306"/>
      <c r="S42" s="306"/>
      <c r="T42" s="306"/>
      <c r="U42" s="306"/>
      <c r="V42" s="226"/>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39"/>
      <c r="L114" s="339"/>
      <c r="M114" s="339"/>
      <c r="N114" s="127"/>
    </row>
    <row r="115" spans="11:14" ht="16" customHeight="1">
      <c r="K115" s="339"/>
      <c r="L115" s="339"/>
      <c r="M115" s="339"/>
      <c r="N115" s="127"/>
    </row>
    <row r="116" spans="11:14" ht="16" customHeight="1">
      <c r="K116" s="340"/>
      <c r="L116" s="340"/>
      <c r="M116" s="78"/>
      <c r="N116" s="78"/>
    </row>
    <row r="117" spans="11:14" ht="16" customHeight="1">
      <c r="K117" s="340"/>
      <c r="L117" s="340"/>
      <c r="M117" s="78"/>
      <c r="N117" s="78"/>
    </row>
    <row r="118" spans="11:14" ht="16" customHeight="1">
      <c r="K118" s="341"/>
      <c r="L118" s="341"/>
      <c r="M118" s="79"/>
      <c r="N118" s="79"/>
    </row>
    <row r="119" spans="11:14" ht="16" customHeight="1">
      <c r="K119" s="342"/>
      <c r="L119" s="342"/>
      <c r="M119" s="80"/>
      <c r="N119" s="80"/>
    </row>
    <row r="120" spans="11:14" ht="16" customHeight="1">
      <c r="K120" s="340"/>
      <c r="L120" s="340"/>
      <c r="M120" s="78"/>
      <c r="N120" s="78"/>
    </row>
    <row r="121" spans="11:14" ht="16" customHeight="1">
      <c r="K121" s="340"/>
      <c r="L121" s="340"/>
      <c r="M121" s="78"/>
      <c r="N121" s="78"/>
    </row>
    <row r="122" spans="11:14" ht="16" customHeight="1">
      <c r="K122" s="342"/>
      <c r="L122" s="342"/>
      <c r="M122" s="80"/>
      <c r="N122" s="80"/>
    </row>
    <row r="123" spans="11:14" ht="16" customHeight="1">
      <c r="K123" s="81"/>
      <c r="L123" s="81"/>
      <c r="M123" s="81"/>
      <c r="N123" s="81"/>
    </row>
  </sheetData>
  <sheetProtection algorithmName="SHA-512" hashValue="6GRLSDc80Vo5aG3J+GetHwE/l/v08zlXTh8x4sJu00MzzSI95b7+xuMHMigIX2cESelRs3hjQ5mX9GS4uTqjng==" saltValue="OcIZBYlx5ljL/f+xlr6dyw==" spinCount="100000" sheet="1" objects="1" scenarios="1" sort="0" autoFilter="0"/>
  <mergeCells count="107">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40:P40"/>
    <mergeCell ref="Q40:R40"/>
    <mergeCell ref="S40:T40"/>
    <mergeCell ref="U40:V40"/>
    <mergeCell ref="O41:P41"/>
    <mergeCell ref="Q41:R41"/>
    <mergeCell ref="S41:T41"/>
    <mergeCell ref="U41:V41"/>
    <mergeCell ref="O42:P42"/>
    <mergeCell ref="Q42:V42"/>
    <mergeCell ref="O39:P39"/>
    <mergeCell ref="Q39:R39"/>
    <mergeCell ref="S39:T39"/>
    <mergeCell ref="U39:V39"/>
    <mergeCell ref="Q37:R37"/>
    <mergeCell ref="S37:T37"/>
    <mergeCell ref="U37:V37"/>
    <mergeCell ref="O38:P38"/>
    <mergeCell ref="Q38:R38"/>
    <mergeCell ref="S38:T38"/>
    <mergeCell ref="U38:V38"/>
    <mergeCell ref="O37:P37"/>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dhd4ou5H8CXlu5koOqm0rTDmjNBaVlwppSZjieZeB83wjMf8kLhpy+fEY9BQdt7ExN1v/c1AltJakH0APx4TPw==" saltValue="caGcob9aU+3VPGVwezfXzQ=="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tabSelected="1" zoomScaleNormal="100" workbookViewId="0">
      <pane ySplit="2" topLeftCell="A27" activePane="bottomLeft" state="frozen"/>
      <selection activeCell="T24" sqref="T24"/>
      <selection pane="bottomLeft" activeCell="F60" sqref="F60"/>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46054</v>
      </c>
    </row>
    <row r="2" spans="1:28" ht="16" customHeight="1" thickBot="1">
      <c r="A2" s="129"/>
      <c r="B2" s="249"/>
      <c r="C2" s="258"/>
      <c r="D2" s="260"/>
      <c r="E2" s="260"/>
      <c r="F2" s="260"/>
      <c r="G2" s="262"/>
      <c r="H2" s="253"/>
      <c r="I2" s="228"/>
      <c r="J2" s="230"/>
      <c r="K2" s="232"/>
      <c r="L2" s="234"/>
      <c r="M2" s="236"/>
      <c r="N2" s="250"/>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43" t="s">
        <v>63</v>
      </c>
      <c r="R3" s="254"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44"/>
      <c r="R4" s="255"/>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823.8884589617536</v>
      </c>
      <c r="P5" s="49">
        <f>EINSTELLUNG!I7</f>
        <v>2</v>
      </c>
      <c r="Q5" s="48">
        <f>P5-O5</f>
        <v>-821.8884589617536</v>
      </c>
      <c r="R5" s="52">
        <f>IFERROR(Q5*Q42, 0)</f>
        <v>-9968.293768778396</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56" t="str">
        <f>IF(Q5&lt;0, "Schlecht! Zu wenig Urlaub abgebaut.", IF(Q5&gt;0, "Gut! Mehr Urlaub abgebaut als aufgebaut.", ""))</f>
        <v>Schlecht! Zu wenig Urlaub abgebaut.</v>
      </c>
      <c r="P6" s="256"/>
      <c r="Q6" s="256"/>
      <c r="R6" s="25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45" t="s">
        <v>70</v>
      </c>
      <c r="P8" s="246"/>
      <c r="Q8" s="247">
        <f>SUM(H3:H82)</f>
        <v>8537.5599999999977</v>
      </c>
      <c r="R8" s="248"/>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45" t="s">
        <v>72</v>
      </c>
      <c r="P9" s="246"/>
      <c r="Q9" s="247">
        <f>EINSTELLUNG!L23</f>
        <v>2</v>
      </c>
      <c r="R9" s="248"/>
      <c r="S9" s="53">
        <f>IFERROR(Q9/Q8, 0)</f>
        <v>2.3425896860461309E-4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45" t="s">
        <v>74</v>
      </c>
      <c r="P10" s="246"/>
      <c r="Q10" s="247">
        <f>EINSTELLUNG!I23</f>
        <v>2</v>
      </c>
      <c r="R10" s="248"/>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2</v>
      </c>
      <c r="R11" s="248"/>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80</v>
      </c>
      <c r="P12" s="246"/>
      <c r="Q12" s="247">
        <f>Q8-Q9-Q10-Q11</f>
        <v>8531.5599999999977</v>
      </c>
      <c r="R12" s="248"/>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82</v>
      </c>
      <c r="P13" s="246"/>
      <c r="Q13" s="247">
        <f>EINSTELLUNG!L7</f>
        <v>2</v>
      </c>
      <c r="R13" s="248"/>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84</v>
      </c>
      <c r="P14" s="246"/>
      <c r="Q14" s="247">
        <f>Q12-Q13</f>
        <v>8529.5599999999977</v>
      </c>
      <c r="R14" s="248"/>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51" t="str">
        <f>IF(Q14&lt;0, "Schlecht! Zu wenig Stunden für Dienstplan.", IF(Q14&gt;0, "Du hast mehr als genug Stunden für Dienstplan.", ""))</f>
        <v>Du hast mehr als genug Stunden für Dienstplan.</v>
      </c>
      <c r="P15" s="251"/>
      <c r="Q15" s="251"/>
      <c r="R15" s="251"/>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103548</v>
      </c>
      <c r="R17" s="274"/>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75"/>
      <c r="P18" s="276"/>
      <c r="Q18" s="277"/>
      <c r="R18" s="27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75"/>
      <c r="P19" s="276"/>
      <c r="Q19" s="277"/>
      <c r="R19" s="278"/>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75"/>
      <c r="P20" s="276"/>
      <c r="Q20" s="277"/>
      <c r="R20" s="278"/>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75" t="s">
        <v>370</v>
      </c>
      <c r="P21" s="276"/>
      <c r="Q21" s="277">
        <v>5000</v>
      </c>
      <c r="R21" s="278"/>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75"/>
      <c r="P22" s="276"/>
      <c r="Q22" s="277"/>
      <c r="R22" s="27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75"/>
      <c r="P23" s="276"/>
      <c r="Q23" s="277"/>
      <c r="R23" s="27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5"/>
      <c r="P24" s="276"/>
      <c r="Q24" s="277"/>
      <c r="R24" s="278"/>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63"/>
      <c r="P25" s="264"/>
      <c r="Q25" s="265"/>
      <c r="R25" s="266"/>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7"/>
      <c r="P26" s="268"/>
      <c r="Q26" s="269"/>
      <c r="R26" s="270"/>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93"/>
      <c r="P27" s="294"/>
      <c r="Q27" s="295"/>
      <c r="R27" s="296"/>
      <c r="S27" s="279" t="s">
        <v>99</v>
      </c>
      <c r="T27" s="280"/>
      <c r="U27" s="280"/>
      <c r="V27" s="280"/>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97"/>
      <c r="P28" s="298"/>
      <c r="Q28" s="299"/>
      <c r="R28" s="300"/>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01" t="s">
        <v>102</v>
      </c>
      <c r="P29" s="302"/>
      <c r="Q29" s="303">
        <f>EINSTELLUNG!O7</f>
        <v>2</v>
      </c>
      <c r="R29" s="304"/>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1">
        <v>0</v>
      </c>
      <c r="P31" s="282"/>
      <c r="Q31" s="283">
        <v>0</v>
      </c>
      <c r="R31" s="284"/>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85"/>
      <c r="P33" s="286"/>
      <c r="Q33" s="289" t="s">
        <v>108</v>
      </c>
      <c r="R33" s="290"/>
      <c r="S33" s="311" t="s">
        <v>109</v>
      </c>
      <c r="T33" s="312"/>
      <c r="U33" s="311" t="s">
        <v>110</v>
      </c>
      <c r="V33" s="312"/>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87"/>
      <c r="P34" s="288"/>
      <c r="Q34" s="291"/>
      <c r="R34" s="292"/>
      <c r="S34" s="313"/>
      <c r="T34" s="314"/>
      <c r="U34" s="313"/>
      <c r="V34" s="314"/>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23" t="s">
        <v>113</v>
      </c>
      <c r="P35" s="224"/>
      <c r="Q35" s="225">
        <f>EINSTELLUNG!C7</f>
        <v>2</v>
      </c>
      <c r="R35" s="226"/>
      <c r="S35" s="225">
        <f>EINSTELLUNG!C23</f>
        <v>2</v>
      </c>
      <c r="T35" s="226"/>
      <c r="U35" s="308">
        <f>S35-Q35</f>
        <v>0</v>
      </c>
      <c r="V35" s="308"/>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23" t="s">
        <v>115</v>
      </c>
      <c r="P36" s="224"/>
      <c r="Q36" s="225">
        <f>EINSTELLUNG!D7</f>
        <v>2</v>
      </c>
      <c r="R36" s="226"/>
      <c r="S36" s="307" cm="1">
        <f t="array" ref="S36">SumMergedCells(Q17:R29)</f>
        <v>108550</v>
      </c>
      <c r="T36" s="307"/>
      <c r="U36" s="308">
        <f t="shared" ref="U36:U41" si="2">S36-Q36</f>
        <v>108548</v>
      </c>
      <c r="V36" s="308"/>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23" t="s">
        <v>117</v>
      </c>
      <c r="P37" s="224"/>
      <c r="Q37" s="237">
        <f>IF(ISERROR(Q36/Q35), 0, Q36/Q35)</f>
        <v>1</v>
      </c>
      <c r="R37" s="238"/>
      <c r="S37" s="237">
        <f>IF(ISERROR(S36/S35), 0, S36/S35)</f>
        <v>54275</v>
      </c>
      <c r="T37" s="238"/>
      <c r="U37" s="315">
        <f t="shared" si="2"/>
        <v>54274</v>
      </c>
      <c r="V37" s="315"/>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23" t="s">
        <v>119</v>
      </c>
      <c r="P38" s="224"/>
      <c r="Q38" s="239">
        <f>EINSTELLUNG!F7</f>
        <v>2</v>
      </c>
      <c r="R38" s="240"/>
      <c r="S38" s="239">
        <f>EINSTELLUNG!F23</f>
        <v>2</v>
      </c>
      <c r="T38" s="240"/>
      <c r="U38" s="310">
        <f t="shared" si="2"/>
        <v>0</v>
      </c>
      <c r="V38" s="310"/>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3" t="s">
        <v>121</v>
      </c>
      <c r="P39" s="224"/>
      <c r="Q39" s="225">
        <f>IF(Q38=0, 0, Q35/Q38)</f>
        <v>1</v>
      </c>
      <c r="R39" s="226"/>
      <c r="S39" s="225">
        <f>IF(S38=0, 0, S35/S38)</f>
        <v>1</v>
      </c>
      <c r="T39" s="226"/>
      <c r="U39" s="308">
        <f t="shared" si="2"/>
        <v>0</v>
      </c>
      <c r="V39" s="308"/>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IF(Q12=0, 0, Q35/Q12)</f>
        <v>2.3442371617851841E-4</v>
      </c>
      <c r="R40" s="307"/>
      <c r="S40" s="307">
        <f>IF(Q12=0, 0, S35/Q12)</f>
        <v>2.3442371617851841E-4</v>
      </c>
      <c r="T40" s="307"/>
      <c r="U40" s="308">
        <f t="shared" si="2"/>
        <v>0</v>
      </c>
      <c r="V40" s="308"/>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IF(Q12=0, 0, Q38/Q12)</f>
        <v>2.3442371617851841E-4</v>
      </c>
      <c r="R41" s="309"/>
      <c r="S41" s="309">
        <f>IF(Q12=0, 0, S38/Q12)</f>
        <v>2.3442371617851841E-4</v>
      </c>
      <c r="T41" s="309"/>
      <c r="U41" s="310">
        <f t="shared" si="2"/>
        <v>0</v>
      </c>
      <c r="V41" s="310"/>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12.128523840535237</v>
      </c>
      <c r="R42" s="306"/>
      <c r="S42" s="306"/>
      <c r="T42" s="306"/>
      <c r="U42" s="306"/>
      <c r="V42" s="226"/>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381</v>
      </c>
      <c r="D54" s="203">
        <v>46054</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382</v>
      </c>
      <c r="D55" s="203">
        <v>46054</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383</v>
      </c>
      <c r="D56" s="203">
        <v>42401</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384</v>
      </c>
      <c r="D57" s="203">
        <v>46054</v>
      </c>
      <c r="E57" s="134" t="s">
        <v>8</v>
      </c>
      <c r="F57" s="136">
        <v>138.4</v>
      </c>
      <c r="G57" s="192">
        <v>2021</v>
      </c>
      <c r="H57" s="158">
        <f>IF(AND(ISNUMBER(D57), ISNUMBER(F57)),
    ROUNDDOWN(
        MIN(
            IF(OR(ISBLANK(I57), I57=""),
                EOMONTH(DATE(LOHNTABELLE!$G$3, $A$1, 1), 0), I57)
            - MAX(D57, DATE(LOHNTABELLE!$G$3, $A$1, 1)) + 1)
        / DAY(EOMONTH(DATE(LOHNTABELLE!$G$3, $A$1, 1), 0)) * F57,
        2
    ),
    ""
)</f>
        <v>138.4</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505000</v>
      </c>
      <c r="C58" s="137" t="s">
        <v>385</v>
      </c>
      <c r="D58" s="203">
        <v>46054</v>
      </c>
      <c r="E58" s="134" t="s">
        <v>4</v>
      </c>
      <c r="F58" s="136">
        <v>138.4</v>
      </c>
      <c r="G58" s="192">
        <v>2021</v>
      </c>
      <c r="H58" s="158">
        <f>IF(AND(ISNUMBER(D58), ISNUMBER(F58)),
    ROUNDDOWN(
        MIN(
            IF(OR(ISBLANK(I58), I58=""),
                EOMONTH(DATE(LOHNTABELLE!$G$3, $A$1, 1), 0), I58)
            - MAX(D58, DATE(LOHNTABELLE!$G$3, $A$1, 1)) + 1)
        / DAY(EOMONTH(DATE(LOHNTABELLE!$G$3, $A$1, 1), 0)) * F58,
        2
    ),
    ""
)</f>
        <v>138.4</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500600</v>
      </c>
      <c r="C59" s="137" t="s">
        <v>386</v>
      </c>
      <c r="D59" s="203">
        <v>46054</v>
      </c>
      <c r="E59" s="134" t="s">
        <v>4</v>
      </c>
      <c r="F59" s="136">
        <v>151.38</v>
      </c>
      <c r="G59" s="192">
        <v>2021</v>
      </c>
      <c r="H59" s="158">
        <f>IF(AND(ISNUMBER(D59), ISNUMBER(F59)),
    ROUNDDOWN(
        MIN(
            IF(OR(ISBLANK(I59), I59=""),
                EOMONTH(DATE(LOHNTABELLE!$G$3, $A$1, 1), 0), I59)
            - MAX(D59, DATE(LOHNTABELLE!$G$3, $A$1, 1)) + 1)
        / DAY(EOMONTH(DATE(LOHNTABELLE!$G$3, $A$1, 1), 0)) * F59,
        2
    ),
    ""
)</f>
        <v>151.38</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387</v>
      </c>
      <c r="D60" s="203">
        <v>46054</v>
      </c>
      <c r="E60" s="134" t="s">
        <v>4</v>
      </c>
      <c r="F60" s="136">
        <v>151.38</v>
      </c>
      <c r="G60" s="192">
        <v>2021</v>
      </c>
      <c r="H60" s="158">
        <f>IF(AND(ISNUMBER(D60), ISNUMBER(F60)),
    ROUNDDOWN(
        MIN(
            IF(OR(ISBLANK(I60), I60=""),
                EOMONTH(DATE(LOHNTABELLE!$G$3, $A$1, 1), 0), I60)
            - MAX(D60, DATE(LOHNTABELLE!$G$3, $A$1, 1)) + 1)
        / DAY(EOMONTH(DATE(LOHNTABELLE!$G$3, $A$1, 1), 0)) * F60,
        2
    ),
    ""
)</f>
        <v>151.38</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x62wprwwtjhRaQB7Udso5sm1mlkFVXL78oxwkAB8huiGzU3Fz/Uja+yUXaNDYHsiYRIiekCnAJgdVSuRGL8kvQ==" saltValue="hn6lUIgmDOszLIgmwMf7/w==" spinCount="100000" sheet="1" objects="1" scenarios="1" sort="0" autoFilter="0"/>
  <sortState xmlns:xlrd2="http://schemas.microsoft.com/office/spreadsheetml/2017/richdata2" ref="B3:N82">
    <sortCondition ref="B3:B82"/>
    <sortCondition ref="C3:C82"/>
  </sortState>
  <mergeCells count="96">
    <mergeCell ref="S38:T38"/>
    <mergeCell ref="U33:V34"/>
    <mergeCell ref="S33:T34"/>
    <mergeCell ref="U37:V37"/>
    <mergeCell ref="S35:T35"/>
    <mergeCell ref="U35:V35"/>
    <mergeCell ref="S36:T36"/>
    <mergeCell ref="U36:V36"/>
    <mergeCell ref="S37:T37"/>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Q12:R12"/>
    <mergeCell ref="O13:P13"/>
    <mergeCell ref="Q13:R13"/>
    <mergeCell ref="O3:O4"/>
    <mergeCell ref="C1:C2"/>
    <mergeCell ref="D1:D2"/>
    <mergeCell ref="E1:E2"/>
    <mergeCell ref="F1:F2"/>
    <mergeCell ref="G1:G2"/>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s>
  <dataValidations count="60">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1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46082</v>
      </c>
    </row>
    <row r="2" spans="1:28" ht="16" customHeight="1" thickBot="1">
      <c r="A2" s="129"/>
      <c r="B2" s="249"/>
      <c r="C2" s="258"/>
      <c r="D2" s="260"/>
      <c r="E2" s="260"/>
      <c r="F2" s="260"/>
      <c r="G2" s="262"/>
      <c r="H2" s="253"/>
      <c r="I2" s="228"/>
      <c r="J2" s="230"/>
      <c r="K2" s="232"/>
      <c r="L2" s="234"/>
      <c r="M2" s="236"/>
      <c r="N2" s="250"/>
      <c r="AB2" s="41">
        <f>EOMONTH(DATE(LOHNTABELLE!$G$3, $A$1, 1), 0)</f>
        <v>46112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834.73910227502608</v>
      </c>
      <c r="P5" s="49">
        <f>EINSTELLUNG!I8</f>
        <v>3</v>
      </c>
      <c r="Q5" s="48">
        <f>P5-O5</f>
        <v>-831.73910227502608</v>
      </c>
      <c r="R5" s="52">
        <f>IFERROR(Q5*Q42, 0)</f>
        <v>-9983.0947571843044</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8605.35</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EINSTELLUNG!L24</f>
        <v>3</v>
      </c>
      <c r="R9" s="344"/>
      <c r="S9" s="53">
        <f>IFERROR(Q9/Q8, 0)</f>
        <v>3.4862033502414195E-4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EINSTELLUNG!I24</f>
        <v>3</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3</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-445</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9041.35</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EINSTELLUNG!L8</f>
        <v>3</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9038.35</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2" t="s">
        <v>87</v>
      </c>
      <c r="P17" s="372"/>
      <c r="Q17" s="366">
        <f>SUM(L3:L82)</f>
        <v>103287.22580645161</v>
      </c>
      <c r="R17" s="366"/>
      <c r="W17" s="45"/>
    </row>
    <row r="18" spans="1:29" ht="16" customHeight="1">
      <c r="A18" s="130" t="s">
        <v>88</v>
      </c>
      <c r="B18" s="170">
        <v>401432</v>
      </c>
      <c r="C18" s="139"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76"/>
      <c r="P18" s="374"/>
      <c r="Q18" s="373"/>
      <c r="R18" s="352"/>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76"/>
      <c r="P22" s="374"/>
      <c r="Q22" s="373"/>
      <c r="R22" s="352"/>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8"/>
      <c r="P26" s="359"/>
      <c r="Q26" s="349"/>
      <c r="R26" s="350"/>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EINSTELLUNG!O8</f>
        <v>3</v>
      </c>
      <c r="R29" s="347"/>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4">
        <v>0</v>
      </c>
      <c r="P31" s="360"/>
      <c r="Q31" s="361">
        <v>1.9230769230769232E-2</v>
      </c>
      <c r="R31" s="36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24" t="s">
        <v>113</v>
      </c>
      <c r="P35" s="305"/>
      <c r="Q35" s="307">
        <f>EINSTELLUNG!C8</f>
        <v>3</v>
      </c>
      <c r="R35" s="307"/>
      <c r="S35" s="307">
        <f>EINSTELLUNG!C24</f>
        <v>3</v>
      </c>
      <c r="T35" s="307"/>
      <c r="U35" s="308">
        <f>S35-Q35</f>
        <v>0</v>
      </c>
      <c r="V35" s="308"/>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24" t="s">
        <v>115</v>
      </c>
      <c r="P36" s="305"/>
      <c r="Q36" s="307">
        <f>EINSTELLUNG!D8</f>
        <v>3</v>
      </c>
      <c r="R36" s="307"/>
      <c r="S36" s="307" cm="1">
        <f t="array" ref="S36">SumMergedCells(Q17:R29)</f>
        <v>108290.2258</v>
      </c>
      <c r="T36" s="307"/>
      <c r="U36" s="308">
        <f t="shared" ref="U36:U41" si="2">S36-Q36</f>
        <v>108287.2258</v>
      </c>
      <c r="V36" s="308"/>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24" t="s">
        <v>117</v>
      </c>
      <c r="P37" s="305"/>
      <c r="Q37" s="367">
        <f>IF(ISERROR(Q36/Q35), 0, Q36/Q35)</f>
        <v>1</v>
      </c>
      <c r="R37" s="367"/>
      <c r="S37" s="367">
        <f>IF(ISERROR(S36/S35), 0, S36/S35)</f>
        <v>36096.741933333331</v>
      </c>
      <c r="T37" s="367"/>
      <c r="U37" s="315">
        <f t="shared" si="2"/>
        <v>36095.741933333331</v>
      </c>
      <c r="V37" s="315"/>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24" t="s">
        <v>119</v>
      </c>
      <c r="P38" s="305"/>
      <c r="Q38" s="309">
        <f>EINSTELLUNG!F8</f>
        <v>3</v>
      </c>
      <c r="R38" s="309"/>
      <c r="S38" s="309">
        <f>EINSTELLUNG!F24</f>
        <v>3</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3.3180885597836605E-4</v>
      </c>
      <c r="R40" s="307"/>
      <c r="S40" s="307">
        <f>IF(Q13=0, 0, S35/Q13)</f>
        <v>3.3180885597836605E-4</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3.3180885597836605E-4</v>
      </c>
      <c r="R41" s="309"/>
      <c r="S41" s="309">
        <f>IF(Q13=0, 0, S38/Q13)</f>
        <v>3.3180885597836605E-4</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12.002675754786452</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203">
        <v>46014</v>
      </c>
      <c r="E54" s="134" t="s">
        <v>4</v>
      </c>
      <c r="F54" s="136">
        <v>86.5</v>
      </c>
      <c r="G54" s="192">
        <v>1010.5</v>
      </c>
      <c r="H54" s="158">
        <f>IF(AND(ISNUMBER(D54), ISNUMBER(F54)),
    ROUNDDOWN(
        MIN(
            IF(OR(ISBLANK(I54), I54=""),
                EOMONTH(DATE(LOHNTABELLE!$G$3, $A$1, 1), 0), I54)
            - MAX(D54, DATE(LOHNTABELLE!$G$3, $A$1, 1)) + 1)
        / DAY(EOMONTH(DATE(LOHNTABELLE!$G$3, $A$1, 1), 0)) * F54,
        2
    ),
    ""
)</f>
        <v>41.85</v>
      </c>
      <c r="I54" s="206">
        <v>46096</v>
      </c>
      <c r="J54" s="135">
        <v>8</v>
      </c>
      <c r="K54" s="161">
        <f t="shared" si="1"/>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369</v>
      </c>
      <c r="D55" s="203">
        <v>46082</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386</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383</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9" t="s">
        <v>384</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505000</v>
      </c>
      <c r="C60" s="137" t="s">
        <v>385</v>
      </c>
      <c r="D60" s="203">
        <v>46054</v>
      </c>
      <c r="E60" s="134" t="s">
        <v>4</v>
      </c>
      <c r="F60" s="136">
        <v>173</v>
      </c>
      <c r="G60" s="192">
        <v>2021</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QHEpRQ6rdhinHCm+LnzGCMAuo0n1r5plflzb3hEeN1ywl4UYJTK4nMWra3ENnNZsX7aag8BW3Q3TzggoicehwA==" saltValue="VJXz0TYxLmVvpOOKeYBlgw=="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O16:R16"/>
    <mergeCell ref="Q3:Q4"/>
    <mergeCell ref="R3:R4"/>
    <mergeCell ref="O6:R6"/>
    <mergeCell ref="O8:P8"/>
    <mergeCell ref="Q8:R8"/>
    <mergeCell ref="O12:P12"/>
    <mergeCell ref="Q12:R12"/>
    <mergeCell ref="Q9:R9"/>
    <mergeCell ref="O10:P10"/>
    <mergeCell ref="Q10:R10"/>
    <mergeCell ref="B1:B2"/>
    <mergeCell ref="N1:N2"/>
    <mergeCell ref="H1:H2"/>
    <mergeCell ref="C1:C2"/>
    <mergeCell ref="D1:D2"/>
    <mergeCell ref="E1:E2"/>
    <mergeCell ref="F1:F2"/>
    <mergeCell ref="G1:G2"/>
  </mergeCells>
  <dataValidations count="60">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46113</v>
      </c>
    </row>
    <row r="2" spans="1:28" ht="16" customHeight="1" thickBot="1">
      <c r="A2" s="129"/>
      <c r="B2" s="249"/>
      <c r="C2" s="258"/>
      <c r="D2" s="260"/>
      <c r="E2" s="260"/>
      <c r="F2" s="260"/>
      <c r="G2" s="262"/>
      <c r="H2" s="253"/>
      <c r="I2" s="228"/>
      <c r="J2" s="230"/>
      <c r="K2" s="232"/>
      <c r="L2" s="234"/>
      <c r="M2" s="236"/>
      <c r="N2" s="250"/>
      <c r="AB2" s="41">
        <f>EOMONTH(DATE(LOHNTABELLE!$G$3, $A$1, 1), 0)</f>
        <v>46142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843.08649329777643</v>
      </c>
      <c r="P5" s="49">
        <f>EINSTELLUNG!I9</f>
        <v>4</v>
      </c>
      <c r="Q5" s="48">
        <f>P5-O5</f>
        <v>-839.08649329777643</v>
      </c>
      <c r="R5" s="52">
        <f>IFERROR(Q5*Q42, 0)</f>
        <v>-10043.627451879087</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8684.6</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EINSTELLUNG!L25</f>
        <v>4</v>
      </c>
      <c r="R9" s="344"/>
      <c r="S9" s="53">
        <f>IFERROR(Q9/Q8, 0)</f>
        <v>4.6058540404854566E-4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EINSTELLUNG!I25</f>
        <v>4</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4</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-255</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8927.6</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EINSTELLUNG!L9</f>
        <v>4</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8923.6</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2" t="s">
        <v>87</v>
      </c>
      <c r="P17" s="372"/>
      <c r="Q17" s="366">
        <f>SUM(L3:L82)</f>
        <v>103952.2</v>
      </c>
      <c r="R17" s="366"/>
      <c r="W17" s="45"/>
    </row>
    <row r="18" spans="1:29" ht="16" customHeight="1">
      <c r="A18" s="130" t="s">
        <v>88</v>
      </c>
      <c r="B18" s="170">
        <v>401432</v>
      </c>
      <c r="C18" s="139"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76"/>
      <c r="P18" s="374"/>
      <c r="Q18" s="373"/>
      <c r="R18" s="352"/>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76"/>
      <c r="P22" s="374"/>
      <c r="Q22" s="373"/>
      <c r="R22" s="352"/>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8"/>
      <c r="P26" s="359"/>
      <c r="Q26" s="349"/>
      <c r="R26" s="350"/>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EINSTELLUNG!O9</f>
        <v>4</v>
      </c>
      <c r="R29" s="347"/>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4">
        <v>0</v>
      </c>
      <c r="P31" s="360"/>
      <c r="Q31" s="361">
        <v>0</v>
      </c>
      <c r="R31" s="36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24" t="s">
        <v>113</v>
      </c>
      <c r="P35" s="305"/>
      <c r="Q35" s="307">
        <f>EINSTELLUNG!C9</f>
        <v>4</v>
      </c>
      <c r="R35" s="307"/>
      <c r="S35" s="307">
        <f>EINSTELLUNG!C25</f>
        <v>4</v>
      </c>
      <c r="T35" s="307"/>
      <c r="U35" s="308">
        <f>S35-Q35</f>
        <v>0</v>
      </c>
      <c r="V35" s="308"/>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24" t="s">
        <v>115</v>
      </c>
      <c r="P36" s="305"/>
      <c r="Q36" s="307">
        <f>EINSTELLUNG!D9</f>
        <v>4</v>
      </c>
      <c r="R36" s="307"/>
      <c r="S36" s="307" cm="1">
        <f t="array" ref="S36">SumMergedCells(Q17:R29)</f>
        <v>108956.2</v>
      </c>
      <c r="T36" s="307"/>
      <c r="U36" s="308">
        <f t="shared" ref="U36:U41" si="2">S36-Q36</f>
        <v>108952.2</v>
      </c>
      <c r="V36" s="308"/>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24" t="s">
        <v>117</v>
      </c>
      <c r="P37" s="305"/>
      <c r="Q37" s="367">
        <f>IF(ISERROR(Q36/Q35), 0, Q36/Q35)</f>
        <v>1</v>
      </c>
      <c r="R37" s="367"/>
      <c r="S37" s="367">
        <f>IF(ISERROR(S36/S35), 0, S36/S35)</f>
        <v>27239.05</v>
      </c>
      <c r="T37" s="367"/>
      <c r="U37" s="315">
        <f t="shared" si="2"/>
        <v>27238.05</v>
      </c>
      <c r="V37" s="315"/>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24" t="s">
        <v>119</v>
      </c>
      <c r="P38" s="305"/>
      <c r="Q38" s="309">
        <f>EINSTELLUNG!F9</f>
        <v>4</v>
      </c>
      <c r="R38" s="309"/>
      <c r="S38" s="309">
        <f>EINSTELLUNG!F25</f>
        <v>4</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4.4804874770375014E-4</v>
      </c>
      <c r="R40" s="307"/>
      <c r="S40" s="307">
        <f>IF(Q13=0, 0, S35/Q13)</f>
        <v>4.4804874770375014E-4</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4.4804874770375014E-4</v>
      </c>
      <c r="R41" s="309"/>
      <c r="S41" s="309">
        <f>IF(Q13=0, 0, S38/Q13)</f>
        <v>4.4804874770375014E-4</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11.969716509683808</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379</v>
      </c>
      <c r="D55" s="203">
        <v>46122</v>
      </c>
      <c r="E55" s="134" t="s">
        <v>4</v>
      </c>
      <c r="F55" s="136">
        <v>173</v>
      </c>
      <c r="G55" s="192">
        <v>2021</v>
      </c>
      <c r="H55" s="158">
        <f>IF(AND(ISNUMBER(D55), ISNUMBER(F55)),
    ROUNDDOWN(
        MIN(
            IF(OR(ISBLANK(I55), I55=""),
                EOMONTH(DATE(LOHNTABELLE!$G$3, $A$1, 1), 0), I55)
            - MAX(D55, DATE(LOHNTABELLE!$G$3, $A$1, 1)) + 1)
        / DAY(EOMONTH(DATE(LOHNTABELLE!$G$3, $A$1, 1), 0)) * F55,
        2
    ),
    ""
)</f>
        <v>121.1</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386</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383</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384</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505000</v>
      </c>
      <c r="C60" s="137" t="s">
        <v>385</v>
      </c>
      <c r="D60" s="203">
        <v>46054</v>
      </c>
      <c r="E60" s="134" t="s">
        <v>4</v>
      </c>
      <c r="F60" s="136">
        <v>173</v>
      </c>
      <c r="G60" s="192">
        <v>2021</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xiLkOuYoBKxhkxGUPWLxNjUra0af+U+CrtrZUAuzBPKaKnwqcfmTzqM8jZUct90nUZJgui39M0axr2C/oL+3ww==" saltValue="qPL/+PR8v0i3YnXAazGZHA=="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dataValidations count="60">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25"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46143</v>
      </c>
    </row>
    <row r="2" spans="1:28" ht="16" customHeight="1" thickBot="1">
      <c r="A2" s="129"/>
      <c r="B2" s="249"/>
      <c r="C2" s="258"/>
      <c r="D2" s="260"/>
      <c r="E2" s="260"/>
      <c r="F2" s="260"/>
      <c r="G2" s="262"/>
      <c r="H2" s="253"/>
      <c r="I2" s="228"/>
      <c r="J2" s="230"/>
      <c r="K2" s="232"/>
      <c r="L2" s="234"/>
      <c r="M2" s="236"/>
      <c r="N2" s="250"/>
      <c r="AB2" s="41">
        <f>EOMONTH(DATE(LOHNTABELLE!$G$3, $A$1, 1), 0)</f>
        <v>46173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EINSTELLUNG!I10</f>
        <v>5</v>
      </c>
      <c r="Q5" s="48">
        <f>P5-O5</f>
        <v>-858.95497085465206</v>
      </c>
      <c r="R5" s="52">
        <f>IFERROR(Q5*Q42, 0)</f>
        <v>-13812.667625313316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8930.42</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EINSTELLUNG!L26</f>
        <v>5</v>
      </c>
      <c r="R9" s="344"/>
      <c r="S9" s="53">
        <f>IFERROR(Q9/Q8, 0)</f>
        <v>5.5988408159974559E-4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EINSTELLUNG!I26</f>
        <v>5</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5</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80</v>
      </c>
      <c r="P12" s="343"/>
      <c r="Q12" s="344">
        <f>Q8-Q9-Q10-Q11</f>
        <v>8915.42</v>
      </c>
      <c r="R12" s="344"/>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82</v>
      </c>
      <c r="P13" s="343"/>
      <c r="Q13" s="344">
        <f>EINSTELLUNG!L10</f>
        <v>5</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84</v>
      </c>
      <c r="P14" s="343"/>
      <c r="Q14" s="344">
        <f>Q12-Q13</f>
        <v>8910.42</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9" t="str">
        <f>IF(Q14&lt;0, "Schlecht! Zu wenig Stunden für Dienstplan.", IF(Q14&gt;0, "Du hast mehr als genug Stunden für Dienstplan.", ""))</f>
        <v>Du hast mehr als genug Stunden für Dienstplan.</v>
      </c>
      <c r="P15" s="379"/>
      <c r="Q15" s="379"/>
      <c r="R15" s="37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143608.13709677418</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EINSTELLUNG!O10</f>
        <v>5</v>
      </c>
      <c r="R29" s="347"/>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EINSTELLUNG!C10</f>
        <v>5</v>
      </c>
      <c r="R35" s="307"/>
      <c r="S35" s="307">
        <f>EINSTELLUNG!C26</f>
        <v>5</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EINSTELLUNG!D10</f>
        <v>5</v>
      </c>
      <c r="R36" s="307"/>
      <c r="S36" s="307" cm="1">
        <f t="array" ref="S36">SumMergedCells(Q17:R29)</f>
        <v>148613.13709999999</v>
      </c>
      <c r="T36" s="307"/>
      <c r="U36" s="308">
        <f t="shared" ref="U36:U41" si="2">S36-Q36</f>
        <v>148608.13709999999</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29722.627419999997</v>
      </c>
      <c r="T37" s="367"/>
      <c r="U37" s="315">
        <f t="shared" si="2"/>
        <v>29721.627419999997</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EINSTELLUNG!F10</f>
        <v>5</v>
      </c>
      <c r="R38" s="309"/>
      <c r="S38" s="309">
        <f>EINSTELLUNG!F26</f>
        <v>5</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IF(Q12=0, 0, Q35/Q12)</f>
        <v>5.6082607437451073E-4</v>
      </c>
      <c r="R40" s="307"/>
      <c r="S40" s="307">
        <f>IF(Q12=0, 0, S35/Q12)</f>
        <v>5.6082607437451073E-4</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IF(Q12=0, 0, Q38/Q12)</f>
        <v>5.6082607437451073E-4</v>
      </c>
      <c r="R41" s="309"/>
      <c r="S41" s="309">
        <f>IF(Q12=0, 0, S38/Q12)</f>
        <v>5.6082607437451073E-4</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16.080781989735552</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150.66999999999999</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3048.3870967741937</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5FDV9+nfba+IjDL9/1IA9g88O9lUISWqsbbBrisaiQt59UkGZZyKz6Pk/+Clfa6QDdlEKsRHdmq0w2ShO+P41Q==" saltValue="d4W1iZ4fVrMREHdHjDifqg=="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dataValidations count="62">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19"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46174</v>
      </c>
    </row>
    <row r="2" spans="1:28" ht="16" customHeight="1" thickBot="1">
      <c r="A2" s="129"/>
      <c r="B2" s="249"/>
      <c r="C2" s="258"/>
      <c r="D2" s="260"/>
      <c r="E2" s="260"/>
      <c r="F2" s="260"/>
      <c r="G2" s="262"/>
      <c r="H2" s="253"/>
      <c r="I2" s="228"/>
      <c r="J2" s="230"/>
      <c r="K2" s="232"/>
      <c r="L2" s="234"/>
      <c r="M2" s="236"/>
      <c r="N2" s="250"/>
      <c r="AB2" s="41">
        <f>EOMONTH(DATE(LOHNTABELLE!$G$3, $A$1, 1), 0)</f>
        <v>46203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EINSTELLUNG!I11</f>
        <v>6</v>
      </c>
      <c r="Q5" s="48">
        <f>P5-O5</f>
        <v>-857.95497085465206</v>
      </c>
      <c r="R5" s="52">
        <f>IFERROR(Q5*Q42, 0)</f>
        <v>-13805.454035081786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8952.75</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EINSTELLUNG!L27</f>
        <v>6</v>
      </c>
      <c r="R9" s="344"/>
      <c r="S9" s="53">
        <f>IFERROR(Q9/Q8, 0)</f>
        <v>6.701851386445506E-4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EINSTELLUNG!I27</f>
        <v>6</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6</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442</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8492.75</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EINSTELLUNG!L11</f>
        <v>6</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8486.75</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144059.75</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EINSTELLUNG!O11</f>
        <v>6</v>
      </c>
      <c r="R29" s="347"/>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EINSTELLUNG!C11</f>
        <v>6</v>
      </c>
      <c r="R35" s="307"/>
      <c r="S35" s="307">
        <f>EINSTELLUNG!C27</f>
        <v>6</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EINSTELLUNG!D11</f>
        <v>6</v>
      </c>
      <c r="R36" s="307"/>
      <c r="S36" s="307" cm="1">
        <f t="array" ref="S36">SumMergedCells(Q17:R29)</f>
        <v>149065.75</v>
      </c>
      <c r="T36" s="307"/>
      <c r="U36" s="308">
        <f t="shared" ref="U36:U41" si="2">S36-Q36</f>
        <v>149059.75</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24844.291666666668</v>
      </c>
      <c r="T37" s="367"/>
      <c r="U37" s="315">
        <f t="shared" si="2"/>
        <v>24843.291666666668</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EINSTELLUNG!F11</f>
        <v>6</v>
      </c>
      <c r="R38" s="309"/>
      <c r="S38" s="309">
        <f>EINSTELLUNG!F27</f>
        <v>6</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IF(Q12=0, 0, Q35/Q12)</f>
        <v>1.3574660633484163E-2</v>
      </c>
      <c r="R40" s="307"/>
      <c r="S40" s="307">
        <f>IF(Q12=0, 0, S35/Q12)</f>
        <v>1.3574660633484163E-2</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IF(Q12=0, 0, Q38/Q12)</f>
        <v>1.3574660633484163E-2</v>
      </c>
      <c r="R41" s="309"/>
      <c r="S41" s="309">
        <f>IF(Q12=0, 0, S38/Q12)</f>
        <v>1.3574660633484163E-2</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16.091117254474881</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oB3QWcS7xy6tv+YI6/39PeRBCmZ8Le9CYpKq4V5sF4cJGluwMDDBhrnUAKsglXpjdfLfDucJXhnryLFEjIBvlA==" saltValue="bFumf4o0B912eLqppywv3g==" spinCount="100000" sheet="1" objects="1" scenarios="1" sort="0" autoFilter="0"/>
  <sortState xmlns:xlrd2="http://schemas.microsoft.com/office/spreadsheetml/2017/richdata2" ref="B3:N82">
    <sortCondition ref="B3:B82"/>
    <sortCondition ref="C3:C82"/>
  </sortState>
  <dataConsolidate/>
  <mergeCells count="98">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P3:P4"/>
    <mergeCell ref="Q3:Q4"/>
    <mergeCell ref="R3:R4"/>
    <mergeCell ref="O6:R6"/>
    <mergeCell ref="O8:P8"/>
    <mergeCell ref="Q8:R8"/>
    <mergeCell ref="O3:O4"/>
    <mergeCell ref="B1:B2"/>
    <mergeCell ref="N1:N2"/>
    <mergeCell ref="H1:H2"/>
    <mergeCell ref="C1:C2"/>
    <mergeCell ref="D1:D2"/>
    <mergeCell ref="E1:E2"/>
    <mergeCell ref="F1:F2"/>
    <mergeCell ref="G1:G2"/>
    <mergeCell ref="I1:I2"/>
    <mergeCell ref="J1:J2"/>
    <mergeCell ref="K1:K2"/>
    <mergeCell ref="L1:L2"/>
    <mergeCell ref="M1:M2"/>
  </mergeCells>
  <dataValidations count="62">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46"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46204</v>
      </c>
    </row>
    <row r="2" spans="1:28" ht="16" customHeight="1" thickBot="1">
      <c r="A2" s="129"/>
      <c r="B2" s="249"/>
      <c r="C2" s="258"/>
      <c r="D2" s="260"/>
      <c r="E2" s="260"/>
      <c r="F2" s="260"/>
      <c r="G2" s="262"/>
      <c r="H2" s="253"/>
      <c r="I2" s="228"/>
      <c r="J2" s="230"/>
      <c r="K2" s="232"/>
      <c r="L2" s="234"/>
      <c r="M2" s="236"/>
      <c r="N2" s="250"/>
      <c r="AB2" s="41">
        <f>EOMONTH(DATE(LOHNTABELLE!$G$3, $A$1, 1), 0)</f>
        <v>46234</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EINSTELLUNG!I12</f>
        <v>7</v>
      </c>
      <c r="Q5" s="48">
        <f>P5-O5</f>
        <v>-856.95497085465206</v>
      </c>
      <c r="R5" s="52">
        <f>IFERROR(Q5*Q42, 0)</f>
        <v>-13789.36291782731</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8952.75</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EINSTELLUNG!L28</f>
        <v>7</v>
      </c>
      <c r="R9" s="344"/>
      <c r="S9" s="53">
        <f>IFERROR(Q9/Q8, 0)</f>
        <v>7.8188266175197561E-4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EINSTELLUNG!I28</f>
        <v>7</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7</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39</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8892.75</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EINSTELLUNG!L12</f>
        <v>7</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8885.75</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144059.75</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7"/>
      <c r="P26" s="268"/>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EINSTELLUNG!O12</f>
        <v>7</v>
      </c>
      <c r="R29" s="347"/>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EINSTELLUNG!C12</f>
        <v>7</v>
      </c>
      <c r="R35" s="307"/>
      <c r="S35" s="307">
        <f>EINSTELLUNG!C28</f>
        <v>7</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EINSTELLUNG!D12</f>
        <v>7</v>
      </c>
      <c r="R36" s="307"/>
      <c r="S36" s="225" cm="1">
        <f t="array" ref="S36">SumMergedCells(Q17:R29)</f>
        <v>149066.75</v>
      </c>
      <c r="T36" s="226"/>
      <c r="U36" s="308">
        <f t="shared" ref="U36:U41" si="2">S36-Q36</f>
        <v>149059.75</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21295.25</v>
      </c>
      <c r="T37" s="367"/>
      <c r="U37" s="315">
        <f t="shared" si="2"/>
        <v>21294.25</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EINSTELLUNG!F12</f>
        <v>7</v>
      </c>
      <c r="R38" s="309"/>
      <c r="S38" s="309">
        <f>EINSTELLUNG!F28</f>
        <v>7</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7.8715807820977767E-4</v>
      </c>
      <c r="R40" s="307"/>
      <c r="S40" s="307">
        <f>IF(Q13=0, 0, S35/Q13)</f>
        <v>7.8715807820977767E-4</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7.8715807820977767E-4</v>
      </c>
      <c r="R41" s="309"/>
      <c r="S41" s="309">
        <f>IF(Q13=0, 0, S38/Q13)</f>
        <v>7.8715807820977767E-4</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16.091117254474881</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v786UNNNOxW1Wj2c3SXhDgHldD/MIRwIeyAW1cg334hFsXVJkqJHrT+VdhhEhA37bh5hjcsqh5W2OGQlFIz3Tw==" saltValue="HM94JoBvuWmm7tdXjWYJPg=="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46235</v>
      </c>
    </row>
    <row r="2" spans="1:28" ht="16" customHeight="1" thickBot="1">
      <c r="A2" s="129"/>
      <c r="B2" s="249"/>
      <c r="C2" s="258"/>
      <c r="D2" s="260"/>
      <c r="E2" s="260"/>
      <c r="F2" s="260"/>
      <c r="G2" s="262"/>
      <c r="H2" s="253"/>
      <c r="I2" s="228"/>
      <c r="J2" s="230"/>
      <c r="K2" s="232"/>
      <c r="L2" s="234"/>
      <c r="M2" s="236"/>
      <c r="N2" s="250"/>
      <c r="AB2" s="41">
        <f>EOMONTH(DATE(LOHNTABELLE!$G$3, $A$1, 1), 0)</f>
        <v>46265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EINSTELLUNG!I13</f>
        <v>8</v>
      </c>
      <c r="Q5" s="48">
        <f>P5-O5</f>
        <v>-855.95497085465206</v>
      </c>
      <c r="R5" s="52">
        <f>IFERROR(Q5*Q42, 0)</f>
        <v>-13792.193304756538</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8908.1</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EINSTELLUNG!L29</f>
        <v>8</v>
      </c>
      <c r="R9" s="344"/>
      <c r="S9" s="53">
        <f>IFERROR(Q9/Q8, 0)</f>
        <v>8.980590698353184E-4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EINSTELLUNG!I29</f>
        <v>8</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8</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80</v>
      </c>
      <c r="P12" s="343"/>
      <c r="Q12" s="344">
        <f>Q8-Q9-Q10-Q11</f>
        <v>8884.1</v>
      </c>
      <c r="R12" s="344"/>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82</v>
      </c>
      <c r="P13" s="343"/>
      <c r="Q13" s="344">
        <f>EINSTELLUNG!L13</f>
        <v>8</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84</v>
      </c>
      <c r="P14" s="343"/>
      <c r="Q14" s="344">
        <f>Q12-Q13</f>
        <v>8876.1</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9" t="str">
        <f>IF(Q14&lt;0, "Schlecht! Zu wenig Stunden für Dienstplan.", IF(Q14&gt;0, "Du hast mehr als genug Stunden für Dienstplan.", ""))</f>
        <v>Du hast mehr als genug Stunden für Dienstplan.</v>
      </c>
      <c r="P15" s="379"/>
      <c r="Q15" s="379"/>
      <c r="R15" s="37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143538.20161290321</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EINSTELLUNG!O13</f>
        <v>8</v>
      </c>
      <c r="R29" s="347"/>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1.8518518518518517E-2</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EINSTELLUNG!C13</f>
        <v>8</v>
      </c>
      <c r="R35" s="307"/>
      <c r="S35" s="307">
        <f>EINSTELLUNG!C29</f>
        <v>8</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EINSTELLUNG!D13</f>
        <v>8</v>
      </c>
      <c r="R36" s="307"/>
      <c r="S36" s="225" cm="1">
        <f t="array" ref="S36">SumMergedCells(Q17:R29)</f>
        <v>148546.2016</v>
      </c>
      <c r="T36" s="226"/>
      <c r="U36" s="308">
        <f t="shared" ref="U36:U41" si="2">S36-Q36</f>
        <v>148538.2016</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237">
        <f>IF(ISERROR(S36/S35), 0, S36/S35)</f>
        <v>18568.2752</v>
      </c>
      <c r="T37" s="238"/>
      <c r="U37" s="315">
        <f t="shared" si="2"/>
        <v>18567.2752</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EINSTELLUNG!F13</f>
        <v>8</v>
      </c>
      <c r="R38" s="309"/>
      <c r="S38" s="309">
        <f>EINSTELLUNG!F29</f>
        <v>8</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IF(Q12=0, 0, Q35/Q12)</f>
        <v>9.0048513636721778E-4</v>
      </c>
      <c r="R40" s="307"/>
      <c r="S40" s="307">
        <f>IF(Q12=0, 0, S35/Q12)</f>
        <v>9.0048513636721778E-4</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IF(Q12=0, 0, Q38/Q12)</f>
        <v>9.0048513636721778E-4</v>
      </c>
      <c r="R41" s="309"/>
      <c r="S41" s="309">
        <f>IF(Q12=0, 0, S38/Q12)</f>
        <v>9.0048513636721778E-4</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16.11322297828978</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9"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41.85</v>
      </c>
      <c r="I49" s="206">
        <v>46249</v>
      </c>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LQsbUv8kQvF2UcomohtRuKHrgSDCmz4IYfmW4VQhfbgPdpcmba1v1pWxNiuaBe+JfeHR9JxR0Zect3JM/8KFiA==" saltValue="SE3sZ3rc7Mr6pz3O+if6Tw=="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62">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46266</v>
      </c>
    </row>
    <row r="2" spans="1:28" ht="16" customHeight="1" thickBot="1">
      <c r="A2" s="129"/>
      <c r="B2" s="249"/>
      <c r="C2" s="258"/>
      <c r="D2" s="260"/>
      <c r="E2" s="260"/>
      <c r="F2" s="260"/>
      <c r="G2" s="262"/>
      <c r="H2" s="253"/>
      <c r="I2" s="228"/>
      <c r="J2" s="230"/>
      <c r="K2" s="232"/>
      <c r="L2" s="234"/>
      <c r="M2" s="236"/>
      <c r="N2" s="250"/>
      <c r="AB2" s="41">
        <f>EOMONTH(DATE(LOHNTABELLE!$G$3, $A$1, 1), 0)</f>
        <v>46295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863.95497085465217</v>
      </c>
      <c r="P5" s="49">
        <f>EINSTELLUNG!I14</f>
        <v>9</v>
      </c>
      <c r="Q5" s="48">
        <f>P5-O5</f>
        <v>-854.95497085465217</v>
      </c>
      <c r="R5" s="52">
        <f>IFERROR(Q5*Q42, 0)</f>
        <v>-14039.65889434716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8952.75</v>
      </c>
      <c r="R8" s="344"/>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EINSTELLUNG!L30</f>
        <v>9</v>
      </c>
      <c r="R9" s="344"/>
      <c r="S9" s="53">
        <f>IFERROR(Q9/Q8, 0)</f>
        <v>1.0052777079668257E-3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EINSTELLUNG!I30</f>
        <v>9</v>
      </c>
      <c r="R10" s="344"/>
    </row>
    <row r="11" spans="1:28" ht="16" customHeight="1">
      <c r="A11" s="131" t="s">
        <v>75</v>
      </c>
      <c r="B11" s="170">
        <v>401197</v>
      </c>
      <c r="C11" s="168"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9</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167</v>
      </c>
      <c r="R12" s="365"/>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8758.75</v>
      </c>
      <c r="R13" s="344"/>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EINSTELLUNG!L14</f>
        <v>9</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8749.75</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147017.75</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EINSTELLUNG!O14</f>
        <v>9</v>
      </c>
      <c r="R29" s="347"/>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EINSTELLUNG!C14</f>
        <v>9</v>
      </c>
      <c r="R35" s="307"/>
      <c r="S35" s="307">
        <f>EINSTELLUNG!C30</f>
        <v>9</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EINSTELLUNG!D14</f>
        <v>9</v>
      </c>
      <c r="R36" s="307"/>
      <c r="S36" s="225" cm="1">
        <f t="array" ref="S36">SumMergedCells(Q17:R29)</f>
        <v>152026.75</v>
      </c>
      <c r="T36" s="226"/>
      <c r="U36" s="308">
        <f t="shared" ref="U36:U41" si="2">S36-Q36</f>
        <v>152017.75</v>
      </c>
      <c r="V36" s="308"/>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16891.861111111109</v>
      </c>
      <c r="T37" s="367"/>
      <c r="U37" s="315">
        <f t="shared" si="2"/>
        <v>16890.861111111109</v>
      </c>
      <c r="V37" s="315"/>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EINSTELLUNG!F14</f>
        <v>9</v>
      </c>
      <c r="R38" s="309"/>
      <c r="S38" s="309">
        <f>EINSTELLUNG!F30</f>
        <v>9</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1.0275438846867417E-3</v>
      </c>
      <c r="R40" s="307"/>
      <c r="S40" s="307">
        <f>IF(Q13=0, 0, S35/Q13)</f>
        <v>1.0275438846867417E-3</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1.0275438846867417E-3</v>
      </c>
      <c r="R41" s="309"/>
      <c r="S41" s="309">
        <f>IF(Q13=0, 0, S38/Q13)</f>
        <v>1.0275438846867417E-3</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16.421518527826645</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0" t="s">
        <v>147</v>
      </c>
      <c r="B61" s="170">
        <v>505000</v>
      </c>
      <c r="C61" s="137" t="s">
        <v>385</v>
      </c>
      <c r="D61" s="203">
        <v>46054</v>
      </c>
      <c r="E61" s="134" t="s">
        <v>4</v>
      </c>
      <c r="F61" s="136">
        <v>173</v>
      </c>
      <c r="G61" s="192">
        <v>3500</v>
      </c>
      <c r="H61" s="158">
        <f>IF(AND(ISNUMBER(D61), ISNUMBER(F61)),
    ROUNDDOWN(
        MIN(
            IF(OR(ISBLANK(I61), I61=""),
                EOMONTH(DATE(LOHNTABELLE!$G$3, $A$1, 1), 0), I61)
            - MAX(D61, DATE(LOHNTABELLE!$G$3, $A$1, 1)) + 1)
        / DAY(EOMONTH(DATE(LOHNTABELLE!$G$3, $A$1, 1), 0)) * F61,
        2
    ),
    ""
)</f>
        <v>173</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3500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DgM/vz+Am9qBmbSMFW9OZ3ErSeSafJMOanHsUwiWKfLMgdLAERzCdBwa9UgJjmEPODkQRdKQ2kEmfQXFvWGXtw==" saltValue="4MbdiTp5367TRYF8KwhYtA=="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1">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46296</v>
      </c>
    </row>
    <row r="2" spans="1:28" ht="16" customHeight="1" thickBot="1">
      <c r="A2" s="129"/>
      <c r="B2" s="249"/>
      <c r="C2" s="258"/>
      <c r="D2" s="260"/>
      <c r="E2" s="260"/>
      <c r="F2" s="260"/>
      <c r="G2" s="262"/>
      <c r="H2" s="253"/>
      <c r="I2" s="228"/>
      <c r="J2" s="230"/>
      <c r="K2" s="232"/>
      <c r="L2" s="234"/>
      <c r="M2" s="236"/>
      <c r="N2" s="250"/>
      <c r="AB2" s="41">
        <f>EOMONTH(DATE(LOHNTABELLE!$G$3, $A$1, 1), 0)</f>
        <v>46326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855.60757983190183</v>
      </c>
      <c r="P5" s="49">
        <f>EINSTELLUNG!I15</f>
        <v>10</v>
      </c>
      <c r="Q5" s="48">
        <f>P5-O5</f>
        <v>-845.60757983190183</v>
      </c>
      <c r="R5" s="52">
        <f>IFERROR(Q5*Q42, 0)</f>
        <v>-13643.144518738889</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8866.25</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EINSTELLUNG!L31</f>
        <v>10</v>
      </c>
      <c r="R9" s="344"/>
      <c r="S9" s="53">
        <f>IFERROR(Q9/Q8, 0)</f>
        <v>1.1278725504018047E-3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EINSTELLUNG!I31</f>
        <v>10</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10</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-121</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8957.25</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EINSTELLUNG!L15</f>
        <v>10</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8947.25</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143049.25</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EINSTELLUNG!O15</f>
        <v>10</v>
      </c>
      <c r="R29" s="347"/>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EINSTELLUNG!C15</f>
        <v>10</v>
      </c>
      <c r="R35" s="307"/>
      <c r="S35" s="307">
        <f>EINSTELLUNG!C31</f>
        <v>10</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EINSTELLUNG!D15</f>
        <v>10</v>
      </c>
      <c r="R36" s="307"/>
      <c r="S36" s="225" cm="1">
        <f t="array" ref="S36">SumMergedCells(Q17:R29)</f>
        <v>148059.25</v>
      </c>
      <c r="T36" s="226"/>
      <c r="U36" s="308">
        <f t="shared" ref="U36:U41" si="2">S36-Q36</f>
        <v>148049.25</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14805.924999999999</v>
      </c>
      <c r="T37" s="367"/>
      <c r="U37" s="315">
        <f t="shared" si="2"/>
        <v>14804.924999999999</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EINSTELLUNG!F15</f>
        <v>10</v>
      </c>
      <c r="R38" s="309"/>
      <c r="S38" s="309">
        <f>EINSTELLUNG!F31</f>
        <v>10</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1.1164140779815234E-3</v>
      </c>
      <c r="R40" s="307"/>
      <c r="S40" s="307">
        <f>IF(Q13=0, 0, S35/Q13)</f>
        <v>1.1164140779815234E-3</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1.1164140779815234E-3</v>
      </c>
      <c r="R41" s="309"/>
      <c r="S41" s="309">
        <f>IF(Q13=0, 0, S38/Q13)</f>
        <v>1.1164140779815234E-3</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16.134132243056534</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1" t="s">
        <v>147</v>
      </c>
      <c r="B61" s="170">
        <v>505000</v>
      </c>
      <c r="C61" s="137" t="s">
        <v>385</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f4cRuvH/HVkaGGf43A7ddDQbNHKNJgsPXjWmwsXa9lhumNcOT76aeIGz7beiJWz1XsH0cNZpwUbtkpnVei5VSw==" saltValue="xv5VzAY+NMPPg97asAuKHA=="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61">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24"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46327</v>
      </c>
    </row>
    <row r="2" spans="1:28" ht="16" customHeight="1" thickBot="1">
      <c r="A2" s="129"/>
      <c r="B2" s="249"/>
      <c r="C2" s="258"/>
      <c r="D2" s="260"/>
      <c r="E2" s="260"/>
      <c r="F2" s="260"/>
      <c r="G2" s="262"/>
      <c r="H2" s="253"/>
      <c r="I2" s="228"/>
      <c r="J2" s="230"/>
      <c r="K2" s="232"/>
      <c r="L2" s="234"/>
      <c r="M2" s="236"/>
      <c r="N2" s="250"/>
      <c r="AB2" s="41">
        <f>EOMONTH(DATE(LOHNTABELLE!$G$3, $A$1, 1), 0)</f>
        <v>46356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855.60757983190183</v>
      </c>
      <c r="P5" s="49">
        <f>EINSTELLUNG!I16</f>
        <v>11</v>
      </c>
      <c r="Q5" s="48">
        <f>P5-O5</f>
        <v>-844.60757983190183</v>
      </c>
      <c r="R5" s="52">
        <f>IFERROR(Q5*Q42, 0)</f>
        <v>-13627.010386495833</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8866.25</v>
      </c>
      <c r="R8" s="344"/>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EINSTELLUNG!L32</f>
        <v>11</v>
      </c>
      <c r="R9" s="344"/>
      <c r="S9" s="53">
        <f>IFERROR(Q9/Q8, 0)</f>
        <v>1.2406598054419851E-3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EINSTELLUNG!I32</f>
        <v>11</v>
      </c>
      <c r="R10" s="344"/>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11</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80</v>
      </c>
      <c r="P12" s="343"/>
      <c r="Q12" s="344">
        <f>Q8-Q9-Q10-Q11</f>
        <v>8833.25</v>
      </c>
      <c r="R12" s="344"/>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82</v>
      </c>
      <c r="P13" s="343"/>
      <c r="Q13" s="344">
        <f>EINSTELLUNG!L16</f>
        <v>11</v>
      </c>
      <c r="R13" s="344"/>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84</v>
      </c>
      <c r="P14" s="343"/>
      <c r="Q14" s="344">
        <f>Q12-Q13</f>
        <v>8822.25</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9" t="str">
        <f>IF(Q14&lt;0, "Schlecht! Zu wenig Stunden für Dienstplan.", IF(Q14&gt;0, "Du hast mehr als genug Stunden für Dienstplan.", ""))</f>
        <v>Du hast mehr als genug Stunden für Dienstplan.</v>
      </c>
      <c r="P15" s="379"/>
      <c r="Q15" s="379"/>
      <c r="R15" s="37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143049.25</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c r="S27" s="279" t="s">
        <v>99</v>
      </c>
      <c r="T27" s="280"/>
      <c r="U27" s="280"/>
      <c r="V27" s="280"/>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8"/>
      <c r="P28" s="354"/>
      <c r="Q28" s="355"/>
      <c r="R28" s="35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02" t="s">
        <v>102</v>
      </c>
      <c r="P29" s="345"/>
      <c r="Q29" s="346">
        <f>EINSTELLUNG!O16</f>
        <v>11</v>
      </c>
      <c r="R29" s="347"/>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EINSTELLUNG!C16</f>
        <v>11</v>
      </c>
      <c r="R35" s="307"/>
      <c r="S35" s="307">
        <f>EINSTELLUNG!C32</f>
        <v>11</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EINSTELLUNG!D16</f>
        <v>11</v>
      </c>
      <c r="R36" s="307"/>
      <c r="S36" s="225" cm="1">
        <f t="array" ref="S36">SumMergedCells(Q17:R29)</f>
        <v>148060.25</v>
      </c>
      <c r="T36" s="226"/>
      <c r="U36" s="308">
        <f t="shared" ref="U36:U41" si="2">S36-Q36</f>
        <v>148049.25</v>
      </c>
      <c r="V36" s="308"/>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13460.022727272728</v>
      </c>
      <c r="T37" s="367"/>
      <c r="U37" s="315">
        <f t="shared" si="2"/>
        <v>13459.022727272728</v>
      </c>
      <c r="V37" s="315"/>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EINSTELLUNG!F16</f>
        <v>11</v>
      </c>
      <c r="R38" s="309"/>
      <c r="S38" s="309">
        <f>EINSTELLUNG!F32</f>
        <v>11</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IF(Q12=0, 0, Q35/Q12)</f>
        <v>1.2452947669317634E-3</v>
      </c>
      <c r="R40" s="307"/>
      <c r="S40" s="307">
        <f>IF(Q12=0, 0, S35/Q12)</f>
        <v>1.2452947669317634E-3</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IF(Q12=0, 0, Q38/Q12)</f>
        <v>1.2452947669317634E-3</v>
      </c>
      <c r="R41" s="309"/>
      <c r="S41" s="309">
        <f>IF(Q12=0, 0, S38/Q12)</f>
        <v>1.2452947669317634E-3</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16.134132243056534</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0" t="s">
        <v>147</v>
      </c>
      <c r="B61" s="170">
        <v>505000</v>
      </c>
      <c r="C61" s="137" t="s">
        <v>385</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E19B7DgBgp8NLLJAQ3mb5LX6qXS0A1xGu2gYv4gCWfYkhlJ/OV8L/j+WTSxzfY0x6fwulsgokF6ob6j4d/QNWg==" saltValue="fD70s68ID0FguCROY5V5og=="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61">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19"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49" t="s">
        <v>205</v>
      </c>
      <c r="C1" s="257" t="s">
        <v>52</v>
      </c>
      <c r="D1" s="259" t="s">
        <v>206</v>
      </c>
      <c r="E1" s="259" t="s">
        <v>0</v>
      </c>
      <c r="F1" s="259" t="s">
        <v>53</v>
      </c>
      <c r="G1" s="261" t="s">
        <v>54</v>
      </c>
      <c r="H1" s="252" t="s">
        <v>55</v>
      </c>
      <c r="I1" s="227" t="s">
        <v>207</v>
      </c>
      <c r="J1" s="229" t="s">
        <v>56</v>
      </c>
      <c r="K1" s="231" t="s">
        <v>57</v>
      </c>
      <c r="L1" s="233" t="s">
        <v>58</v>
      </c>
      <c r="M1" s="235" t="s">
        <v>59</v>
      </c>
      <c r="N1" s="250" t="s">
        <v>208</v>
      </c>
      <c r="AB1" s="41">
        <f>DATE(LOHNTABELLE!$G$3, $A$1, 1)</f>
        <v>46357</v>
      </c>
    </row>
    <row r="2" spans="1:28" ht="16" customHeight="1" thickBot="1">
      <c r="A2" s="129"/>
      <c r="B2" s="249"/>
      <c r="C2" s="258"/>
      <c r="D2" s="260"/>
      <c r="E2" s="260"/>
      <c r="F2" s="260"/>
      <c r="G2" s="262"/>
      <c r="H2" s="253"/>
      <c r="I2" s="228"/>
      <c r="J2" s="230"/>
      <c r="K2" s="232"/>
      <c r="L2" s="234"/>
      <c r="M2" s="236"/>
      <c r="N2" s="250"/>
      <c r="AB2" s="41">
        <f>EOMONTH(DATE(LOHNTABELLE!$G$3, $A$1, 1), 0)</f>
        <v>46387</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1" t="s">
        <v>61</v>
      </c>
      <c r="P3" s="241" t="s">
        <v>62</v>
      </c>
      <c r="Q3" s="243" t="s">
        <v>63</v>
      </c>
      <c r="R3" s="254"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2"/>
      <c r="P4" s="242"/>
      <c r="Q4" s="244"/>
      <c r="R4" s="255"/>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868.12866636602735</v>
      </c>
      <c r="P5" s="49">
        <f>EINSTELLUNG!I17</f>
        <v>12</v>
      </c>
      <c r="Q5" s="48">
        <f>P5-O5</f>
        <v>-856.12866636602735</v>
      </c>
      <c r="R5" s="52">
        <f>IFERROR(Q5*Q42, 0)</f>
        <v>-14180.178250986082</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8" t="str">
        <f>IF(Q5&lt;0, "Schlecht! Zu wenig Urlaub abgebaut.", IF(Q5&gt;0, "Gut! Mehr Urlaub abgebaut als aufgebaut.", ""))</f>
        <v>Schlecht! Zu wenig Urlaub abgebaut.</v>
      </c>
      <c r="P6" s="369"/>
      <c r="Q6" s="369"/>
      <c r="R6" s="370"/>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6" t="s">
        <v>70</v>
      </c>
      <c r="P8" s="343"/>
      <c r="Q8" s="344">
        <f>SUM(H3:H82)</f>
        <v>8996</v>
      </c>
      <c r="R8" s="344"/>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6" t="s">
        <v>72</v>
      </c>
      <c r="P9" s="343"/>
      <c r="Q9" s="344">
        <f>EINSTELLUNG!L33</f>
        <v>12</v>
      </c>
      <c r="R9" s="344"/>
      <c r="S9" s="53">
        <f>IFERROR(Q9/Q8, 0)</f>
        <v>1.3339261894175188E-3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6" t="s">
        <v>74</v>
      </c>
      <c r="P10" s="343"/>
      <c r="Q10" s="344">
        <f>EINSTELLUNG!I33</f>
        <v>12</v>
      </c>
      <c r="R10" s="344"/>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6" t="s">
        <v>76</v>
      </c>
      <c r="P11" s="343"/>
      <c r="Q11" s="344">
        <f>P5</f>
        <v>12</v>
      </c>
      <c r="R11" s="344"/>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6" t="s">
        <v>78</v>
      </c>
      <c r="P12" s="343"/>
      <c r="Q12" s="365">
        <v>-303</v>
      </c>
      <c r="R12" s="365"/>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6" t="s">
        <v>80</v>
      </c>
      <c r="P13" s="343"/>
      <c r="Q13" s="344">
        <f>Q8-Q9-Q10-Q11-Q12</f>
        <v>9263</v>
      </c>
      <c r="R13" s="344"/>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6" t="s">
        <v>82</v>
      </c>
      <c r="P14" s="343"/>
      <c r="Q14" s="344">
        <f>EINSTELLUNG!L17</f>
        <v>12</v>
      </c>
      <c r="R14" s="344"/>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6" t="s">
        <v>84</v>
      </c>
      <c r="P15" s="343"/>
      <c r="Q15" s="344">
        <f>Q13-Q14</f>
        <v>9251</v>
      </c>
      <c r="R15" s="344"/>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71" t="str">
        <f>IF(Q15&lt;0, "Schlecht! Zu wenig Stunden für Dienstplan.", IF(Q15&gt;0, "Du hast mehr als genug Stunden für Dienstplan.", ""))</f>
        <v>Du hast mehr als genug Stunden für Dienstplan.</v>
      </c>
      <c r="P16" s="371"/>
      <c r="Q16" s="371"/>
      <c r="R16" s="371"/>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2" t="s">
        <v>87</v>
      </c>
      <c r="P17" s="372"/>
      <c r="Q17" s="366">
        <f>SUM(L3:L82)</f>
        <v>149002</v>
      </c>
      <c r="R17" s="366"/>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76"/>
      <c r="P18" s="374"/>
      <c r="Q18" s="373"/>
      <c r="R18" s="352"/>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76"/>
      <c r="P19" s="374"/>
      <c r="Q19" s="373"/>
      <c r="R19" s="352"/>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76"/>
      <c r="P20" s="374"/>
      <c r="Q20" s="373"/>
      <c r="R20" s="352"/>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76" t="s">
        <v>370</v>
      </c>
      <c r="P21" s="374"/>
      <c r="Q21" s="373">
        <v>5000</v>
      </c>
      <c r="R21" s="352"/>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76"/>
      <c r="P22" s="374"/>
      <c r="Q22" s="373"/>
      <c r="R22" s="352"/>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76"/>
      <c r="P23" s="374"/>
      <c r="Q23" s="373"/>
      <c r="R23" s="352"/>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76"/>
      <c r="P24" s="374"/>
      <c r="Q24" s="373"/>
      <c r="R24" s="352"/>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64"/>
      <c r="P25" s="375"/>
      <c r="Q25" s="376"/>
      <c r="R25" s="348"/>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8"/>
      <c r="P26" s="359"/>
      <c r="Q26" s="349"/>
      <c r="R26" s="350"/>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4"/>
      <c r="P27" s="351"/>
      <c r="Q27" s="352"/>
      <c r="R27" s="353"/>
    </row>
    <row r="28" spans="1:29" ht="16" customHeigh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4"/>
      <c r="P28" s="351"/>
      <c r="Q28" s="352"/>
      <c r="R28" s="353"/>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80" t="s">
        <v>102</v>
      </c>
      <c r="P29" s="381"/>
      <c r="Q29" s="382">
        <f>EINSTELLUNG!O17</f>
        <v>12</v>
      </c>
      <c r="R29" s="383"/>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4">
        <v>0</v>
      </c>
      <c r="P31" s="360"/>
      <c r="Q31" s="361">
        <v>0</v>
      </c>
      <c r="R31" s="36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363"/>
      <c r="P33" s="364"/>
      <c r="Q33" s="377" t="str">
        <f>EINSTELLUNG!B3</f>
        <v>Budget Zahlen</v>
      </c>
      <c r="R33" s="377"/>
      <c r="S33" s="378" t="str">
        <f>EINSTELLUNG!B19</f>
        <v>Projection/Aktuell Zahlen</v>
      </c>
      <c r="T33" s="378"/>
      <c r="U33" s="378" t="s">
        <v>110</v>
      </c>
      <c r="V33" s="37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363"/>
      <c r="P34" s="364"/>
      <c r="Q34" s="377"/>
      <c r="R34" s="377"/>
      <c r="S34" s="378"/>
      <c r="T34" s="378"/>
      <c r="U34" s="378"/>
      <c r="V34" s="37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4" t="s">
        <v>113</v>
      </c>
      <c r="P35" s="305"/>
      <c r="Q35" s="307">
        <f>EINSTELLUNG!C17</f>
        <v>12</v>
      </c>
      <c r="R35" s="307"/>
      <c r="S35" s="307">
        <f>EINSTELLUNG!C33</f>
        <v>12</v>
      </c>
      <c r="T35" s="307"/>
      <c r="U35" s="308">
        <f>S35-Q35</f>
        <v>0</v>
      </c>
      <c r="V35" s="308"/>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4" t="s">
        <v>115</v>
      </c>
      <c r="P36" s="305"/>
      <c r="Q36" s="307">
        <f>EINSTELLUNG!D17</f>
        <v>12</v>
      </c>
      <c r="R36" s="307"/>
      <c r="S36" s="225" cm="1">
        <f t="array" ref="S36">SumMergedCells(Q17:R29)</f>
        <v>154014</v>
      </c>
      <c r="T36" s="226"/>
      <c r="U36" s="308">
        <f t="shared" ref="U36:U41" si="2">S36-Q36</f>
        <v>154002</v>
      </c>
      <c r="V36" s="308"/>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4" t="s">
        <v>117</v>
      </c>
      <c r="P37" s="305"/>
      <c r="Q37" s="367">
        <f>IF(ISERROR(Q36/Q35), 0, Q36/Q35)</f>
        <v>1</v>
      </c>
      <c r="R37" s="367"/>
      <c r="S37" s="367">
        <f>IF(ISERROR(S36/S35), 0, S36/S35)</f>
        <v>12834.5</v>
      </c>
      <c r="T37" s="367"/>
      <c r="U37" s="315">
        <f t="shared" si="2"/>
        <v>12833.5</v>
      </c>
      <c r="V37" s="315"/>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24" t="s">
        <v>119</v>
      </c>
      <c r="P38" s="305"/>
      <c r="Q38" s="309">
        <f>EINSTELLUNG!F17</f>
        <v>12</v>
      </c>
      <c r="R38" s="309"/>
      <c r="S38" s="309">
        <f>EINSTELLUNG!F33</f>
        <v>12</v>
      </c>
      <c r="T38" s="309"/>
      <c r="U38" s="310">
        <f t="shared" si="2"/>
        <v>0</v>
      </c>
      <c r="V38" s="310"/>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4" t="s">
        <v>121</v>
      </c>
      <c r="P39" s="305"/>
      <c r="Q39" s="307">
        <f>IF(Q38=0, 0, Q35/Q38)</f>
        <v>1</v>
      </c>
      <c r="R39" s="307"/>
      <c r="S39" s="307">
        <f>IF(S38=0, 0, S35/S38)</f>
        <v>1</v>
      </c>
      <c r="T39" s="307"/>
      <c r="U39" s="308">
        <f t="shared" si="2"/>
        <v>0</v>
      </c>
      <c r="V39" s="308"/>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4" t="s">
        <v>123</v>
      </c>
      <c r="P40" s="305"/>
      <c r="Q40" s="307">
        <f>IF(Q13=0, 0, Q35/Q13)</f>
        <v>1.2954766274425131E-3</v>
      </c>
      <c r="R40" s="307"/>
      <c r="S40" s="307">
        <f>IF(Q13=0, 0, S35/Q13)</f>
        <v>1.2954766274425131E-3</v>
      </c>
      <c r="T40" s="307"/>
      <c r="U40" s="308">
        <f t="shared" si="2"/>
        <v>0</v>
      </c>
      <c r="V40" s="308"/>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4" t="s">
        <v>125</v>
      </c>
      <c r="P41" s="305"/>
      <c r="Q41" s="309">
        <f>IF(Q13=0, 0, Q38/Q13)</f>
        <v>1.2954766274425131E-3</v>
      </c>
      <c r="R41" s="309"/>
      <c r="S41" s="309">
        <f>IF(Q13=0, 0, S38/Q13)</f>
        <v>1.2954766274425131E-3</v>
      </c>
      <c r="T41" s="309"/>
      <c r="U41" s="310">
        <f t="shared" si="2"/>
        <v>0</v>
      </c>
      <c r="V41" s="310"/>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4" t="s">
        <v>127</v>
      </c>
      <c r="P42" s="305"/>
      <c r="Q42" s="225">
        <f>IFERROR(Q17/Q8, 0)</f>
        <v>16.563139172965762</v>
      </c>
      <c r="R42" s="306"/>
      <c r="S42" s="306"/>
      <c r="T42" s="306"/>
      <c r="U42" s="306"/>
      <c r="V42" s="226"/>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386</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505000</v>
      </c>
      <c r="C61" s="137" t="s">
        <v>385</v>
      </c>
      <c r="D61" s="203">
        <v>46054</v>
      </c>
      <c r="E61" s="134" t="s">
        <v>4</v>
      </c>
      <c r="F61" s="136">
        <v>173</v>
      </c>
      <c r="G61" s="192">
        <v>3500</v>
      </c>
      <c r="H61" s="158">
        <f>IF(AND(ISNUMBER(D61), ISNUMBER(F61)),
    ROUNDDOWN(
        MIN(
            IF(OR(ISBLANK(I61), I61=""),
                EOMONTH(DATE(LOHNTABELLE!$G$3, $A$1, 1), 0), I61)
            - MAX(D61, DATE(LOHNTABELLE!$G$3, $A$1, 1)) + 1)
        / DAY(EOMONTH(DATE(LOHNTABELLE!$G$3, $A$1, 1), 0)) * F61,
        2
    ),
    ""
)</f>
        <v>173</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3500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0L49a8GYfZRQcejc7ANMFlhLcapYGF0QItfKA7NVYIA+g58xcoTWV6TFQYXLlA+xJfB+1pbaUycYLgrZHCYi2Q==" saltValue="JrxFQk7QTeaq5HbLAHE/WA==" spinCount="100000" sheet="1" objects="1" scenarios="1" sort="0" autoFilter="0"/>
  <sortState xmlns:xlrd2="http://schemas.microsoft.com/office/spreadsheetml/2017/richdata2" ref="B3:N82">
    <sortCondition ref="B3:B82"/>
    <sortCondition ref="C3:C82"/>
  </sortState>
  <mergeCells count="97">
    <mergeCell ref="S40:T40"/>
    <mergeCell ref="U40:V40"/>
    <mergeCell ref="S41:T41"/>
    <mergeCell ref="U41:V41"/>
    <mergeCell ref="Q42:V42"/>
    <mergeCell ref="Q40:R40"/>
    <mergeCell ref="Q41:R41"/>
    <mergeCell ref="U37:V37"/>
    <mergeCell ref="O38:P38"/>
    <mergeCell ref="Q38:R38"/>
    <mergeCell ref="S38:T38"/>
    <mergeCell ref="U38:V3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O14:P14"/>
    <mergeCell ref="Q14:R14"/>
    <mergeCell ref="O17:P17"/>
    <mergeCell ref="Q17:R17"/>
    <mergeCell ref="O18:P18"/>
    <mergeCell ref="Q18:R18"/>
    <mergeCell ref="O15:P15"/>
    <mergeCell ref="O11:P11"/>
    <mergeCell ref="Q11:R11"/>
    <mergeCell ref="O12:P12"/>
    <mergeCell ref="Q12:R12"/>
    <mergeCell ref="O13:P13"/>
    <mergeCell ref="Q13:R13"/>
    <mergeCell ref="O31:P31"/>
    <mergeCell ref="Q20:R20"/>
    <mergeCell ref="O21:P21"/>
    <mergeCell ref="Q21:R21"/>
    <mergeCell ref="Q19:R19"/>
    <mergeCell ref="Q31:R31"/>
    <mergeCell ref="O29:P29"/>
    <mergeCell ref="Q29:R29"/>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s>
  <phoneticPr fontId="15" type="noConversion"/>
  <dataValidations count="61">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85" t="str">
        <f>"FINANZIELL ÜBERSICHT "&amp;LOHNTABELLE!G3</f>
        <v>FINANZIELL ÜBERSICHT 2026</v>
      </c>
      <c r="C2" s="385"/>
      <c r="D2" s="385"/>
      <c r="E2" s="385"/>
      <c r="F2" s="385"/>
      <c r="G2" s="385"/>
      <c r="H2" s="385"/>
      <c r="I2" s="385"/>
      <c r="J2" s="385"/>
      <c r="K2" s="385"/>
      <c r="L2" s="385"/>
      <c r="M2" s="385"/>
      <c r="N2" s="385"/>
      <c r="O2" s="385"/>
      <c r="P2" s="385"/>
      <c r="Q2" s="385"/>
      <c r="R2" s="2"/>
    </row>
    <row r="3" spans="2:18" ht="15.75" customHeight="1">
      <c r="B3" s="385"/>
      <c r="C3" s="385"/>
      <c r="D3" s="385"/>
      <c r="E3" s="385"/>
      <c r="F3" s="385"/>
      <c r="G3" s="385"/>
      <c r="H3" s="385"/>
      <c r="I3" s="385"/>
      <c r="J3" s="385"/>
      <c r="K3" s="385"/>
      <c r="L3" s="385"/>
      <c r="M3" s="385"/>
      <c r="N3" s="385"/>
      <c r="O3" s="385"/>
      <c r="P3" s="385"/>
      <c r="Q3" s="385"/>
      <c r="R3" s="2"/>
    </row>
    <row r="4" spans="2:18" ht="30" customHeight="1">
      <c r="B4" s="387"/>
      <c r="C4" s="386" t="s">
        <v>30</v>
      </c>
      <c r="D4" s="386"/>
      <c r="E4" s="386"/>
      <c r="F4" s="386" t="s">
        <v>176</v>
      </c>
      <c r="G4" s="386"/>
      <c r="H4" s="386"/>
      <c r="I4" s="386" t="s">
        <v>177</v>
      </c>
      <c r="J4" s="386"/>
      <c r="K4" s="386"/>
      <c r="L4" s="386" t="s">
        <v>178</v>
      </c>
      <c r="M4" s="386" t="s">
        <v>179</v>
      </c>
      <c r="N4" s="388" t="s">
        <v>180</v>
      </c>
      <c r="O4" s="388"/>
      <c r="P4" s="388"/>
      <c r="Q4" s="388" t="s">
        <v>105</v>
      </c>
    </row>
    <row r="5" spans="2:18" ht="30" customHeight="1">
      <c r="B5" s="387"/>
      <c r="C5" s="386"/>
      <c r="D5" s="386"/>
      <c r="E5" s="386"/>
      <c r="F5" s="386"/>
      <c r="G5" s="386"/>
      <c r="H5" s="386"/>
      <c r="I5" s="386"/>
      <c r="J5" s="386"/>
      <c r="K5" s="386"/>
      <c r="L5" s="386"/>
      <c r="M5" s="386"/>
      <c r="N5" s="388"/>
      <c r="O5" s="388"/>
      <c r="P5" s="388"/>
      <c r="Q5" s="388"/>
    </row>
    <row r="6" spans="2:18" ht="30" customHeight="1">
      <c r="B6" s="387"/>
      <c r="C6" s="60" t="s">
        <v>181</v>
      </c>
      <c r="D6" s="60" t="s">
        <v>182</v>
      </c>
      <c r="E6" s="61" t="s">
        <v>183</v>
      </c>
      <c r="F6" s="60" t="s">
        <v>181</v>
      </c>
      <c r="G6" s="60" t="s">
        <v>182</v>
      </c>
      <c r="H6" s="61" t="s">
        <v>183</v>
      </c>
      <c r="I6" s="60" t="s">
        <v>181</v>
      </c>
      <c r="J6" s="60" t="s">
        <v>182</v>
      </c>
      <c r="K6" s="61" t="s">
        <v>183</v>
      </c>
      <c r="L6" s="386"/>
      <c r="M6" s="386"/>
      <c r="N6" s="60" t="s">
        <v>184</v>
      </c>
      <c r="O6" s="60" t="s">
        <v>185</v>
      </c>
      <c r="P6" s="61" t="s">
        <v>183</v>
      </c>
      <c r="Q6" s="388"/>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108550</v>
      </c>
      <c r="H8" s="83">
        <f>G8-F8</f>
        <v>108548</v>
      </c>
      <c r="I8" s="66">
        <f>EINSTELLUNG!E7</f>
        <v>1</v>
      </c>
      <c r="J8" s="66">
        <f>EINSTELLUNG!E23</f>
        <v>54275</v>
      </c>
      <c r="K8" s="67">
        <f t="shared" ref="K8:K22" si="0">J8-I8</f>
        <v>54274</v>
      </c>
      <c r="L8" s="65">
        <f>Februar!S40</f>
        <v>2.3442371617851841E-4</v>
      </c>
      <c r="M8" s="62">
        <f>Februar!S41</f>
        <v>2.3442371617851841E-4</v>
      </c>
      <c r="N8" s="62">
        <f>Februar!O5</f>
        <v>823.8884589617536</v>
      </c>
      <c r="O8" s="62">
        <f>Februar!P5</f>
        <v>2</v>
      </c>
      <c r="P8" s="85">
        <f t="shared" ref="P8:P23" si="1">O8-N8</f>
        <v>-821.8884589617536</v>
      </c>
      <c r="Q8" s="66">
        <f>Februar!Q31</f>
        <v>0</v>
      </c>
    </row>
    <row r="9" spans="2:18" ht="30" customHeight="1">
      <c r="B9" s="63" t="s">
        <v>188</v>
      </c>
      <c r="C9" s="65">
        <f>EINSTELLUNG!C8</f>
        <v>3</v>
      </c>
      <c r="D9" s="65">
        <f>EINSTELLUNG!C24</f>
        <v>3</v>
      </c>
      <c r="E9" s="83">
        <f>D9-C9</f>
        <v>0</v>
      </c>
      <c r="F9" s="65">
        <f>EINSTELLUNG!D8</f>
        <v>3</v>
      </c>
      <c r="G9" s="65">
        <f>Marz!$S$36</f>
        <v>108290.2258</v>
      </c>
      <c r="H9" s="83">
        <f>G9-F9</f>
        <v>108287.2258</v>
      </c>
      <c r="I9" s="66">
        <f>EINSTELLUNG!E8</f>
        <v>1</v>
      </c>
      <c r="J9" s="66">
        <f>EINSTELLUNG!E24</f>
        <v>36096.741933333331</v>
      </c>
      <c r="K9" s="67">
        <f>J9-I9</f>
        <v>36095.741933333331</v>
      </c>
      <c r="L9" s="65">
        <f>Marz!S40</f>
        <v>3.3180885597836605E-4</v>
      </c>
      <c r="M9" s="62">
        <f>Marz!S41</f>
        <v>3.3180885597836605E-4</v>
      </c>
      <c r="N9" s="62">
        <f>Marz!O5</f>
        <v>834.73910227502608</v>
      </c>
      <c r="O9" s="62">
        <f>Marz!P5</f>
        <v>3</v>
      </c>
      <c r="P9" s="85">
        <f t="shared" si="1"/>
        <v>-831.73910227502608</v>
      </c>
      <c r="Q9" s="66">
        <f>Marz!Q31</f>
        <v>1.9230769230769232E-2</v>
      </c>
    </row>
    <row r="10" spans="2:18" ht="30" customHeight="1">
      <c r="B10" s="68" t="s">
        <v>189</v>
      </c>
      <c r="C10" s="69">
        <f>SUM(C7:C9)</f>
        <v>6</v>
      </c>
      <c r="D10" s="69">
        <f>SUM(D7:D9)</f>
        <v>6</v>
      </c>
      <c r="E10" s="84">
        <f>D10-C10</f>
        <v>0</v>
      </c>
      <c r="F10" s="69">
        <f>SUM(F7:F9)</f>
        <v>6</v>
      </c>
      <c r="G10" s="69">
        <f>SUM(G7:G9)</f>
        <v>311948.05460000003</v>
      </c>
      <c r="H10" s="84">
        <f>G10-F10</f>
        <v>311942.05460000003</v>
      </c>
      <c r="I10" s="70">
        <f>AVERAGE(I7:I9)</f>
        <v>1</v>
      </c>
      <c r="J10" s="70">
        <f>AVERAGE(J7:J9)</f>
        <v>61826.523577777785</v>
      </c>
      <c r="K10" s="71">
        <f>J10-I10</f>
        <v>61825.523577777785</v>
      </c>
      <c r="L10" s="69">
        <f>AVERAGE(L7:L9)</f>
        <v>2.3323728094204986E-4</v>
      </c>
      <c r="M10" s="64">
        <f>AVERAGE(M7:M9)</f>
        <v>2.3323728094204986E-4</v>
      </c>
      <c r="N10" s="64">
        <f>SUM(N7:N9)</f>
        <v>2383.1811020115019</v>
      </c>
      <c r="O10" s="64">
        <f>SUM(O7:O9)</f>
        <v>6</v>
      </c>
      <c r="P10" s="86">
        <f t="shared" si="1"/>
        <v>-2377.1811020115019</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108956.2</v>
      </c>
      <c r="H11" s="83">
        <f>G11-F11</f>
        <v>108952.2</v>
      </c>
      <c r="I11" s="66">
        <f>EINSTELLUNG!E9</f>
        <v>1</v>
      </c>
      <c r="J11" s="66">
        <f>EINSTELLUNG!E25</f>
        <v>27239.05</v>
      </c>
      <c r="K11" s="67">
        <f t="shared" si="0"/>
        <v>27238.05</v>
      </c>
      <c r="L11" s="65">
        <f>April!S40</f>
        <v>4.4804874770375014E-4</v>
      </c>
      <c r="M11" s="62">
        <f>April!S41</f>
        <v>4.4804874770375014E-4</v>
      </c>
      <c r="N11" s="62">
        <f>April!O5</f>
        <v>843.08649329777643</v>
      </c>
      <c r="O11" s="62">
        <f>April!P5</f>
        <v>4</v>
      </c>
      <c r="P11" s="85">
        <f t="shared" si="1"/>
        <v>-839.08649329777643</v>
      </c>
      <c r="Q11" s="66">
        <f>April!Q31</f>
        <v>0</v>
      </c>
    </row>
    <row r="12" spans="2:18" ht="30" customHeight="1">
      <c r="B12" s="63" t="s">
        <v>191</v>
      </c>
      <c r="C12" s="65">
        <f>EINSTELLUNG!C10</f>
        <v>5</v>
      </c>
      <c r="D12" s="65">
        <f>EINSTELLUNG!C26</f>
        <v>5</v>
      </c>
      <c r="E12" s="83">
        <f t="shared" si="2"/>
        <v>0</v>
      </c>
      <c r="F12" s="65">
        <f>EINSTELLUNG!D10</f>
        <v>5</v>
      </c>
      <c r="G12" s="65">
        <f>Mai!$S$36</f>
        <v>148613.13709999999</v>
      </c>
      <c r="H12" s="83">
        <f t="shared" ref="H12:H23" si="3">G12-F12</f>
        <v>148608.13709999999</v>
      </c>
      <c r="I12" s="66">
        <f>EINSTELLUNG!E10</f>
        <v>1</v>
      </c>
      <c r="J12" s="66">
        <f>EINSTELLUNG!E26</f>
        <v>29722.627419999997</v>
      </c>
      <c r="K12" s="67">
        <f t="shared" si="0"/>
        <v>29721.627419999997</v>
      </c>
      <c r="L12" s="65">
        <f>Mai!S40</f>
        <v>5.6082607437451073E-4</v>
      </c>
      <c r="M12" s="62">
        <f>Mai!S41</f>
        <v>5.6082607437451073E-4</v>
      </c>
      <c r="N12" s="62">
        <f>Mai!O5</f>
        <v>863.95497085465206</v>
      </c>
      <c r="O12" s="62">
        <f>Mai!P5</f>
        <v>5</v>
      </c>
      <c r="P12" s="85">
        <f t="shared" si="1"/>
        <v>-858.95497085465206</v>
      </c>
      <c r="Q12" s="66">
        <f>Mai!Q31</f>
        <v>0</v>
      </c>
    </row>
    <row r="13" spans="2:18" ht="30" customHeight="1">
      <c r="B13" s="63" t="s">
        <v>192</v>
      </c>
      <c r="C13" s="65">
        <f>EINSTELLUNG!C11</f>
        <v>6</v>
      </c>
      <c r="D13" s="65">
        <f>EINSTELLUNG!C27</f>
        <v>6</v>
      </c>
      <c r="E13" s="83">
        <f t="shared" si="2"/>
        <v>0</v>
      </c>
      <c r="F13" s="65">
        <f>EINSTELLUNG!D11</f>
        <v>6</v>
      </c>
      <c r="G13" s="65">
        <f>Juni!$S$36</f>
        <v>149065.75</v>
      </c>
      <c r="H13" s="83">
        <f t="shared" si="3"/>
        <v>149059.75</v>
      </c>
      <c r="I13" s="66">
        <f>EINSTELLUNG!E11</f>
        <v>1</v>
      </c>
      <c r="J13" s="66">
        <f>EINSTELLUNG!E27</f>
        <v>24844.291666666668</v>
      </c>
      <c r="K13" s="67">
        <f t="shared" si="0"/>
        <v>24843.291666666668</v>
      </c>
      <c r="L13" s="65">
        <f>Juni!S40</f>
        <v>1.3574660633484163E-2</v>
      </c>
      <c r="M13" s="62">
        <f>Juni!S41</f>
        <v>1.3574660633484163E-2</v>
      </c>
      <c r="N13" s="62">
        <f>Juni!O5</f>
        <v>863.95497085465206</v>
      </c>
      <c r="O13" s="62">
        <f>Juni!P5</f>
        <v>6</v>
      </c>
      <c r="P13" s="85">
        <f t="shared" si="1"/>
        <v>-857.95497085465206</v>
      </c>
      <c r="Q13" s="66">
        <f>Juni!Q31</f>
        <v>0</v>
      </c>
    </row>
    <row r="14" spans="2:18" ht="30" customHeight="1">
      <c r="B14" s="68" t="s">
        <v>193</v>
      </c>
      <c r="C14" s="69">
        <f>SUM(C11:C13)</f>
        <v>15</v>
      </c>
      <c r="D14" s="69">
        <f>SUM(D11:D13)</f>
        <v>15</v>
      </c>
      <c r="E14" s="84">
        <f t="shared" si="2"/>
        <v>0</v>
      </c>
      <c r="F14" s="69">
        <f>SUM(F11:F13)</f>
        <v>15</v>
      </c>
      <c r="G14" s="69">
        <f>SUM(G11:G13)</f>
        <v>406635.0871</v>
      </c>
      <c r="H14" s="84">
        <f t="shared" si="3"/>
        <v>406620.0871</v>
      </c>
      <c r="I14" s="70">
        <f>AVERAGE(I11:I13)</f>
        <v>1</v>
      </c>
      <c r="J14" s="70">
        <f>AVERAGE(J11:J13)</f>
        <v>27268.65636222222</v>
      </c>
      <c r="K14" s="71">
        <f t="shared" si="0"/>
        <v>27267.65636222222</v>
      </c>
      <c r="L14" s="69">
        <f>AVERAGE(L11:L13)</f>
        <v>4.8611784851874751E-3</v>
      </c>
      <c r="M14" s="64">
        <f>AVERAGE(M11:M13)</f>
        <v>4.8611784851874751E-3</v>
      </c>
      <c r="N14" s="64">
        <f>SUM(N11:N13)</f>
        <v>2570.9964350070804</v>
      </c>
      <c r="O14" s="64">
        <f>SUM(O11:O13)</f>
        <v>15</v>
      </c>
      <c r="P14" s="86">
        <f t="shared" si="1"/>
        <v>-2555.9964350070804</v>
      </c>
      <c r="Q14" s="70">
        <f>AVERAGE(Q11:Q13)</f>
        <v>0</v>
      </c>
    </row>
    <row r="15" spans="2:18" ht="30" customHeight="1">
      <c r="B15" s="63" t="s">
        <v>194</v>
      </c>
      <c r="C15" s="65">
        <f>EINSTELLUNG!C12</f>
        <v>7</v>
      </c>
      <c r="D15" s="65">
        <f>EINSTELLUNG!C28</f>
        <v>7</v>
      </c>
      <c r="E15" s="83">
        <f t="shared" si="2"/>
        <v>0</v>
      </c>
      <c r="F15" s="65">
        <f>EINSTELLUNG!D12</f>
        <v>7</v>
      </c>
      <c r="G15" s="65">
        <f>Juli!$S$36</f>
        <v>149066.75</v>
      </c>
      <c r="H15" s="83">
        <f t="shared" si="3"/>
        <v>149059.75</v>
      </c>
      <c r="I15" s="66">
        <f>EINSTELLUNG!E12</f>
        <v>1</v>
      </c>
      <c r="J15" s="66">
        <f>EINSTELLUNG!E28</f>
        <v>21295.25</v>
      </c>
      <c r="K15" s="67">
        <f t="shared" si="0"/>
        <v>21294.25</v>
      </c>
      <c r="L15" s="65">
        <f>Juli!S40</f>
        <v>7.8715807820977767E-4</v>
      </c>
      <c r="M15" s="62">
        <f>Juli!S41</f>
        <v>7.8715807820977767E-4</v>
      </c>
      <c r="N15" s="62">
        <f>Juli!O5</f>
        <v>863.95497085465206</v>
      </c>
      <c r="O15" s="62">
        <f>Juli!P5</f>
        <v>7</v>
      </c>
      <c r="P15" s="85">
        <f t="shared" si="1"/>
        <v>-856.95497085465206</v>
      </c>
      <c r="Q15" s="66">
        <f>Juli!Q31</f>
        <v>0</v>
      </c>
    </row>
    <row r="16" spans="2:18" ht="30" customHeight="1">
      <c r="B16" s="63" t="s">
        <v>195</v>
      </c>
      <c r="C16" s="65">
        <f>EINSTELLUNG!C13</f>
        <v>8</v>
      </c>
      <c r="D16" s="65">
        <f>EINSTELLUNG!C29</f>
        <v>8</v>
      </c>
      <c r="E16" s="83">
        <f t="shared" si="2"/>
        <v>0</v>
      </c>
      <c r="F16" s="65">
        <f>EINSTELLUNG!D13</f>
        <v>8</v>
      </c>
      <c r="G16" s="65">
        <f>August!$S$36</f>
        <v>148546.2016</v>
      </c>
      <c r="H16" s="83">
        <f t="shared" si="3"/>
        <v>148538.2016</v>
      </c>
      <c r="I16" s="66">
        <f>EINSTELLUNG!E13</f>
        <v>1</v>
      </c>
      <c r="J16" s="66">
        <f>EINSTELLUNG!E29</f>
        <v>18568.2752</v>
      </c>
      <c r="K16" s="67">
        <f t="shared" si="0"/>
        <v>18567.2752</v>
      </c>
      <c r="L16" s="65">
        <f>August!S40</f>
        <v>9.0048513636721778E-4</v>
      </c>
      <c r="M16" s="62">
        <f>August!S41</f>
        <v>9.0048513636721778E-4</v>
      </c>
      <c r="N16" s="62">
        <f>August!O5</f>
        <v>863.95497085465206</v>
      </c>
      <c r="O16" s="62">
        <f>August!P5</f>
        <v>8</v>
      </c>
      <c r="P16" s="85">
        <f t="shared" si="1"/>
        <v>-855.95497085465206</v>
      </c>
      <c r="Q16" s="66">
        <f>August!Q31</f>
        <v>1.8518518518518517E-2</v>
      </c>
    </row>
    <row r="17" spans="2:17" ht="30" customHeight="1">
      <c r="B17" s="63" t="s">
        <v>196</v>
      </c>
      <c r="C17" s="65">
        <f>EINSTELLUNG!C14</f>
        <v>9</v>
      </c>
      <c r="D17" s="65">
        <f>EINSTELLUNG!C30</f>
        <v>9</v>
      </c>
      <c r="E17" s="83">
        <f t="shared" si="2"/>
        <v>0</v>
      </c>
      <c r="F17" s="65">
        <f>EINSTELLUNG!D14</f>
        <v>9</v>
      </c>
      <c r="G17" s="65">
        <f>September!$S$36</f>
        <v>152026.75</v>
      </c>
      <c r="H17" s="83">
        <f t="shared" si="3"/>
        <v>152017.75</v>
      </c>
      <c r="I17" s="66">
        <f>EINSTELLUNG!E14</f>
        <v>1</v>
      </c>
      <c r="J17" s="66">
        <f>EINSTELLUNG!E30</f>
        <v>16891.861111111109</v>
      </c>
      <c r="K17" s="67">
        <f t="shared" si="0"/>
        <v>16890.861111111109</v>
      </c>
      <c r="L17" s="65">
        <f>September!S40</f>
        <v>1.0275438846867417E-3</v>
      </c>
      <c r="M17" s="62">
        <f>September!S41</f>
        <v>1.0275438846867417E-3</v>
      </c>
      <c r="N17" s="62">
        <f>September!O5</f>
        <v>863.95497085465217</v>
      </c>
      <c r="O17" s="62">
        <f>September!P5</f>
        <v>9</v>
      </c>
      <c r="P17" s="85">
        <f t="shared" si="1"/>
        <v>-854.95497085465217</v>
      </c>
      <c r="Q17" s="66">
        <f>September!Q31</f>
        <v>0</v>
      </c>
    </row>
    <row r="18" spans="2:17" ht="30" customHeight="1">
      <c r="B18" s="68" t="s">
        <v>197</v>
      </c>
      <c r="C18" s="69">
        <f>SUM(C15:C17)</f>
        <v>24</v>
      </c>
      <c r="D18" s="69">
        <f>SUM(D15:D17)</f>
        <v>24</v>
      </c>
      <c r="E18" s="84">
        <f>D18-C18</f>
        <v>0</v>
      </c>
      <c r="F18" s="69">
        <f>SUM(F15:F17)</f>
        <v>24</v>
      </c>
      <c r="G18" s="69">
        <f>SUM(G15:G17)</f>
        <v>449639.70160000003</v>
      </c>
      <c r="H18" s="84">
        <f t="shared" si="3"/>
        <v>449615.70160000003</v>
      </c>
      <c r="I18" s="70">
        <f>AVERAGE(I15:I17)</f>
        <v>1</v>
      </c>
      <c r="J18" s="70">
        <f>AVERAGE(J15:J17)</f>
        <v>18918.462103703703</v>
      </c>
      <c r="K18" s="71">
        <f t="shared" si="0"/>
        <v>18917.462103703703</v>
      </c>
      <c r="L18" s="69">
        <f>AVERAGE(L15:L17)</f>
        <v>9.0506236642124566E-4</v>
      </c>
      <c r="M18" s="64">
        <f>AVERAGE(M15:M17)</f>
        <v>9.0506236642124566E-4</v>
      </c>
      <c r="N18" s="64">
        <f>SUM(N15:N17)</f>
        <v>2591.8649125639563</v>
      </c>
      <c r="O18" s="64">
        <f>SUM(O15:O17)</f>
        <v>24</v>
      </c>
      <c r="P18" s="86">
        <f t="shared" si="1"/>
        <v>-2567.8649125639563</v>
      </c>
      <c r="Q18" s="70">
        <f>AVERAGE(Q15:Q17)</f>
        <v>6.1728395061728392E-3</v>
      </c>
    </row>
    <row r="19" spans="2:17" ht="30" customHeight="1">
      <c r="B19" s="63" t="s">
        <v>198</v>
      </c>
      <c r="C19" s="65">
        <f>EINSTELLUNG!C15</f>
        <v>10</v>
      </c>
      <c r="D19" s="65">
        <f>EINSTELLUNG!C31</f>
        <v>10</v>
      </c>
      <c r="E19" s="83">
        <f>D19-C19</f>
        <v>0</v>
      </c>
      <c r="F19" s="65">
        <f>EINSTELLUNG!D15</f>
        <v>10</v>
      </c>
      <c r="G19" s="65">
        <f>Oktober!$S$36</f>
        <v>148059.25</v>
      </c>
      <c r="H19" s="83">
        <f t="shared" si="3"/>
        <v>148049.25</v>
      </c>
      <c r="I19" s="66">
        <f>EINSTELLUNG!E15</f>
        <v>1</v>
      </c>
      <c r="J19" s="66">
        <f>EINSTELLUNG!E31</f>
        <v>14805.924999999999</v>
      </c>
      <c r="K19" s="67">
        <f t="shared" si="0"/>
        <v>14804.924999999999</v>
      </c>
      <c r="L19" s="65">
        <f>Oktober!S40</f>
        <v>1.1164140779815234E-3</v>
      </c>
      <c r="M19" s="62">
        <f>Oktober!S41</f>
        <v>1.1164140779815234E-3</v>
      </c>
      <c r="N19" s="62">
        <f>Oktober!O5</f>
        <v>855.60757983190183</v>
      </c>
      <c r="O19" s="62">
        <f>Oktober!P5</f>
        <v>10</v>
      </c>
      <c r="P19" s="85">
        <f t="shared" si="1"/>
        <v>-845.60757983190183</v>
      </c>
      <c r="Q19" s="66">
        <f>Oktober!Q31</f>
        <v>0</v>
      </c>
    </row>
    <row r="20" spans="2:17" ht="30" customHeight="1">
      <c r="B20" s="63" t="s">
        <v>199</v>
      </c>
      <c r="C20" s="65">
        <f>EINSTELLUNG!C16</f>
        <v>11</v>
      </c>
      <c r="D20" s="65">
        <f>EINSTELLUNG!C32</f>
        <v>11</v>
      </c>
      <c r="E20" s="83">
        <f>D20-C20</f>
        <v>0</v>
      </c>
      <c r="F20" s="65">
        <f>EINSTELLUNG!D16</f>
        <v>11</v>
      </c>
      <c r="G20" s="65">
        <f>November!$S$36</f>
        <v>148060.25</v>
      </c>
      <c r="H20" s="83">
        <f t="shared" si="3"/>
        <v>148049.25</v>
      </c>
      <c r="I20" s="66">
        <f>EINSTELLUNG!E16</f>
        <v>1</v>
      </c>
      <c r="J20" s="66">
        <f>EINSTELLUNG!E32</f>
        <v>13460.022727272728</v>
      </c>
      <c r="K20" s="67">
        <f t="shared" si="0"/>
        <v>13459.022727272728</v>
      </c>
      <c r="L20" s="65">
        <f>November!S40</f>
        <v>1.2452947669317634E-3</v>
      </c>
      <c r="M20" s="62">
        <f>November!S41</f>
        <v>1.2452947669317634E-3</v>
      </c>
      <c r="N20" s="62">
        <f>November!O5</f>
        <v>855.60757983190183</v>
      </c>
      <c r="O20" s="62">
        <f>November!P5</f>
        <v>11</v>
      </c>
      <c r="P20" s="85">
        <f t="shared" si="1"/>
        <v>-844.60757983190183</v>
      </c>
      <c r="Q20" s="66">
        <f>November!Q31</f>
        <v>0</v>
      </c>
    </row>
    <row r="21" spans="2:17" ht="30" customHeight="1">
      <c r="B21" s="63" t="s">
        <v>200</v>
      </c>
      <c r="C21" s="65">
        <f>EINSTELLUNG!C17</f>
        <v>12</v>
      </c>
      <c r="D21" s="65">
        <f>EINSTELLUNG!C33</f>
        <v>12</v>
      </c>
      <c r="E21" s="83">
        <f t="shared" si="2"/>
        <v>0</v>
      </c>
      <c r="F21" s="65">
        <f>EINSTELLUNG!D17</f>
        <v>12</v>
      </c>
      <c r="G21" s="65">
        <f>Dezember!$S$36</f>
        <v>154014</v>
      </c>
      <c r="H21" s="83">
        <f t="shared" si="3"/>
        <v>154002</v>
      </c>
      <c r="I21" s="66">
        <f>EINSTELLUNG!E17</f>
        <v>1</v>
      </c>
      <c r="J21" s="66">
        <f>EINSTELLUNG!E33</f>
        <v>12834.5</v>
      </c>
      <c r="K21" s="67">
        <f t="shared" si="0"/>
        <v>12833.5</v>
      </c>
      <c r="L21" s="65">
        <f>Dezember!S40</f>
        <v>1.2954766274425131E-3</v>
      </c>
      <c r="M21" s="62">
        <f>Dezember!S41</f>
        <v>1.2954766274425131E-3</v>
      </c>
      <c r="N21" s="62">
        <f>Dezember!O5</f>
        <v>868.12866636602735</v>
      </c>
      <c r="O21" s="72">
        <f>Dezember!P5</f>
        <v>12</v>
      </c>
      <c r="P21" s="85">
        <f t="shared" si="1"/>
        <v>-856.12866636602735</v>
      </c>
      <c r="Q21" s="66">
        <f>Dezember!Q31</f>
        <v>0</v>
      </c>
    </row>
    <row r="22" spans="2:17" ht="30" customHeight="1">
      <c r="B22" s="68" t="s">
        <v>201</v>
      </c>
      <c r="C22" s="69">
        <f>SUM(C19:C21)</f>
        <v>33</v>
      </c>
      <c r="D22" s="69">
        <f>SUM(D19:D21)</f>
        <v>33</v>
      </c>
      <c r="E22" s="84">
        <f>D22-C22</f>
        <v>0</v>
      </c>
      <c r="F22" s="69">
        <f>SUM(F19:F21)</f>
        <v>33</v>
      </c>
      <c r="G22" s="69">
        <f>SUM(G19:G21)</f>
        <v>450133.5</v>
      </c>
      <c r="H22" s="84">
        <f t="shared" si="3"/>
        <v>450100.5</v>
      </c>
      <c r="I22" s="70">
        <f>AVERAGE(I19:I21)</f>
        <v>1</v>
      </c>
      <c r="J22" s="70">
        <f>AVERAGE(J19:J21)</f>
        <v>13700.149242424241</v>
      </c>
      <c r="K22" s="71">
        <f t="shared" si="0"/>
        <v>13699.149242424241</v>
      </c>
      <c r="L22" s="69">
        <f>AVERAGE(L19:L21)</f>
        <v>1.2190618241186E-3</v>
      </c>
      <c r="M22" s="64">
        <f>AVERAGE(M19:M21)</f>
        <v>1.2190618241186E-3</v>
      </c>
      <c r="N22" s="64">
        <f>SUM(N19:N21)</f>
        <v>2579.3438260298308</v>
      </c>
      <c r="O22" s="64">
        <f>SUM(O19:O21)</f>
        <v>33</v>
      </c>
      <c r="P22" s="86">
        <f>O22-N22</f>
        <v>-2546.3438260298308</v>
      </c>
      <c r="Q22" s="70">
        <f>AVERAGE(Q19:Q21)</f>
        <v>0</v>
      </c>
    </row>
    <row r="23" spans="2:17" ht="30" customHeight="1">
      <c r="B23" s="73">
        <f>LOHNTABELLE!G3</f>
        <v>2026</v>
      </c>
      <c r="C23" s="74">
        <f>SUM(C10,C14,C18,C22)</f>
        <v>78</v>
      </c>
      <c r="D23" s="74">
        <f>SUM(D10,D14,D18,D22)</f>
        <v>78</v>
      </c>
      <c r="E23" s="84">
        <f>D23-C23</f>
        <v>0</v>
      </c>
      <c r="F23" s="74">
        <f>SUM(F10,F14,F18,F22)</f>
        <v>78</v>
      </c>
      <c r="G23" s="74">
        <f>SUM(G10,G14,G18,G22)</f>
        <v>1618356.3433000001</v>
      </c>
      <c r="H23" s="84">
        <f t="shared" si="3"/>
        <v>1618278.3433000001</v>
      </c>
      <c r="I23" s="75">
        <f>AVERAGE(I10,I14,I18,I22)</f>
        <v>1</v>
      </c>
      <c r="J23" s="75">
        <f>AVERAGE(J10,J14,J18,J22)</f>
        <v>30428.447821531987</v>
      </c>
      <c r="K23" s="71">
        <f>J23-I23</f>
        <v>30427.447821531987</v>
      </c>
      <c r="L23" s="74">
        <f>AVERAGE(L22,L18,L14,L10)</f>
        <v>1.8046349891673427E-3</v>
      </c>
      <c r="M23" s="76">
        <f>AVERAGE(M10,M14,M18,M22)</f>
        <v>1.8046349891673427E-3</v>
      </c>
      <c r="N23" s="76">
        <f>SUM(N10,N14,N18,N22)</f>
        <v>10125.386275612371</v>
      </c>
      <c r="O23" s="76">
        <f>SUM(O10,O14,O18,O22)</f>
        <v>78</v>
      </c>
      <c r="P23" s="86">
        <f t="shared" si="1"/>
        <v>-10047.386275612371</v>
      </c>
      <c r="Q23" s="75">
        <f>AVERAGE(Q22,Q18,Q14,Q10)</f>
        <v>4.7797609072118882E-3</v>
      </c>
    </row>
    <row r="24" spans="2:17" ht="15">
      <c r="O24" s="4"/>
    </row>
    <row r="25" spans="2:17">
      <c r="B25" s="384" t="s">
        <v>204</v>
      </c>
      <c r="C25" s="384"/>
      <c r="D25" s="384"/>
      <c r="E25" s="384"/>
    </row>
    <row r="26" spans="2:17">
      <c r="B26" s="384"/>
      <c r="C26" s="384"/>
      <c r="D26" s="384"/>
      <c r="E26" s="384"/>
    </row>
    <row r="27" spans="2:17">
      <c r="B27" s="384"/>
      <c r="C27" s="384"/>
      <c r="D27" s="384"/>
      <c r="E27" s="384"/>
    </row>
  </sheetData>
  <sheetProtection algorithmName="SHA-512" hashValue="0CWWAMv1DELW0zGKapwa+HuYiJD819OzpaMG5nQTiorXsT7XTBuvhN1TYyvFdQyJrXLuFG0DhfZzwC57qhW7eQ==" saltValue="OqcCHwqnAILYWtUEZhTkf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4"/>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row r="3" spans="1:11">
      <c r="A3" t="s">
        <v>371</v>
      </c>
      <c r="B3">
        <v>401754</v>
      </c>
      <c r="C3" t="s">
        <v>313</v>
      </c>
      <c r="D3" s="180">
        <v>46014</v>
      </c>
      <c r="E3" s="180">
        <v>46096</v>
      </c>
      <c r="F3" t="s">
        <v>372</v>
      </c>
      <c r="G3">
        <v>83</v>
      </c>
      <c r="H3" s="182">
        <v>1</v>
      </c>
      <c r="I3" s="182">
        <v>0.5</v>
      </c>
      <c r="J3" s="182">
        <v>0.5</v>
      </c>
      <c r="K3" t="s">
        <v>256</v>
      </c>
    </row>
    <row r="4" spans="1:11">
      <c r="A4" t="s">
        <v>195</v>
      </c>
      <c r="B4">
        <v>401746</v>
      </c>
      <c r="C4" t="s">
        <v>309</v>
      </c>
      <c r="D4" s="180">
        <v>45941</v>
      </c>
      <c r="E4" s="180">
        <v>46249</v>
      </c>
      <c r="F4" t="s">
        <v>372</v>
      </c>
      <c r="G4">
        <v>309</v>
      </c>
      <c r="H4" s="182">
        <v>1</v>
      </c>
      <c r="I4" s="182">
        <v>1</v>
      </c>
      <c r="J4" s="182">
        <v>1</v>
      </c>
      <c r="K4" t="s">
        <v>257</v>
      </c>
    </row>
  </sheetData>
  <sheetProtection algorithmName="SHA-512" hashValue="NZAt0Olu7olSJELSq+TIfL2EsHzUFRKKHvJZDdEKpqWscBay9POrBYnHCcLP/ICCl9nHJjz5XPfyiMyEP3DT2w==" saltValue="8cFth2LhrV/82ZwJfpLE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2"/>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09" customWidth="1"/>
    <col min="2" max="5" width="16.83203125" style="209" customWidth="1"/>
    <col min="6" max="7" width="18.83203125" style="209" customWidth="1"/>
    <col min="8" max="8" width="22.83203125" style="209" customWidth="1"/>
    <col min="9" max="12" width="36.83203125" style="209" customWidth="1"/>
    <col min="13" max="16384" width="10.83203125" style="209"/>
  </cols>
  <sheetData>
    <row r="1" spans="1:12" ht="15" customHeight="1">
      <c r="A1" s="396" t="s">
        <v>237</v>
      </c>
      <c r="B1" s="391"/>
      <c r="C1" s="391"/>
      <c r="D1" s="391"/>
      <c r="E1" s="391"/>
      <c r="F1" s="219"/>
      <c r="G1" s="219"/>
      <c r="H1" s="219"/>
      <c r="I1" s="219"/>
      <c r="J1" s="219"/>
      <c r="K1" s="219"/>
      <c r="L1" s="219"/>
    </row>
    <row r="2" spans="1:12" ht="15" customHeight="1">
      <c r="A2" s="220" t="s">
        <v>238</v>
      </c>
      <c r="B2" s="220">
        <v>2026</v>
      </c>
      <c r="C2" s="219"/>
      <c r="D2" s="219"/>
      <c r="E2" s="219"/>
      <c r="F2" s="219"/>
      <c r="G2" s="219"/>
      <c r="H2" s="219"/>
      <c r="I2" s="219"/>
      <c r="J2" s="219"/>
      <c r="K2" s="219"/>
      <c r="L2" s="219"/>
    </row>
    <row r="3" spans="1:12" ht="15" customHeight="1">
      <c r="A3" s="219"/>
      <c r="B3" s="219"/>
      <c r="C3" s="219"/>
      <c r="D3" s="219"/>
      <c r="E3" s="219"/>
      <c r="F3" s="219"/>
      <c r="G3" s="219"/>
      <c r="H3" s="219"/>
      <c r="I3" s="219"/>
      <c r="J3" s="219"/>
      <c r="K3" s="219"/>
      <c r="L3" s="219"/>
    </row>
    <row r="4" spans="1:12" ht="15" customHeight="1">
      <c r="A4" s="397" t="s">
        <v>246</v>
      </c>
      <c r="B4" s="398"/>
      <c r="C4" s="398"/>
      <c r="D4" s="398"/>
      <c r="E4" s="398"/>
      <c r="F4" s="219"/>
      <c r="G4" s="219"/>
      <c r="H4" s="219"/>
      <c r="I4" s="219"/>
      <c r="J4" s="219"/>
      <c r="K4" s="219"/>
      <c r="L4" s="219"/>
    </row>
    <row r="5" spans="1:12" ht="42" customHeight="1">
      <c r="A5" s="399" t="s">
        <v>349</v>
      </c>
      <c r="B5" s="399"/>
      <c r="C5" s="399"/>
      <c r="D5" s="399"/>
      <c r="E5" s="399"/>
      <c r="F5" s="219"/>
      <c r="G5" s="219"/>
      <c r="H5" s="219"/>
      <c r="I5" s="219"/>
      <c r="J5" s="219"/>
      <c r="K5" s="219"/>
      <c r="L5" s="219"/>
    </row>
    <row r="6" spans="1:12" ht="42" customHeight="1">
      <c r="A6" s="399"/>
      <c r="B6" s="399"/>
      <c r="C6" s="399"/>
      <c r="D6" s="399"/>
      <c r="E6" s="399"/>
      <c r="F6" s="219"/>
      <c r="G6" s="219"/>
      <c r="H6" s="219"/>
      <c r="I6" s="219"/>
      <c r="J6" s="219"/>
      <c r="K6" s="219"/>
      <c r="L6" s="219"/>
    </row>
    <row r="7" spans="1:12" ht="15" customHeight="1">
      <c r="A7" s="219"/>
      <c r="B7" s="219"/>
      <c r="C7" s="219"/>
      <c r="D7" s="219"/>
      <c r="E7" s="219"/>
      <c r="F7" s="219"/>
      <c r="G7" s="219"/>
      <c r="H7" s="219"/>
      <c r="I7" s="219"/>
      <c r="J7" s="219"/>
      <c r="K7" s="219"/>
      <c r="L7" s="219"/>
    </row>
    <row r="8" spans="1:12" ht="15" customHeight="1">
      <c r="A8" s="221" t="s">
        <v>239</v>
      </c>
      <c r="B8" s="221" t="s">
        <v>240</v>
      </c>
      <c r="C8" s="221" t="s">
        <v>350</v>
      </c>
      <c r="D8" s="221"/>
      <c r="E8" s="221"/>
      <c r="F8" s="219"/>
      <c r="G8" s="219"/>
      <c r="H8" s="219"/>
      <c r="I8" s="219"/>
      <c r="J8" s="219"/>
      <c r="K8" s="219"/>
      <c r="L8" s="219"/>
    </row>
    <row r="9" spans="1:12" ht="15" customHeight="1">
      <c r="A9" s="222" t="s">
        <v>241</v>
      </c>
      <c r="B9" s="210">
        <v>3</v>
      </c>
      <c r="C9" s="394" t="s">
        <v>247</v>
      </c>
      <c r="D9" s="394"/>
      <c r="E9" s="394"/>
      <c r="F9" s="219"/>
      <c r="G9" s="219"/>
      <c r="H9" s="219"/>
      <c r="I9" s="219"/>
      <c r="J9" s="219"/>
      <c r="K9" s="219"/>
      <c r="L9" s="219"/>
    </row>
    <row r="10" spans="1:12" ht="15" customHeight="1">
      <c r="A10" s="222" t="s">
        <v>258</v>
      </c>
      <c r="B10" s="217">
        <v>3.8610038610038609E-2</v>
      </c>
      <c r="C10" s="394" t="s">
        <v>259</v>
      </c>
      <c r="D10" s="394"/>
      <c r="E10" s="394"/>
      <c r="F10" s="219"/>
      <c r="G10" s="219"/>
      <c r="H10" s="219"/>
      <c r="I10" s="219"/>
      <c r="J10" s="219"/>
      <c r="K10" s="219"/>
      <c r="L10" s="219"/>
    </row>
    <row r="11" spans="1:12" ht="15" customHeight="1">
      <c r="A11" s="222" t="s">
        <v>244</v>
      </c>
      <c r="B11" s="218">
        <v>2.125</v>
      </c>
      <c r="C11" s="394" t="s">
        <v>351</v>
      </c>
      <c r="D11" s="394"/>
      <c r="E11" s="394"/>
      <c r="F11" s="219"/>
      <c r="G11" s="219"/>
      <c r="H11" s="219"/>
      <c r="I11" s="219"/>
      <c r="J11" s="219"/>
      <c r="K11" s="219"/>
      <c r="L11" s="219"/>
    </row>
    <row r="12" spans="1:12" ht="15" customHeight="1">
      <c r="A12" s="222" t="s">
        <v>314</v>
      </c>
      <c r="B12" s="218">
        <v>0.70833333333333337</v>
      </c>
      <c r="C12" s="394" t="s">
        <v>248</v>
      </c>
      <c r="D12" s="394"/>
      <c r="E12" s="394"/>
      <c r="F12" s="219"/>
      <c r="G12" s="219"/>
      <c r="H12" s="219"/>
      <c r="I12" s="219"/>
      <c r="J12" s="219"/>
      <c r="K12" s="219"/>
      <c r="L12" s="219"/>
    </row>
    <row r="13" spans="1:12" ht="15" customHeight="1">
      <c r="A13" s="222" t="s">
        <v>249</v>
      </c>
      <c r="B13" s="210">
        <v>1</v>
      </c>
      <c r="C13" s="394" t="s">
        <v>250</v>
      </c>
      <c r="D13" s="394"/>
      <c r="E13" s="394"/>
      <c r="F13" s="219"/>
      <c r="G13" s="219"/>
      <c r="H13" s="219"/>
      <c r="I13" s="219"/>
      <c r="J13" s="219"/>
      <c r="K13" s="219"/>
      <c r="L13" s="219"/>
    </row>
    <row r="14" spans="1:12" ht="15" customHeight="1">
      <c r="A14" s="222" t="s">
        <v>245</v>
      </c>
      <c r="B14" s="210">
        <v>0</v>
      </c>
      <c r="C14" s="394" t="s">
        <v>251</v>
      </c>
      <c r="D14" s="394"/>
      <c r="E14" s="394"/>
      <c r="F14" s="219"/>
      <c r="G14" s="219"/>
      <c r="H14" s="219"/>
      <c r="I14" s="219"/>
      <c r="J14" s="219"/>
      <c r="K14" s="219"/>
      <c r="L14" s="219"/>
    </row>
    <row r="15" spans="1:12" ht="15" customHeight="1">
      <c r="A15" s="222" t="s">
        <v>252</v>
      </c>
      <c r="B15" s="210">
        <v>1</v>
      </c>
      <c r="C15" s="394" t="s">
        <v>352</v>
      </c>
      <c r="D15" s="394"/>
      <c r="E15" s="394"/>
      <c r="F15" s="219"/>
      <c r="G15" s="219"/>
      <c r="H15" s="219"/>
      <c r="I15" s="219"/>
      <c r="J15" s="219"/>
      <c r="K15" s="219"/>
      <c r="L15" s="219"/>
    </row>
    <row r="16" spans="1:12" ht="15" customHeight="1">
      <c r="A16" s="222" t="s">
        <v>242</v>
      </c>
      <c r="B16" s="210">
        <v>0</v>
      </c>
      <c r="C16" s="394" t="s">
        <v>353</v>
      </c>
      <c r="D16" s="394"/>
      <c r="E16" s="394"/>
      <c r="F16" s="219"/>
      <c r="G16" s="219"/>
      <c r="H16" s="219"/>
      <c r="I16" s="219"/>
      <c r="J16" s="219"/>
      <c r="K16" s="219"/>
      <c r="L16" s="219"/>
    </row>
    <row r="17" spans="1:12" ht="15" customHeight="1">
      <c r="A17" s="222" t="s">
        <v>354</v>
      </c>
      <c r="B17" s="210">
        <v>0</v>
      </c>
      <c r="C17" s="394" t="s">
        <v>315</v>
      </c>
      <c r="D17" s="394"/>
      <c r="E17" s="394"/>
      <c r="F17" s="219"/>
      <c r="G17" s="219"/>
      <c r="H17" s="219"/>
      <c r="I17" s="219"/>
      <c r="J17" s="219"/>
      <c r="K17" s="219"/>
      <c r="L17" s="219"/>
    </row>
    <row r="18" spans="1:12" ht="15" customHeight="1" thickBot="1">
      <c r="A18" s="219"/>
      <c r="B18" s="219"/>
      <c r="C18" s="219"/>
      <c r="D18" s="219"/>
      <c r="E18" s="219"/>
      <c r="F18" s="219"/>
      <c r="G18" s="219"/>
      <c r="H18" s="219"/>
      <c r="I18" s="219"/>
      <c r="J18" s="219"/>
      <c r="K18" s="219"/>
      <c r="L18" s="219"/>
    </row>
    <row r="19" spans="1:12" ht="24" customHeight="1" thickBot="1">
      <c r="A19" s="212" t="s">
        <v>355</v>
      </c>
      <c r="B19" s="208" t="s">
        <v>377</v>
      </c>
      <c r="C19" s="219"/>
      <c r="D19" s="219"/>
      <c r="E19" s="219"/>
      <c r="F19" s="219"/>
      <c r="G19" s="219"/>
      <c r="H19" s="219"/>
      <c r="I19" s="219"/>
      <c r="J19" s="219"/>
      <c r="K19" s="219"/>
      <c r="L19" s="219"/>
    </row>
    <row r="20" spans="1:12" ht="15" customHeight="1">
      <c r="A20" s="219"/>
      <c r="B20" s="219"/>
      <c r="C20" s="219"/>
      <c r="D20" s="219"/>
      <c r="E20" s="219"/>
      <c r="F20" s="219"/>
      <c r="G20" s="219"/>
      <c r="H20" s="219"/>
      <c r="I20" s="219"/>
      <c r="J20" s="219"/>
      <c r="K20" s="219"/>
      <c r="L20" s="219"/>
    </row>
    <row r="21" spans="1:12" ht="48" customHeight="1">
      <c r="A21" s="395" t="s">
        <v>253</v>
      </c>
      <c r="B21" s="389" t="s">
        <v>368</v>
      </c>
      <c r="C21" s="389"/>
      <c r="D21" s="389"/>
      <c r="E21" s="389"/>
      <c r="F21" s="219"/>
      <c r="G21" s="219"/>
      <c r="H21" s="219"/>
      <c r="I21" s="219"/>
      <c r="J21" s="219"/>
      <c r="K21" s="219"/>
      <c r="L21" s="219"/>
    </row>
    <row r="22" spans="1:12" ht="48" customHeight="1">
      <c r="A22" s="393"/>
      <c r="B22" s="389"/>
      <c r="C22" s="389"/>
      <c r="D22" s="389"/>
      <c r="E22" s="389"/>
      <c r="F22" s="219"/>
      <c r="G22" s="219"/>
      <c r="H22" s="219"/>
      <c r="I22" s="219"/>
      <c r="J22" s="219"/>
      <c r="K22" s="219"/>
      <c r="L22" s="219"/>
    </row>
    <row r="23" spans="1:12" ht="15" customHeight="1">
      <c r="A23" s="219"/>
      <c r="B23" s="219"/>
      <c r="C23" s="219"/>
      <c r="D23" s="219"/>
      <c r="E23" s="219"/>
      <c r="F23" s="219"/>
      <c r="G23" s="219"/>
      <c r="H23" s="219"/>
      <c r="I23" s="219"/>
      <c r="J23" s="219"/>
      <c r="K23" s="219"/>
      <c r="L23" s="219"/>
    </row>
    <row r="24" spans="1:12" ht="15" customHeight="1">
      <c r="A24" s="219"/>
      <c r="B24" s="219"/>
      <c r="C24" s="219"/>
      <c r="D24" s="219"/>
      <c r="E24" s="219"/>
      <c r="F24" s="219"/>
      <c r="G24" s="219"/>
      <c r="H24" s="219"/>
      <c r="I24" s="219"/>
      <c r="J24" s="219"/>
      <c r="K24" s="219"/>
      <c r="L24" s="219"/>
    </row>
    <row r="25" spans="1:12" ht="15" customHeight="1">
      <c r="A25" s="390" t="s">
        <v>356</v>
      </c>
      <c r="B25" s="391"/>
      <c r="C25" s="391"/>
      <c r="D25" s="391"/>
      <c r="E25" s="391"/>
      <c r="F25" s="391"/>
      <c r="G25" s="391"/>
      <c r="H25" s="391"/>
      <c r="I25" s="391"/>
      <c r="J25" s="391"/>
      <c r="K25" s="391"/>
      <c r="L25" s="219"/>
    </row>
    <row r="26" spans="1:12" ht="15" customHeight="1">
      <c r="A26" s="219"/>
      <c r="B26" s="219"/>
      <c r="C26" s="219"/>
      <c r="D26" s="219"/>
      <c r="E26" s="219"/>
      <c r="F26" s="219"/>
      <c r="G26" s="219"/>
      <c r="H26" s="219"/>
      <c r="I26" s="219"/>
      <c r="J26" s="219"/>
      <c r="K26" s="219"/>
      <c r="L26" s="219"/>
    </row>
    <row r="27" spans="1:12" ht="15" customHeight="1">
      <c r="A27" s="213" t="s">
        <v>231</v>
      </c>
      <c r="B27" s="213" t="s">
        <v>255</v>
      </c>
      <c r="C27" s="213" t="s">
        <v>260</v>
      </c>
      <c r="D27" s="213" t="s">
        <v>244</v>
      </c>
      <c r="E27" s="213" t="s">
        <v>316</v>
      </c>
      <c r="F27" s="213" t="s">
        <v>373</v>
      </c>
      <c r="G27" s="213" t="s">
        <v>252</v>
      </c>
      <c r="H27" s="213" t="s">
        <v>357</v>
      </c>
      <c r="I27" s="213" t="s">
        <v>347</v>
      </c>
      <c r="J27" s="213"/>
      <c r="K27" s="213"/>
      <c r="L27" s="219"/>
    </row>
    <row r="28" spans="1:12" ht="42" customHeight="1">
      <c r="A28" s="214" t="s">
        <v>317</v>
      </c>
      <c r="B28" s="214">
        <v>1</v>
      </c>
      <c r="C28" s="215">
        <v>1.9607843137254902E-2</v>
      </c>
      <c r="D28" s="216">
        <v>0.625</v>
      </c>
      <c r="E28" s="216">
        <v>0.625</v>
      </c>
      <c r="F28" s="214">
        <v>0</v>
      </c>
      <c r="G28" s="214">
        <v>0</v>
      </c>
      <c r="H28" s="211" t="s">
        <v>358</v>
      </c>
      <c r="I28" s="394" t="s">
        <v>319</v>
      </c>
      <c r="J28" s="394"/>
      <c r="K28" s="394"/>
      <c r="L28" s="219"/>
    </row>
    <row r="29" spans="1:12" ht="42" customHeight="1">
      <c r="A29" s="214" t="s">
        <v>371</v>
      </c>
      <c r="B29" s="214">
        <v>1</v>
      </c>
      <c r="C29" s="215">
        <v>1.9607843137254902E-2</v>
      </c>
      <c r="D29" s="216">
        <v>0.5</v>
      </c>
      <c r="E29" s="216">
        <v>0.5</v>
      </c>
      <c r="F29" s="214">
        <v>1</v>
      </c>
      <c r="G29" s="214">
        <v>0</v>
      </c>
      <c r="H29" s="211" t="s">
        <v>374</v>
      </c>
      <c r="I29" s="394" t="s">
        <v>375</v>
      </c>
      <c r="J29" s="394"/>
      <c r="K29" s="394"/>
      <c r="L29" s="219"/>
    </row>
    <row r="30" spans="1:12" ht="42" customHeight="1">
      <c r="A30" s="214" t="s">
        <v>195</v>
      </c>
      <c r="B30" s="214">
        <v>1</v>
      </c>
      <c r="C30" s="215">
        <v>1.8867924528301886E-2</v>
      </c>
      <c r="D30" s="216">
        <v>1</v>
      </c>
      <c r="E30" s="216">
        <v>1</v>
      </c>
      <c r="F30" s="214">
        <v>0</v>
      </c>
      <c r="G30" s="214">
        <v>1</v>
      </c>
      <c r="H30" s="211" t="s">
        <v>374</v>
      </c>
      <c r="I30" s="394" t="s">
        <v>378</v>
      </c>
      <c r="J30" s="394"/>
      <c r="K30" s="394"/>
      <c r="L30" s="219"/>
    </row>
    <row r="31" spans="1:12" ht="15" customHeight="1">
      <c r="A31" s="219"/>
      <c r="B31" s="219"/>
      <c r="C31" s="219"/>
      <c r="D31" s="219"/>
      <c r="E31" s="219"/>
      <c r="F31" s="219"/>
      <c r="G31" s="219"/>
      <c r="H31" s="219"/>
      <c r="I31" s="219"/>
      <c r="J31" s="219"/>
      <c r="K31" s="219"/>
      <c r="L31" s="219"/>
    </row>
    <row r="32" spans="1:12" ht="15" customHeight="1">
      <c r="A32" s="219"/>
      <c r="B32" s="219"/>
      <c r="C32" s="219"/>
      <c r="D32" s="219"/>
      <c r="E32" s="219"/>
      <c r="F32" s="219"/>
      <c r="G32" s="219"/>
      <c r="H32" s="219"/>
      <c r="I32" s="219"/>
      <c r="J32" s="219"/>
      <c r="K32" s="219"/>
      <c r="L32" s="219"/>
    </row>
    <row r="33" spans="1:12" ht="15" customHeight="1">
      <c r="A33" s="219"/>
      <c r="B33" s="219"/>
      <c r="C33" s="219"/>
      <c r="D33" s="219"/>
      <c r="E33" s="219"/>
      <c r="F33" s="219"/>
      <c r="G33" s="219"/>
      <c r="H33" s="219"/>
      <c r="I33" s="219"/>
      <c r="J33" s="219"/>
      <c r="K33" s="219"/>
      <c r="L33" s="219"/>
    </row>
    <row r="34" spans="1:12" ht="15" customHeight="1">
      <c r="A34" s="392" t="s">
        <v>359</v>
      </c>
      <c r="B34" s="393"/>
      <c r="C34" s="393"/>
      <c r="D34" s="393"/>
      <c r="E34" s="393"/>
      <c r="F34" s="219"/>
      <c r="G34" s="219"/>
      <c r="H34" s="219"/>
      <c r="I34" s="219"/>
      <c r="J34" s="219"/>
      <c r="K34" s="219"/>
      <c r="L34" s="219"/>
    </row>
    <row r="35" spans="1:12" ht="38" customHeight="1">
      <c r="A35" s="221" t="s">
        <v>258</v>
      </c>
      <c r="B35" s="389" t="s">
        <v>261</v>
      </c>
      <c r="C35" s="389"/>
      <c r="D35" s="389"/>
      <c r="E35" s="389"/>
      <c r="F35" s="219"/>
      <c r="G35" s="219"/>
      <c r="H35" s="219"/>
      <c r="I35" s="219"/>
      <c r="J35" s="219"/>
      <c r="K35" s="219"/>
      <c r="L35" s="219"/>
    </row>
    <row r="36" spans="1:12" ht="38" customHeight="1">
      <c r="A36" s="221" t="s">
        <v>244</v>
      </c>
      <c r="B36" s="389" t="s">
        <v>360</v>
      </c>
      <c r="C36" s="389"/>
      <c r="D36" s="389"/>
      <c r="E36" s="389"/>
      <c r="F36" s="219"/>
      <c r="G36" s="219"/>
      <c r="H36" s="219"/>
      <c r="I36" s="219"/>
      <c r="J36" s="219"/>
      <c r="K36" s="219"/>
      <c r="L36" s="219"/>
    </row>
    <row r="37" spans="1:12" ht="38" customHeight="1">
      <c r="A37" s="221" t="s">
        <v>314</v>
      </c>
      <c r="B37" s="389" t="s">
        <v>361</v>
      </c>
      <c r="C37" s="389"/>
      <c r="D37" s="389"/>
      <c r="E37" s="389"/>
      <c r="F37" s="219"/>
      <c r="G37" s="219"/>
      <c r="H37" s="219"/>
      <c r="I37" s="219"/>
      <c r="J37" s="219"/>
      <c r="K37" s="219"/>
      <c r="L37" s="219"/>
    </row>
    <row r="38" spans="1:12" ht="38" customHeight="1">
      <c r="A38" s="221" t="s">
        <v>256</v>
      </c>
      <c r="B38" s="389" t="s">
        <v>362</v>
      </c>
      <c r="C38" s="389"/>
      <c r="D38" s="389"/>
      <c r="E38" s="389"/>
      <c r="F38" s="219"/>
      <c r="G38" s="219"/>
      <c r="H38" s="219"/>
      <c r="I38" s="219"/>
      <c r="J38" s="219"/>
      <c r="K38" s="219"/>
      <c r="L38" s="219"/>
    </row>
    <row r="39" spans="1:12" ht="38" customHeight="1">
      <c r="A39" s="221" t="s">
        <v>245</v>
      </c>
      <c r="B39" s="389" t="s">
        <v>363</v>
      </c>
      <c r="C39" s="389"/>
      <c r="D39" s="389"/>
      <c r="E39" s="389"/>
      <c r="F39" s="219"/>
      <c r="G39" s="219"/>
      <c r="H39" s="219"/>
      <c r="I39" s="219"/>
      <c r="J39" s="219"/>
      <c r="K39" s="219"/>
      <c r="L39" s="219"/>
    </row>
    <row r="40" spans="1:12" ht="38" customHeight="1">
      <c r="A40" s="221" t="s">
        <v>257</v>
      </c>
      <c r="B40" s="389" t="s">
        <v>364</v>
      </c>
      <c r="C40" s="389"/>
      <c r="D40" s="389"/>
      <c r="E40" s="389"/>
      <c r="F40" s="219"/>
      <c r="G40" s="219"/>
      <c r="H40" s="219"/>
      <c r="I40" s="219"/>
      <c r="J40" s="219"/>
      <c r="K40" s="219"/>
      <c r="L40" s="219"/>
    </row>
    <row r="41" spans="1:12" ht="38" customHeight="1">
      <c r="A41" s="221" t="s">
        <v>254</v>
      </c>
      <c r="B41" s="389" t="s">
        <v>365</v>
      </c>
      <c r="C41" s="389"/>
      <c r="D41" s="389"/>
      <c r="E41" s="389"/>
      <c r="F41" s="219"/>
      <c r="G41" s="219"/>
      <c r="H41" s="219"/>
      <c r="I41" s="219"/>
      <c r="J41" s="219"/>
      <c r="K41" s="219"/>
      <c r="L41" s="219"/>
    </row>
    <row r="42" spans="1:12" ht="38" customHeight="1">
      <c r="A42" s="221" t="s">
        <v>366</v>
      </c>
      <c r="B42" s="389" t="s">
        <v>367</v>
      </c>
      <c r="C42" s="389"/>
      <c r="D42" s="389"/>
      <c r="E42" s="389"/>
      <c r="F42" s="219"/>
      <c r="G42" s="219"/>
      <c r="H42" s="219"/>
      <c r="I42" s="219"/>
      <c r="J42" s="219"/>
      <c r="K42" s="219"/>
      <c r="L42" s="219"/>
    </row>
  </sheetData>
  <sheetProtection algorithmName="SHA-512" hashValue="tkGK0tYC11LwtMjBu23E37R+5lvFI/4cyaa70hSsbcVJ1gmJe3dthVX0JQQZ5lcg8/b+i+1dgelt//52fJ9yQA==" saltValue="AMvDIoc9ZlrcP1o5wca7Yg==" spinCount="100000" sheet="1" objects="1" scenarios="1" sort="0" autoFilter="0"/>
  <mergeCells count="27">
    <mergeCell ref="A21:A22"/>
    <mergeCell ref="B21:E22"/>
    <mergeCell ref="A1:E1"/>
    <mergeCell ref="A4:E4"/>
    <mergeCell ref="A5:E6"/>
    <mergeCell ref="C9:E9"/>
    <mergeCell ref="C10:E10"/>
    <mergeCell ref="C11:E11"/>
    <mergeCell ref="C12:E12"/>
    <mergeCell ref="C13:E13"/>
    <mergeCell ref="C16:E16"/>
    <mergeCell ref="C17:E17"/>
    <mergeCell ref="C14:E14"/>
    <mergeCell ref="C15:E15"/>
    <mergeCell ref="B42:E42"/>
    <mergeCell ref="A25:K25"/>
    <mergeCell ref="A34:E34"/>
    <mergeCell ref="B41:E41"/>
    <mergeCell ref="I28:K28"/>
    <mergeCell ref="I29:K29"/>
    <mergeCell ref="I30:K30"/>
    <mergeCell ref="B39:E39"/>
    <mergeCell ref="B40:E40"/>
    <mergeCell ref="B37:E37"/>
    <mergeCell ref="B38:E38"/>
    <mergeCell ref="B35:E35"/>
    <mergeCell ref="B36:E36"/>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CzARY+qrBIBgV9hipk/iAfDs1vS2CR1UBxcaHwxjb2NbjrOU8gc8PWNRg3uzQpgPkiKVYN+uk0Wp27l3VvMP0Q==" saltValue="1HAopcBGDY+e4gx2XQalqg=="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C13"/>
  <sheetViews>
    <sheetView workbookViewId="0"/>
  </sheetViews>
  <sheetFormatPr baseColWidth="10" defaultRowHeight="15"/>
  <sheetData>
    <row r="1" spans="1:939">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row>
    <row r="2" spans="1:939">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row>
    <row r="3" spans="1:939">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row>
    <row r="4" spans="1:939">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row>
    <row r="5" spans="1:939">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row>
    <row r="6" spans="1:939">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row>
    <row r="7" spans="1:939">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row>
    <row r="8" spans="1:939">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row>
    <row r="9" spans="1:939">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KK9" s="182">
        <v>51.9</v>
      </c>
      <c r="KL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CX9" s="182">
        <v>51.9</v>
      </c>
      <c r="ACY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row>
    <row r="10" spans="1:939">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KK10" s="182">
        <v>47.58</v>
      </c>
      <c r="KL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CX10" s="182">
        <v>47.58</v>
      </c>
      <c r="ACY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row>
    <row r="11" spans="1:939">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KK11" s="182">
        <v>43.25</v>
      </c>
      <c r="KL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CX11" s="182">
        <v>43.25</v>
      </c>
      <c r="ACY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row>
    <row r="12" spans="1:939">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KK12" s="182">
        <v>34.6</v>
      </c>
      <c r="KL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CX12" s="182">
        <v>34.6</v>
      </c>
      <c r="ACY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row>
    <row r="13" spans="1:939">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KK13" s="182">
        <v>32.01</v>
      </c>
      <c r="KL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CX13" s="182">
        <v>32.01</v>
      </c>
      <c r="ACY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row>
  </sheetData>
  <sheetProtection algorithmName="SHA-512" hashValue="NssWsOPt/yYH2EfXF9q/jzwT33ea1m4muYIR78wqe2eJaeP3YPfgYnrxSjSYXFv/IMCrS/YgczUY5wgkQZ0N2w==" saltValue="H0uGjrdTt/880bH7182Jfw=="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714</vt:i4>
      </vt:variant>
    </vt:vector>
  </HeadingPairs>
  <TitlesOfParts>
    <vt:vector size="731"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2026-05-20T09:32:33Z</dcterms:modified>
  <cp:category/>
  <cp:contentStatus/>
</cp:coreProperties>
</file>